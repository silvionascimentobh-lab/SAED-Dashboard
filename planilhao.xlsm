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28" documentId="13_ncr:1_{6A2CC3E2-FAFB-4D8F-B284-5E8FB5045DFE}" xr6:coauthVersionLast="47" xr6:coauthVersionMax="47" xr10:uidLastSave="{DA488B9B-5A03-4907-91A7-F4A10A3B4749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A2" i="20" l="1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<sst xmlns="http://schemas.openxmlformats.org/spreadsheetml/2006/main" count="7267" uniqueCount="3194">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</sst>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K1" zoomScaleNormal="100" workbookViewId="0">
      <pane ySplit="1" topLeftCell="A720" activePane="bottomLeft" state="frozen"/>
      <selection pane="bottomLeft" activeCell="T743" sqref="T74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2026-083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3189</v>
      </c>
      <c r="B738" s="183">
        <v>2026</v>
      </c>
      <c r="C738" s="183" t="s">
        <v>2697</v>
      </c>
      <c r="D738" s="183" t="s">
        <v>3190</v>
      </c>
      <c r="E738" s="180" t="s">
        <v>3191</v>
      </c>
      <c r="F738" s="185"/>
      <c r="G738" s="186" t="s">
        <v>2694</v>
      </c>
      <c r="H738" s="191" t="s">
        <v>3192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3193</v>
      </c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2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1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2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82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7.5949367088607597E-2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0.27848101265822783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29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72</v>
      </c>
      <c r="C37" s="26">
        <f ca="1">IF($A37="","",SUMIFS('GECC 2026'!I$2:I$200,'GECC 2026'!F$2:F$200,$A37))</f>
        <v>77.599999999999994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149.6</v>
      </c>
      <c r="F37" s="24">
        <f ca="1">IF($A37="","",COUNTIFS('GECC 2026'!F$2:F$200,$A37))</f>
        <v>7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88</v>
      </c>
      <c r="C51" s="26">
        <f ca="1">IF($A51="","",SUMIFS('GECC 2026'!I$2:I$200,'GECC 2026'!F$2:F$200,$A51))</f>
        <v>83.6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171.6</v>
      </c>
      <c r="F51" s="24">
        <f ca="1">IF($A51="","",COUNTIFS('GECC 2026'!F$2:F$200,$A51))</f>
        <v>7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728</v>
      </c>
      <c r="C105" s="95">
        <f ca="1">SUM(C5:C100)</f>
        <v>338.73999999999995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2026-08-18T19:31:45Z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