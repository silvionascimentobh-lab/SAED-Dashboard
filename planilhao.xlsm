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52" documentId="8_{454372C2-A99E-4E47-A759-72B38925853E}" xr6:coauthVersionLast="47" xr6:coauthVersionMax="47" xr10:uidLastSave="{1E2F7DAD-D4BA-48CD-8A01-25ED5B732060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AE33" i="20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0" i="23" l="1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<sst xmlns="http://schemas.openxmlformats.org/spreadsheetml/2006/main" count="6227" uniqueCount="2403">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</sst>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515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2" totalsRowShown="0">
  <autoFilter ref="A3:D92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5" activePane="bottomLeft" state="frozen"/>
      <selection pane="bottomLeft" activeCell="E719" sqref="E719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11</v>
      </c>
      <c r="P682" s="73">
        <v>0</v>
      </c>
      <c r="Q682" s="73">
        <v>0</v>
      </c>
      <c r="R682" s="73">
        <f t="shared" si="13"/>
        <v>11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2402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2397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2398</v>
      </c>
      <c r="E719" s="244" t="s">
        <v>2399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2401</v>
      </c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 t="s">
        <v>2103</v>
      </c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2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  <row r="92" spans="1:4" x14ac:dyDescent="0.25">
      <c r="A92">
        <v>90</v>
      </c>
      <c r="B92" t="s">
        <v>2400</v>
      </c>
      <c r="D92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6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4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5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515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1555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0.31666666666666665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0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Rogério Ribeiro</v>
      </c>
      <c r="B43" s="103">
        <f>IF($A43="","",SUMIFS('GECC 2026'!H$2:H$200,'GECC 2026'!F$2:F$200,$A43))</f>
        <v>48</v>
      </c>
      <c r="C43" s="103">
        <f>IF($A43="","",SUMIFS('GECC 2026'!I$2:I$200,'GECC 2026'!F$2:F$200,$A43))</f>
        <v>7.1999999999999993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55.2</v>
      </c>
      <c r="F43" s="101">
        <f>IF($A43="","",COUNTIFS('GECC 2026'!F$2:F$200,$A43))</f>
        <v>3</v>
      </c>
    </row>
    <row r="44" spans="1:6" x14ac:dyDescent="0.25">
      <c r="A44" t="str">
        <v>Rômulo Miranda Alvim</v>
      </c>
      <c r="B44" s="103">
        <f>IF($A44="","",SUMIFS('GECC 2026'!H$2:H$200,'GECC 2026'!F$2:F$200,$A44))</f>
        <v>24</v>
      </c>
      <c r="C44" s="103">
        <f>IF($A44="","",SUMIFS('GECC 2026'!I$2:I$200,'GECC 2026'!F$2:F$200,$A44))</f>
        <v>3.6</v>
      </c>
      <c r="D44" s="255">
        <f>IF($A44="","",SUMIFS('GECC 2026'!$AE$3:$AE$32,'GECC 2026'!$AD$3:$AD$32,$A44))</f>
        <v>16</v>
      </c>
      <c r="E44" s="240">
        <f>IF($A44="","",SUMIFS('GECC 2026'!J$2:J$200,'GECC 2026'!F$2:F$200,$A44)+SUMIFS('GECC 2026'!$AE$3:$AE$32,'GECC 2026'!$AD$3:$AD$32,$A44))</f>
        <v>43.6</v>
      </c>
      <c r="F44" s="101">
        <f>IF($A44="","",COUNTIFS('GECC 2026'!F$2:F$200,$A44))</f>
        <v>2</v>
      </c>
    </row>
    <row r="45" spans="1:6" x14ac:dyDescent="0.25">
      <c r="A45" t="str">
        <v>Servidores, colaboradores e estagiários do TCDF</v>
      </c>
      <c r="B45" s="103">
        <f>IF($A45="","",SUMIFS('GECC 2026'!H$2:H$200,'GECC 2026'!F$2:F$200,$A45))</f>
        <v>0</v>
      </c>
      <c r="C45" s="103">
        <f>IF($A45="","",SUMIFS('GECC 2026'!I$2:I$200,'GECC 2026'!F$2:F$200,$A45))</f>
        <v>0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0</v>
      </c>
      <c r="F45" s="101">
        <f>IF($A45="","",COUNTIFS('GECC 2026'!F$2:F$200,$A45))</f>
        <v>1</v>
      </c>
    </row>
    <row r="46" spans="1:6" x14ac:dyDescent="0.25">
      <c r="A46" t="str">
        <v>Silvia Lima Damasceno Carvalho</v>
      </c>
      <c r="B46" s="103">
        <f>IF($A46="","",SUMIFS('GECC 2026'!H$2:H$200,'GECC 2026'!F$2:F$200,$A46))</f>
        <v>17</v>
      </c>
      <c r="C46" s="103">
        <f>IF($A46="","",SUMIFS('GECC 2026'!I$2:I$200,'GECC 2026'!F$2:F$200,$A46))</f>
        <v>5.1000000000000005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22.099999999999998</v>
      </c>
      <c r="F46" s="101">
        <f>IF($A46="","",COUNTIFS('GECC 2026'!F$2:F$200,$A46))</f>
        <v>5</v>
      </c>
    </row>
    <row r="47" spans="1:6" x14ac:dyDescent="0.25">
      <c r="A47" t="str">
        <v>Tarsila Firmino Ely</v>
      </c>
      <c r="B47" s="103">
        <f>IF($A47="","",SUMIFS('GECC 2026'!H$2:H$200,'GECC 2026'!F$2:F$200,$A47))</f>
        <v>56</v>
      </c>
      <c r="C47" s="103">
        <f>IF($A47="","",SUMIFS('GECC 2026'!I$2:I$200,'GECC 2026'!F$2:F$200,$A47))</f>
        <v>96.4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152.4</v>
      </c>
      <c r="F47" s="101">
        <f>IF($A47="","",COUNTIFS('GECC 2026'!F$2:F$200,$A47))</f>
        <v>5</v>
      </c>
    </row>
    <row r="48" spans="1:6" x14ac:dyDescent="0.25">
      <c r="A48" t="str">
        <v>Thiago Magalhães de Oliveira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1:6" x14ac:dyDescent="0.25">
      <c r="A49" t="str">
        <v>Túllio Herbeth Teixeira Moraes</v>
      </c>
      <c r="B49" s="103">
        <f>IF($A49="","",SUMIFS('GECC 2026'!H$2:H$200,'GECC 2026'!F$2:F$200,$A49))</f>
        <v>3</v>
      </c>
      <c r="C49" s="103">
        <f>IF($A49="","",SUMIFS('GECC 2026'!I$2:I$200,'GECC 2026'!F$2:F$200,$A49))</f>
        <v>0.44999999999999996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3.45</v>
      </c>
      <c r="F49" s="101">
        <f>IF($A49="","",COUNTIFS('GECC 2026'!F$2:F$200,$A49))</f>
        <v>1</v>
      </c>
    </row>
    <row r="50" spans="1:6" x14ac:dyDescent="0.25">
      <c r="A50" t="str">
        <v>Wibys Pereira</v>
      </c>
      <c r="B50" s="103">
        <f>IF($A50="","",SUMIFS('GECC 2026'!H$2:H$200,'GECC 2026'!F$2:F$200,$A50))</f>
        <v>4</v>
      </c>
      <c r="C50" s="103">
        <f>IF($A50="","",SUMIFS('GECC 2026'!I$2:I$200,'GECC 2026'!F$2:F$200,$A50))</f>
        <v>1.2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5.2</v>
      </c>
      <c r="F50" s="101">
        <f>IF($A50="","",COUNTIFS('GECC 2026'!F$2:F$200,$A50))</f>
        <v>1</v>
      </c>
    </row>
    <row r="51" spans="1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752</v>
      </c>
      <c r="C105" s="242">
        <f>SUM(C5:C100)</f>
        <v>404.58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2026-07-13T21:04:15Z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