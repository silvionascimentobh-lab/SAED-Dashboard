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2" documentId="13_ncr:1_{6A2CC3E2-FAFB-4D8F-B284-5E8FB5045DFE}" xr6:coauthVersionLast="47" xr6:coauthVersionMax="47" xr10:uidLastSave="{1BB752EE-D7F3-4B95-8CF8-0C635F536C15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<sst xmlns="http://schemas.openxmlformats.org/spreadsheetml/2006/main" count="7435" uniqueCount="3271">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</sst>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0">
      <filters>
        <filter val="Instrutoria Externa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29" activePane="bottomLeft" state="frozen"/>
      <selection pane="bottomLeft" activeCell="T758" sqref="T7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3" t="s">
        <v>3155</v>
      </c>
      <c r="B1" s="223"/>
      <c r="C1" s="223"/>
      <c r="D1" s="223"/>
      <c r="E1" s="223"/>
      <c r="F1" s="223"/>
      <c r="G1" s="223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4" t="s">
        <v>3156</v>
      </c>
      <c r="B4" s="225"/>
      <c r="D4" s="226" t="s">
        <v>3157</v>
      </c>
      <c r="E4" s="227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1" t="s">
        <v>3160</v>
      </c>
      <c r="B8" s="221"/>
      <c r="D8" s="221" t="s">
        <v>3161</v>
      </c>
      <c r="E8" s="221"/>
    </row>
    <row r="9" spans="1:7" ht="5.0999999999999996" customHeight="1" x14ac:dyDescent="0.25">
      <c r="A9" s="222"/>
      <c r="B9" s="222"/>
      <c r="D9" s="222"/>
      <c r="E9" s="222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21" t="s">
        <v>3170</v>
      </c>
      <c r="B30" s="221"/>
      <c r="C30" s="221"/>
      <c r="D30" s="221"/>
      <c r="E30" s="221"/>
    </row>
    <row r="31" spans="1:5" ht="5.0999999999999996" customHeight="1" x14ac:dyDescent="0.25">
      <c r="A31" s="222"/>
      <c r="B31" s="222"/>
      <c r="C31" s="222"/>
      <c r="D31" s="222"/>
      <c r="E31" s="222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8" t="s">
        <v>3221</v>
      </c>
      <c r="B1" s="228"/>
      <c r="C1" s="228"/>
      <c r="D1" s="228"/>
      <c r="E1" s="228"/>
      <c r="F1" s="228"/>
      <c r="G1" s="228"/>
      <c r="H1" s="228"/>
    </row>
    <row r="2" spans="1:8" x14ac:dyDescent="0.25">
      <c r="A2" s="48" t="s">
        <v>3222</v>
      </c>
    </row>
    <row r="4" spans="1:8" ht="21.95" customHeight="1" x14ac:dyDescent="0.25">
      <c r="A4" s="229" t="s">
        <v>3223</v>
      </c>
      <c r="B4" s="230"/>
      <c r="D4" s="229" t="s">
        <v>3224</v>
      </c>
      <c r="E4" s="230"/>
      <c r="G4" s="229" t="s">
        <v>3225</v>
      </c>
      <c r="H4" s="230"/>
    </row>
    <row r="5" spans="1:8" ht="35.1" customHeight="1" x14ac:dyDescent="0.25">
      <c r="A5" s="233">
        <f>COUNTIF('Ações InCompany'!E:E,"*maratona*")</f>
        <v>13</v>
      </c>
      <c r="B5" s="232"/>
      <c r="D5" s="231">
        <f>SUM(H8:H100)</f>
        <v>1762</v>
      </c>
      <c r="E5" s="232"/>
      <c r="G5" s="231">
        <f>IFERROR(ROUND(D5/A5,0),"-")</f>
        <v>136</v>
      </c>
      <c r="H5" s="232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19" t="s">
        <v>3231</v>
      </c>
      <c r="B1" s="219"/>
      <c r="C1" s="219"/>
      <c r="D1" s="219"/>
      <c r="E1" s="219"/>
      <c r="F1" s="219"/>
    </row>
    <row r="2" spans="1:7" x14ac:dyDescent="0.25">
      <c r="A2" s="220" t="s">
        <v>3232</v>
      </c>
      <c r="B2" s="220"/>
      <c r="C2" s="220"/>
      <c r="D2" s="220"/>
      <c r="E2" s="220"/>
      <c r="F2" s="220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2026-10-08T20:49:52Z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