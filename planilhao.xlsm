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89" documentId="13_ncr:1_{6A2CC3E2-FAFB-4D8F-B284-5E8FB5045DFE}" xr6:coauthVersionLast="47" xr6:coauthVersionMax="47" xr10:uidLastSave="{EF3960E0-90D5-4D97-BC2A-6F5FCA69ACA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/>
  <c r="G5" i="23" l="1"/>
  <c r="E5" i="23"/>
  <c r="B5" i="23"/>
  <c r="B105" i="23" s="1"/>
  <c r="C10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<sst xmlns="http://schemas.openxmlformats.org/spreadsheetml/2006/main" count="7435" uniqueCount="3271">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</sst>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17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9" activePane="bottomLeft" state="frozen"/>
      <selection pane="bottomLeft" activeCell="E718" sqref="E71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hidden="1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hidden="1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hidden="1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hidden="1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hidden="1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hidden="1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hidden="1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hidden="1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2697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2697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Em andamento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Em andamento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Em andamento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69</v>
      </c>
      <c r="E5" s="43" t="s">
        <v>3159</v>
      </c>
      <c r="G5" s="45">
        <f>COUNTIFS('Ações InCompany'!B:B,2026,'Ações InCompany'!C:C,"A realizar")</f>
        <v>13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17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69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2</v>
      </c>
      <c r="D37" s="36">
        <f t="shared" si="0"/>
        <v>9</v>
      </c>
      <c r="E37" s="37">
        <f t="shared" si="1"/>
        <v>0.10975609756097561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17</v>
      </c>
      <c r="C38" s="47">
        <f>COUNTIFS('Ações InCompany'!B:B,2026,'Ações InCompany'!C:C,"A realizar",'Ações InCompany'!G:G,A38)</f>
        <v>4</v>
      </c>
      <c r="D38" s="38">
        <f t="shared" si="0"/>
        <v>21</v>
      </c>
      <c r="E38" s="39">
        <f t="shared" si="1"/>
        <v>0.25609756097560976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69</v>
      </c>
      <c r="C45" s="40">
        <f>SUM(C33:C44)</f>
        <v>13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2026-10-19T18:39:05Z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