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47" documentId="8_{454372C2-A99E-4E47-A759-72B38925853E}" xr6:coauthVersionLast="47" xr6:coauthVersionMax="47" xr10:uidLastSave="{B9A1E989-5024-400C-B73B-30857575BA8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<sst xmlns="http://schemas.openxmlformats.org/spreadsheetml/2006/main" count="6265" uniqueCount="2418">
  <si>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</si>
  <si>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</si>
  <si>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</si>
  <si>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</si>
  <si>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</si>
  <si>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</si>
  <si>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</si>
  <si>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</si>
  <si>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</si>
  <si>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</si>
  <si>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</si>
  <si>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</si>
  <si>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</si>
  <si>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</si>
  <si>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</si>
  <si>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</si>
  <si>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</si>
  <si>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</si>
  <si>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</si>
  <si>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</si>
  <si>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</si>
  <si>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</si>
  <si>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</si>
  <si>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</si>
  <si>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</si>
  <si>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</si>
  <si>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</si>
  <si>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</si>
  <si>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</si>
  <si>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</si>
  <si>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</si>
  <si>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</si>
  <si>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</si>
  <si>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</si>
  <si>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</si>
  <si>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</si>
  <si>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</si>
  <si>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</si>
  <si>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</si>
  <si>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</si>
  <si>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</si>
  <si>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</si>
  <si>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</si>
  <si>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</si>
  <si>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</si>
  <si>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</si>
  <si>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</si>
  <si>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</si>
  <si>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</si>
  <si>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</si>
  <si>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</si>
  <si>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</si>
  <si>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</si>
  <si>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</si>
  <si>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</si>
  <si>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</si>
  <si>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</si>
  <si>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</si>
  <si>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</si>
  <si>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</si>
  <si>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</si>
  <si>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</si>
  <si>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</si>
  <si>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</si>
  <si>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</si>
  <si>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</si>
  <si>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</si>
  <si>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</si>
  <si>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</si>
  <si>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</si>
  <si>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</si>
  <si>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</si>
  <si>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</si>
  <si>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</si>
  <si>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</si>
  <si>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</si>
  <si>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</si>
  <si>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</si>
  <si>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</si>
  <si>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</si>
  <si>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</si>
  <si>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</si>
  <si>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</si>
  <si>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</si>
  <si>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</si>
  <si>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</si>
  <si>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</si>
  <si>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</si>
  <si>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</si>
  <si>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</si>
  <si>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</si>
  <si>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</si>
  <si>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</si>
  <si>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</si>
  <si>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</si>
  <si>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</si>
  <si>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</si>
  <si>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</si>
  <si>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</si>
  <si>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</si>
  <si>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</si>
  <si>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</si>
  <si>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</si>
  <si>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</si>
  <si>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</si>
  <si>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</si>
  <si>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</si>
  <si>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</si>
  <si>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</si>
  <si>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</si>
  <si>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</si>
  <si>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</si>
  <si>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</si>
  <si>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</si>
  <si>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</si>
  <si>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</si>
  <si>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</si>
  <si>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</si>
  <si>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</si>
  <si>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</si>
  <si>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</si>
  <si>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</si>
  <si>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</si>
  <si>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</si>
  <si>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</si>
  <si>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</si>
  <si>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</si>
  <si>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</si>
  <si>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</si>
  <si>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</si>
  <si>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</si>
  <si>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</si>
  <si>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</si>
  <si>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</si>
  <si>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</si>
  <si>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</si>
  <si>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</si>
  <si>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</si>
  <si>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</si>
  <si>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</si>
  <si>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</si>
  <si>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</si>
  <si>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</si>
  <si>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</si>
  <si>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</si>
  <si>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</si>
  <si>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</si>
  <si>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</si>
  <si>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</si>
  <si>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</si>
  <si>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</si>
  <si>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</si>
  <si>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</si>
  <si>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</si>
  <si>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</si>
  <si>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</si>
  <si>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</si>
  <si>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</si>
  <si>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</si>
  <si>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</si>
  <si>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</si>
  <si>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</si>
  <si>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</si>
  <si>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</si>
  <si>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</si>
  <si>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</si>
  <si>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</si>
  <si>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</si>
  <si>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</si>
  <si>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</si>
  <si>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</si>
  <si>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</si>
  <si>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</si>
  <si>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</si>
  <si>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</si>
  <si>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</si>
  <si>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</si>
  <si>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</si>
  <si>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</si>
  <si>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</si>
  <si>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</si>
  <si>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</si>
  <si>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</si>
  <si>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</si>
  <si>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</si>
  <si>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</si>
  <si>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</si>
  <si>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</si>
  <si>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</si>
  <si>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</si>
  <si>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</si>
  <si>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</si>
  <si>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</si>
  <si>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</si>
  <si>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</si>
  <si>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</si>
  <si>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</si>
  <si>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</si>
  <si>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</si>
  <si>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</si>
  <si>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</si>
  <si>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</si>
  <si>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</si>
  <si>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</si>
  <si>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</si>
  <si>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</si>
  <si>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</si>
  <si>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</si>
  <si>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</si>
  <si>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</si>
  <si>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</si>
  <si>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</si>
  <si>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</si>
  <si>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</si>
  <si>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</si>
  <si>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</si>
  <si>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</si>
  <si>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</si>
  <si>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</si>
  <si>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</si>
  <si>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</si>
  <si>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</si>
  <si>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</si>
  <si>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</si>
  <si>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</si>
  <si>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</si>
  <si>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</si>
  <si>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</si>
  <si>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</si>
  <si>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</si>
  <si>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</si>
  <si>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</si>
  <si>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</si>
  <si>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</si>
  <si>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</si>
  <si>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</si>
  <si>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</si>
  <si>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</si>
  <si>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</si>
  <si>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</si>
  <si>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</si>
  <si>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</si>
  <si>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</si>
  <si>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</si>
  <si>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</si>
  <si>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</si>
  <si>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</si>
  <si>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</si>
  <si>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</si>
  <si>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</si>
  <si>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</si>
  <si>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</si>
  <si>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</si>
  <si>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</si>
  <si>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</si>
  <si>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</si>
  <si>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</si>
  <si>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</si>
  <si>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</si>
  <si>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</si>
  <si>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</si>
  <si>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</si>
  <si>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</si>
  <si>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</si>
  <si>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</si>
  <si>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</si>
  <si>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</si>
  <si>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</si>
  <si>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</si>
  <si>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</si>
  <si>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</si>
  <si>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</si>
  <si>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</si>
  <si>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</si>
  <si>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</si>
  <si>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</si>
  <si>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</si>
  <si>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</si>
  <si>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</si>
  <si>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</si>
  <si>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</si>
  <si>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</si>
  <si>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</si>
  <si>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</si>
  <si>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</si>
  <si>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</si>
  <si>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</si>
  <si>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</si>
  <si>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</si>
  <si>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</si>
  <si>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</si>
  <si>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</si>
  <si>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</si>
  <si>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</si>
  <si>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</si>
  <si>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</si>
  <si>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</si>
  <si>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</si>
  <si>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</si>
  <si>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</si>
  <si>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</si>
  <si>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</si>
  <si>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</si>
  <si>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</si>
  <si>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</si>
  <si>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</si>
  <si>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</si>
  <si>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</si>
  <si>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</si>
  <si>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</si>
  <si>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</si>
  <si>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</si>
  <si>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</si>
  <si>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</si>
  <si>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</si>
  <si>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</si>
  <si>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</si>
  <si>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</si>
  <si>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</si>
  <si>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</si>
  <si>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</si>
  <si>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</si>
  <si>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</si>
  <si>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</si>
  <si>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</si>
  <si>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</si>
  <si>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</si>
  <si>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</si>
  <si>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</si>
  <si>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</si>
  <si>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</si>
  <si>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</si>
  <si>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</si>
  <si>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</si>
  <si>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</si>
  <si>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</si>
  <si>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</si>
  <si>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</si>
  <si>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</si>
  <si>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</si>
  <si>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</si>
  <si>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</si>
  <si>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</si>
  <si>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</si>
  <si>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</si>
  <si>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</si>
  <si>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</si>
  <si>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</si>
  <si>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</si>
  <si>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</si>
  <si>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</si>
  <si>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</si>
  <si>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</si>
  <si>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</si>
  <si>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</si>
  <si>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</si>
  <si>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</si>
  <si>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</si>
  <si>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</si>
  <si>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</si>
  <si>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</si>
  <si>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</si>
  <si>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</si>
  <si>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</si>
  <si>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</si>
  <si>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</si>
  <si>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</si>
  <si>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</si>
  <si>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</si>
  <si>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</si>
  <si>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</si>
  <si>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</si>
  <si>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</si>
  <si>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</si>
  <si>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</si>
  <si>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</si>
  <si>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</si>
  <si>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</si>
  <si>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</si>
  <si>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</si>
  <si>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</si>
  <si>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</si>
  <si>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</si>
  <si>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</si>
  <si>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</si>
  <si>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</si>
  <si>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</si>
  <si>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</si>
  <si>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</si>
  <si>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</si>
  <si>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</si>
  <si>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</si>
  <si>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</si>
  <si>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</si>
  <si>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</si>
  <si>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</si>
  <si>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</si>
  <si>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</si>
  <si>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</si>
  <si>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</si>
  <si>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</si>
  <si>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</si>
  <si>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</si>
  <si>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</si>
  <si>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</si>
  <si>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</si>
  <si>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</si>
  <si>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</si>
  <si>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</si>
  <si>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</si>
  <si>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</si>
  <si>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</si>
  <si>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</si>
  <si>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</si>
  <si>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</si>
  <si>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</si>
  <si>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</si>
  <si>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</si>
  <si>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</si>
  <si>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</si>
  <si>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</si>
  <si>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</si>
  <si>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</si>
  <si>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</si>
  <si>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</si>
  <si>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</si>
  <si>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</si>
  <si>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</si>
  <si>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</si>
  <si>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</si>
  <si>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</si>
  <si>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</si>
  <si>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</si>
  <si>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</si>
  <si>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</si>
  <si>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</si>
  <si>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</si>
  <si>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</si>
  <si>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</si>
  <si>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</si>
  <si>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</si>
  <si>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</si>
  <si>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</si>
  <si>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</si>
  <si>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</si>
  <si>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</si>
  <si>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</si>
  <si>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</si>
  <si>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</si>
  <si>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</si>
  <si>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</si>
  <si>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</si>
  <si>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</si>
  <si>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</si>
  <si>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</si>
  <si>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</si>
  <si>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</si>
  <si>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</si>
  <si>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</si>
  <si>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</si>
  <si>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</si>
  <si>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</si>
  <si>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</si>
  <si>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</si>
  <si>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</si>
  <si>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</si>
  <si>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</si>
  <si>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</si>
  <si>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</si>
  <si>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</si>
  <si>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</si>
  <si>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</si>
  <si>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</si>
  <si>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</si>
  <si>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</si>
  <si>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</si>
  <si>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</si>
  <si>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</si>
  <si>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</si>
  <si>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</si>
  <si>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</si>
  <si>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</si>
  <si>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</si>
  <si>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</si>
  <si>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</si>
  <si>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</si>
  <si>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</si>
  <si>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</si>
  <si>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</si>
  <si>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</si>
  <si>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</si>
  <si>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</si>
  <si>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</si>
  <si>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</si>
  <si>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</si>
  <si>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</si>
  <si>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</si>
  <si>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</si>
  <si>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</si>
  <si>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</si>
  <si>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</si>
  <si>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</si>
  <si>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</si>
  <si>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</si>
  <si>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</si>
  <si>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</si>
  <si>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</si>
  <si>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</si>
  <si>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</si>
  <si>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</si>
  <si>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</si>
  <si>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</si>
  <si>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</si>
  <si>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</si>
  <si>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</si>
  <si>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</si>
  <si>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</si>
  <si>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</si>
  <si>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</si>
  <si>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</si>
  <si>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</si>
  <si>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</si>
  <si>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</si>
  <si>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</si>
  <si>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</si>
  <si>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</si>
  <si>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</si>
  <si>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</si>
  <si>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</si>
  <si>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</si>
  <si>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</si>
  <si>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</si>
  <si>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</si>
  <si>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</si>
  <si>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</si>
  <si>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</si>
  <si>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</si>
  <si>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</si>
  <si>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</si>
  <si>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</si>
  <si>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</si>
  <si>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</si>
  <si>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</si>
  <si>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</si>
  <si>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</si>
  <si>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</si>
  <si>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</si>
  <si>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</si>
  <si>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</si>
  <si>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</si>
  <si>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</si>
  <si>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</si>
  <si>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</si>
  <si>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</si>
  <si>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</si>
  <si>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</si>
  <si>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</si>
  <si>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</si>
  <si>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</si>
  <si>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</si>
  <si>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</si>
  <si>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</si>
  <si>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</si>
  <si>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</si>
  <si>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</si>
  <si>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</si>
  <si>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</si>
  <si>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</si>
  <si>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</si>
  <si>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</si>
  <si>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</si>
  <si>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</si>
  <si>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</si>
  <si>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</si>
  <si>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</si>
  <si>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</si>
  <si>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</si>
  <si>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</si>
  <si>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</si>
  <si>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</si>
  <si>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</si>
  <si>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</si>
  <si>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</si>
  <si>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</si>
  <si>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</si>
  <si>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</si>
  <si>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</si>
  <si>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</si>
  <si>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</si>
  <si>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</si>
  <si>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</si>
  <si>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</si>
  <si>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</si>
  <si>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</si>
  <si>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</si>
  <si>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</si>
  <si>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</si>
  <si>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</si>
  <si>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</si>
  <si>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</si>
  <si>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</si>
  <si>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</si>
  <si>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</si>
  <si>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</si>
  <si>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</si>
  <si>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</si>
  <si>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</si>
  <si>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</si>
  <si>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</si>
  <si>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</si>
  <si>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</si>
  <si>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</si>
  <si>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</si>
  <si>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</si>
  <si>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</si>
  <si>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</si>
  <si>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</si>
  <si>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</si>
  <si>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</si>
  <si>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</si>
  <si>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</si>
  <si>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</si>
  <si>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</si>
  <si>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</si>
  <si>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</si>
  <si>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</si>
  <si>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</si>
  <si>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</si>
  <si>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</si>
  <si>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</si>
  <si>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</si>
  <si>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</si>
  <si>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</si>
  <si>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</si>
  <si>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</si>
  <si>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</si>
  <si>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</si>
  <si>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</si>
  <si>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</si>
  <si>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</si>
  <si>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</si>
  <si>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</si>
  <si>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</si>
  <si>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</si>
  <si>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</si>
  <si>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</si>
  <si>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</si>
  <si>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</si>
  <si>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</si>
  <si>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</si>
  <si>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</si>
  <si>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</si>
  <si>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</si>
  <si>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</si>
  <si>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</si>
  <si>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</si>
  <si>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</si>
  <si>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</si>
  <si>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</si>
  <si>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</si>
  <si>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</si>
  <si>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</si>
  <si>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</si>
  <si>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</si>
  <si>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</si>
  <si>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</si>
  <si>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</si>
  <si>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</si>
  <si>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</si>
  <si>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</si>
  <si>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</si>
  <si>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</si>
  <si>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</si>
  <si>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</si>
  <si>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</si>
  <si>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</si>
  <si>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</si>
  <si>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</si>
  <si>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</si>
  <si>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</si>
  <si>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</si>
  <si>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</si>
  <si>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</si>
  <si>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</si>
  <si>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</si>
  <si>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</si>
  <si>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</si>
  <si>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</si>
  <si>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</si>
  <si>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</si>
  <si>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</si>
  <si>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</si>
  <si>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</si>
  <si>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</si>
  <si>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</si>
  <si>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</si>
  <si>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</si>
  <si>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</si>
  <si>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</si>
  <si>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</si>
  <si>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</si>
  <si>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</si>
  <si>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</si>
  <si>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</si>
  <si>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</si>
  <si>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</si>
  <si>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</si>
  <si>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</si>
  <si>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</si>
  <si>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</si>
  <si>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</si>
  <si>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</si>
  <si>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</si>
  <si>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</si>
  <si>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</si>
  <si>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</si>
  <si>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</si>
  <si>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</si>
  <si>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</si>
  <si>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</si>
  <si>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</si>
  <si>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</si>
  <si>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</si>
  <si>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</si>
  <si>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</si>
  <si>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</si>
  <si>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</si>
  <si>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</si>
  <si>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</si>
  <si>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</si>
  <si>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</si>
  <si>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</si>
  <si>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</si>
  <si>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</si>
  <si>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</si>
  <si>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</si>
  <si>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</si>
  <si>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</si>
  <si>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</si>
  <si>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</si>
  <si>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</si>
  <si>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</si>
  <si>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</si>
  <si>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</si>
  <si>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</si>
  <si>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</si>
  <si>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</si>
  <si>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</si>
  <si>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</si>
  <si>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</si>
  <si>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</si>
  <si>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</si>
  <si>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</si>
  <si>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</si>
  <si>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</si>
  <si>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</si>
  <si>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</si>
  <si>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</si>
  <si>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</si>
  <si>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</si>
  <si>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</si>
  <si>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</si>
  <si>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</si>
  <si>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</si>
  <si>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</si>
  <si>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</si>
  <si>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</si>
  <si>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</si>
  <si>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</si>
  <si>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</si>
  <si>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</si>
  <si>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</si>
  <si>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</si>
  <si>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</si>
  <si>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</si>
  <si>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</si>
  <si>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</si>
  <si>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</si>
  <si>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</si>
  <si>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</si>
  <si>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</si>
  <si>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</si>
  <si>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</si>
  <si>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</si>
  <si>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</si>
  <si>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</si>
  <si>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</si>
  <si>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</si>
  <si>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</si>
  <si>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</si>
  <si>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</si>
  <si>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</si>
  <si>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</si>
  <si>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</si>
  <si>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</si>
  <si>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</si>
  <si>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</si>
  <si>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</si>
  <si>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</si>
  <si>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</si>
  <si>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</si>
  <si>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</si>
  <si>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</si>
  <si>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</si>
  <si>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</si>
  <si>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</si>
  <si>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</si>
  <si>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</si>
  <si>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</si>
  <si>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</si>
  <si>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</si>
  <si>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</si>
  <si>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</si>
  <si>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</si>
  <si>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</si>
  <si>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</si>
  <si>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</si>
  <si>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</si>
  <si>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</si>
  <si>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</si>
  <si>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</si>
  <si>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</si>
  <si>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</si>
  <si>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</si>
  <si>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</si>
  <si>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</si>
  <si>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</si>
  <si>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</si>
  <si>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</si>
  <si>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</si>
  <si>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</si>
  <si>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</si>
  <si>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</si>
  <si>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</si>
  <si>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</si>
  <si>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</si>
  <si>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</si>
  <si>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</si>
  <si>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</si>
  <si>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</si>
  <si>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</si>
  <si>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</si>
  <si>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</si>
  <si>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</si>
  <si>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</si>
  <si>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</si>
  <si>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</si>
  <si>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</si>
  <si>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</si>
  <si>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</si>
  <si>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</si>
  <si>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</si>
  <si>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</si>
  <si>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</si>
  <si>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</si>
  <si>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</si>
  <si>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</si>
  <si>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</si>
  <si>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</si>
  <si>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</si>
  <si>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</si>
  <si>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</si>
  <si>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</si>
  <si>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</si>
  <si>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</si>
  <si>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</si>
  <si>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</si>
  <si>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</si>
  <si>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</si>
  <si>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</si>
  <si>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</si>
  <si>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</si>
  <si>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</si>
  <si>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</si>
  <si>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</si>
  <si>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</si>
  <si>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</si>
  <si>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</si>
  <si>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</si>
  <si>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</si>
  <si>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</si>
  <si>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</si>
  <si>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</si>
  <si>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</si>
  <si>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</si>
  <si>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</si>
  <si>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</si>
  <si>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</si>
  <si>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</si>
  <si>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</si>
  <si>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</si>
  <si>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</si>
  <si>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</si>
  <si>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</si>
  <si>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</si>
  <si>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</si>
  <si>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</si>
  <si>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</si>
  <si>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</si>
  <si>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</si>
  <si>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</si>
  <si>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</si>
  <si>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</si>
  <si>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</si>
  <si>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</si>
  <si>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</si>
  <si>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</si>
  <si>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</si>
  <si>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</si>
  <si>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</si>
  <si>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</si>
  <si>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</si>
  <si>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</si>
  <si>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</si>
  <si>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</si>
  <si>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</si>
  <si>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</si>
  <si>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</si>
  <si>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</si>
  <si>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</si>
  <si>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</si>
  <si>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</si>
  <si>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</si>
  <si>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</si>
  <si>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</si>
  <si>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</si>
  <si>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</si>
  <si>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</si>
  <si>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</si>
  <si>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</si>
  <si>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</si>
  <si>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</si>
  <si>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</si>
  <si>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</si>
  <si>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</si>
  <si>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</si>
  <si>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</si>
  <si>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</si>
  <si>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</si>
  <si>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</si>
  <si>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</si>
  <si>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</si>
  <si>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</si>
  <si>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</si>
  <si>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</si>
  <si>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</si>
  <si>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</si>
  <si>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</si>
  <si>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</si>
  <si>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</si>
  <si>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</si>
  <si>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</si>
  <si>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</si>
  <si>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</si>
  <si>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</si>
  <si>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</si>
  <si>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</si>
  <si>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</si>
  <si>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</si>
  <si>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</si>
  <si>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</si>
  <si>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</si>
  <si>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</si>
  <si>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</si>
  <si>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</si>
  <si>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</si>
  <si>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</si>
  <si>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</si>
  <si>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</si>
  <si>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</si>
  <si>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</si>
  <si>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</si>
  <si>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</si>
  <si>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</si>
  <si>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</si>
  <si>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</si>
  <si>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</si>
  <si>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</si>
  <si>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</si>
  <si>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</si>
  <si>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</si>
  <si>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</si>
  <si>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</si>
  <si>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</si>
  <si>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</si>
  <si>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</si>
  <si>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</si>
  <si>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</si>
  <si>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</si>
  <si>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</si>
  <si>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</si>
  <si>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</si>
  <si>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</si>
  <si>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</si>
  <si>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</si>
  <si>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</si>
  <si>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</si>
  <si>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</si>
  <si>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</si>
  <si>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</si>
  <si>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</si>
  <si>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</si>
  <si>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</si>
  <si>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</si>
  <si>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</si>
  <si>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</si>
  <si>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</si>
  <si>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</si>
  <si>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</si>
  <si>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</si>
  <si>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</si>
  <si>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</si>
  <si>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</si>
  <si>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</si>
  <si>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</si>
  <si>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</si>
  <si>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</si>
  <si>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</si>
  <si>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</si>
  <si>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</si>
  <si>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</si>
  <si>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</si>
  <si>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</si>
  <si>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</si>
  <si>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</si>
  <si>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</si>
  <si>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</si>
  <si>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</si>
  <si>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</si>
  <si>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</si>
  <si>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</si>
  <si>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</si>
  <si>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</si>
  <si>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</si>
  <si>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</si>
  <si>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</si>
  <si>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</si>
  <si>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</si>
  <si>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</si>
  <si>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</si>
  <si>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</si>
  <si>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</si>
  <si>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</si>
  <si>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</si>
  <si>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</si>
  <si>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</si>
  <si>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</si>
  <si>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</si>
  <si>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</si>
  <si>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</si>
  <si>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</si>
  <si>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</si>
  <si>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</si>
  <si>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</si>
  <si>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</si>
  <si>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</si>
  <si>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</si>
  <si>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</si>
  <si>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</si>
  <si>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</si>
  <si>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</si>
  <si>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</si>
  <si>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</si>
  <si>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</si>
  <si>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</si>
  <si>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</si>
  <si>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</si>
  <si>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</si>
  <si>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</si>
  <si>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</si>
  <si>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</si>
  <si>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</si>
  <si>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</si>
  <si>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</si>
  <si>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</si>
  <si>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</si>
  <si>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</si>
  <si>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</si>
  <si>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</si>
  <si>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</si>
  <si>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</si>
  <si>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</si>
  <si>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</si>
  <si>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</si>
  <si>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</si>
  <si>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</si>
  <si>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</si>
  <si>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</si>
  <si>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</si>
  <si>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</si>
  <si>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</si>
  <si>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</si>
  <si>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</si>
  <si>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</si>
  <si>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</si>
  <si>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</si>
  <si>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</si>
  <si>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</si>
  <si>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</si>
  <si>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</si>
  <si>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</si>
  <si>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</si>
  <si>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</si>
  <si>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</si>
  <si>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</si>
  <si>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</si>
  <si>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</si>
  <si>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</si>
  <si>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</si>
  <si>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</si>
  <si>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</si>
  <si>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</si>
  <si>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</si>
  <si>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</si>
  <si>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</si>
  <si>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</si>
  <si>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</si>
  <si>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</si>
  <si>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</si>
  <si>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</si>
  <si>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</si>
  <si>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</si>
  <si>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</si>
  <si>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</si>
  <si>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</si>
  <si>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</si>
  <si>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</si>
  <si>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</si>
  <si>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</si>
  <si>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</si>
  <si>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</si>
  <si>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</si>
  <si>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</si>
  <si>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</si>
  <si>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</si>
  <si>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</si>
  <si>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</si>
  <si>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</si>
  <si>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</si>
  <si>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</si>
  <si>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</si>
  <si>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</si>
  <si>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</si>
  <si>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</si>
  <si>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</si>
  <si>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</si>
  <si>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</si>
  <si>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</si>
  <si>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</si>
  <si>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</si>
  <si>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</si>
  <si>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</si>
  <si>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</si>
  <si>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</si>
  <si>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</si>
  <si>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</si>
  <si>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</si>
  <si>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</si>
  <si>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</si>
  <si>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</si>
  <si>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</si>
  <si>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</si>
  <si>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</si>
  <si>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</si>
  <si>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</si>
  <si>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</si>
  <si>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</si>
  <si>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</si>
  <si>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</si>
  <si>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</si>
  <si>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</si>
  <si>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</si>
  <si>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</si>
  <si>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</si>
  <si>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</si>
  <si>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</si>
  <si>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</si>
  <si>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</si>
  <si>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</si>
  <si>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</si>
  <si>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</si>
  <si>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</si>
  <si>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</si>
  <si>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</si>
  <si>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</si>
  <si>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</si>
  <si>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</si>
  <si>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</si>
  <si>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</si>
  <si>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</si>
  <si>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</si>
  <si>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</si>
  <si>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</si>
  <si>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</si>
  <si>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</si>
  <si>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</si>
  <si>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</si>
  <si>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</si>
  <si>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</si>
  <si>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</si>
  <si>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</si>
  <si>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</si>
  <si>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</si>
  <si>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</si>
  <si>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</si>
  <si>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</si>
  <si>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</si>
  <si>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</si>
  <si>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</si>
  <si>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</si>
  <si>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</si>
  <si>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</si>
  <si>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</si>
  <si>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</si>
  <si>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</si>
  <si>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</si>
  <si>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</si>
  <si>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</si>
  <si>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</si>
  <si>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</si>
  <si>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</si>
  <si>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</si>
  <si>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</si>
  <si>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</si>
  <si>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</si>
  <si>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</si>
  <si>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</si>
  <si>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</si>
  <si>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</si>
  <si>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</si>
  <si>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</si>
  <si>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</si>
  <si>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</si>
  <si>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</si>
  <si>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</si>
  <si>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</si>
  <si>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</si>
  <si>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</si>
  <si>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</si>
  <si>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</si>
  <si>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</si>
  <si>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</si>
  <si>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</si>
  <si>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</si>
  <si>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</si>
  <si>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</si>
  <si>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</si>
  <si>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</si>
  <si>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</si>
  <si>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</si>
  <si>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</si>
  <si>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</si>
  <si>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</si>
  <si>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</si>
  <si>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</si>
  <si>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</si>
  <si>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</si>
  <si>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</si>
  <si>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</si>
  <si>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</si>
  <si>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</si>
  <si>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</si>
  <si>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</si>
  <si>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</si>
  <si>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</si>
  <si>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</si>
  <si>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</si>
  <si>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</si>
  <si>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</si>
  <si>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</si>
  <si>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</si>
  <si>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</si>
  <si>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</si>
  <si>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</si>
  <si>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</si>
  <si>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</si>
  <si>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</si>
  <si>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</si>
  <si>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</si>
  <si>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</si>
  <si>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</si>
  <si>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</si>
  <si>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</si>
  <si>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</si>
  <si>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</si>
  <si>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</si>
  <si>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</si>
  <si>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</si>
  <si>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</si>
  <si>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</si>
  <si>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</si>
  <si>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</si>
  <si>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</si>
  <si>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</si>
  <si>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</si>
  <si>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</si>
  <si>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</si>
  <si>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</si>
  <si>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</si>
  <si>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</si>
  <si>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</si>
  <si>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</si>
  <si>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</si>
  <si>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</si>
  <si>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</si>
  <si>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</si>
  <si>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</si>
  <si>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</si>
  <si>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</si>
  <si>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</si>
  <si>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</si>
  <si>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</si>
  <si>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</si>
  <si>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</si>
  <si>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</si>
  <si>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</si>
  <si>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</si>
  <si>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</si>
  <si>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</si>
  <si>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</si>
  <si>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</si>
  <si>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</si>
  <si>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</si>
  <si>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</si>
  <si>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</si>
  <si>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</si>
  <si>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</si>
  <si>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</si>
  <si>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</si>
  <si>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</si>
  <si>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</si>
  <si>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</si>
  <si>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</si>
  <si>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</si>
  <si>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</si>
  <si>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</si>
  <si>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</si>
  <si>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</si>
  <si>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</si>
  <si>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</si>
  <si>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</si>
  <si>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</si>
  <si>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</si>
  <si>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</si>
  <si>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</si>
  <si>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</si>
  <si>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</si>
  <si>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</si>
  <si>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</si>
  <si>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</si>
  <si>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</si>
  <si>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</si>
  <si>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</si>
  <si>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</si>
  <si>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</si>
  <si>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</si>
  <si>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</si>
  <si>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</si>
  <si>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</si>
  <si>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</si>
  <si>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</si>
  <si>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</si>
  <si>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</si>
  <si>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</si>
  <si>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</si>
  <si>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</si>
  <si>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</si>
  <si>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</si>
  <si>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</si>
  <si>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</si>
  <si>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</si>
  <si>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</si>
  <si>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</si>
  <si>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</si>
  <si>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</si>
  <si>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</si>
  <si>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</si>
  <si>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</si>
  <si>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</si>
  <si>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</si>
  <si>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</si>
  <si>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</si>
  <si>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</si>
  <si>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</si>
  <si>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</si>
  <si>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</si>
  <si>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</si>
  <si>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</si>
  <si>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</si>
  <si>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</si>
  <si>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</si>
  <si>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</si>
  <si>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</si>
  <si>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</si>
  <si>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</si>
  <si>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</si>
  <si>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</si>
  <si>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</si>
  <si>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</si>
  <si>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</si>
  <si>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</si>
  <si>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</si>
  <si>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</si>
  <si>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</si>
  <si>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</si>
  <si>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</si>
  <si>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</si>
  <si>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</si>
  <si>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</si>
  <si>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</si>
  <si>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</si>
  <si>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</si>
  <si>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</si>
  <si>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</si>
  <si>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</si>
  <si>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</si>
  <si>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</si>
  <si>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</si>
  <si>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</si>
  <si>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</si>
  <si>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</si>
  <si>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</si>
  <si>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</si>
  <si>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</si>
  <si>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</si>
  <si>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</si>
  <si>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</si>
  <si>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</si>
  <si>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</si>
  <si>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</si>
  <si>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</si>
  <si>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</si>
  <si>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</si>
  <si>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</si>
  <si>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</si>
  <si>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</si>
  <si>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</si>
  <si>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</si>
  <si>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</si>
  <si>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</si>
  <si>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</si>
  <si>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</si>
  <si>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</si>
  <si>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</si>
  <si>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</si>
  <si>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</si>
  <si>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</si>
  <si>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</si>
  <si>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</si>
  <si>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</si>
  <si>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</si>
  <si>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</si>
  <si>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</si>
  <si>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</si>
  <si>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</si>
  <si>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</si>
  <si>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</si>
  <si>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</si>
  <si>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</si>
  <si>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</si>
  <si>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</si>
  <si>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</si>
  <si>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</si>
  <si>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</si>
  <si>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</si>
  <si>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</si>
  <si>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</si>
  <si>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</si>
  <si>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</si>
  <si>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</si>
  <si>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</si>
  <si>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</si>
  <si>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</si>
  <si>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</si>
  <si>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</si>
  <si>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</si>
  <si>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</si>
  <si>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</si>
  <si>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</si>
  <si>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</si>
  <si>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</si>
  <si>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</si>
  <si>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</si>
  <si>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</si>
  <si>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</si>
  <si>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</si>
  <si>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</si>
  <si>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</si>
  <si>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</si>
  <si>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</si>
  <si>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</si>
  <si>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</si>
  <si>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</si>
  <si>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</si>
  <si>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</si>
  <si>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</si>
  <si>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</si>
  <si>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</si>
  <si>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</si>
  <si>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</si>
  <si>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</si>
  <si>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</si>
  <si>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</si>
  <si>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</si>
  <si>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</si>
  <si>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</si>
  <si>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</si>
  <si>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</si>
  <si>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</si>
  <si>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</si>
  <si>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</si>
  <si>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</si>
  <si>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</si>
  <si>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</si>
  <si>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</si>
  <si>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</si>
  <si>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</si>
  <si>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</si>
  <si>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</si>
  <si>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</si>
  <si>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</si>
  <si>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</si>
  <si>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</si>
  <si>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</si>
  <si>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</si>
  <si>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</si>
  <si>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</si>
  <si>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</si>
  <si>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</si>
  <si>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</si>
  <si>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</si>
  <si>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</si>
  <si>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</si>
  <si>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</si>
  <si>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</si>
  <si>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</si>
  <si>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</si>
  <si>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</si>
  <si>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</si>
  <si>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</si>
  <si>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</si>
  <si>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</si>
  <si>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</si>
  <si>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</si>
  <si>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</si>
  <si>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</si>
  <si>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</si>
  <si>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</si>
  <si>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</si>
  <si>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</si>
  <si>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</si>
  <si>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</si>
  <si>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</si>
  <si>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</si>
  <si>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</si>
  <si>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</si>
  <si>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</si>
  <si>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</si>
  <si>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</si>
  <si>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</si>
  <si>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</si>
  <si>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</si>
  <si>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</si>
  <si>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</si>
  <si>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</si>
  <si>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</si>
  <si>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</si>
  <si>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</si>
  <si>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</si>
  <si>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</si>
  <si>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</si>
  <si>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</si>
  <si>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</si>
  <si>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</si>
  <si>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</si>
  <si>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</si>
  <si>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</si>
  <si>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</si>
  <si>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</si>
  <si>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</si>
  <si>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</si>
  <si>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</si>
  <si>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</si>
  <si>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</si>
  <si>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</si>
  <si>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</si>
  <si>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</si>
  <si>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</si>
  <si>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</si>
  <si>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</si>
  <si>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</si>
  <si>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</si>
  <si>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</si>
  <si>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</si>
  <si>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</si>
  <si>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</si>
  <si>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</si>
  <si>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</si>
  <si>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</si>
  <si>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</si>
  <si>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</si>
  <si>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</si>
  <si>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</si>
  <si>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</si>
  <si>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</si>
  <si>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</si>
  <si>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</si>
  <si>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</si>
  <si>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</si>
  <si>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</si>
  <si>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</si>
  <si>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</si>
  <si>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</si>
  <si>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</si>
  <si>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</si>
  <si>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</si>
  <si>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</si>
  <si>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</si>
  <si>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</si>
  <si>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</si>
  <si>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</si>
  <si>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</si>
  <si>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</si>
  <si>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</si>
  <si>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</si>
  <si>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</si>
  <si>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</si>
  <si>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</si>
  <si>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</si>
  <si>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</si>
  <si>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</si>
  <si>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</si>
  <si>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</si>
  <si>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</si>
  <si>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</si>
  <si>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</si>
  <si>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</si>
  <si>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</si>
  <si>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</si>
  <si>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</si>
  <si>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</si>
  <si>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</si>
  <si>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</si>
  <si>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</si>
  <si>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</si>
  <si>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</si>
  <si>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</si>
  <si>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</si>
  <si>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</si>
  <si>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</si>
  <si>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</si>
  <si>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</si>
  <si>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</si>
  <si>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</si>
  <si>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</si>
  <si>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</si>
  <si>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</si>
  <si>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</si>
  <si>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</si>
  <si>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</si>
  <si>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</si>
  <si>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</si>
  <si>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</si>
  <si>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</si>
  <si>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</si>
  <si>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</si>
  <si>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</si>
  <si>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</si>
  <si>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</si>
  <si>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</si>
  <si>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</si>
  <si>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</si>
  <si>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</si>
  <si>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</si>
  <si>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</si>
  <si>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</si>
  <si>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</si>
  <si>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</si>
  <si>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</si>
  <si>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</si>
  <si>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</si>
  <si>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</si>
  <si>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</si>
  <si>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</si>
  <si>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</si>
  <si>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</si>
  <si>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</si>
  <si>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</si>
  <si>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</si>
  <si>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</si>
  <si>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</si>
  <si>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</si>
  <si>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</si>
  <si>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</si>
  <si>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</si>
  <si>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</si>
  <si>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</si>
  <si>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</si>
  <si>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</si>
  <si>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</si>
  <si>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</si>
  <si>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</si>
  <si>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</si>
  <si>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</si>
  <si>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</si>
  <si>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</si>
  <si>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</si>
  <si>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</si>
  <si>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</si>
  <si>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</si>
  <si>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</si>
  <si>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</si>
  <si>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</si>
  <si>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</si>
  <si>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</si>
  <si>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</si>
  <si>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</si>
  <si>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</si>
  <si>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</si>
  <si>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</si>
  <si>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</si>
  <si>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</si>
  <si>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</si>
  <si>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</si>
  <si>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</si>
  <si>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</si>
  <si>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</si>
  <si>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</si>
  <si>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</si>
  <si>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</si>
  <si>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</si>
  <si>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</si>
  <si>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</si>
  <si>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</si>
  <si>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</si>
  <si>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</si>
  <si>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</si>
  <si>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</si>
  <si>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</si>
  <si>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</si>
  <si>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</si>
  <si>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</si>
  <si>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</si>
  <si>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</si>
  <si>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</si>
  <si>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</si>
  <si>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</si>
  <si>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</si>
  <si>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</si>
  <si>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</si>
  <si>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</si>
  <si>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</si>
  <si>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</si>
  <si>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</si>
  <si>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</si>
  <si>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</si>
  <si>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</si>
  <si>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</si>
  <si>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</si>
  <si>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</si>
  <si>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</si>
  <si>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</si>
  <si>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</si>
  <si>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</si>
  <si>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</si>
  <si>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</si>
  <si>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</si>
  <si>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</si>
  <si>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</si>
  <si>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</si>
  <si>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</si>
  <si>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</si>
  <si>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</si>
  <si>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</si>
  <si>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</si>
  <si>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</si>
  <si>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</si>
  <si>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</si>
  <si>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</si>
  <si>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</si>
  <si>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</si>
  <si>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</si>
  <si>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</si>
  <si>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</si>
  <si>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</si>
  <si>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</si>
  <si>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</si>
  <si>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</si>
  <si>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</si>
  <si>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</si>
  <si>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</si>
  <si>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</si>
  <si>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</si>
  <si>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</si>
  <si>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</si>
  <si>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</si>
  <si>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</si>
  <si>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</si>
  <si>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</si>
  <si>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</si>
  <si>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</si>
  <si>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</si>
  <si>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</si>
  <si>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</si>
  <si>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</si>
  <si>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</si>
  <si>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</si>
  <si>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</si>
  <si>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</si>
  <si>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</si>
  <si>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</si>
  <si>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</si>
  <si>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</si>
  <si>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</si>
  <si>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</si>
  <si>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</si>
  <si>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</si>
  <si>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</si>
  <si>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</si>
  <si>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</si>
  <si>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</si>
  <si>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</si>
  <si>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</si>
  <si>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</si>
  <si>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</si>
  <si>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</si>
  <si>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</si>
  <si>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</si>
  <si>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</si>
  <si>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</si>
  <si>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</si>
  <si>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</si>
  <si>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</si>
  <si>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</si>
  <si>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</si>
  <si>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</si>
  <si>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</si>
  <si>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</si>
  <si>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</si>
  <si>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</si>
  <si>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</si>
  <si>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</si>
  <si>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</si>
  <si>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</si>
  <si>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</si>
  <si>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</si>
  <si>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</si>
  <si>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</si>
  <si>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</si>
  <si>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</si>
  <si>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</si>
  <si>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</si>
  <si>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</si>
  <si>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</si>
  <si>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</si>
  <si>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</si>
  <si>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</si>
  <si>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</si>
  <si>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</si>
  <si>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</si>
  <si>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</si>
  <si>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</si>
  <si>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</si>
  <si>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</si>
  <si>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</si>
  <si>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</si>
  <si>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</si>
  <si>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</si>
  <si>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</si>
  <si>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</si>
  <si>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</si>
  <si>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</si>
  <si>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</si>
  <si>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</si>
  <si>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</si>
  <si>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</si>
  <si>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</si>
  <si>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</si>
  <si>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</si>
  <si>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</si>
  <si>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</si>
  <si>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</si>
  <si>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</si>
  <si>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</si>
  <si>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</si>
  <si>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</si>
  <si>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</si>
  <si>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</si>
  <si>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</si>
  <si>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</si>
  <si>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</si>
  <si>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</si>
  <si>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</si>
  <si>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</si>
  <si>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</si>
  <si>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</si>
  <si>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</si>
  <si>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</si>
  <si>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</si>
  <si>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</si>
  <si>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</si>
  <si>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</si>
  <si>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</si>
  <si>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</si>
  <si>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</si>
  <si>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</si>
  <si>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</si>
  <si>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</si>
  <si>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</si>
  <si>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</si>
  <si>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</si>
  <si>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</si>
  <si>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</si>
  <si>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</si>
  <si>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</si>
  <si>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</si>
  <si>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</si>
  <si>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</si>
  <si>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</si>
  <si>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</si>
  <si>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</si>
  <si>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</si>
  <si>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</si>
  <si>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</si>
  <si>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</si>
  <si>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</si>
  <si>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</si>
  <si>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</si>
  <si>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</si>
  <si>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</si>
  <si>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</si>
  <si>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</si>
  <si>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</si>
  <si>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</si>
  <si>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</si>
  <si>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</si>
  <si>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</si>
  <si>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</si>
  <si>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</si>
  <si>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</si>
  <si>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</si>
  <si>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</si>
  <si>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</si>
  <si>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</si>
  <si>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</si>
  <si>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</si>
  <si>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</si>
  <si>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</si>
  <si>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</si>
  <si>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</si>
  <si>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</si>
  <si>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</si>
  <si>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</si>
  <si>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</si>
  <si>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</si>
  <si>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</si>
  <si>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</si>
  <si>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</si>
  <si>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</si>
  <si>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</si>
  <si>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</si>
  <si>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</si>
  <si>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</si>
  <si>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</si>
  <si>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</si>
  <si>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</si>
  <si>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</si>
  <si>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</si>
  <si>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</si>
  <si>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</si>
  <si>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</si>
  <si>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</si>
  <si>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</si>
  <si>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</si>
  <si>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</si>
  <si>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</si>
  <si>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</si>
  <si>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</si>
  <si>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</si>
  <si>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</si>
  <si>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</si>
  <si>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</si>
  <si>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</si>
  <si>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</si>
  <si>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</si>
  <si>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</si>
  <si>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</si>
  <si>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</si>
  <si>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</si>
  <si>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</si>
  <si>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</si>
  <si>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</si>
  <si>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</si>
  <si>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</si>
  <si>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</si>
  <si>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</si>
  <si>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</si>
  <si>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</si>
  <si>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</si>
  <si>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</si>
  <si>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</si>
  <si>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</si>
  <si>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</si>
  <si>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</si>
  <si>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</si>
  <si>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</si>
  <si>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</si>
  <si>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</si>
  <si>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</si>
  <si>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</si>
  <si>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</si>
  <si>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</si>
  <si>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</si>
  <si>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</si>
  <si>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</si>
  <si>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</si>
  <si>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</si>
  <si>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</si>
  <si>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</si>
  <si>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</si>
  <si>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</si>
  <si>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</si>
  <si>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</si>
  <si>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</si>
  <si>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</si>
  <si>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</si>
  <si>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</si>
  <si>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</si>
  <si>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</si>
  <si>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</si>
  <si>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</si>
  <si>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</si>
  <si>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</si>
  <si>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</si>
  <si>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</si>
  <si>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</si>
  <si>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</si>
  <si>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</si>
  <si>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</si>
  <si>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</si>
  <si>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</si>
  <si>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</si>
  <si>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</si>
  <si>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</si>
  <si>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</si>
  <si>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</si>
  <si>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</si>
  <si>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</si>
  <si>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</si>
  <si>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</si>
  <si>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</si>
  <si>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</si>
  <si>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</si>
  <si>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</si>
  <si>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</si>
  <si>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</si>
  <si>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</si>
  <si>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</si>
  <si>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</si>
  <si>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</si>
  <si>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</si>
  <si>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</si>
  <si>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</si>
  <si>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</si>
  <si>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</si>
  <si>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</si>
  <si>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</si>
  <si>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</si>
  <si>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</si>
  <si>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</si>
  <si>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</si>
  <si>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</si>
  <si>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</si>
  <si>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</si>
  <si>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</si>
  <si>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</si>
  <si>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</si>
  <si>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</si>
  <si>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</si>
  <si>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</si>
  <si>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</si>
  <si>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</si>
  <si>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</si>
  <si>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</si>
  <si>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</si>
  <si>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</si>
  <si>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</si>
  <si>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</si>
  <si>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</si>
  <si>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</si>
  <si>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</si>
  <si>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</si>
  <si>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</si>
  <si>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</si>
  <si>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</si>
  <si>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</si>
  <si>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</si>
  <si>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</si>
  <si>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</si>
  <si>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</si>
  <si>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</si>
  <si>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</si>
  <si>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</si>
  <si>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</si>
  <si>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</si>
  <si>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</si>
  <si>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</si>
  <si>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</si>
  <si>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</si>
  <si>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</si>
  <si>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</si>
  <si>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</si>
  <si>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</si>
  <si>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</si>
  <si>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</si>
  <si>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</si>
  <si>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</si>
  <si>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</si>
  <si>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</si>
  <si>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</si>
  <si>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</si>
  <si>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</si>
  <si>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</si>
  <si>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</si>
  <si>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</si>
  <si>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</si>
  <si>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</si>
  <si>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</si>
  <si>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</si>
  <si>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</si>
  <si>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</si>
  <si>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</si>
  <si>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</si>
  <si>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</si>
  <si>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</si>
  <si>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</si>
  <si>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</si>
  <si>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</si>
  <si>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</si>
  <si>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</si>
  <si>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</si>
  <si>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</si>
  <si>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</si>
  <si>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</si>
  <si>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</si>
  <si>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</si>
  <si>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</si>
  <si>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</si>
  <si>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</si>
  <si>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</si>
  <si>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</si>
  <si>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</si>
  <si>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</si>
  <si>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</si>
  <si>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</si>
  <si>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</si>
  <si>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</si>
  <si>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</si>
  <si>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</si>
  <si>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</si>
  <si>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</si>
  <si>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</si>
  <si>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</si>
  <si>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</si>
  <si>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</si>
  <si>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</si>
  <si>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</si>
  <si>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</si>
  <si>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</si>
  <si>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</si>
  <si>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</si>
  <si>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</si>
  <si>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</si>
  <si>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</si>
  <si>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</si>
  <si>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</si>
  <si>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</si>
  <si>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</si>
  <si>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</si>
  <si>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</si>
  <si>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</si>
  <si>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</si>
  <si>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</si>
  <si>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</si>
  <si>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</si>
  <si>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</si>
  <si>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</si>
  <si>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</si>
  <si>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</si>
  <si>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</si>
  <si>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</si>
  <si>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</si>
  <si>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</si>
  <si>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</si>
  <si>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</si>
  <si>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</si>
  <si>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</si>
  <si>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</si>
  <si>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</si>
  <si>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</si>
  <si>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</si>
  <si>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</si>
  <si>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</si>
  <si>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</si>
  <si>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</si>
  <si>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</si>
  <si>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</si>
  <si>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</si>
  <si>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</si>
  <si>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</si>
  <si>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</si>
  <si>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</si>
  <si>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</si>
  <si>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</si>
  <si>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</si>
  <si>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</si>
  <si>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</si>
  <si>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</si>
  <si>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</si>
  <si>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</si>
  <si>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</si>
  <si>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</si>
  <si>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</si>
  <si>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</si>
  <si>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</si>
  <si>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</si>
  <si>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</si>
  <si>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</si>
  <si>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</si>
  <si>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</si>
  <si>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</si>
  <si>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</si>
  <si>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</si>
  <si>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</si>
  <si>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</si>
  <si>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</si>
  <si>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</si>
  <si>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</si>
  <si>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</si>
  <si>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</si>
  <si>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</si>
  <si>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</si>
  <si>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</si>
  <si>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</si>
  <si>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</si>
  <si>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</si>
  <si>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</si>
  <si>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</si>
  <si>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</si>
  <si>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</si>
  <si>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</si>
  <si>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</si>
  <si>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</si>
  <si>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</si>
  <si>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</si>
  <si>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</si>
  <si>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</si>
  <si>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</si>
  <si>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</si>
  <si>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</si>
  <si>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</si>
  <si>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</si>
  <si>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</si>
  <si>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</si>
  <si>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</si>
  <si>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</si>
  <si>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</si>
  <si>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</si>
  <si>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</si>
  <si>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</si>
  <si>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</si>
  <si>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</si>
  <si>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</si>
  <si>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</si>
  <si>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</si>
  <si>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</si>
  <si>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</si>
  <si>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</si>
  <si>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</si>
  <si>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</si>
  <si>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</si>
  <si>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</si>
  <si>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</si>
  <si>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</si>
  <si>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</si>
  <si>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</si>
  <si>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</si>
  <si>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</si>
  <si>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</si>
  <si>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</si>
  <si>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</si>
  <si>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</si>
  <si>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</si>
  <si>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</si>
  <si>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</si>
  <si>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</si>
  <si>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</si>
  <si>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</si>
  <si>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</si>
  <si>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</si>
  <si>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</si>
  <si>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</si>
  <si>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</si>
  <si>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</si>
  <si>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</si>
  <si>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</si>
  <si>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</si>
  <si>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</si>
  <si>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</si>
  <si>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</si>
  <si>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</si>
  <si>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</si>
  <si>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</si>
  <si>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</si>
  <si>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</si>
  <si>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</si>
  <si>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</si>
  <si>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</si>
  <si>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</si>
  <si>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</si>
  <si>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</si>
  <si>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</si>
  <si>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</si>
  <si>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</si>
  <si>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</si>
  <si>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</si>
  <si>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</si>
  <si>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</si>
  <si>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</si>
  <si>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</si>
  <si>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</si>
  <si>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</si>
  <si>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</si>
  <si>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</si>
  <si>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</si>
  <si>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</si>
  <si>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</si>
  <si>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</si>
  <si>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</si>
  <si>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</si>
  <si>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</si>
  <si>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</si>
  <si>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</si>
  <si>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</si>
  <si>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</si>
  <si>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</si>
  <si>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</si>
  <si>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</si>
  <si>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</si>
  <si>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</si>
  <si>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</si>
  <si>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</si>
  <si>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</si>
  <si>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</si>
  <si>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</si>
  <si>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</si>
  <si>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</si>
  <si>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</si>
  <si>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</si>
  <si>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</si>
  <si>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</si>
  <si>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</si>
  <si>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</si>
  <si>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</si>
  <si>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</si>
  <si>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</si>
  <si>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</si>
  <si>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</si>
  <si>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</si>
  <si>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</si>
  <si>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</si>
  <si>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</si>
  <si>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</si>
  <si>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</si>
  <si>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</si>
  <si>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</si>
  <si>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</si>
  <si>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</si>
  <si>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</si>
  <si>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</si>
  <si>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</si>
  <si>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</si>
  <si>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</si>
  <si>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</si>
  <si>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</si>
  <si>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</si>
  <si>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</si>
  <si>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</si>
  <si>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</si>
  <si>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</si>
  <si>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</si>
  <si>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</si>
  <si>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</si>
  <si>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</si>
  <si>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</si>
  <si>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</si>
  <si>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</si>
  <si>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</si>
  <si>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</si>
  <si>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</si>
  <si>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</si>
  <si>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</si>
  <si>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</si>
  <si>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</si>
  <si>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</si>
  <si>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</si>
  <si>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</si>
  <si>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</si>
  <si>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</si>
  <si>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</si>
  <si>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</si>
  <si>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</si>
  <si>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</si>
  <si>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</si>
  <si>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Elvis Aaron Teixeira dos Santos Lima</t>
  </si>
  <si>
    <t>Tarsila Firmino Ely; Sara Cristina Lins Ramos; Carina de Souza Mariuba Herthel; Elvis Aaron Teixeira dos Santos Lima</t>
  </si>
  <si>
    <t>2026-065</t>
  </si>
  <si>
    <t>Elvis Aaron Teixeira dos Santos de 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</si>
</sst>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zoomScaleNormal="100" workbookViewId="0">
      <pane ySplit="1" topLeftCell="A711" activePane="bottomLeft" state="frozen"/>
      <selection pane="bottomLeft" activeCell="E725" sqref="E725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>2026-065</v>
      </c>
      <c r="B722" s="69">
        <v>2026</v>
      </c>
      <c r="C722" s="234" t="s">
        <v>2102</v>
      </c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>
        <f>IF(B722="","",SUM(O722:Q722))</f>
        <v>0</v>
      </c>
      <c r="S722" s="236">
        <v>20</v>
      </c>
      <c r="T722" s="244" t="s">
        <v>2415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opLeftCell="A69" workbookViewId="0">
      <selection activeCell="B97" sqref="B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  <row r="94" spans="1:4" x14ac:dyDescent="0.25">
      <c r="A94">
        <v>92</v>
      </c>
      <c r="B94" t="s">
        <v>2412</v>
      </c>
      <c r="D94" t="s">
        <v>2202</v>
      </c>
    </row>
    <row r="95" spans="1:4" x14ac:dyDescent="0.25">
      <c r="A95">
        <v>93</v>
      </c>
      <c r="B95" t="s">
        <v>2413</v>
      </c>
      <c r="D95" t="s">
        <v>2202</v>
      </c>
    </row>
    <row r="96" spans="1:4" x14ac:dyDescent="0.25">
      <c r="A96">
        <v>94</v>
      </c>
      <c r="B96" t="s">
        <v>2414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C1" workbookViewId="0">
      <pane ySplit="1" topLeftCell="A33" activePane="bottomLeft" state="frozen"/>
      <selection pane="bottomLeft" activeCell="V62" sqref="V6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X57" t="s">
        <v>2416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  <c r="X58" t="s">
        <v>2416</v>
      </c>
      <c r="Y58" s="338" t="s">
        <v>2417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65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24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14</v>
      </c>
      <c r="D33" s="115">
        <f t="shared" ref="D33:D44" si="0">B33+C33</f>
        <v>21</v>
      </c>
      <c r="E33" s="116">
        <f t="shared" ref="E33:E44" si="1">D33/$D$45</f>
        <v>0.35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0.05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3.3333333333333333E-2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3.3333333333333333E-2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0.21666666666666667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6.6666666666666666E-2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0.11666666666666667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3.3333333333333333E-2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24</v>
      </c>
      <c r="D45" s="119">
        <f>SUM(D33:D44)</f>
        <v>60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44" activePane="bottomLeft" state="frozen"/>
      <selection pane="bottomLeft" activeCell="C30" sqref="C3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2026-07-24T17:59:02Z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