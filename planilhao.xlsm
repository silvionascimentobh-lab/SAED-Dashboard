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743" documentId="8_{454372C2-A99E-4E47-A759-72B38925853E}" xr6:coauthVersionLast="47" xr6:coauthVersionMax="47" xr10:uidLastSave="{FE1F06D9-F53C-4EE2-A417-CD55405F9BB1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0" i="3" l="1"/>
  <c r="A710" i="3"/>
  <c r="A721" i="3"/>
  <c r="A684" i="3"/>
  <c r="A2" i="3"/>
  <c r="R723" i="3"/>
  <c r="R706" i="3"/>
  <c r="A714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AE33" i="20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0" i="3"/>
  <c r="A719" i="3"/>
  <c r="A718" i="3"/>
  <c r="A717" i="3"/>
  <c r="A716" i="3"/>
  <c r="A715" i="3"/>
  <c r="A713" i="3"/>
  <c r="A712" i="3"/>
  <c r="A711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l="1"/>
  <c r="T4" i="20" l="1" a="1"/>
  <c r="T4" i="20" s="1"/>
  <c r="A2" i="20" l="1" a="1"/>
  <c r="E105" i="23" l="1"/>
  <c r="A5" i="23" a="1"/>
  <c r="A2" i="20"/>
  <c r="B54" i="23" l="1"/>
  <c r="D14" i="23"/>
  <c r="D36" i="23"/>
  <c r="F32" i="23"/>
  <c r="E45" i="23"/>
  <c r="D47" i="23"/>
  <c r="B13" i="23"/>
  <c r="C46" i="23"/>
  <c r="B17" i="23"/>
  <c r="D12" i="23"/>
  <c r="E42" i="23"/>
  <c r="B24" i="23"/>
  <c r="E25" i="23"/>
  <c r="F23" i="23"/>
  <c r="E22" i="23"/>
  <c r="E38" i="23"/>
  <c r="F44" i="23"/>
  <c r="C26" i="23"/>
  <c r="B42" i="23"/>
  <c r="B46" i="23"/>
  <c r="E8" i="23"/>
  <c r="C40" i="23"/>
  <c r="D41" i="23"/>
  <c r="D53" i="23"/>
  <c r="C19" i="23"/>
  <c r="B10" i="23"/>
  <c r="B29" i="23"/>
  <c r="B45" i="23"/>
  <c r="B27" i="23"/>
  <c r="C36" i="23"/>
  <c r="F6" i="23"/>
  <c r="B50" i="23"/>
  <c r="C21" i="23"/>
  <c r="B21" i="23"/>
  <c r="C20" i="23"/>
  <c r="C52" i="23"/>
  <c r="B25" i="23"/>
  <c r="F7" i="23"/>
  <c r="D40" i="23"/>
  <c r="F46" i="23"/>
  <c r="B37" i="23"/>
  <c r="F52" i="23"/>
  <c r="C7" i="23"/>
  <c r="F15" i="23"/>
  <c r="D26" i="23"/>
  <c r="C37" i="23"/>
  <c r="E50" i="23"/>
  <c r="E37" i="23"/>
  <c r="B32" i="23"/>
  <c r="D37" i="23"/>
  <c r="E35" i="23"/>
  <c r="C22" i="23"/>
  <c r="F42" i="23"/>
  <c r="F34" i="23"/>
  <c r="C16" i="23"/>
  <c r="D38" i="23"/>
  <c r="C47" i="23"/>
  <c r="C17" i="23"/>
  <c r="B15" i="23"/>
  <c r="E53" i="23"/>
  <c r="F22" i="23"/>
  <c r="D7" i="23"/>
  <c r="B30" i="23"/>
  <c r="D48" i="23"/>
  <c r="D30" i="23"/>
  <c r="B43" i="23"/>
  <c r="E46" i="23"/>
  <c r="F9" i="23"/>
  <c r="C49" i="23"/>
  <c r="D11" i="23"/>
  <c r="B28" i="23"/>
  <c r="D50" i="23"/>
  <c r="D49" i="23"/>
  <c r="D54" i="23"/>
  <c r="F24" i="23"/>
  <c r="E21" i="23"/>
  <c r="C11" i="23"/>
  <c r="E11" i="23"/>
  <c r="C25" i="23"/>
  <c r="C43" i="23"/>
  <c r="C41" i="23"/>
  <c r="F33" i="23"/>
  <c r="F27" i="23"/>
  <c r="D15" i="23"/>
  <c r="E18" i="23"/>
  <c r="E44" i="23"/>
  <c r="C28" i="23"/>
  <c r="B33" i="23"/>
  <c r="C15" i="23"/>
  <c r="E39" i="23"/>
  <c r="B14" i="23"/>
  <c r="F12" i="23"/>
  <c r="C42" i="23"/>
  <c r="F13" i="23"/>
  <c r="D25" i="23"/>
  <c r="B52" i="23"/>
  <c r="E20" i="23"/>
  <c r="F11" i="23"/>
  <c r="F18" i="23"/>
  <c r="D27" i="23"/>
  <c r="D52" i="23"/>
  <c r="F37" i="23"/>
  <c r="B40" i="23"/>
  <c r="D28" i="23"/>
  <c r="B18" i="23"/>
  <c r="F47" i="23"/>
  <c r="D31" i="23"/>
  <c r="B51" i="23"/>
  <c r="E17" i="23"/>
  <c r="F45" i="23"/>
  <c r="F38" i="23"/>
  <c r="C30" i="23"/>
  <c r="B49" i="23"/>
  <c r="F20" i="23"/>
  <c r="C54" i="23"/>
  <c r="B36" i="23"/>
  <c r="D10" i="23"/>
  <c r="D39" i="23"/>
  <c r="D13" i="23"/>
  <c r="E33" i="23"/>
  <c r="F14" i="23"/>
  <c r="C50" i="23"/>
  <c r="D43" i="23"/>
  <c r="F8" i="23"/>
  <c r="E32" i="23"/>
  <c r="C14" i="23"/>
  <c r="F17" i="23"/>
  <c r="D8" i="23"/>
  <c r="F48" i="23"/>
  <c r="C24" i="23"/>
  <c r="E13" i="23"/>
  <c r="E15" i="23"/>
  <c r="D44" i="23"/>
  <c r="E43" i="23"/>
  <c r="D51" i="23"/>
  <c r="F40" i="23"/>
  <c r="B41" i="23"/>
  <c r="B26" i="23"/>
  <c r="E19" i="23"/>
  <c r="E49" i="23"/>
  <c r="C10" i="23"/>
  <c r="F30" i="23"/>
  <c r="E27" i="23"/>
  <c r="B35" i="23"/>
  <c r="E16" i="23"/>
  <c r="E41" i="23"/>
  <c r="C12" i="23"/>
  <c r="C38" i="23"/>
  <c r="B12" i="23"/>
  <c r="F43" i="23"/>
  <c r="F49" i="23"/>
  <c r="B8" i="23"/>
  <c r="F39" i="23"/>
  <c r="E29" i="23"/>
  <c r="F25" i="23"/>
  <c r="C53" i="23"/>
  <c r="E36" i="23"/>
  <c r="E34" i="23"/>
  <c r="E12" i="23"/>
  <c r="B20" i="23"/>
  <c r="E26" i="23"/>
  <c r="D42" i="23"/>
  <c r="B34" i="23"/>
  <c r="C6" i="23"/>
  <c r="D18" i="23"/>
  <c r="C27" i="23"/>
  <c r="D34" i="23"/>
  <c r="B11" i="23"/>
  <c r="C51" i="23"/>
  <c r="E52" i="23"/>
  <c r="E47" i="23"/>
  <c r="C33" i="23"/>
  <c r="C44" i="23"/>
  <c r="D45" i="23"/>
  <c r="E14" i="23"/>
  <c r="F51" i="23"/>
  <c r="B48" i="23"/>
  <c r="D29" i="23"/>
  <c r="C32" i="23"/>
  <c r="C9" i="23"/>
  <c r="E51" i="23"/>
  <c r="E10" i="23"/>
  <c r="E54" i="23"/>
  <c r="F54" i="23"/>
  <c r="D19" i="23"/>
  <c r="D33" i="23"/>
  <c r="B19" i="23"/>
  <c r="C29" i="23"/>
  <c r="B44" i="23"/>
  <c r="F35" i="23"/>
  <c r="F50" i="23"/>
  <c r="C13" i="23"/>
  <c r="E30" i="23"/>
  <c r="C23" i="23"/>
  <c r="D9" i="23"/>
  <c r="D35" i="23"/>
  <c r="E24" i="23"/>
  <c r="B23" i="23"/>
  <c r="B16" i="23"/>
  <c r="E7" i="23"/>
  <c r="D24" i="23"/>
  <c r="F16" i="23"/>
  <c r="C35" i="23"/>
  <c r="B47" i="23"/>
  <c r="D16" i="23"/>
  <c r="C45" i="23"/>
  <c r="D46" i="23"/>
  <c r="B53" i="23"/>
  <c r="F10" i="23"/>
  <c r="B39" i="23"/>
  <c r="D6" i="23"/>
  <c r="E40" i="23"/>
  <c r="F28" i="23"/>
  <c r="B9" i="23"/>
  <c r="C18" i="23"/>
  <c r="C31" i="23"/>
  <c r="F31" i="23"/>
  <c r="B6" i="23"/>
  <c r="C48" i="23"/>
  <c r="D21" i="23"/>
  <c r="F36" i="23"/>
  <c r="D20" i="23"/>
  <c r="B31" i="23"/>
  <c r="C39" i="23"/>
  <c r="C34" i="23"/>
  <c r="F21" i="23"/>
  <c r="E28" i="23"/>
  <c r="F41" i="23"/>
  <c r="B22" i="23"/>
  <c r="F26" i="23"/>
  <c r="E6" i="23"/>
  <c r="E23" i="23"/>
  <c r="D17" i="23"/>
  <c r="F53" i="23"/>
  <c r="F19" i="23"/>
  <c r="C8" i="23"/>
  <c r="B7" i="23"/>
  <c r="D32" i="23"/>
  <c r="D22" i="23"/>
  <c r="E31" i="23"/>
  <c r="B38" i="23"/>
  <c r="D23" i="23"/>
  <c r="E48" i="23"/>
  <c r="E9" i="23"/>
  <c r="F29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<sst xmlns="http://schemas.openxmlformats.org/spreadsheetml/2006/main" count="6284" uniqueCount="2420">
  <si>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</si>
  <si>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</si>
  <si>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</si>
  <si>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</si>
  <si>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</si>
  <si>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</si>
  <si>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</si>
  <si>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</si>
  <si>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</si>
  <si>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</si>
  <si>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</si>
  <si>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</si>
  <si>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</si>
  <si>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</si>
  <si>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</si>
  <si>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</si>
  <si>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</si>
  <si>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</si>
  <si>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</si>
  <si>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</si>
  <si>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</si>
  <si>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</si>
  <si>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</si>
  <si>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</si>
  <si>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</si>
  <si>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</si>
  <si>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</si>
  <si>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</si>
  <si>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</si>
  <si>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</si>
  <si>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</si>
  <si>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</si>
  <si>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</si>
  <si>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</si>
  <si>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</si>
  <si>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</si>
  <si>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</si>
  <si>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</si>
  <si>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</si>
  <si>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</si>
  <si>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</si>
  <si>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</si>
  <si>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</si>
  <si>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</si>
  <si>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</si>
  <si>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</si>
  <si>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</si>
  <si>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</si>
  <si>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</si>
  <si>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</si>
  <si>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</si>
  <si>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</si>
  <si>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</si>
  <si>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</si>
  <si>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</si>
  <si>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</si>
  <si>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</si>
  <si>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</si>
  <si>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</si>
  <si>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</si>
  <si>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</si>
  <si>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</si>
  <si>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</si>
  <si>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</si>
  <si>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</si>
  <si>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</si>
  <si>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</si>
  <si>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</si>
  <si>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</si>
  <si>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</si>
  <si>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</si>
  <si>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</si>
  <si>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</si>
  <si>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</si>
  <si>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</si>
  <si>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</si>
  <si>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</si>
  <si>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</si>
  <si>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</si>
  <si>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</si>
  <si>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</si>
  <si>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</si>
  <si>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</si>
  <si>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</si>
  <si>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</si>
  <si>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</si>
  <si>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</si>
  <si>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</si>
  <si>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</si>
  <si>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</si>
  <si>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</si>
  <si>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</si>
  <si>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</si>
  <si>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</si>
  <si>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</si>
  <si>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</si>
  <si>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</si>
  <si>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</si>
  <si>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</si>
  <si>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</si>
  <si>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</si>
  <si>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</si>
  <si>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</si>
  <si>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</si>
  <si>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</si>
  <si>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</si>
  <si>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</si>
  <si>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</si>
  <si>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</si>
  <si>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</si>
  <si>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</si>
  <si>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</si>
  <si>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</si>
  <si>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</si>
  <si>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</si>
  <si>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</si>
  <si>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</si>
  <si>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</si>
  <si>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</si>
  <si>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</si>
  <si>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</si>
  <si>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</si>
  <si>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</si>
  <si>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</si>
  <si>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</si>
  <si>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</si>
  <si>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</si>
  <si>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</si>
  <si>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</si>
  <si>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</si>
  <si>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</si>
  <si>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</si>
  <si>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</si>
  <si>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</si>
  <si>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</si>
  <si>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</si>
  <si>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</si>
  <si>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</si>
  <si>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</si>
  <si>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</si>
  <si>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</si>
  <si>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</si>
  <si>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</si>
  <si>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</si>
  <si>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</si>
  <si>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</si>
  <si>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</si>
  <si>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</si>
  <si>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</si>
  <si>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</si>
  <si>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</si>
  <si>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</si>
  <si>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</si>
  <si>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</si>
  <si>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</si>
  <si>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</si>
  <si>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</si>
  <si>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</si>
  <si>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</si>
  <si>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</si>
  <si>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</si>
  <si>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</si>
  <si>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</si>
  <si>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</si>
  <si>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</si>
  <si>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</si>
  <si>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</si>
  <si>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</si>
  <si>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</si>
  <si>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</si>
  <si>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</si>
  <si>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</si>
  <si>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</si>
  <si>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</si>
  <si>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</si>
  <si>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</si>
  <si>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</si>
  <si>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</si>
  <si>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</si>
  <si>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</si>
  <si>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</si>
  <si>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</si>
  <si>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</si>
  <si>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</si>
  <si>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</si>
  <si>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</si>
  <si>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</si>
  <si>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</si>
  <si>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</si>
  <si>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</si>
  <si>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</si>
  <si>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</si>
  <si>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</si>
  <si>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</si>
  <si>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</si>
  <si>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</si>
  <si>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</si>
  <si>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</si>
  <si>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</si>
  <si>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</si>
  <si>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</si>
  <si>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</si>
  <si>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</si>
  <si>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</si>
  <si>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</si>
  <si>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</si>
  <si>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</si>
  <si>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</si>
  <si>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</si>
  <si>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</si>
  <si>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</si>
  <si>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</si>
  <si>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</si>
  <si>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</si>
  <si>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</si>
  <si>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</si>
  <si>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</si>
  <si>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</si>
  <si>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</si>
  <si>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</si>
  <si>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</si>
  <si>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</si>
  <si>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</si>
  <si>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</si>
  <si>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</si>
  <si>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</si>
  <si>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</si>
  <si>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</si>
  <si>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</si>
  <si>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</si>
  <si>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</si>
  <si>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</si>
  <si>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</si>
  <si>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</si>
  <si>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</si>
  <si>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</si>
  <si>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</si>
  <si>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</si>
  <si>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</si>
  <si>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</si>
  <si>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</si>
  <si>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</si>
  <si>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</si>
  <si>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</si>
  <si>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</si>
  <si>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</si>
  <si>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</si>
  <si>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</si>
  <si>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</si>
  <si>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</si>
  <si>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</si>
  <si>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</si>
  <si>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</si>
  <si>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</si>
  <si>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</si>
  <si>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</si>
  <si>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</si>
  <si>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</si>
  <si>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</si>
  <si>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</si>
  <si>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</si>
  <si>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</si>
  <si>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</si>
  <si>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</si>
  <si>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</si>
  <si>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</si>
  <si>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</si>
  <si>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</si>
  <si>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</si>
  <si>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</si>
  <si>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</si>
  <si>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</si>
  <si>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</si>
  <si>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</si>
  <si>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</si>
  <si>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</si>
  <si>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</si>
  <si>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</si>
  <si>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</si>
  <si>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</si>
  <si>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</si>
  <si>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</si>
  <si>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</si>
  <si>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</si>
  <si>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</si>
  <si>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</si>
  <si>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</si>
  <si>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</si>
  <si>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</si>
  <si>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</si>
  <si>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</si>
  <si>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</si>
  <si>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</si>
  <si>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</si>
  <si>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</si>
  <si>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</si>
  <si>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</si>
  <si>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</si>
  <si>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</si>
  <si>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</si>
  <si>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</si>
  <si>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</si>
  <si>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</si>
  <si>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</si>
  <si>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</si>
  <si>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</si>
  <si>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</si>
  <si>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</si>
  <si>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</si>
  <si>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</si>
  <si>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</si>
  <si>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</si>
  <si>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</si>
  <si>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</si>
  <si>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</si>
  <si>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</si>
  <si>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</si>
  <si>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</si>
  <si>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</si>
  <si>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</si>
  <si>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</si>
  <si>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</si>
  <si>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</si>
  <si>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</si>
  <si>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</si>
  <si>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</si>
  <si>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</si>
  <si>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</si>
  <si>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</si>
  <si>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</si>
  <si>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</si>
  <si>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</si>
  <si>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</si>
  <si>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</si>
  <si>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</si>
  <si>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</si>
  <si>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</si>
  <si>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</si>
  <si>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</si>
  <si>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</si>
  <si>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</si>
  <si>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</si>
  <si>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</si>
  <si>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</si>
  <si>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</si>
  <si>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</si>
  <si>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</si>
  <si>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</si>
  <si>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</si>
  <si>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</si>
  <si>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</si>
  <si>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</si>
  <si>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</si>
  <si>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</si>
  <si>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</si>
  <si>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</si>
  <si>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</si>
  <si>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</si>
  <si>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</si>
  <si>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</si>
  <si>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</si>
  <si>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</si>
  <si>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</si>
  <si>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</si>
  <si>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</si>
  <si>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</si>
  <si>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</si>
  <si>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</si>
  <si>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</si>
  <si>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</si>
  <si>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</si>
  <si>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</si>
  <si>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</si>
  <si>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</si>
  <si>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</si>
  <si>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</si>
  <si>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</si>
  <si>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</si>
  <si>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</si>
  <si>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</si>
  <si>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</si>
  <si>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</si>
  <si>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</si>
  <si>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</si>
  <si>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</si>
  <si>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</si>
  <si>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</si>
  <si>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</si>
  <si>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</si>
  <si>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</si>
  <si>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</si>
  <si>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</si>
  <si>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</si>
  <si>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</si>
  <si>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</si>
  <si>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</si>
  <si>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</si>
  <si>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</si>
  <si>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</si>
  <si>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</si>
  <si>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</si>
  <si>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</si>
  <si>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</si>
  <si>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</si>
  <si>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</si>
  <si>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</si>
  <si>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</si>
  <si>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</si>
  <si>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</si>
  <si>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</si>
  <si>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</si>
  <si>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</si>
  <si>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</si>
  <si>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</si>
  <si>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</si>
  <si>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</si>
  <si>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</si>
  <si>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</si>
  <si>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</si>
  <si>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</si>
  <si>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</si>
  <si>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</si>
  <si>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</si>
  <si>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</si>
  <si>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</si>
  <si>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</si>
  <si>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</si>
  <si>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</si>
  <si>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</si>
  <si>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</si>
  <si>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</si>
  <si>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</si>
  <si>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</si>
  <si>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</si>
  <si>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</si>
  <si>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</si>
  <si>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</si>
  <si>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</si>
  <si>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</si>
  <si>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</si>
  <si>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</si>
  <si>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</si>
  <si>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</si>
  <si>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</si>
  <si>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</si>
  <si>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</si>
  <si>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</si>
  <si>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</si>
  <si>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</si>
  <si>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</si>
  <si>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</si>
  <si>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</si>
  <si>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</si>
  <si>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</si>
  <si>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</si>
  <si>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</si>
  <si>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</si>
  <si>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</si>
  <si>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</si>
  <si>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</si>
  <si>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</si>
  <si>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</si>
  <si>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</si>
  <si>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</si>
  <si>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</si>
  <si>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</si>
  <si>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</si>
  <si>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</si>
  <si>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</si>
  <si>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</si>
  <si>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</si>
  <si>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</si>
  <si>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</si>
  <si>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</si>
  <si>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</si>
  <si>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</si>
  <si>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</si>
  <si>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</si>
  <si>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</si>
  <si>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</si>
  <si>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</si>
  <si>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</si>
  <si>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</si>
  <si>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</si>
  <si>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</si>
  <si>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</si>
  <si>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</si>
  <si>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</si>
  <si>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</si>
  <si>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</si>
  <si>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</si>
  <si>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</si>
  <si>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</si>
  <si>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</si>
  <si>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</si>
  <si>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</si>
  <si>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</si>
  <si>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</si>
  <si>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</si>
  <si>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</si>
  <si>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</si>
  <si>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</si>
  <si>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</si>
  <si>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</si>
  <si>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</si>
  <si>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</si>
  <si>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</si>
  <si>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</si>
  <si>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</si>
  <si>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</si>
  <si>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</si>
  <si>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</si>
  <si>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</si>
  <si>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</si>
  <si>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</si>
  <si>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</si>
  <si>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</si>
  <si>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</si>
  <si>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</si>
  <si>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</si>
  <si>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</si>
  <si>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</si>
  <si>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</si>
  <si>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</si>
  <si>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</si>
  <si>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</si>
  <si>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</si>
  <si>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</si>
  <si>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</si>
  <si>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</si>
  <si>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</si>
  <si>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</si>
  <si>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</si>
  <si>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</si>
  <si>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</si>
  <si>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</si>
  <si>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</si>
  <si>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</si>
  <si>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</si>
  <si>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</si>
  <si>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</si>
  <si>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</si>
  <si>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</si>
  <si>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</si>
  <si>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</si>
  <si>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</si>
  <si>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</si>
  <si>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</si>
  <si>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</si>
  <si>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</si>
  <si>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</si>
  <si>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</si>
  <si>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</si>
  <si>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</si>
  <si>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</si>
  <si>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</si>
  <si>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</si>
  <si>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</si>
  <si>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</si>
  <si>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</si>
  <si>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</si>
  <si>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</si>
  <si>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</si>
  <si>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</si>
  <si>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</si>
  <si>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</si>
  <si>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</si>
  <si>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</si>
  <si>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</si>
  <si>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</si>
  <si>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</si>
  <si>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</si>
  <si>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</si>
  <si>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</si>
  <si>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</si>
  <si>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</si>
  <si>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</si>
  <si>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</si>
  <si>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</si>
  <si>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</si>
  <si>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</si>
  <si>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</si>
  <si>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</si>
  <si>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</si>
  <si>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</si>
  <si>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</si>
  <si>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</si>
  <si>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</si>
  <si>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</si>
  <si>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</si>
  <si>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</si>
  <si>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</si>
  <si>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</si>
  <si>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</si>
  <si>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</si>
  <si>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</si>
  <si>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</si>
  <si>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</si>
  <si>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</si>
  <si>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</si>
  <si>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</si>
  <si>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</si>
  <si>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</si>
  <si>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</si>
  <si>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</si>
  <si>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</si>
  <si>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</si>
  <si>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</si>
  <si>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</si>
  <si>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</si>
  <si>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</si>
  <si>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</si>
  <si>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</si>
  <si>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</si>
  <si>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</si>
  <si>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</si>
  <si>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</si>
  <si>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</si>
  <si>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</si>
  <si>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</si>
  <si>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</si>
  <si>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</si>
  <si>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</si>
  <si>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</si>
  <si>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</si>
  <si>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</si>
  <si>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</si>
  <si>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</si>
  <si>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</si>
  <si>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</si>
  <si>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</si>
  <si>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</si>
  <si>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</si>
  <si>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</si>
  <si>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</si>
  <si>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</si>
  <si>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</si>
  <si>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</si>
  <si>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</si>
  <si>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</si>
  <si>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</si>
  <si>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</si>
  <si>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</si>
  <si>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</si>
  <si>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</si>
  <si>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</si>
  <si>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</si>
  <si>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</si>
  <si>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</si>
  <si>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</si>
  <si>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</si>
  <si>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</si>
  <si>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</si>
  <si>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</si>
  <si>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</si>
  <si>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</si>
  <si>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</si>
  <si>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</si>
  <si>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</si>
  <si>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</si>
  <si>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</si>
  <si>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</si>
  <si>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</si>
  <si>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</si>
  <si>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</si>
  <si>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</si>
  <si>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</si>
  <si>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</si>
  <si>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</si>
  <si>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</si>
  <si>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</si>
  <si>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</si>
  <si>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</si>
  <si>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</si>
  <si>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</si>
  <si>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</si>
  <si>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</si>
  <si>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</si>
  <si>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</si>
  <si>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</si>
  <si>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</si>
  <si>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</si>
  <si>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</si>
  <si>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</si>
  <si>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</si>
  <si>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</si>
  <si>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</si>
  <si>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</si>
  <si>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</si>
  <si>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</si>
  <si>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</si>
  <si>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</si>
  <si>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</si>
  <si>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</si>
  <si>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</si>
  <si>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</si>
  <si>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</si>
  <si>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</si>
  <si>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</si>
  <si>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</si>
  <si>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</si>
  <si>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</si>
  <si>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</si>
  <si>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</si>
  <si>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</si>
  <si>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</si>
  <si>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</si>
  <si>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</si>
  <si>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</si>
  <si>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</si>
  <si>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</si>
  <si>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</si>
  <si>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</si>
  <si>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</si>
  <si>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</si>
  <si>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</si>
  <si>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</si>
  <si>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</si>
  <si>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</si>
  <si>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</si>
  <si>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</si>
  <si>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</si>
  <si>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</si>
  <si>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</si>
  <si>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</si>
  <si>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</si>
  <si>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</si>
  <si>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</si>
  <si>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</si>
  <si>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</si>
  <si>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</si>
  <si>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</si>
  <si>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</si>
  <si>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</si>
  <si>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</si>
  <si>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</si>
  <si>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</si>
  <si>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</si>
  <si>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</si>
  <si>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</si>
  <si>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</si>
  <si>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</si>
  <si>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</si>
  <si>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</si>
  <si>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</si>
  <si>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</si>
  <si>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</si>
  <si>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</si>
  <si>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</si>
  <si>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</si>
  <si>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</si>
  <si>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</si>
  <si>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</si>
  <si>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</si>
  <si>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</si>
  <si>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</si>
  <si>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</si>
  <si>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</si>
  <si>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</si>
  <si>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</si>
  <si>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</si>
  <si>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</si>
  <si>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</si>
  <si>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</si>
  <si>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</si>
  <si>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</si>
  <si>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</si>
  <si>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</si>
  <si>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</si>
  <si>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</si>
  <si>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</si>
  <si>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</si>
  <si>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</si>
  <si>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</si>
  <si>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</si>
  <si>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</si>
  <si>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</si>
  <si>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</si>
  <si>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</si>
  <si>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</si>
  <si>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</si>
  <si>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</si>
  <si>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</si>
  <si>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</si>
  <si>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</si>
  <si>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</si>
  <si>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</si>
  <si>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</si>
  <si>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</si>
  <si>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</si>
  <si>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</si>
  <si>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</si>
  <si>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</si>
  <si>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</si>
  <si>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</si>
  <si>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</si>
  <si>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</si>
  <si>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</si>
  <si>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</si>
  <si>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</si>
  <si>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</si>
  <si>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</si>
  <si>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</si>
  <si>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</si>
  <si>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</si>
  <si>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</si>
  <si>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</si>
  <si>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</si>
  <si>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</si>
  <si>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</si>
  <si>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</si>
  <si>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</si>
  <si>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</si>
  <si>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</si>
  <si>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</si>
  <si>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</si>
  <si>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</si>
  <si>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</si>
  <si>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</si>
  <si>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</si>
  <si>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</si>
  <si>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</si>
  <si>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</si>
  <si>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</si>
  <si>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</si>
  <si>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</si>
  <si>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</si>
  <si>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</si>
  <si>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</si>
  <si>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</si>
  <si>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</si>
  <si>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</si>
  <si>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</si>
  <si>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</si>
  <si>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</si>
  <si>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</si>
  <si>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</si>
  <si>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</si>
  <si>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</si>
  <si>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</si>
  <si>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</si>
  <si>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</si>
  <si>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</si>
  <si>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</si>
  <si>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</si>
  <si>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</si>
  <si>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</si>
  <si>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</si>
  <si>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</si>
  <si>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</si>
  <si>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</si>
  <si>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</si>
  <si>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</si>
  <si>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</si>
  <si>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</si>
  <si>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</si>
  <si>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</si>
  <si>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</si>
  <si>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</si>
  <si>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</si>
  <si>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</si>
  <si>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</si>
  <si>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</si>
  <si>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</si>
  <si>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</si>
  <si>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</si>
  <si>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</si>
  <si>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</si>
  <si>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</si>
  <si>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</si>
  <si>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</si>
  <si>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</si>
  <si>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</si>
  <si>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</si>
  <si>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</si>
  <si>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</si>
  <si>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</si>
  <si>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</si>
  <si>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</si>
  <si>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</si>
  <si>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</si>
  <si>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</si>
  <si>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</si>
  <si>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</si>
  <si>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</si>
  <si>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</si>
  <si>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</si>
  <si>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</si>
  <si>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</si>
  <si>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</si>
  <si>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</si>
  <si>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</si>
  <si>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</si>
  <si>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</si>
  <si>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</si>
  <si>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</si>
  <si>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</si>
  <si>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</si>
  <si>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</si>
  <si>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</si>
  <si>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</si>
  <si>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</si>
  <si>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</si>
  <si>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</si>
  <si>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</si>
  <si>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</si>
  <si>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</si>
  <si>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</si>
  <si>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</si>
  <si>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</si>
  <si>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</si>
  <si>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</si>
  <si>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</si>
  <si>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</si>
  <si>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</si>
  <si>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</si>
  <si>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</si>
  <si>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</si>
  <si>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</si>
  <si>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</si>
  <si>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</si>
  <si>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</si>
  <si>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</si>
  <si>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</si>
  <si>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</si>
  <si>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</si>
  <si>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</si>
  <si>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</si>
  <si>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</si>
  <si>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</si>
  <si>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</si>
  <si>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</si>
  <si>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</si>
  <si>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</si>
  <si>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</si>
  <si>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</si>
  <si>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</si>
  <si>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</si>
  <si>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</si>
  <si>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</si>
  <si>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</si>
  <si>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</si>
  <si>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</si>
  <si>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</si>
  <si>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</si>
  <si>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</si>
  <si>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</si>
  <si>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</si>
  <si>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</si>
  <si>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</si>
  <si>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</si>
  <si>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</si>
  <si>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</si>
  <si>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</si>
  <si>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</si>
  <si>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</si>
  <si>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</si>
  <si>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</si>
  <si>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</si>
  <si>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</si>
  <si>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</si>
  <si>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</si>
  <si>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</si>
  <si>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</si>
  <si>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</si>
  <si>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</si>
  <si>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</si>
  <si>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</si>
  <si>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</si>
  <si>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</si>
  <si>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</si>
  <si>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</si>
  <si>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</si>
  <si>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</si>
  <si>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</si>
  <si>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</si>
  <si>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</si>
  <si>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</si>
  <si>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</si>
  <si>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</si>
  <si>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</si>
  <si>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</si>
  <si>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</si>
  <si>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</si>
  <si>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</si>
  <si>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</si>
  <si>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</si>
  <si>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</si>
  <si>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</si>
  <si>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</si>
  <si>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</si>
  <si>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</si>
  <si>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</si>
  <si>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</si>
  <si>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</si>
  <si>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</si>
  <si>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</si>
  <si>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</si>
  <si>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</si>
  <si>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</si>
  <si>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</si>
  <si>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</si>
  <si>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</si>
  <si>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</si>
  <si>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</si>
  <si>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</si>
  <si>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</si>
  <si>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</si>
  <si>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</si>
  <si>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</si>
  <si>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</si>
  <si>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</si>
  <si>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</si>
  <si>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</si>
  <si>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</si>
  <si>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</si>
  <si>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</si>
  <si>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</si>
  <si>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</si>
  <si>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</si>
  <si>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</si>
  <si>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</si>
  <si>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</si>
  <si>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</si>
  <si>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</si>
  <si>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</si>
  <si>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</si>
  <si>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</si>
  <si>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</si>
  <si>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</si>
  <si>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</si>
  <si>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</si>
  <si>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</si>
  <si>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</si>
  <si>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</si>
  <si>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</si>
  <si>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</si>
  <si>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</si>
  <si>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</si>
  <si>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</si>
  <si>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</si>
  <si>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</si>
  <si>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</si>
  <si>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</si>
  <si>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</si>
  <si>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</si>
  <si>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</si>
  <si>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</si>
  <si>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</si>
  <si>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</si>
  <si>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</si>
  <si>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</si>
  <si>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</si>
  <si>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</si>
  <si>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</si>
  <si>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</si>
  <si>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</si>
  <si>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</si>
  <si>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</si>
  <si>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</si>
  <si>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</si>
  <si>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</si>
  <si>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</si>
  <si>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</si>
  <si>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</si>
  <si>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</si>
  <si>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</si>
  <si>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</si>
  <si>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</si>
  <si>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</si>
  <si>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</si>
  <si>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</si>
  <si>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</si>
  <si>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</si>
  <si>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</si>
  <si>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</si>
  <si>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</si>
  <si>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</si>
  <si>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</si>
  <si>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</si>
  <si>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</si>
  <si>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</si>
  <si>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</si>
  <si>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</si>
  <si>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</si>
  <si>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</si>
  <si>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</si>
  <si>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</si>
  <si>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</si>
  <si>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</si>
  <si>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</si>
  <si>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</si>
  <si>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</si>
  <si>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</si>
  <si>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</si>
  <si>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</si>
  <si>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</si>
  <si>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</si>
  <si>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</si>
  <si>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</si>
  <si>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</si>
  <si>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</si>
  <si>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</si>
  <si>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</si>
  <si>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</si>
  <si>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</si>
  <si>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</si>
  <si>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</si>
  <si>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</si>
  <si>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</si>
  <si>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</si>
  <si>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</si>
  <si>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</si>
  <si>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</si>
  <si>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</si>
  <si>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</si>
  <si>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</si>
  <si>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</si>
  <si>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</si>
  <si>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</si>
  <si>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</si>
  <si>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</si>
  <si>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</si>
  <si>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</si>
  <si>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</si>
  <si>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</si>
  <si>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</si>
  <si>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</si>
  <si>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</si>
  <si>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</si>
  <si>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</si>
  <si>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</si>
  <si>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</si>
  <si>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</si>
  <si>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</si>
  <si>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</si>
  <si>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</si>
  <si>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</si>
  <si>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</si>
  <si>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</si>
  <si>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</si>
  <si>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</si>
  <si>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</si>
  <si>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</si>
  <si>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</si>
  <si>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</si>
  <si>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</si>
  <si>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</si>
  <si>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</si>
  <si>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</si>
  <si>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</si>
  <si>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</si>
  <si>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</si>
  <si>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</si>
  <si>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</si>
  <si>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</si>
  <si>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</si>
  <si>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</si>
  <si>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</si>
  <si>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</si>
  <si>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</si>
  <si>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</si>
  <si>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</si>
  <si>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</si>
  <si>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</si>
  <si>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</si>
  <si>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</si>
  <si>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</si>
  <si>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</si>
  <si>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</si>
  <si>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</si>
  <si>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</si>
  <si>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</si>
  <si>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</si>
  <si>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</si>
  <si>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</si>
  <si>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</si>
  <si>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</si>
  <si>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</si>
  <si>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</si>
  <si>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</si>
  <si>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</si>
  <si>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</si>
  <si>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</si>
  <si>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</si>
  <si>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</si>
  <si>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</si>
  <si>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</si>
  <si>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</si>
  <si>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</si>
  <si>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</si>
  <si>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</si>
  <si>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</si>
  <si>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</si>
  <si>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</si>
  <si>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</si>
  <si>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</si>
  <si>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</si>
  <si>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</si>
  <si>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</si>
  <si>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</si>
  <si>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</si>
  <si>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</si>
  <si>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</si>
  <si>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</si>
  <si>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</si>
  <si>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</si>
  <si>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</si>
  <si>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</si>
  <si>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</si>
  <si>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</si>
  <si>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</si>
  <si>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</si>
  <si>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</si>
  <si>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</si>
  <si>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</si>
  <si>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</si>
  <si>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</si>
  <si>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</si>
  <si>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</si>
  <si>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</si>
  <si>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</si>
  <si>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</si>
  <si>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</si>
  <si>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</si>
  <si>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</si>
  <si>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</si>
  <si>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</si>
  <si>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</si>
  <si>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</si>
  <si>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</si>
  <si>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</si>
  <si>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</si>
  <si>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</si>
  <si>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</si>
  <si>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</si>
  <si>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</si>
  <si>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</si>
  <si>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</si>
  <si>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</si>
  <si>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</si>
  <si>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</si>
  <si>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</si>
  <si>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</si>
  <si>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</si>
  <si>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</si>
  <si>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</si>
  <si>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</si>
  <si>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</si>
  <si>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</si>
  <si>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</si>
  <si>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</si>
  <si>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</si>
  <si>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</si>
  <si>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</si>
  <si>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</si>
  <si>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</si>
  <si>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</si>
  <si>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</si>
  <si>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</si>
  <si>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</si>
  <si>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</si>
  <si>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</si>
  <si>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</si>
  <si>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</si>
  <si>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</si>
  <si>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</si>
  <si>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</si>
  <si>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</si>
  <si>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</si>
  <si>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</si>
  <si>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</si>
  <si>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</si>
  <si>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</si>
  <si>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</si>
  <si>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</si>
  <si>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</si>
  <si>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</si>
  <si>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</si>
  <si>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</si>
  <si>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</si>
  <si>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</si>
  <si>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</si>
  <si>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</si>
  <si>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</si>
  <si>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</si>
  <si>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</si>
  <si>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</si>
  <si>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</si>
  <si>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</si>
  <si>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</si>
  <si>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</si>
  <si>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</si>
  <si>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</si>
  <si>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</si>
  <si>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</si>
  <si>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</si>
  <si>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</si>
  <si>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</si>
  <si>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</si>
  <si>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</si>
  <si>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</si>
  <si>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</si>
  <si>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</si>
  <si>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</si>
  <si>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</si>
  <si>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</si>
  <si>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</si>
  <si>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</si>
  <si>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</si>
  <si>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</si>
  <si>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</si>
  <si>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</si>
  <si>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</si>
  <si>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</si>
  <si>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</si>
  <si>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</si>
  <si>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</si>
  <si>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</si>
  <si>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</si>
  <si>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</si>
  <si>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</si>
  <si>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</si>
  <si>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</si>
  <si>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</si>
  <si>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</si>
  <si>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</si>
  <si>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</si>
  <si>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</si>
  <si>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</si>
  <si>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</si>
  <si>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</si>
  <si>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</si>
  <si>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</si>
  <si>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</si>
  <si>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</si>
  <si>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</si>
  <si>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</si>
  <si>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</si>
  <si>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</si>
  <si>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</si>
  <si>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</si>
  <si>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</si>
  <si>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</si>
  <si>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</si>
  <si>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</si>
  <si>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</si>
  <si>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</si>
  <si>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</si>
  <si>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</si>
  <si>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</si>
  <si>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</si>
  <si>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</si>
  <si>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</si>
  <si>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</si>
  <si>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</si>
  <si>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</si>
  <si>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</si>
  <si>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</si>
  <si>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</si>
  <si>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</si>
  <si>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</si>
  <si>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</si>
  <si>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</si>
  <si>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</si>
  <si>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</si>
  <si>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</si>
  <si>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</si>
  <si>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</si>
  <si>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</si>
  <si>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</si>
  <si>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</si>
  <si>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</si>
  <si>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</si>
  <si>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</si>
  <si>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</si>
  <si>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</si>
  <si>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</si>
  <si>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</si>
  <si>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</si>
  <si>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</si>
  <si>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</si>
  <si>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</si>
  <si>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</si>
  <si>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</si>
  <si>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</si>
  <si>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</si>
  <si>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</si>
  <si>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</si>
  <si>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</si>
  <si>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</si>
  <si>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</si>
  <si>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</si>
  <si>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</si>
  <si>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</si>
  <si>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</si>
  <si>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</si>
  <si>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</si>
  <si>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</si>
  <si>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</si>
  <si>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</si>
  <si>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</si>
  <si>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</si>
  <si>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</si>
  <si>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</si>
  <si>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</si>
  <si>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</si>
  <si>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</si>
  <si>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</si>
  <si>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</si>
  <si>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</si>
  <si>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</si>
  <si>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</si>
  <si>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</si>
  <si>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</si>
  <si>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</si>
  <si>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</si>
  <si>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</si>
  <si>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</si>
  <si>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</si>
  <si>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</si>
  <si>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</si>
  <si>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</si>
  <si>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</si>
  <si>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</si>
  <si>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</si>
  <si>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</si>
  <si>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</si>
  <si>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</si>
  <si>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</si>
  <si>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</si>
  <si>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</si>
  <si>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</si>
  <si>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</si>
  <si>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</si>
  <si>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</si>
  <si>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</si>
  <si>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</si>
  <si>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</si>
  <si>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</si>
  <si>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</si>
  <si>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</si>
  <si>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</si>
  <si>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</si>
  <si>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</si>
  <si>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</si>
  <si>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</si>
  <si>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</si>
  <si>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</si>
  <si>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</si>
  <si>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</si>
  <si>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</si>
  <si>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</si>
  <si>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</si>
  <si>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</si>
  <si>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</si>
  <si>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</si>
  <si>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</si>
  <si>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</si>
  <si>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</si>
  <si>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</si>
  <si>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</si>
  <si>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</si>
  <si>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</si>
  <si>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</si>
  <si>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</si>
  <si>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</si>
  <si>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</si>
  <si>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</si>
  <si>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</si>
  <si>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</si>
  <si>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</si>
  <si>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</si>
  <si>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</si>
  <si>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</si>
  <si>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</si>
  <si>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</si>
  <si>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</si>
  <si>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</si>
  <si>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</si>
  <si>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</si>
  <si>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</si>
  <si>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</si>
  <si>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</si>
  <si>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</si>
  <si>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</si>
  <si>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</si>
  <si>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</si>
  <si>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</si>
  <si>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</si>
  <si>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</si>
  <si>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</si>
  <si>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</si>
  <si>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</si>
  <si>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</si>
  <si>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</si>
  <si>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</si>
  <si>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</si>
  <si>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</si>
  <si>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</si>
  <si>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</si>
  <si>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</si>
  <si>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</si>
  <si>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</si>
  <si>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</si>
  <si>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</si>
  <si>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</si>
  <si>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</si>
  <si>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</si>
  <si>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</si>
  <si>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</si>
  <si>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</si>
  <si>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</si>
  <si>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</si>
  <si>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</si>
  <si>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</si>
  <si>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</si>
  <si>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</si>
  <si>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</si>
  <si>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</si>
  <si>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</si>
  <si>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</si>
  <si>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</si>
  <si>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</si>
  <si>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</si>
  <si>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</si>
  <si>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</si>
  <si>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</si>
  <si>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</si>
  <si>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</si>
  <si>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</si>
  <si>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</si>
  <si>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</si>
  <si>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</si>
  <si>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</si>
  <si>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</si>
  <si>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</si>
  <si>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</si>
  <si>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</si>
  <si>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</si>
  <si>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</si>
  <si>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</si>
  <si>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</si>
  <si>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</si>
  <si>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</si>
  <si>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</si>
  <si>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</si>
  <si>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</si>
  <si>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</si>
  <si>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</si>
  <si>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</si>
  <si>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</si>
  <si>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</si>
  <si>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</si>
  <si>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</si>
  <si>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</si>
  <si>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</si>
  <si>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</si>
  <si>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</si>
  <si>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</si>
  <si>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</si>
  <si>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</si>
  <si>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</si>
  <si>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</si>
  <si>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</si>
  <si>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</si>
  <si>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</si>
  <si>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</si>
  <si>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</si>
  <si>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</si>
  <si>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</si>
  <si>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</si>
  <si>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</si>
  <si>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</si>
  <si>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</si>
  <si>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</si>
  <si>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</si>
  <si>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</si>
  <si>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</si>
  <si>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</si>
  <si>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</si>
  <si>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</si>
  <si>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</si>
  <si>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</si>
  <si>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</si>
  <si>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</si>
  <si>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</si>
  <si>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</si>
  <si>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</si>
  <si>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</si>
  <si>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</si>
  <si>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</si>
  <si>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</si>
  <si>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</si>
  <si>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</si>
  <si>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</si>
  <si>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</si>
  <si>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</si>
  <si>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</si>
  <si>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</si>
  <si>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</si>
  <si>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</si>
  <si>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</si>
  <si>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</si>
  <si>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</si>
  <si>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</si>
  <si>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</si>
  <si>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</si>
  <si>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</si>
  <si>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</si>
  <si>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</si>
  <si>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</si>
  <si>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</si>
  <si>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</si>
  <si>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</si>
  <si>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</si>
  <si>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</si>
  <si>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</si>
  <si>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</si>
  <si>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</si>
  <si>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</si>
  <si>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</si>
  <si>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</si>
  <si>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</si>
  <si>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</si>
  <si>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</si>
  <si>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</si>
  <si>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</si>
  <si>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</si>
  <si>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</si>
  <si>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</si>
  <si>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</si>
  <si>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</si>
  <si>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</si>
  <si>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</si>
  <si>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</si>
  <si>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</si>
  <si>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</si>
  <si>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</si>
  <si>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</si>
  <si>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</si>
  <si>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</si>
  <si>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</si>
  <si>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</si>
  <si>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</si>
  <si>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</si>
  <si>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</si>
  <si>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</si>
  <si>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</si>
  <si>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</si>
  <si>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</si>
  <si>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</si>
  <si>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</si>
  <si>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</si>
  <si>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</si>
  <si>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</si>
  <si>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</si>
  <si>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</si>
  <si>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</si>
  <si>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</si>
  <si>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</si>
  <si>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</si>
  <si>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</si>
  <si>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</si>
  <si>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</si>
  <si>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</si>
  <si>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</si>
  <si>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</si>
  <si>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</si>
  <si>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</si>
  <si>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</si>
  <si>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</si>
  <si>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</si>
  <si>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</si>
  <si>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</si>
  <si>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</si>
  <si>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</si>
  <si>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</si>
  <si>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</si>
  <si>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</si>
  <si>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</si>
  <si>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</si>
  <si>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</si>
  <si>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</si>
  <si>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</si>
  <si>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</si>
  <si>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</si>
  <si>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</si>
  <si>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</si>
  <si>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</si>
  <si>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</si>
  <si>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</si>
  <si>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</si>
  <si>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</si>
  <si>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</si>
  <si>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</si>
  <si>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</si>
  <si>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</si>
  <si>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</si>
  <si>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</si>
  <si>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</si>
  <si>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</si>
  <si>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</si>
  <si>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</si>
  <si>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</si>
  <si>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</si>
  <si>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</si>
  <si>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</si>
  <si>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</si>
  <si>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</si>
  <si>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</si>
  <si>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</si>
  <si>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</si>
  <si>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</si>
  <si>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</si>
  <si>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</si>
  <si>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</si>
  <si>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</si>
  <si>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</si>
  <si>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</si>
  <si>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</si>
  <si>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</si>
  <si>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</si>
  <si>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</si>
  <si>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</si>
  <si>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</si>
  <si>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</si>
  <si>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</si>
  <si>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</si>
  <si>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</si>
  <si>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</si>
  <si>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</si>
  <si>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</si>
  <si>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</si>
  <si>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</si>
  <si>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</si>
  <si>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</si>
  <si>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</si>
  <si>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</si>
  <si>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</si>
  <si>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</si>
  <si>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</si>
  <si>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</si>
  <si>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</si>
  <si>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</si>
  <si>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</si>
  <si>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</si>
  <si>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</si>
  <si>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</si>
  <si>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</si>
  <si>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</si>
  <si>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</si>
  <si>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</si>
  <si>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</si>
  <si>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</si>
  <si>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</si>
  <si>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</si>
  <si>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</si>
  <si>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</si>
  <si>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</si>
  <si>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</si>
  <si>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</si>
  <si>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</si>
  <si>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</si>
  <si>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</si>
  <si>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</si>
  <si>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</si>
  <si>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</si>
  <si>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</si>
  <si>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</si>
  <si>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</si>
  <si>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</si>
  <si>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</si>
  <si>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</si>
  <si>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</si>
  <si>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</si>
  <si>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</si>
  <si>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</si>
  <si>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</si>
  <si>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</si>
  <si>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</si>
  <si>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</si>
  <si>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</si>
  <si>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</si>
  <si>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</si>
  <si>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</si>
  <si>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</si>
  <si>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</si>
  <si>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</si>
  <si>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</si>
  <si>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</si>
  <si>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</si>
  <si>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</si>
  <si>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</si>
  <si>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</si>
  <si>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</si>
  <si>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</si>
  <si>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</si>
  <si>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</si>
  <si>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</si>
  <si>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</si>
  <si>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</si>
  <si>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</si>
  <si>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</si>
  <si>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</si>
  <si>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</si>
  <si>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</si>
  <si>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</si>
  <si>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</si>
  <si>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</si>
  <si>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</si>
  <si>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</si>
  <si>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</si>
  <si>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</si>
  <si>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</si>
  <si>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</si>
  <si>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</si>
  <si>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</si>
  <si>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</si>
  <si>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</si>
  <si>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</si>
  <si>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</si>
  <si>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</si>
  <si>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</si>
  <si>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</si>
  <si>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</si>
  <si>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</si>
  <si>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</si>
  <si>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</si>
  <si>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</si>
  <si>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</si>
  <si>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</si>
  <si>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</si>
  <si>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</si>
  <si>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</si>
  <si>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</si>
  <si>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</si>
  <si>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</si>
  <si>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</si>
  <si>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</si>
  <si>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</si>
  <si>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</si>
  <si>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</si>
  <si>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</si>
  <si>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</si>
  <si>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</si>
  <si>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</si>
  <si>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</si>
  <si>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</si>
  <si>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</si>
  <si>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</si>
  <si>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</si>
  <si>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</si>
  <si>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</si>
  <si>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</si>
  <si>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</si>
  <si>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</si>
  <si>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</si>
  <si>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</si>
  <si>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</si>
  <si>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</si>
  <si>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</si>
  <si>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</si>
  <si>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</si>
  <si>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</si>
  <si>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</si>
  <si>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</si>
  <si>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</si>
  <si>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</si>
  <si>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</si>
  <si>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</si>
  <si>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</si>
  <si>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</si>
  <si>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</si>
  <si>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</si>
  <si>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</si>
  <si>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</si>
  <si>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</si>
  <si>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</si>
  <si>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</si>
  <si>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</si>
  <si>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</si>
  <si>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</si>
  <si>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</si>
  <si>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</si>
  <si>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</si>
  <si>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</si>
  <si>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</si>
  <si>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</si>
  <si>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</si>
  <si>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</si>
  <si>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</si>
  <si>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</si>
  <si>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</si>
  <si>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</si>
  <si>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</si>
  <si>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</si>
  <si>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</si>
  <si>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</si>
  <si>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</si>
  <si>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</si>
  <si>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</si>
  <si>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</si>
  <si>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</si>
  <si>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</si>
  <si>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</si>
  <si>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</si>
  <si>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</si>
  <si>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</si>
  <si>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</si>
  <si>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</si>
  <si>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</si>
  <si>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</si>
  <si>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</si>
  <si>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</si>
  <si>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</si>
  <si>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</si>
  <si>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</si>
  <si>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</si>
  <si>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</si>
  <si>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</si>
  <si>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</si>
  <si>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</si>
  <si>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</si>
  <si>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</si>
  <si>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</si>
  <si>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</si>
  <si>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</si>
  <si>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</si>
  <si>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</si>
  <si>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</si>
  <si>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</si>
  <si>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</si>
  <si>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</si>
  <si>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</si>
  <si>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</si>
  <si>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</si>
  <si>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</si>
  <si>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</si>
  <si>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</si>
  <si>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</si>
  <si>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</si>
  <si>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</si>
  <si>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</si>
  <si>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</si>
  <si>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</si>
  <si>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</si>
  <si>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</si>
  <si>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</si>
  <si>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</si>
  <si>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</si>
  <si>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</si>
  <si>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</si>
  <si>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</si>
  <si>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</si>
  <si>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</si>
  <si>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</si>
  <si>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</si>
  <si>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</si>
  <si>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</si>
  <si>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</si>
  <si>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</si>
  <si>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</si>
  <si>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</si>
  <si>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</si>
  <si>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</si>
  <si>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</si>
  <si>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</si>
  <si>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</si>
  <si>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</si>
  <si>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</si>
  <si>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</si>
  <si>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</si>
  <si>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</si>
  <si>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</si>
  <si>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</si>
  <si>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</si>
  <si>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</si>
  <si>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</si>
  <si>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</si>
  <si>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</si>
  <si>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</si>
  <si>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</si>
  <si>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</si>
  <si>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</si>
  <si>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</si>
  <si>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</si>
  <si>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</si>
  <si>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</si>
  <si>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</si>
  <si>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</si>
  <si>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</si>
  <si>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</si>
  <si>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</si>
  <si>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</si>
  <si>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</si>
  <si>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</si>
  <si>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</si>
  <si>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</si>
  <si>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</si>
  <si>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</si>
  <si>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</si>
  <si>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</si>
  <si>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</si>
  <si>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</si>
  <si>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</si>
  <si>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</si>
  <si>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</si>
  <si>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</si>
  <si>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</si>
  <si>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</si>
  <si>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</si>
  <si>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</si>
  <si>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</si>
  <si>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</si>
  <si>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</si>
  <si>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</si>
  <si>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</si>
  <si>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</si>
  <si>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</si>
  <si>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</si>
  <si>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</si>
  <si>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</si>
  <si>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</si>
  <si>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</si>
  <si>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</si>
  <si>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</si>
  <si>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</si>
  <si>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</si>
  <si>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</si>
  <si>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</si>
  <si>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</si>
  <si>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</si>
  <si>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</si>
  <si>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</si>
  <si>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</si>
  <si>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</si>
  <si>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</si>
  <si>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</si>
  <si>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</si>
  <si>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</si>
  <si>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</si>
  <si>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</si>
  <si>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</si>
  <si>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</si>
  <si>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</si>
  <si>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</si>
  <si>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</si>
  <si>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</si>
  <si>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</si>
  <si>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</si>
  <si>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</si>
  <si>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</si>
  <si>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</si>
  <si>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</si>
  <si>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</si>
  <si>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</si>
  <si>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</si>
  <si>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</si>
  <si>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</si>
  <si>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</si>
  <si>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</si>
  <si>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</si>
  <si>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</si>
  <si>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</si>
  <si>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</si>
  <si>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</si>
  <si>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</si>
  <si>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</si>
  <si>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</si>
  <si>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</si>
  <si>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</si>
  <si>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</si>
  <si>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</si>
  <si>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</si>
  <si>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</si>
  <si>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</si>
  <si>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</si>
  <si>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</si>
  <si>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</si>
  <si>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</si>
  <si>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</si>
  <si>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</si>
  <si>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</si>
  <si>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</si>
  <si>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</si>
  <si>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</si>
  <si>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</si>
  <si>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</si>
  <si>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</si>
  <si>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</si>
  <si>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</si>
  <si>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</si>
  <si>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</si>
  <si>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</si>
  <si>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</si>
  <si>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</si>
  <si>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</si>
  <si>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</si>
  <si>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</si>
  <si>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</si>
  <si>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</si>
  <si>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</si>
  <si>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</si>
  <si>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</si>
  <si>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</si>
  <si>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</si>
  <si>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</si>
  <si>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</si>
  <si>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</si>
  <si>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</si>
  <si>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</si>
  <si>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</si>
  <si>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</si>
  <si>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</si>
  <si>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</si>
  <si>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</si>
  <si>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</si>
  <si>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</si>
  <si>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</si>
  <si>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</si>
  <si>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</si>
  <si>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</si>
  <si>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</si>
  <si>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</si>
  <si>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</si>
  <si>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</si>
  <si>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</si>
  <si>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</si>
  <si>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</si>
  <si>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</si>
  <si>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</si>
  <si>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</si>
  <si>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</si>
  <si>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</si>
  <si>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</si>
  <si>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</si>
  <si>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</si>
  <si>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</si>
  <si>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</si>
  <si>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</si>
  <si>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</si>
  <si>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</si>
  <si>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</si>
  <si>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</si>
  <si>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</si>
  <si>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</si>
  <si>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</si>
  <si>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</si>
  <si>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</si>
  <si>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</si>
  <si>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</si>
  <si>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</si>
  <si>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</si>
  <si>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</si>
  <si>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</si>
  <si>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</si>
  <si>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</si>
  <si>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</si>
  <si>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</si>
  <si>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</si>
  <si>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</si>
  <si>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</si>
  <si>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</si>
  <si>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</si>
  <si>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</si>
  <si>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</si>
  <si>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</si>
  <si>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</si>
  <si>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</si>
  <si>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</si>
  <si>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</si>
  <si>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</si>
  <si>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</si>
  <si>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</si>
  <si>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</si>
  <si>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</si>
  <si>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</si>
  <si>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</si>
  <si>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</si>
  <si>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</si>
  <si>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</si>
  <si>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</si>
  <si>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</si>
  <si>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</si>
  <si>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</si>
  <si>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</si>
  <si>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</si>
  <si>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</si>
  <si>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</si>
  <si>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</si>
  <si>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</si>
  <si>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</si>
  <si>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</si>
  <si>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</si>
  <si>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</si>
  <si>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</si>
  <si>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</si>
  <si>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</si>
  <si>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</si>
  <si>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</si>
  <si>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</si>
  <si>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</si>
  <si>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</si>
  <si>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</si>
  <si>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</si>
  <si>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</si>
  <si>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</si>
  <si>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</si>
  <si>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</si>
  <si>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</si>
  <si>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</si>
  <si>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</si>
  <si>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</si>
  <si>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</si>
  <si>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</si>
  <si>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</si>
  <si>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</si>
  <si>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</si>
  <si>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</si>
  <si>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</si>
  <si>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</si>
  <si>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</si>
  <si>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</si>
  <si>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</si>
  <si>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</si>
  <si>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</si>
  <si>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</si>
  <si>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</si>
  <si>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</si>
  <si>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</si>
  <si>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</si>
  <si>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</si>
  <si>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</si>
  <si>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</si>
  <si>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</si>
  <si>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</si>
  <si>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</si>
  <si>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</si>
  <si>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</si>
  <si>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</si>
  <si>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</si>
  <si>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</si>
  <si>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</si>
  <si>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</si>
  <si>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</si>
  <si>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</si>
  <si>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</si>
  <si>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</si>
  <si>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</si>
  <si>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</si>
  <si>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</si>
  <si>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</si>
  <si>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</si>
  <si>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</si>
  <si>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</si>
  <si>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</si>
  <si>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</si>
  <si>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</si>
  <si>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</si>
  <si>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</si>
  <si>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</si>
  <si>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</si>
  <si>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</si>
  <si>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</si>
  <si>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</si>
  <si>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</si>
  <si>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</si>
  <si>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</si>
  <si>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</si>
  <si>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</si>
  <si>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</si>
  <si>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</si>
  <si>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</si>
  <si>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</si>
  <si>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</si>
  <si>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</si>
  <si>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</si>
  <si>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</si>
  <si>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</si>
  <si>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</si>
  <si>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</si>
  <si>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</si>
  <si>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</si>
  <si>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</si>
  <si>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</si>
  <si>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</si>
  <si>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</si>
  <si>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</si>
  <si>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</si>
  <si>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</si>
  <si>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</si>
  <si>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</si>
  <si>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</si>
  <si>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</si>
  <si>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</si>
  <si>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</si>
  <si>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</si>
  <si>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</si>
  <si>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</si>
  <si>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</si>
  <si>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</si>
  <si>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</si>
  <si>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</si>
  <si>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</si>
  <si>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</si>
  <si>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</si>
  <si>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</si>
  <si>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</si>
  <si>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</si>
  <si>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</si>
  <si>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</si>
  <si>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</si>
  <si>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</si>
  <si>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</si>
  <si>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</si>
  <si>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</si>
  <si>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</si>
  <si>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</si>
  <si>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</si>
  <si>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</si>
  <si>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</si>
  <si>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</si>
  <si>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</si>
  <si>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</si>
  <si>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</si>
  <si>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</si>
  <si>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</si>
  <si>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</si>
  <si>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</si>
  <si>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</si>
  <si>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</si>
  <si>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</si>
  <si>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</si>
  <si>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</si>
  <si>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</si>
  <si>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</si>
  <si>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</si>
  <si>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</si>
  <si>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</si>
  <si>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</si>
  <si>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</si>
  <si>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</si>
  <si>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</si>
  <si>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</si>
  <si>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</si>
  <si>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</si>
  <si>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</si>
  <si>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</si>
  <si>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</si>
  <si>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</si>
  <si>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</si>
  <si>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</si>
  <si>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</si>
  <si>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</si>
  <si>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</si>
  <si>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</si>
  <si>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</si>
  <si>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</si>
  <si>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</si>
  <si>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</si>
  <si>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</si>
  <si>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</si>
  <si>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</si>
  <si>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</si>
  <si>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</si>
  <si>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</si>
  <si>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</si>
  <si>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</si>
  <si>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</si>
  <si>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</si>
  <si>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</si>
  <si>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</si>
  <si>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</si>
  <si>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</si>
  <si>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</si>
  <si>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</si>
  <si>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</si>
  <si>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</si>
  <si>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</si>
  <si>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</si>
  <si>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</si>
  <si>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</si>
  <si>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</si>
  <si>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</si>
  <si>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</si>
  <si>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</si>
  <si>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</si>
  <si>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</si>
  <si>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</si>
  <si>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</si>
  <si>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</si>
  <si>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</si>
  <si>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</si>
  <si>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</si>
  <si>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</si>
  <si>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</si>
  <si>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</si>
  <si>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</si>
  <si>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</si>
  <si>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</si>
  <si>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</si>
  <si>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</si>
  <si>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</si>
  <si>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</si>
  <si>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</si>
  <si>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</si>
  <si>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</si>
  <si>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</si>
  <si>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</si>
  <si>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</si>
  <si>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</si>
  <si>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</si>
  <si>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</si>
  <si>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</si>
  <si>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2026-025</t>
  </si>
  <si>
    <t>2026-056</t>
  </si>
  <si>
    <t>18 e 19/11/2026</t>
  </si>
  <si>
    <t>8913/2026</t>
  </si>
  <si>
    <t>Palestra “De Mãos Dadas: a saúde que nasce dos vínculos”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</si>
</sst>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9" fontId="41" fillId="4" borderId="1" xfId="0" applyNumberFormat="1" applyFont="1" applyFill="1" applyBorder="1" applyAlignment="1">
      <alignment vertical="center"/>
    </xf>
    <xf numFmtId="0" fontId="55" fillId="4" borderId="2" xfId="0" applyFont="1" applyFill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49" fontId="4" fillId="16" borderId="1" xfId="0" applyNumberFormat="1" applyFont="1" applyFill="1" applyBorder="1" applyAlignment="1">
      <alignment vertical="center"/>
    </xf>
    <xf numFmtId="49" fontId="4" fillId="4" borderId="1" xfId="0" applyNumberFormat="1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14" fontId="33" fillId="4" borderId="1" xfId="0" applyNumberFormat="1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1" totalsRowShown="0" headerRowDxfId="52" dataDxfId="51" totalsRowDxfId="50" totalsRowBorderDxfId="49">
  <autoFilter ref="B1:T2001" xr:uid="{D1BD5F14-CD6F-4B62-85D2-128A9D3B5FF1}"/>
  <sortState xmlns:xlrd2="http://schemas.microsoft.com/office/spreadsheetml/2017/richdata2" ref="B108:T700">
    <sortCondition ref="I1:I2001"/>
  </sortState>
  <tableColumns count="19">
    <tableColumn id="2" xr3:uid="{19532738-24D5-4BD5-BE04-C19DCC5894A1}" name="Ano" dataDxfId="48" totalsRowDxfId="47"/>
    <tableColumn id="3" xr3:uid="{8DE0B36A-F0DC-47A1-A74E-F4BE63A4FB1D}" name="Status Evento" dataDxfId="46" totalsRowDxfId="45"/>
    <tableColumn id="4" xr3:uid="{C1159FBD-CCD0-4CA2-BB8C-598E3AB5DDD8}" name="Processo" dataDxfId="44" totalsRowDxfId="43"/>
    <tableColumn id="5" xr3:uid="{A32670A4-BE4F-480D-8DE9-8FF18024C829}" name="Curso" dataDxfId="42" totalsRowDxfId="41"/>
    <tableColumn id="8" xr3:uid="{905DEA0A-D099-47EA-972D-1012D71C7792}" name="Público-Alvo" dataDxfId="40" totalsRowDxfId="39"/>
    <tableColumn id="9" xr3:uid="{7DC0A0BE-8030-47CA-AF56-2C13C9FF7AE5}" name="Programa" dataDxfId="38" totalsRowDxfId="37"/>
    <tableColumn id="11" xr3:uid="{2B799ACD-69E4-46A5-9A4F-F7E3D7A47CE9}" name="Data TXT" dataDxfId="36" totalsRowDxfId="35"/>
    <tableColumn id="12" xr3:uid="{62016C67-3729-4C41-B72D-09D6616B7474}" name="Início" dataDxfId="34" totalsRowDxfId="33"/>
    <tableColumn id="13" xr3:uid="{E4F20518-0042-40C0-B590-B7616F2843A5}" name="Término" dataDxfId="32" totalsRowDxfId="31"/>
    <tableColumn id="14" xr3:uid="{4D6C4412-CFEE-4506-830E-F79FD008371B}" name="Modalidade" dataDxfId="30" totalsRowDxfId="29"/>
    <tableColumn id="15" xr3:uid="{12EC931A-E71B-4AEB-B20B-0F9EA63D0C71}" name="Valor instrutoria" dataDxfId="28" totalsRowDxfId="27" dataCellStyle="Moeda"/>
    <tableColumn id="17" xr3:uid="{8FCDFADA-4FA3-41E0-86FF-E623116BAFEB}" name="Nota Av. Reação" dataDxfId="26" totalsRowDxfId="25"/>
    <tableColumn id="19" xr3:uid="{316EB379-BB97-4F60-9566-576B25A26B0E}" name="Qtd Vagas" dataDxfId="24" totalsRowDxfId="23"/>
    <tableColumn id="20" xr3:uid="{59A9FB16-6726-411C-88B5-8165DD520DA3}" name="P. Servidores" dataDxfId="22" totalsRowDxfId="21"/>
    <tableColumn id="21" xr3:uid="{0246E091-ADCD-4F62-8F95-84B21E8A7BE1}" name="P. Jurisdicionados" dataDxfId="20" totalsRowDxfId="19"/>
    <tableColumn id="22" xr3:uid="{1B6DBD6D-C072-4600-81C1-69D6F4422D7D}" name="P. Sociedade" dataDxfId="18" totalsRowDxfId="17"/>
    <tableColumn id="23" xr3:uid="{109F7E4E-776C-4249-88BE-FEC3A375D7D9}" name="Total Part." dataDxfId="16" totalsRowDxfId="15"/>
    <tableColumn id="24" xr3:uid="{C67AA4C6-834C-4EBB-839B-EF0CDD50F649}" name="C.H." dataDxfId="14" totalsRowDxfId="13"/>
    <tableColumn id="26" xr3:uid="{973608F6-3E97-493C-AC61-980F73C13CD6}" name="Instrutor" dataDxfId="12" totalsRowDxfId="1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1"/>
  <sheetViews>
    <sheetView tabSelected="1" zoomScaleNormal="100" workbookViewId="0">
      <pane ySplit="1" topLeftCell="A711" activePane="bottomLeft" state="frozen"/>
      <selection pane="bottomLeft" activeCell="A724" sqref="A724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>
        <v>4.9000000000000004</v>
      </c>
      <c r="N698" s="251">
        <v>30</v>
      </c>
      <c r="O698" s="254">
        <v>0</v>
      </c>
      <c r="P698" s="24">
        <v>0</v>
      </c>
      <c r="Q698" s="254">
        <v>48</v>
      </c>
      <c r="R698" s="254">
        <f>IF(B698="","",SUM(O698:Q698))</f>
        <v>48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>
        <f>IF(B701="","",SUM(O701:Q701))</f>
        <v>0</v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2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2378</v>
      </c>
      <c r="E703" s="237" t="s">
        <v>2399</v>
      </c>
      <c r="F703" s="241" t="s">
        <v>51</v>
      </c>
      <c r="G703" s="243" t="s">
        <v>59</v>
      </c>
      <c r="H703" s="245" t="s">
        <v>2381</v>
      </c>
      <c r="I703" s="247">
        <v>46244</v>
      </c>
      <c r="J703" s="247">
        <v>46244</v>
      </c>
      <c r="K703" s="235" t="s">
        <v>32</v>
      </c>
      <c r="L703" s="302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2383</v>
      </c>
      <c r="E704" s="239" t="s">
        <v>2401</v>
      </c>
      <c r="F704" s="242" t="s">
        <v>51</v>
      </c>
      <c r="G704" s="244" t="s">
        <v>59</v>
      </c>
      <c r="H704" s="246" t="s">
        <v>2381</v>
      </c>
      <c r="I704" s="248">
        <v>46244</v>
      </c>
      <c r="J704" s="248">
        <v>46244</v>
      </c>
      <c r="K704" s="236" t="s">
        <v>32</v>
      </c>
      <c r="L704" s="302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2385</v>
      </c>
    </row>
    <row r="705" spans="1:21" ht="22.5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2386</v>
      </c>
      <c r="E705" s="237" t="s">
        <v>2402</v>
      </c>
      <c r="F705" s="241" t="s">
        <v>51</v>
      </c>
      <c r="G705" s="243" t="s">
        <v>59</v>
      </c>
      <c r="H705" s="245" t="s">
        <v>2387</v>
      </c>
      <c r="I705" s="247">
        <v>46245</v>
      </c>
      <c r="J705" s="247">
        <v>46245</v>
      </c>
      <c r="K705" s="235" t="s">
        <v>32</v>
      </c>
      <c r="L705" s="302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2377</v>
      </c>
      <c r="E706" s="239" t="s">
        <v>2379</v>
      </c>
      <c r="F706" s="242" t="s">
        <v>51</v>
      </c>
      <c r="G706" s="244" t="s">
        <v>59</v>
      </c>
      <c r="H706" s="246" t="s">
        <v>2380</v>
      </c>
      <c r="I706" s="248">
        <v>46246</v>
      </c>
      <c r="J706" s="248">
        <v>46246</v>
      </c>
      <c r="K706" s="236" t="s">
        <v>32</v>
      </c>
      <c r="L706" s="302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2388</v>
      </c>
      <c r="E707" s="239" t="s">
        <v>2403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2390</v>
      </c>
    </row>
    <row r="708" spans="1:21" ht="22.5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2373</v>
      </c>
      <c r="E708" s="237" t="s">
        <v>2398</v>
      </c>
      <c r="F708" s="241" t="s">
        <v>51</v>
      </c>
      <c r="G708" s="243" t="s">
        <v>59</v>
      </c>
      <c r="H708" s="245" t="s">
        <v>2374</v>
      </c>
      <c r="I708" s="247">
        <v>46247</v>
      </c>
      <c r="J708" s="247">
        <v>46247</v>
      </c>
      <c r="K708" s="235" t="s">
        <v>32</v>
      </c>
      <c r="L708" s="302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2376</v>
      </c>
    </row>
    <row r="709" spans="1:21" ht="22.5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2391</v>
      </c>
      <c r="E709" s="237" t="s">
        <v>2404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2393</v>
      </c>
      <c r="U709" s="230"/>
    </row>
    <row r="710" spans="1:21" ht="22.5" customHeight="1" x14ac:dyDescent="0.25">
      <c r="A710" s="189" t="str">
        <f>IF(B710="","",B710&amp;"-"&amp;TEXT(COUNTIF(B$2:B710,B710),"000"))</f>
        <v>2026-054</v>
      </c>
      <c r="B710" s="69">
        <v>2026</v>
      </c>
      <c r="C710" s="342" t="s">
        <v>2102</v>
      </c>
      <c r="D710" s="163"/>
      <c r="E710" s="339"/>
      <c r="F710" s="340" t="s">
        <v>66</v>
      </c>
      <c r="G710" s="164" t="s">
        <v>2072</v>
      </c>
      <c r="H710" s="165" t="s">
        <v>2182</v>
      </c>
      <c r="I710" s="341">
        <v>46254</v>
      </c>
      <c r="J710" s="341">
        <v>46254</v>
      </c>
      <c r="K710" s="163" t="s">
        <v>32</v>
      </c>
      <c r="L710" s="300"/>
      <c r="M710" s="184"/>
      <c r="N710" s="167">
        <v>80</v>
      </c>
      <c r="O710" s="168"/>
      <c r="P710" s="168"/>
      <c r="Q710" s="168"/>
      <c r="R710" s="168">
        <f>IF(B710="","",SUM(O710:Q710))</f>
        <v>0</v>
      </c>
      <c r="S710" s="163">
        <v>4</v>
      </c>
      <c r="T710" s="19" t="s">
        <v>2183</v>
      </c>
    </row>
    <row r="711" spans="1:21" ht="22.5" customHeight="1" x14ac:dyDescent="0.25">
      <c r="A711" s="189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>IF(B711="","",SUM(O711:Q711))</f>
        <v>0</v>
      </c>
      <c r="S711" s="235">
        <v>4</v>
      </c>
      <c r="T711" s="259" t="s">
        <v>2183</v>
      </c>
    </row>
    <row r="712" spans="1:21" ht="22.5" customHeight="1" x14ac:dyDescent="0.25">
      <c r="A712" s="188" t="str">
        <f>IF(B712="","",B712&amp;"-"&amp;TEXT(COUNTIF(B$2:B712,B712),"000"))</f>
        <v>2026-056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>IF(B712="","",SUM(O712:Q712))</f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2026-057</v>
      </c>
      <c r="B713" s="69">
        <v>2026</v>
      </c>
      <c r="C713" s="234" t="s">
        <v>2102</v>
      </c>
      <c r="D713" s="236" t="s">
        <v>2408</v>
      </c>
      <c r="E713" s="239" t="s">
        <v>2409</v>
      </c>
      <c r="F713" s="242" t="s">
        <v>51</v>
      </c>
      <c r="G713" s="244" t="s">
        <v>59</v>
      </c>
      <c r="H713" s="319" t="s">
        <v>2410</v>
      </c>
      <c r="I713" s="248">
        <v>46259</v>
      </c>
      <c r="J713" s="248">
        <v>46268</v>
      </c>
      <c r="K713" s="236" t="s">
        <v>32</v>
      </c>
      <c r="L713" s="302"/>
      <c r="M713" s="250"/>
      <c r="N713" s="252">
        <v>30</v>
      </c>
      <c r="O713" s="255"/>
      <c r="P713" s="255"/>
      <c r="Q713" s="255"/>
      <c r="R713" s="255">
        <f>IF(B713="","",SUM(O713:Q713))</f>
        <v>0</v>
      </c>
      <c r="S713" s="236">
        <v>20</v>
      </c>
      <c r="T713" s="244" t="s">
        <v>2414</v>
      </c>
    </row>
    <row r="714" spans="1:21" ht="22.5" customHeight="1" x14ac:dyDescent="0.25">
      <c r="A714" s="189" t="str">
        <f>IF(B714="","",B714&amp;"-"&amp;TEXT(COUNTIF(B$2:B714,B714),"000"))</f>
        <v>2026-058</v>
      </c>
      <c r="B714" s="69">
        <v>2026</v>
      </c>
      <c r="C714" s="47" t="s">
        <v>2102</v>
      </c>
      <c r="D714" s="21" t="s">
        <v>2114</v>
      </c>
      <c r="E714" s="81" t="s">
        <v>2115</v>
      </c>
      <c r="F714" s="28" t="s">
        <v>66</v>
      </c>
      <c r="G714" s="19" t="s">
        <v>2072</v>
      </c>
      <c r="H714" s="35" t="s">
        <v>2407</v>
      </c>
      <c r="I714" s="36">
        <v>46273</v>
      </c>
      <c r="J714" s="36">
        <v>46283</v>
      </c>
      <c r="K714" s="21" t="s">
        <v>25</v>
      </c>
      <c r="L714" s="297">
        <v>25200</v>
      </c>
      <c r="M714" s="183"/>
      <c r="N714" s="40">
        <v>60</v>
      </c>
      <c r="O714" s="22"/>
      <c r="P714" s="22"/>
      <c r="Q714" s="22"/>
      <c r="R714" s="22">
        <f>SUM(O714:Q714)</f>
        <v>0</v>
      </c>
      <c r="S714" s="21">
        <v>32</v>
      </c>
      <c r="T714" s="19" t="s">
        <v>2116</v>
      </c>
    </row>
    <row r="715" spans="1:21" ht="22.5" customHeight="1" x14ac:dyDescent="0.25">
      <c r="A715" s="189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2186</v>
      </c>
      <c r="I715" s="247">
        <v>46289</v>
      </c>
      <c r="J715" s="247">
        <v>46289</v>
      </c>
      <c r="K715" s="235" t="s">
        <v>32</v>
      </c>
      <c r="L715" s="302"/>
      <c r="M715" s="250"/>
      <c r="N715" s="251">
        <v>80</v>
      </c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customHeight="1" x14ac:dyDescent="0.25">
      <c r="A716" s="188" t="str">
        <f>IF(B716="","",B716&amp;"-"&amp;TEXT(COUNTIF(B$2:B716,B716),"000"))</f>
        <v>2026-060</v>
      </c>
      <c r="B716" s="69">
        <v>2026</v>
      </c>
      <c r="C716" s="234" t="s">
        <v>2102</v>
      </c>
      <c r="D716" s="235" t="s">
        <v>2084</v>
      </c>
      <c r="E716" s="240" t="s">
        <v>2181</v>
      </c>
      <c r="F716" s="242" t="s">
        <v>66</v>
      </c>
      <c r="G716" s="244" t="s">
        <v>2072</v>
      </c>
      <c r="H716" s="246" t="s">
        <v>2187</v>
      </c>
      <c r="I716" s="248">
        <v>46290</v>
      </c>
      <c r="J716" s="248">
        <v>46290</v>
      </c>
      <c r="K716" s="236" t="s">
        <v>32</v>
      </c>
      <c r="L716" s="302"/>
      <c r="M716" s="250"/>
      <c r="N716" s="252">
        <v>80</v>
      </c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customHeight="1" x14ac:dyDescent="0.25">
      <c r="A717" s="189" t="str">
        <f>IF(B717="","",B717&amp;"-"&amp;TEXT(COUNTIF(B$2:B717,B717),"000"))</f>
        <v>2026-061</v>
      </c>
      <c r="B717" s="69">
        <v>2026</v>
      </c>
      <c r="C717" s="234" t="s">
        <v>2102</v>
      </c>
      <c r="D717" s="235" t="s">
        <v>2084</v>
      </c>
      <c r="E717" s="237" t="s">
        <v>2181</v>
      </c>
      <c r="F717" s="241" t="s">
        <v>66</v>
      </c>
      <c r="G717" s="243" t="s">
        <v>2072</v>
      </c>
      <c r="H717" s="245" t="s">
        <v>2193</v>
      </c>
      <c r="I717" s="247">
        <v>46303</v>
      </c>
      <c r="J717" s="247">
        <v>46303</v>
      </c>
      <c r="K717" s="235" t="s">
        <v>32</v>
      </c>
      <c r="L717" s="302"/>
      <c r="M717" s="250"/>
      <c r="N717" s="251"/>
      <c r="O717" s="254"/>
      <c r="P717" s="254"/>
      <c r="Q717" s="254"/>
      <c r="R717" s="254">
        <f>IF(B717="","",SUM(O717:Q717))</f>
        <v>0</v>
      </c>
      <c r="S717" s="235">
        <v>4</v>
      </c>
      <c r="T717" s="260" t="s">
        <v>2185</v>
      </c>
    </row>
    <row r="718" spans="1:21" ht="22.5" customHeight="1" x14ac:dyDescent="0.25">
      <c r="A718" s="188" t="str">
        <f>IF(B718="","",B718&amp;"-"&amp;TEXT(COUNTIF(B$2:B718,B718),"000"))</f>
        <v>2026-062</v>
      </c>
      <c r="B718" s="69">
        <v>2026</v>
      </c>
      <c r="C718" s="234" t="s">
        <v>2102</v>
      </c>
      <c r="D718" s="236" t="s">
        <v>2084</v>
      </c>
      <c r="E718" s="240" t="s">
        <v>2181</v>
      </c>
      <c r="F718" s="242" t="s">
        <v>66</v>
      </c>
      <c r="G718" s="244" t="s">
        <v>2072</v>
      </c>
      <c r="H718" s="246" t="s">
        <v>2194</v>
      </c>
      <c r="I718" s="248">
        <v>46304</v>
      </c>
      <c r="J718" s="248">
        <v>46274</v>
      </c>
      <c r="K718" s="236" t="s">
        <v>32</v>
      </c>
      <c r="L718" s="302"/>
      <c r="M718" s="250"/>
      <c r="N718" s="252"/>
      <c r="O718" s="255"/>
      <c r="P718" s="255"/>
      <c r="Q718" s="255"/>
      <c r="R718" s="255">
        <f>IF(B718="","",SUM(O718:Q718))</f>
        <v>0</v>
      </c>
      <c r="S718" s="236">
        <v>4</v>
      </c>
      <c r="T718" s="260" t="s">
        <v>2185</v>
      </c>
    </row>
    <row r="719" spans="1:21" ht="22.5" customHeight="1" x14ac:dyDescent="0.25">
      <c r="A719" s="189" t="str">
        <f>IF(B719="","",B719&amp;"-"&amp;TEXT(COUNTIF(B$2:B719,B719),"000"))</f>
        <v>2026-063</v>
      </c>
      <c r="B719" s="69">
        <v>2026</v>
      </c>
      <c r="C719" s="234" t="s">
        <v>2102</v>
      </c>
      <c r="D719" s="235" t="s">
        <v>2117</v>
      </c>
      <c r="E719" s="237" t="s">
        <v>2118</v>
      </c>
      <c r="F719" s="241" t="s">
        <v>51</v>
      </c>
      <c r="G719" s="243" t="s">
        <v>59</v>
      </c>
      <c r="H719" s="245" t="s">
        <v>2119</v>
      </c>
      <c r="I719" s="247">
        <v>46321</v>
      </c>
      <c r="J719" s="247">
        <v>46322</v>
      </c>
      <c r="K719" s="249" t="s">
        <v>25</v>
      </c>
      <c r="L719" s="302"/>
      <c r="M719" s="250"/>
      <c r="N719" s="251">
        <v>170</v>
      </c>
      <c r="O719" s="254"/>
      <c r="P719" s="254"/>
      <c r="Q719" s="254"/>
      <c r="R719" s="254">
        <f>IF(B719="","",SUM(O719:Q719))</f>
        <v>0</v>
      </c>
      <c r="S719" s="235">
        <v>14</v>
      </c>
      <c r="T719" s="257" t="s">
        <v>365</v>
      </c>
    </row>
    <row r="720" spans="1:21" ht="22.5" customHeight="1" x14ac:dyDescent="0.25">
      <c r="A720" s="188" t="str">
        <f>IF(B720="","",B720&amp;"-"&amp;TEXT(COUNTIF(B$2:B720,B720),"000"))</f>
        <v>2026-064</v>
      </c>
      <c r="B720" s="63">
        <v>2026</v>
      </c>
      <c r="C720" s="21" t="s">
        <v>2102</v>
      </c>
      <c r="D720" s="163" t="s">
        <v>2110</v>
      </c>
      <c r="E720" s="321" t="s">
        <v>2111</v>
      </c>
      <c r="F720" s="30" t="s">
        <v>51</v>
      </c>
      <c r="G720" s="20" t="s">
        <v>59</v>
      </c>
      <c r="H720" s="165" t="s">
        <v>2112</v>
      </c>
      <c r="I720" s="166">
        <v>46335</v>
      </c>
      <c r="J720" s="166">
        <v>46335</v>
      </c>
      <c r="K720" s="23" t="s">
        <v>25</v>
      </c>
      <c r="L720" s="300"/>
      <c r="M720" s="184"/>
      <c r="N720" s="167">
        <v>170</v>
      </c>
      <c r="O720" s="168"/>
      <c r="P720" s="168"/>
      <c r="Q720" s="168"/>
      <c r="R720" s="168">
        <f>SUM(O720:Q720)</f>
        <v>0</v>
      </c>
      <c r="S720" s="163">
        <v>14</v>
      </c>
      <c r="T720" s="20" t="s">
        <v>365</v>
      </c>
    </row>
    <row r="721" spans="1:20" ht="22.5" customHeight="1" x14ac:dyDescent="0.25">
      <c r="A721" s="282" t="str">
        <f>IF(B721="","",B721&amp;"-"&amp;TEXT(COUNTIF(B$2:B721,B721),"000"))</f>
        <v>2026-065</v>
      </c>
      <c r="B721" s="69">
        <v>2026</v>
      </c>
      <c r="C721" s="261" t="s">
        <v>2102</v>
      </c>
      <c r="D721" s="284" t="s">
        <v>2158</v>
      </c>
      <c r="E721" s="285" t="s">
        <v>2159</v>
      </c>
      <c r="F721" s="322" t="s">
        <v>22</v>
      </c>
      <c r="G721" s="287" t="s">
        <v>56</v>
      </c>
      <c r="H721" s="289" t="s">
        <v>2417</v>
      </c>
      <c r="I721" s="291">
        <v>46344</v>
      </c>
      <c r="J721" s="291">
        <v>46345</v>
      </c>
      <c r="K721" s="284" t="s">
        <v>25</v>
      </c>
      <c r="L721" s="303">
        <v>13000</v>
      </c>
      <c r="M721" s="264"/>
      <c r="N721" s="292"/>
      <c r="O721" s="293"/>
      <c r="P721" s="293"/>
      <c r="Q721" s="293"/>
      <c r="R721" s="293">
        <f>IF(B721="","",SUM(O721:Q721))</f>
        <v>0</v>
      </c>
      <c r="S721" s="284">
        <v>10</v>
      </c>
      <c r="T721" s="287" t="s">
        <v>2161</v>
      </c>
    </row>
    <row r="722" spans="1:20" ht="22.5" customHeight="1" x14ac:dyDescent="0.25">
      <c r="A722" s="188" t="str">
        <f>IF(B722="","",B722&amp;"-"&amp;TEXT(COUNTIF(B$2:B722,B722),"000"))</f>
        <v>2026-066</v>
      </c>
      <c r="B722" s="21">
        <v>2026</v>
      </c>
      <c r="C722" s="234" t="s">
        <v>2102</v>
      </c>
      <c r="D722" s="235" t="s">
        <v>2173</v>
      </c>
      <c r="E722" s="237" t="s">
        <v>2174</v>
      </c>
      <c r="F722" s="241" t="s">
        <v>51</v>
      </c>
      <c r="G722" s="243" t="s">
        <v>59</v>
      </c>
      <c r="H722" s="245" t="s">
        <v>2145</v>
      </c>
      <c r="I722" s="247" t="s">
        <v>2175</v>
      </c>
      <c r="J722" s="247" t="s">
        <v>2176</v>
      </c>
      <c r="K722" s="235" t="s">
        <v>32</v>
      </c>
      <c r="L722" s="302"/>
      <c r="M722" s="250"/>
      <c r="N722" s="251"/>
      <c r="O722" s="254"/>
      <c r="P722" s="254"/>
      <c r="Q722" s="254"/>
      <c r="R722" s="254">
        <f>IF(B722="","",SUM(O722:Q722))</f>
        <v>0</v>
      </c>
      <c r="S722" s="235">
        <v>17.45</v>
      </c>
      <c r="T722" s="243" t="s">
        <v>2177</v>
      </c>
    </row>
    <row r="723" spans="1:20" ht="22.5" customHeight="1" x14ac:dyDescent="0.25">
      <c r="A723" s="189" t="str">
        <f>IF(B723="","",B723&amp;"-"&amp;TEXT(COUNTIF(B$2:B723,B723),"000"))</f>
        <v>2026-067</v>
      </c>
      <c r="B723" s="69">
        <v>2026</v>
      </c>
      <c r="C723" s="234" t="s">
        <v>2102</v>
      </c>
      <c r="D723" s="236" t="s">
        <v>2397</v>
      </c>
      <c r="E723" s="238" t="s">
        <v>2405</v>
      </c>
      <c r="F723" s="242" t="s">
        <v>51</v>
      </c>
      <c r="G723" s="244" t="s">
        <v>59</v>
      </c>
      <c r="H723" s="316" t="s">
        <v>2394</v>
      </c>
      <c r="I723" s="317" t="s">
        <v>2394</v>
      </c>
      <c r="J723" s="317" t="s">
        <v>2394</v>
      </c>
      <c r="K723" s="236" t="s">
        <v>32</v>
      </c>
      <c r="L723" s="302">
        <v>3520</v>
      </c>
      <c r="M723" s="250"/>
      <c r="N723" s="252">
        <v>30</v>
      </c>
      <c r="O723" s="255"/>
      <c r="P723" s="255"/>
      <c r="Q723" s="255"/>
      <c r="R723" s="318">
        <f>IF(B723="","",SUM(O723:Q723))</f>
        <v>0</v>
      </c>
      <c r="S723" s="236">
        <v>4</v>
      </c>
      <c r="T723" s="244" t="s">
        <v>2396</v>
      </c>
    </row>
    <row r="724" spans="1:20" ht="22.5" customHeight="1" x14ac:dyDescent="0.25">
      <c r="A724" s="188" t="str">
        <f>IF(B724="","",B724&amp;"-"&amp;TEXT(COUNTIF(B$2:B724,B724),"000"))</f>
        <v>2026-068</v>
      </c>
      <c r="B724" s="232">
        <v>2026</v>
      </c>
      <c r="C724" s="234" t="s">
        <v>2102</v>
      </c>
      <c r="D724" s="235" t="s">
        <v>2418</v>
      </c>
      <c r="E724" s="338" t="s">
        <v>2419</v>
      </c>
      <c r="F724" s="241" t="s">
        <v>22</v>
      </c>
      <c r="G724" s="243" t="s">
        <v>157</v>
      </c>
      <c r="H724" s="245" t="s">
        <v>2381</v>
      </c>
      <c r="I724" s="165" t="s">
        <v>2381</v>
      </c>
      <c r="J724" s="165" t="s">
        <v>2381</v>
      </c>
      <c r="K724" s="235" t="s">
        <v>25</v>
      </c>
      <c r="L724" s="302">
        <v>2000</v>
      </c>
      <c r="M724" s="250"/>
      <c r="N724" s="251">
        <v>170</v>
      </c>
      <c r="O724" s="254"/>
      <c r="P724" s="254"/>
      <c r="Q724" s="254"/>
      <c r="R724" s="254">
        <f>IF(B724="","",SUM(O724:Q724))</f>
        <v>0</v>
      </c>
      <c r="S724" s="235">
        <v>1</v>
      </c>
      <c r="T724" s="164"/>
    </row>
    <row r="725" spans="1:20" ht="22.5" customHeight="1" x14ac:dyDescent="0.25">
      <c r="A725" s="189" t="str">
        <f>IF(B725="","",B725&amp;"-"&amp;TEXT(COUNTIF(B$2:B725,B725),"000"))</f>
        <v/>
      </c>
      <c r="B725" s="233"/>
      <c r="C725" s="234"/>
      <c r="D725" s="236"/>
      <c r="E725" s="239"/>
      <c r="F725" s="242"/>
      <c r="G725" s="244"/>
      <c r="H725" s="246"/>
      <c r="I725" s="248"/>
      <c r="J725" s="248"/>
      <c r="K725" s="236"/>
      <c r="L725" s="302"/>
      <c r="M725" s="250"/>
      <c r="N725" s="252"/>
      <c r="O725" s="255"/>
      <c r="P725" s="255"/>
      <c r="Q725" s="255"/>
      <c r="R725" s="255" t="str">
        <f>IF(B725="","",SUM(O725:Q725))</f>
        <v/>
      </c>
      <c r="S725" s="236"/>
      <c r="T725" s="244"/>
    </row>
    <row r="726" spans="1:20" ht="22.5" customHeight="1" x14ac:dyDescent="0.25">
      <c r="A726" s="188" t="str">
        <f>IF(B726="","",B726&amp;"-"&amp;TEXT(COUNTIF(B$2:B726,B726),"000"))</f>
        <v/>
      </c>
      <c r="B726" s="232"/>
      <c r="C726" s="234"/>
      <c r="D726" s="235"/>
      <c r="E726" s="237"/>
      <c r="F726" s="241"/>
      <c r="G726" s="243"/>
      <c r="H726" s="245"/>
      <c r="I726" s="247"/>
      <c r="J726" s="247"/>
      <c r="K726" s="235"/>
      <c r="L726" s="302"/>
      <c r="M726" s="250"/>
      <c r="N726" s="251"/>
      <c r="O726" s="254"/>
      <c r="P726" s="254"/>
      <c r="Q726" s="254"/>
      <c r="R726" s="254" t="str">
        <f>IF(B726="","",SUM(O726:Q726))</f>
        <v/>
      </c>
      <c r="S726" s="235"/>
      <c r="T726" s="243"/>
    </row>
    <row r="727" spans="1:20" ht="22.5" customHeight="1" x14ac:dyDescent="0.25">
      <c r="A727" s="189" t="str">
        <f>IF(B727="","",B727&amp;"-"&amp;TEXT(COUNTIF(B$2:B727,B727),"000"))</f>
        <v/>
      </c>
      <c r="B727" s="233"/>
      <c r="C727" s="234"/>
      <c r="D727" s="236"/>
      <c r="E727" s="239"/>
      <c r="F727" s="242"/>
      <c r="G727" s="244"/>
      <c r="H727" s="246"/>
      <c r="I727" s="248"/>
      <c r="J727" s="248"/>
      <c r="K727" s="236"/>
      <c r="L727" s="302"/>
      <c r="M727" s="250"/>
      <c r="N727" s="252"/>
      <c r="O727" s="255"/>
      <c r="P727" s="255"/>
      <c r="Q727" s="255"/>
      <c r="R727" s="255" t="str">
        <f>IF(B727="","",SUM(O727:Q727))</f>
        <v/>
      </c>
      <c r="S727" s="236"/>
      <c r="T727" s="244"/>
    </row>
    <row r="728" spans="1:20" ht="22.5" customHeight="1" x14ac:dyDescent="0.25">
      <c r="A728" s="188" t="str">
        <f>IF(B728="","",B728&amp;"-"&amp;TEXT(COUNTIF(B$2:B728,B728),"000"))</f>
        <v/>
      </c>
      <c r="B728" s="232"/>
      <c r="C728" s="234"/>
      <c r="D728" s="235"/>
      <c r="E728" s="237"/>
      <c r="F728" s="241"/>
      <c r="G728" s="243"/>
      <c r="H728" s="245"/>
      <c r="I728" s="247"/>
      <c r="J728" s="247"/>
      <c r="K728" s="235"/>
      <c r="L728" s="302"/>
      <c r="M728" s="250"/>
      <c r="N728" s="251"/>
      <c r="O728" s="254"/>
      <c r="P728" s="254"/>
      <c r="Q728" s="254"/>
      <c r="R728" s="254" t="str">
        <f>IF(B728="","",SUM(O728:Q728))</f>
        <v/>
      </c>
      <c r="S728" s="235"/>
      <c r="T728" s="243"/>
    </row>
    <row r="729" spans="1:20" ht="22.5" customHeight="1" x14ac:dyDescent="0.25">
      <c r="A729" s="189" t="str">
        <f>IF(B729="","",B729&amp;"-"&amp;TEXT(COUNTIF(B$2:B729,B729),"000"))</f>
        <v/>
      </c>
      <c r="B729" s="233"/>
      <c r="C729" s="234"/>
      <c r="D729" s="236"/>
      <c r="E729" s="239"/>
      <c r="F729" s="242"/>
      <c r="G729" s="244"/>
      <c r="H729" s="246"/>
      <c r="I729" s="248"/>
      <c r="J729" s="248"/>
      <c r="K729" s="236"/>
      <c r="L729" s="302"/>
      <c r="M729" s="250"/>
      <c r="N729" s="252"/>
      <c r="O729" s="255"/>
      <c r="P729" s="255"/>
      <c r="Q729" s="255"/>
      <c r="R729" s="255" t="str">
        <f>IF(B729="","",SUM(O729:Q729))</f>
        <v/>
      </c>
      <c r="S729" s="236"/>
      <c r="T729" s="244"/>
    </row>
    <row r="730" spans="1:20" ht="22.5" customHeight="1" x14ac:dyDescent="0.25">
      <c r="A730" s="188" t="str">
        <f>IF(B730="","",B730&amp;"-"&amp;TEXT(COUNTIF(B$2:B730,B730),"000"))</f>
        <v/>
      </c>
      <c r="B730" s="232"/>
      <c r="C730" s="234"/>
      <c r="D730" s="235"/>
      <c r="E730" s="237"/>
      <c r="F730" s="241"/>
      <c r="G730" s="243"/>
      <c r="H730" s="245"/>
      <c r="I730" s="247"/>
      <c r="J730" s="247"/>
      <c r="K730" s="235"/>
      <c r="L730" s="302"/>
      <c r="M730" s="250"/>
      <c r="N730" s="251"/>
      <c r="O730" s="254"/>
      <c r="P730" s="254"/>
      <c r="Q730" s="254"/>
      <c r="R730" s="254" t="str">
        <f>IF(B730="","",SUM(O730:Q730))</f>
        <v/>
      </c>
      <c r="S730" s="235"/>
      <c r="T730" s="243"/>
    </row>
    <row r="731" spans="1:20" ht="22.5" customHeight="1" x14ac:dyDescent="0.25">
      <c r="A731" s="189" t="str">
        <f>IF(B731="","",B731&amp;"-"&amp;TEXT(COUNTIF(B$2:B731,B731),"000"))</f>
        <v/>
      </c>
      <c r="B731" s="233"/>
      <c r="C731" s="234"/>
      <c r="D731" s="236"/>
      <c r="E731" s="239"/>
      <c r="F731" s="242"/>
      <c r="G731" s="244"/>
      <c r="H731" s="246"/>
      <c r="I731" s="248"/>
      <c r="J731" s="248"/>
      <c r="K731" s="236"/>
      <c r="L731" s="302"/>
      <c r="M731" s="250"/>
      <c r="N731" s="252"/>
      <c r="O731" s="255"/>
      <c r="P731" s="255"/>
      <c r="Q731" s="255"/>
      <c r="R731" s="255" t="str">
        <f>IF(B731="","",SUM(O731:Q731))</f>
        <v/>
      </c>
      <c r="S731" s="236"/>
      <c r="T731" s="244"/>
    </row>
    <row r="732" spans="1:20" ht="22.5" customHeight="1" x14ac:dyDescent="0.25">
      <c r="A732" s="188" t="str">
        <f>IF(B732="","",B732&amp;"-"&amp;TEXT(COUNTIF(B$2:B732,B732),"000"))</f>
        <v/>
      </c>
      <c r="B732" s="232"/>
      <c r="C732" s="234"/>
      <c r="D732" s="235"/>
      <c r="E732" s="237"/>
      <c r="F732" s="241"/>
      <c r="G732" s="243"/>
      <c r="H732" s="245"/>
      <c r="I732" s="247"/>
      <c r="J732" s="247"/>
      <c r="K732" s="235"/>
      <c r="L732" s="302"/>
      <c r="M732" s="250"/>
      <c r="N732" s="251"/>
      <c r="O732" s="254"/>
      <c r="P732" s="254"/>
      <c r="Q732" s="254"/>
      <c r="R732" s="254" t="str">
        <f>IF(B732="","",SUM(O732:Q732))</f>
        <v/>
      </c>
      <c r="S732" s="235"/>
      <c r="T732" s="243"/>
    </row>
    <row r="733" spans="1:20" ht="22.5" customHeight="1" x14ac:dyDescent="0.25">
      <c r="A733" s="189" t="str">
        <f>IF(B733="","",B733&amp;"-"&amp;TEXT(COUNTIF(B$2:B733,B733),"000"))</f>
        <v/>
      </c>
      <c r="B733" s="233"/>
      <c r="C733" s="234"/>
      <c r="D733" s="236"/>
      <c r="E733" s="239"/>
      <c r="F733" s="242"/>
      <c r="G733" s="244"/>
      <c r="H733" s="246"/>
      <c r="I733" s="248"/>
      <c r="J733" s="248"/>
      <c r="K733" s="236"/>
      <c r="L733" s="302"/>
      <c r="M733" s="250"/>
      <c r="N733" s="252"/>
      <c r="O733" s="255"/>
      <c r="P733" s="255"/>
      <c r="Q733" s="255"/>
      <c r="R733" s="255" t="str">
        <f>IF(B733="","",SUM(O733:Q733))</f>
        <v/>
      </c>
      <c r="S733" s="236"/>
      <c r="T733" s="244"/>
    </row>
    <row r="734" spans="1:20" ht="22.5" customHeight="1" x14ac:dyDescent="0.25">
      <c r="A734" s="188" t="str">
        <f>IF(B734="","",B734&amp;"-"&amp;TEXT(COUNTIF(B$2:B734,B734),"000"))</f>
        <v/>
      </c>
      <c r="B734" s="232"/>
      <c r="C734" s="234"/>
      <c r="D734" s="235"/>
      <c r="E734" s="237"/>
      <c r="F734" s="241"/>
      <c r="G734" s="243"/>
      <c r="H734" s="245"/>
      <c r="I734" s="247"/>
      <c r="J734" s="247"/>
      <c r="K734" s="235"/>
      <c r="L734" s="302"/>
      <c r="M734" s="250"/>
      <c r="N734" s="251"/>
      <c r="O734" s="254"/>
      <c r="P734" s="254"/>
      <c r="Q734" s="254"/>
      <c r="R734" s="254" t="str">
        <f>IF(B734="","",SUM(O734:Q734))</f>
        <v/>
      </c>
      <c r="S734" s="235"/>
      <c r="T734" s="243"/>
    </row>
    <row r="735" spans="1:20" ht="22.5" customHeight="1" x14ac:dyDescent="0.25">
      <c r="A735" s="189" t="str">
        <f>IF(B735="","",B735&amp;"-"&amp;TEXT(COUNTIF(B$2:B735,B735),"000"))</f>
        <v/>
      </c>
      <c r="B735" s="233"/>
      <c r="C735" s="234"/>
      <c r="D735" s="236"/>
      <c r="E735" s="239"/>
      <c r="F735" s="242"/>
      <c r="G735" s="244"/>
      <c r="H735" s="246"/>
      <c r="I735" s="248"/>
      <c r="J735" s="248"/>
      <c r="K735" s="236"/>
      <c r="L735" s="302"/>
      <c r="M735" s="250"/>
      <c r="N735" s="252"/>
      <c r="O735" s="255"/>
      <c r="P735" s="255"/>
      <c r="Q735" s="255"/>
      <c r="R735" s="255" t="str">
        <f>IF(B735="","",SUM(O735:Q735))</f>
        <v/>
      </c>
      <c r="S735" s="236"/>
      <c r="T735" s="244"/>
    </row>
    <row r="736" spans="1:20" ht="22.5" customHeight="1" x14ac:dyDescent="0.25">
      <c r="A736" s="188" t="str">
        <f>IF(B736="","",B736&amp;"-"&amp;TEXT(COUNTIF(B$2:B736,B736),"000"))</f>
        <v/>
      </c>
      <c r="B736" s="232"/>
      <c r="C736" s="234"/>
      <c r="D736" s="235"/>
      <c r="E736" s="237"/>
      <c r="F736" s="241"/>
      <c r="G736" s="243"/>
      <c r="H736" s="245"/>
      <c r="I736" s="247"/>
      <c r="J736" s="247"/>
      <c r="K736" s="235"/>
      <c r="L736" s="302"/>
      <c r="M736" s="250"/>
      <c r="N736" s="251"/>
      <c r="O736" s="254"/>
      <c r="P736" s="254"/>
      <c r="Q736" s="254"/>
      <c r="R736" s="254" t="str">
        <f>IF(B736="","",SUM(O736:Q736))</f>
        <v/>
      </c>
      <c r="S736" s="235"/>
      <c r="T736" s="243"/>
    </row>
    <row r="737" spans="1:20" ht="22.5" customHeight="1" x14ac:dyDescent="0.25">
      <c r="A737" s="189" t="str">
        <f>IF(B737="","",B737&amp;"-"&amp;TEXT(COUNTIF(B$2:B737,B737),"000"))</f>
        <v/>
      </c>
      <c r="B737" s="233"/>
      <c r="C737" s="234"/>
      <c r="D737" s="236"/>
      <c r="E737" s="239"/>
      <c r="F737" s="242"/>
      <c r="G737" s="244"/>
      <c r="H737" s="246"/>
      <c r="I737" s="248"/>
      <c r="J737" s="248"/>
      <c r="K737" s="236"/>
      <c r="L737" s="302"/>
      <c r="M737" s="250"/>
      <c r="N737" s="252"/>
      <c r="O737" s="255"/>
      <c r="P737" s="255"/>
      <c r="Q737" s="255"/>
      <c r="R737" s="255" t="str">
        <f>IF(B737="","",SUM(O737:Q737))</f>
        <v/>
      </c>
      <c r="S737" s="236"/>
      <c r="T737" s="244"/>
    </row>
    <row r="738" spans="1:20" ht="22.5" customHeight="1" x14ac:dyDescent="0.25">
      <c r="A738" s="188" t="str">
        <f>IF(B738="","",B738&amp;"-"&amp;TEXT(COUNTIF(B$2:B738,B738),"000"))</f>
        <v/>
      </c>
      <c r="B738" s="232"/>
      <c r="C738" s="234"/>
      <c r="D738" s="235"/>
      <c r="E738" s="237"/>
      <c r="F738" s="241"/>
      <c r="G738" s="243"/>
      <c r="H738" s="245"/>
      <c r="I738" s="247"/>
      <c r="J738" s="247"/>
      <c r="K738" s="235"/>
      <c r="L738" s="302"/>
      <c r="M738" s="250"/>
      <c r="N738" s="251"/>
      <c r="O738" s="254"/>
      <c r="P738" s="254"/>
      <c r="Q738" s="254"/>
      <c r="R738" s="254" t="str">
        <f>IF(B738="","",SUM(O738:Q738))</f>
        <v/>
      </c>
      <c r="S738" s="235"/>
      <c r="T738" s="243"/>
    </row>
    <row r="739" spans="1:20" ht="22.5" customHeight="1" x14ac:dyDescent="0.25">
      <c r="A739" s="189" t="str">
        <f>IF(B739="","",B739&amp;"-"&amp;TEXT(COUNTIF(B$2:B739,B739),"000"))</f>
        <v/>
      </c>
      <c r="B739" s="233"/>
      <c r="C739" s="234"/>
      <c r="D739" s="236"/>
      <c r="E739" s="239"/>
      <c r="F739" s="242"/>
      <c r="G739" s="244"/>
      <c r="H739" s="246"/>
      <c r="I739" s="248"/>
      <c r="J739" s="248"/>
      <c r="K739" s="236"/>
      <c r="L739" s="302"/>
      <c r="M739" s="250"/>
      <c r="N739" s="252"/>
      <c r="O739" s="255"/>
      <c r="P739" s="255"/>
      <c r="Q739" s="255"/>
      <c r="R739" s="255" t="str">
        <f>IF(B739="","",SUM(O739:Q739))</f>
        <v/>
      </c>
      <c r="S739" s="236"/>
      <c r="T739" s="244"/>
    </row>
    <row r="740" spans="1:20" ht="22.5" customHeight="1" x14ac:dyDescent="0.25">
      <c r="A740" s="188" t="str">
        <f>IF(B740="","",B740&amp;"-"&amp;TEXT(COUNTIF(B$2:B740,B740),"000"))</f>
        <v/>
      </c>
      <c r="B740" s="232"/>
      <c r="C740" s="234"/>
      <c r="D740" s="235"/>
      <c r="E740" s="237"/>
      <c r="F740" s="241"/>
      <c r="G740" s="243"/>
      <c r="H740" s="245"/>
      <c r="I740" s="247"/>
      <c r="J740" s="247"/>
      <c r="K740" s="235"/>
      <c r="L740" s="302"/>
      <c r="M740" s="250"/>
      <c r="N740" s="251"/>
      <c r="O740" s="254"/>
      <c r="P740" s="254"/>
      <c r="Q740" s="254"/>
      <c r="R740" s="254" t="str">
        <f>IF(B740="","",SUM(O740:Q740))</f>
        <v/>
      </c>
      <c r="S740" s="235"/>
      <c r="T740" s="243"/>
    </row>
    <row r="741" spans="1:20" ht="22.5" customHeight="1" x14ac:dyDescent="0.25">
      <c r="A741" s="189" t="str">
        <f>IF(B741="","",B741&amp;"-"&amp;TEXT(COUNTIF(B$2:B741,B741),"000"))</f>
        <v/>
      </c>
      <c r="B741" s="233"/>
      <c r="C741" s="234"/>
      <c r="D741" s="236"/>
      <c r="E741" s="239"/>
      <c r="F741" s="242"/>
      <c r="G741" s="244"/>
      <c r="H741" s="246"/>
      <c r="I741" s="248"/>
      <c r="J741" s="248"/>
      <c r="K741" s="236"/>
      <c r="L741" s="302"/>
      <c r="M741" s="250"/>
      <c r="N741" s="252"/>
      <c r="O741" s="255"/>
      <c r="P741" s="255"/>
      <c r="Q741" s="255"/>
      <c r="R741" s="255" t="str">
        <f>IF(B741="","",SUM(O741:Q741))</f>
        <v/>
      </c>
      <c r="S741" s="236"/>
      <c r="T741" s="244"/>
    </row>
    <row r="742" spans="1:20" ht="22.5" customHeight="1" x14ac:dyDescent="0.25">
      <c r="A742" s="188" t="str">
        <f>IF(B742="","",B742&amp;"-"&amp;TEXT(COUNTIF(B$2:B742,B742),"000"))</f>
        <v/>
      </c>
      <c r="B742" s="232"/>
      <c r="C742" s="234"/>
      <c r="D742" s="235"/>
      <c r="E742" s="237"/>
      <c r="F742" s="241"/>
      <c r="G742" s="243"/>
      <c r="H742" s="245"/>
      <c r="I742" s="247"/>
      <c r="J742" s="247"/>
      <c r="K742" s="235"/>
      <c r="L742" s="302"/>
      <c r="M742" s="250"/>
      <c r="N742" s="251"/>
      <c r="O742" s="254"/>
      <c r="P742" s="254"/>
      <c r="Q742" s="254"/>
      <c r="R742" s="254" t="str">
        <f>IF(B742="","",SUM(O742:Q742))</f>
        <v/>
      </c>
      <c r="S742" s="235"/>
      <c r="T742" s="243"/>
    </row>
    <row r="743" spans="1:20" ht="22.5" customHeight="1" x14ac:dyDescent="0.25">
      <c r="A743" s="189" t="str">
        <f>IF(B743="","",B743&amp;"-"&amp;TEXT(COUNTIF(B$2:B743,B743),"000"))</f>
        <v/>
      </c>
      <c r="B743" s="233"/>
      <c r="C743" s="234"/>
      <c r="D743" s="236"/>
      <c r="E743" s="239"/>
      <c r="F743" s="242"/>
      <c r="G743" s="244"/>
      <c r="H743" s="246"/>
      <c r="I743" s="248"/>
      <c r="J743" s="248"/>
      <c r="K743" s="236"/>
      <c r="L743" s="302"/>
      <c r="M743" s="250"/>
      <c r="N743" s="252"/>
      <c r="O743" s="255"/>
      <c r="P743" s="255"/>
      <c r="Q743" s="255"/>
      <c r="R743" s="255" t="str">
        <f>IF(B743="","",SUM(O743:Q743))</f>
        <v/>
      </c>
      <c r="S743" s="236"/>
      <c r="T743" s="244"/>
    </row>
    <row r="744" spans="1:20" ht="22.5" customHeight="1" x14ac:dyDescent="0.25">
      <c r="A744" s="188" t="str">
        <f>IF(B744="","",B744&amp;"-"&amp;TEXT(COUNTIF(B$2:B744,B744),"000"))</f>
        <v/>
      </c>
      <c r="B744" s="232"/>
      <c r="C744" s="234"/>
      <c r="D744" s="235"/>
      <c r="E744" s="237"/>
      <c r="F744" s="241"/>
      <c r="G744" s="243"/>
      <c r="H744" s="245"/>
      <c r="I744" s="247"/>
      <c r="J744" s="247"/>
      <c r="K744" s="235"/>
      <c r="L744" s="302"/>
      <c r="M744" s="250"/>
      <c r="N744" s="251"/>
      <c r="O744" s="254"/>
      <c r="P744" s="254"/>
      <c r="Q744" s="254"/>
      <c r="R744" s="254" t="str">
        <f>IF(B744="","",SUM(O744:Q744))</f>
        <v/>
      </c>
      <c r="S744" s="235"/>
      <c r="T744" s="243"/>
    </row>
    <row r="745" spans="1:20" ht="22.5" customHeight="1" x14ac:dyDescent="0.25">
      <c r="A745" s="189" t="str">
        <f>IF(B745="","",B745&amp;"-"&amp;TEXT(COUNTIF(B$2:B745,B745),"000"))</f>
        <v/>
      </c>
      <c r="B745" s="233"/>
      <c r="C745" s="234"/>
      <c r="D745" s="236"/>
      <c r="E745" s="239"/>
      <c r="F745" s="242"/>
      <c r="G745" s="244"/>
      <c r="H745" s="246"/>
      <c r="I745" s="248"/>
      <c r="J745" s="248"/>
      <c r="K745" s="236"/>
      <c r="L745" s="302"/>
      <c r="M745" s="250"/>
      <c r="N745" s="252"/>
      <c r="O745" s="255"/>
      <c r="P745" s="255"/>
      <c r="Q745" s="255"/>
      <c r="R745" s="255" t="str">
        <f>IF(B745="","",SUM(O745:Q745))</f>
        <v/>
      </c>
      <c r="S745" s="236"/>
      <c r="T745" s="244"/>
    </row>
    <row r="746" spans="1:20" ht="22.5" customHeight="1" x14ac:dyDescent="0.25">
      <c r="A746" s="188" t="str">
        <f>IF(B746="","",B746&amp;"-"&amp;TEXT(COUNTIF(B$2:B746,B746),"000"))</f>
        <v/>
      </c>
      <c r="B746" s="232"/>
      <c r="C746" s="234"/>
      <c r="D746" s="235"/>
      <c r="E746" s="237"/>
      <c r="F746" s="241"/>
      <c r="G746" s="243"/>
      <c r="H746" s="245"/>
      <c r="I746" s="247"/>
      <c r="J746" s="247"/>
      <c r="K746" s="235"/>
      <c r="L746" s="302"/>
      <c r="M746" s="250"/>
      <c r="N746" s="251"/>
      <c r="O746" s="254"/>
      <c r="P746" s="254"/>
      <c r="Q746" s="254"/>
      <c r="R746" s="254" t="str">
        <f>IF(B746="","",SUM(O746:Q746))</f>
        <v/>
      </c>
      <c r="S746" s="235"/>
      <c r="T746" s="243"/>
    </row>
    <row r="747" spans="1:20" ht="22.5" customHeight="1" x14ac:dyDescent="0.25">
      <c r="A747" s="189" t="str">
        <f>IF(B747="","",B747&amp;"-"&amp;TEXT(COUNTIF(B$2:B747,B747),"000"))</f>
        <v/>
      </c>
      <c r="B747" s="233"/>
      <c r="C747" s="234"/>
      <c r="D747" s="236"/>
      <c r="E747" s="239"/>
      <c r="F747" s="242"/>
      <c r="G747" s="244"/>
      <c r="H747" s="246"/>
      <c r="I747" s="248"/>
      <c r="J747" s="248"/>
      <c r="K747" s="236"/>
      <c r="L747" s="302"/>
      <c r="M747" s="250"/>
      <c r="N747" s="252"/>
      <c r="O747" s="255"/>
      <c r="P747" s="255"/>
      <c r="Q747" s="255"/>
      <c r="R747" s="255" t="str">
        <f>IF(B747="","",SUM(O747:Q747))</f>
        <v/>
      </c>
      <c r="S747" s="236"/>
      <c r="T747" s="244"/>
    </row>
    <row r="748" spans="1:20" ht="22.5" customHeight="1" x14ac:dyDescent="0.25">
      <c r="A748" s="188" t="str">
        <f>IF(B748="","",B748&amp;"-"&amp;TEXT(COUNTIF(B$2:B748,B748),"000"))</f>
        <v/>
      </c>
      <c r="B748" s="232"/>
      <c r="C748" s="234"/>
      <c r="D748" s="235"/>
      <c r="E748" s="237"/>
      <c r="F748" s="241"/>
      <c r="G748" s="243"/>
      <c r="H748" s="245"/>
      <c r="I748" s="247"/>
      <c r="J748" s="247"/>
      <c r="K748" s="235"/>
      <c r="L748" s="302"/>
      <c r="M748" s="250"/>
      <c r="N748" s="251"/>
      <c r="O748" s="254"/>
      <c r="P748" s="254"/>
      <c r="Q748" s="254"/>
      <c r="R748" s="254" t="str">
        <f>IF(B748="","",SUM(O748:Q748))</f>
        <v/>
      </c>
      <c r="S748" s="235"/>
      <c r="T748" s="243"/>
    </row>
    <row r="749" spans="1:20" ht="22.5" customHeight="1" x14ac:dyDescent="0.25">
      <c r="A749" s="189" t="str">
        <f>IF(B749="","",B749&amp;"-"&amp;TEXT(COUNTIF(B$2:B749,B749),"000"))</f>
        <v/>
      </c>
      <c r="B749" s="233"/>
      <c r="C749" s="234"/>
      <c r="D749" s="236"/>
      <c r="E749" s="239"/>
      <c r="F749" s="242"/>
      <c r="G749" s="244"/>
      <c r="H749" s="246"/>
      <c r="I749" s="248"/>
      <c r="J749" s="248"/>
      <c r="K749" s="236"/>
      <c r="L749" s="302"/>
      <c r="M749" s="250"/>
      <c r="N749" s="252"/>
      <c r="O749" s="255"/>
      <c r="P749" s="255"/>
      <c r="Q749" s="255"/>
      <c r="R749" s="255" t="str">
        <f>IF(B749="","",SUM(O749:Q749))</f>
        <v/>
      </c>
      <c r="S749" s="236"/>
      <c r="T749" s="244"/>
    </row>
    <row r="750" spans="1:20" ht="22.5" customHeight="1" x14ac:dyDescent="0.25">
      <c r="A750" s="187"/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67"/>
      <c r="C2000" s="234"/>
      <c r="D2000" s="234"/>
      <c r="E2000" s="268"/>
      <c r="F2000" s="269"/>
      <c r="G2000" s="258"/>
      <c r="H2000" s="270"/>
      <c r="I2000" s="271"/>
      <c r="J2000" s="271"/>
      <c r="K2000" s="234"/>
      <c r="L2000" s="307"/>
      <c r="M2000" s="272"/>
      <c r="N2000" s="253"/>
      <c r="O2000" s="256"/>
      <c r="P2000" s="256"/>
      <c r="Q2000" s="256"/>
      <c r="R2000" s="256"/>
      <c r="S2000" s="234"/>
      <c r="T2000" s="258"/>
    </row>
    <row r="2001" spans="2:20" ht="22.5" customHeight="1" x14ac:dyDescent="0.25">
      <c r="B2001" s="273"/>
      <c r="C2001" s="261"/>
      <c r="D2001" s="261"/>
      <c r="E2001" s="274"/>
      <c r="F2001" s="275"/>
      <c r="G2001" s="276"/>
      <c r="H2001" s="277"/>
      <c r="I2001" s="278"/>
      <c r="J2001" s="278"/>
      <c r="K2001" s="261"/>
      <c r="L2001" s="308"/>
      <c r="M2001" s="279"/>
      <c r="N2001" s="280"/>
      <c r="O2001" s="281"/>
      <c r="P2001" s="281"/>
      <c r="Q2001" s="281"/>
      <c r="R2001" s="281"/>
      <c r="S2001" s="261"/>
      <c r="T2001" s="276"/>
    </row>
  </sheetData>
  <sheetProtection formatCells="0" formatColumns="0" formatRows="0" insertColumns="0" insertRows="0" insertHyperlinks="0" deleteRows="0" sort="0" autoFilter="0" pivotTables="0"/>
  <autoFilter ref="A1:A749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9" priority="3">
      <formula>LEN(TRIM(L1))=0</formula>
    </cfRule>
  </conditionalFormatting>
  <conditionalFormatting sqref="L1:M2001">
    <cfRule type="containsBlanks" dxfId="8" priority="6">
      <formula>LEN(TRIM(L1))=0</formula>
    </cfRule>
  </conditionalFormatting>
  <conditionalFormatting sqref="L1:M2001">
    <cfRule type="containsBlanks" dxfId="7" priority="7">
      <formula>LEN(TRIM(L1))=0</formula>
    </cfRule>
  </conditionalFormatting>
  <conditionalFormatting sqref="L2001">
    <cfRule type="containsBlanks" dxfId="6" priority="1">
      <formula>LEN(TRIM(L2001))=0</formula>
    </cfRule>
    <cfRule type="containsBlanks" dxfId="5" priority="2">
      <formula>LEN(TRIM(L2001))=0</formula>
    </cfRule>
    <cfRule type="containsBlanks" dxfId="4" priority="5">
      <formula>LEN(TRIM(L2001))=0</formula>
    </cfRule>
  </conditionalFormatting>
  <conditionalFormatting sqref="C2:C2001">
    <cfRule type="expression" dxfId="3" priority="8">
      <formula>TRIM(C2)="Realizado"</formula>
    </cfRule>
    <cfRule type="expression" dxfId="2" priority="9">
      <formula>TRIM(C2)="Cancelado"</formula>
    </cfRule>
    <cfRule type="expression" dxfId="1" priority="10">
      <formula>TRIM(C2)="Adiado"</formula>
    </cfRule>
    <cfRule type="expression" dxfId="0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5:J1048576 I722:J723 I704:J720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1" xr:uid="{6DB71AA7-38AC-4D66-9C9B-78436ED7E932}">
      <formula1>ListaInstrutores</formula1>
    </dataValidation>
    <dataValidation type="decimal" allowBlank="1" showInputMessage="1" showErrorMessage="1" sqref="L716:L1048576 L2:L714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G499999:G1048576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G657:G499998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8" activePane="bottomLeft" state="frozen"/>
      <selection pane="bottomLeft" activeCell="K69" sqref="K6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3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2415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2415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2026-045</v>
      </c>
      <c r="N40" t="str">
        <v>A realizar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>
        <v>0</v>
      </c>
      <c r="P49">
        <v>4</v>
      </c>
      <c r="Q49" t="str">
        <v>Adriana Cuoco Portugal; Cinthia Thais de Carvalho Luz Thomazi; Fernanda Viana de Souza;  Luiz Felipe Tenório de Lima Gondim; Priscila Nolasco de Oliveira</v>
      </c>
      <c r="R49">
        <v>5</v>
      </c>
      <c r="S49">
        <v>99</v>
      </c>
      <c r="T49">
        <v>94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104</v>
      </c>
      <c r="T50">
        <v>99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109</v>
      </c>
      <c r="T51">
        <v>104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113</v>
      </c>
      <c r="T52">
        <v>109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118</v>
      </c>
      <c r="T53">
        <v>113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123</v>
      </c>
      <c r="T54">
        <v>118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128</v>
      </c>
      <c r="T55">
        <v>123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133</v>
      </c>
      <c r="T56">
        <v>128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135</v>
      </c>
      <c r="T57">
        <v>133</v>
      </c>
      <c r="X57" t="s">
        <v>2416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2026-067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137</v>
      </c>
      <c r="T58">
        <v>135</v>
      </c>
      <c r="X58" t="s">
        <v>2416</v>
      </c>
      <c r="Y58" s="320" t="s">
        <v>2413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137</v>
      </c>
      <c r="X59" t="s">
        <v>2416</v>
      </c>
      <c r="Y59" t="s">
        <v>2412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2416</v>
      </c>
      <c r="Y60" t="s">
        <v>2411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>A realizar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>
        <v>0</v>
      </c>
      <c r="E96">
        <v>4</v>
      </c>
      <c r="F96" t="str">
        <v>Adriana Cuoco Portugal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>
        <v>0</v>
      </c>
      <c r="E97">
        <v>4</v>
      </c>
      <c r="F97" t="str">
        <v>Cinthia Thais de Carvalho Luz Thomazi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>
        <v>0</v>
      </c>
      <c r="E98">
        <v>4</v>
      </c>
      <c r="F98" t="str">
        <v>Fernanda Viana de Souza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>
        <v>0</v>
      </c>
      <c r="E99">
        <v>4</v>
      </c>
      <c r="F99" t="str">
        <v>Luiz Felipe Tenório de Lima Gondim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2026-054</v>
      </c>
      <c r="C100" t="str">
        <v>A realizar</v>
      </c>
      <c r="D100">
        <v>0</v>
      </c>
      <c r="E100">
        <v>4</v>
      </c>
      <c r="F100" t="str">
        <v>Priscila Nolasco de Oliveira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Adriana Cuoco Portugal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Cinthia Thais de Carvalho Luz Thomazi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Fernanda Viana de Souza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Luiz Felipe Tenório de Lima Gondim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Priscila Nolasco de Oliveira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Adriana Cuoco Portugal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Cinthia Thais de Carvalho Luz Thomazi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Fernanda Viana de Souza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Luiz Felipe Tenório de Lima Gondim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Priscila Nolasco de Oliveira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Tarsila Firmino Ely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Sara Cristina Lins Ramos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Carina de Souza Mariuba Herthel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Curso de formação sobre "Programa de Descentralização Progressiva das Ações de Saúde - PDPAS</v>
      </c>
      <c r="E114">
        <v>20</v>
      </c>
      <c r="F114" t="str">
        <v>Elvis Aaron Teixeira dos Santos Lima</v>
      </c>
      <c r="G114">
        <v>4</v>
      </c>
      <c r="H114">
        <v>20</v>
      </c>
      <c r="I114">
        <v>6</v>
      </c>
      <c r="J114">
        <v>26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Adriana Cuoco Portugal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Cinthia Thais de Carvalho Luz Thomazi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Fernanda Viana de Souza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Luiz Felipe Tenório de Lima Gondim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2026-061</v>
      </c>
      <c r="C129" t="str">
        <v>A realizar</v>
      </c>
      <c r="D129" t="str">
        <v>TCendo o Futuro</v>
      </c>
      <c r="E129">
        <v>4</v>
      </c>
      <c r="F129" t="str">
        <v>Priscila Nolasco de Oliveira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Adriana Cuoco Portugal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Cinthia Thais de Carvalho Luz Thomazi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Fernanda Viana de Souza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Luiz Felipe Tenório de Lima Gondim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2026-062</v>
      </c>
      <c r="C134" t="str">
        <v>A realizar</v>
      </c>
      <c r="D134" t="str">
        <v>TCendo o Futuro</v>
      </c>
      <c r="E134">
        <v>4</v>
      </c>
      <c r="F134" t="str">
        <v>Priscila Nolasco de Oliveira</v>
      </c>
      <c r="G134">
        <v>5</v>
      </c>
      <c r="H134">
        <v>4</v>
      </c>
      <c r="I134">
        <v>1.2</v>
      </c>
      <c r="J134">
        <v>5.2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Flávio José Fonseca de Souza</v>
      </c>
      <c r="G135">
        <v>2</v>
      </c>
      <c r="H135">
        <v>17.45</v>
      </c>
      <c r="I135">
        <v>5.2349999999999994</v>
      </c>
      <c r="J135">
        <v>22.684999999999999</v>
      </c>
      <c r="R135" t="str">
        <v/>
      </c>
      <c r="S135" t="str">
        <v/>
      </c>
    </row>
    <row r="136" spans="1:19" x14ac:dyDescent="0.25">
      <c r="A136">
        <v>2026</v>
      </c>
      <c r="B136" t="str">
        <v>2026-066</v>
      </c>
      <c r="C136" t="str">
        <v>A realizar</v>
      </c>
      <c r="D136" t="str">
        <v>Contratações de TIC com base na jurisprudência do TCDF - EAD</v>
      </c>
      <c r="E136">
        <v>17.45</v>
      </c>
      <c r="F136" t="str">
        <v>Felipe da Costa Malaquias</v>
      </c>
      <c r="G136">
        <v>2</v>
      </c>
      <c r="H136">
        <v>17.45</v>
      </c>
      <c r="I136">
        <v>5.2349999999999994</v>
      </c>
      <c r="J136">
        <v>22.684999999999999</v>
      </c>
      <c r="R136" t="str">
        <v/>
      </c>
      <c r="S136" t="str">
        <v/>
      </c>
    </row>
    <row r="137" spans="1:19" x14ac:dyDescent="0.25">
      <c r="A137">
        <v>2026</v>
      </c>
      <c r="B137" t="str">
        <v>2026-067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Silvia Lima Damasceno Carvalho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A138">
        <v>2026</v>
      </c>
      <c r="B138" t="str">
        <v>2026-067</v>
      </c>
      <c r="C138" t="str">
        <v>A realizar</v>
      </c>
      <c r="D138" t="str">
        <v>Oficina Temática - SEMAT: Matriz de Riscos em contratos de obras e serviços de engenharia</v>
      </c>
      <c r="E138">
        <v>4</v>
      </c>
      <c r="F138" t="str">
        <v>Renan Dias da Silva</v>
      </c>
      <c r="G138">
        <v>2</v>
      </c>
      <c r="H138">
        <v>4</v>
      </c>
      <c r="I138">
        <v>1.2</v>
      </c>
      <c r="J138">
        <v>5.2</v>
      </c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5" t="s">
        <v>2291</v>
      </c>
      <c r="B1" s="325"/>
      <c r="C1" s="325"/>
      <c r="D1" s="325"/>
      <c r="E1" s="325"/>
      <c r="F1" s="325"/>
      <c r="G1" s="325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6" t="s">
        <v>2292</v>
      </c>
      <c r="B4" s="327"/>
      <c r="D4" s="328" t="s">
        <v>2293</v>
      </c>
      <c r="E4" s="329"/>
      <c r="G4" s="123" t="s">
        <v>2294</v>
      </c>
    </row>
    <row r="5" spans="1:7" ht="54.95" customHeight="1" thickBot="1" x14ac:dyDescent="0.75">
      <c r="A5" s="113">
        <f>COUNTIF('Ações InCompany'!B:B,2026)</f>
        <v>68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28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3" t="s">
        <v>2296</v>
      </c>
      <c r="B8" s="323"/>
      <c r="D8" s="323" t="s">
        <v>2297</v>
      </c>
      <c r="E8" s="323"/>
    </row>
    <row r="9" spans="1:7" ht="5.0999999999999996" customHeight="1" x14ac:dyDescent="0.25">
      <c r="A9" s="324"/>
      <c r="B9" s="324"/>
      <c r="D9" s="324"/>
      <c r="E9" s="324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481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1824</v>
      </c>
    </row>
    <row r="30" spans="1:5" ht="17.25" x14ac:dyDescent="0.3">
      <c r="A30" s="323" t="s">
        <v>2306</v>
      </c>
      <c r="B30" s="323"/>
      <c r="C30" s="323"/>
      <c r="D30" s="323"/>
      <c r="E30" s="323"/>
    </row>
    <row r="31" spans="1:5" ht="5.0999999999999996" customHeight="1" x14ac:dyDescent="0.25">
      <c r="A31" s="324"/>
      <c r="B31" s="324"/>
      <c r="C31" s="324"/>
      <c r="D31" s="324"/>
      <c r="E31" s="324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0.32307692307692309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4.6153846153846156E-2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9.2307692307692313E-2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1</v>
      </c>
      <c r="D36" s="117">
        <f t="shared" si="0"/>
        <v>3</v>
      </c>
      <c r="E36" s="118">
        <f t="shared" si="1"/>
        <v>4.6153846153846156E-2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1</v>
      </c>
      <c r="D37" s="115">
        <f t="shared" si="0"/>
        <v>3</v>
      </c>
      <c r="E37" s="116">
        <f t="shared" si="1"/>
        <v>4.6153846153846156E-2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8</v>
      </c>
      <c r="D38" s="117">
        <f t="shared" si="0"/>
        <v>15</v>
      </c>
      <c r="E38" s="118">
        <f t="shared" si="1"/>
        <v>0.23076923076923078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6.1538461538461542E-2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1</v>
      </c>
      <c r="D40" s="151">
        <f>B40+C40</f>
        <v>1</v>
      </c>
      <c r="E40" s="156">
        <f>D40/$D$45</f>
        <v>1.5384615384615385E-2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0.1076923076923077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3.0769230769230771E-2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28</v>
      </c>
      <c r="D45" s="119">
        <f>SUM(D33:D44)</f>
        <v>65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0" t="s">
        <v>2356</v>
      </c>
      <c r="B1" s="330"/>
      <c r="C1" s="330"/>
      <c r="D1" s="330"/>
      <c r="E1" s="330"/>
      <c r="F1" s="330"/>
      <c r="G1" s="330"/>
      <c r="H1" s="330"/>
    </row>
    <row r="2" spans="1:8" x14ac:dyDescent="0.25">
      <c r="A2" s="128" t="s">
        <v>2357</v>
      </c>
    </row>
    <row r="4" spans="1:8" ht="21.95" customHeight="1" x14ac:dyDescent="0.25">
      <c r="A4" s="331" t="s">
        <v>2358</v>
      </c>
      <c r="B4" s="332"/>
      <c r="D4" s="331" t="s">
        <v>2359</v>
      </c>
      <c r="E4" s="332"/>
      <c r="G4" s="331" t="s">
        <v>2360</v>
      </c>
      <c r="H4" s="332"/>
    </row>
    <row r="5" spans="1:8" ht="35.1" customHeight="1" x14ac:dyDescent="0.25">
      <c r="A5" s="335">
        <f>COUNTIF('Ações InCompany'!E:E,"*maratona*")</f>
        <v>13</v>
      </c>
      <c r="B5" s="334"/>
      <c r="D5" s="333">
        <f>SUM(H8:H100)</f>
        <v>1762</v>
      </c>
      <c r="E5" s="334"/>
      <c r="G5" s="333">
        <f>IFERROR(ROUND(D5/A5,0),"-")</f>
        <v>136</v>
      </c>
      <c r="H5" s="334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6" t="s">
        <v>2366</v>
      </c>
      <c r="B1" s="336"/>
      <c r="C1" s="336"/>
      <c r="D1" s="336"/>
      <c r="E1" s="336"/>
      <c r="F1" s="336"/>
    </row>
    <row r="2" spans="1:7" x14ac:dyDescent="0.25">
      <c r="A2" s="337" t="s">
        <v>2367</v>
      </c>
      <c r="B2" s="337"/>
      <c r="C2" s="337"/>
      <c r="D2" s="337"/>
      <c r="E2" s="337"/>
      <c r="F2" s="337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4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44</v>
      </c>
      <c r="C5" s="101">
        <f>IF($A5="","",SUMIFS('GECC 2026'!I$2:I$200,'GECC 2026'!F$2:F$200,$A5))</f>
        <v>9.36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53.360000000000014</v>
      </c>
      <c r="F5" s="99">
        <f>IF($A5="","",COUNTIFS('GECC 2026'!F$2:F$200,$A5))</f>
        <v>11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Carina de Souza Mariuba Herthel</v>
      </c>
      <c r="B9" s="101">
        <f>IF($A9="","",SUMIFS('GECC 2026'!H$2:H$200,'GECC 2026'!F$2:F$200,$A9))</f>
        <v>20</v>
      </c>
      <c r="C9" s="101">
        <f>IF($A9="","",SUMIFS('GECC 2026'!I$2:I$200,'GECC 2026'!F$2:F$200,$A9))</f>
        <v>6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26</v>
      </c>
      <c r="F9" s="99">
        <f>IF($A9="","",COUNTIFS('GECC 2026'!F$2:F$200,$A9))</f>
        <v>1</v>
      </c>
    </row>
    <row r="10" spans="1:7" x14ac:dyDescent="0.25">
      <c r="A10" t="str">
        <v>Carlos Antônio</v>
      </c>
      <c r="B10" s="101">
        <f>IF($A10="","",SUMIFS('GECC 2026'!H$2:H$200,'GECC 2026'!F$2:F$200,$A10))</f>
        <v>4</v>
      </c>
      <c r="C10" s="101">
        <f>IF($A10="","",SUMIFS('GECC 2026'!I$2:I$200,'GECC 2026'!F$2:F$200,$A10))</f>
        <v>1.2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5.2</v>
      </c>
      <c r="F10" s="99">
        <f>IF($A10="","",COUNTIFS('GECC 2026'!F$2:F$200,$A10))</f>
        <v>1</v>
      </c>
    </row>
    <row r="11" spans="1:7" x14ac:dyDescent="0.25">
      <c r="A11" t="str">
        <v>Carolina Pereira de Oliveira</v>
      </c>
      <c r="B11" s="101">
        <f>IF($A11="","",SUMIFS('GECC 2026'!H$2:H$200,'GECC 2026'!F$2:F$200,$A11))</f>
        <v>8</v>
      </c>
      <c r="C11" s="101">
        <f>IF($A11="","",SUMIFS('GECC 2026'!I$2:I$200,'GECC 2026'!F$2:F$200,$A11))</f>
        <v>0.24</v>
      </c>
      <c r="D11" s="214">
        <f>IF($A11="","",SUMIFS('GECC 2026'!$AE$3:$AE$32,'GECC 2026'!$AD$3:$AD$32,$A11))</f>
        <v>0</v>
      </c>
      <c r="E11" s="203">
        <f>IF($A11="","",SUMIFS('GECC 2026'!J$2:J$200,'GECC 2026'!F$2:F$200,$A11)+SUMIFS('GECC 2026'!$AE$3:$AE$32,'GECC 2026'!$AD$3:$AD$32,$A11))</f>
        <v>8.24</v>
      </c>
      <c r="F11" s="99">
        <f>IF($A11="","",COUNTIFS('GECC 2026'!F$2:F$200,$A11))</f>
        <v>1</v>
      </c>
    </row>
    <row r="12" spans="1:7" x14ac:dyDescent="0.25">
      <c r="A12" t="str">
        <v>Cássio Murilo Alves Costa Filho</v>
      </c>
      <c r="B12" s="101">
        <f>IF($A12="","",SUMIFS('GECC 2026'!H$2:H$200,'GECC 2026'!F$2:F$200,$A12))</f>
        <v>16</v>
      </c>
      <c r="C12" s="101">
        <f>IF($A12="","",SUMIFS('GECC 2026'!I$2:I$200,'GECC 2026'!F$2:F$200,$A12))</f>
        <v>4.8</v>
      </c>
      <c r="D12" s="214">
        <f>IF($A12="","",SUMIFS('GECC 2026'!$AE$3:$AE$32,'GECC 2026'!$AD$3:$AD$32,$A12))</f>
        <v>16</v>
      </c>
      <c r="E12" s="203">
        <f>IF($A12="","",SUMIFS('GECC 2026'!J$2:J$200,'GECC 2026'!F$2:F$200,$A12)+SUMIFS('GECC 2026'!$AE$3:$AE$32,'GECC 2026'!$AD$3:$AD$32,$A12))</f>
        <v>36.799999999999997</v>
      </c>
      <c r="F12" s="99">
        <f>IF($A12="","",COUNTIFS('GECC 2026'!F$2:F$200,$A12))</f>
        <v>1</v>
      </c>
    </row>
    <row r="13" spans="1:7" x14ac:dyDescent="0.25">
      <c r="A13" t="str">
        <v>Cinthia Thais de Carvalho Luz Thomazi</v>
      </c>
      <c r="B13" s="101">
        <f>IF($A13="","",SUMIFS('GECC 2026'!H$2:H$200,'GECC 2026'!F$2:F$200,$A13))</f>
        <v>80</v>
      </c>
      <c r="C13" s="101">
        <f>IF($A13="","",SUMIFS('GECC 2026'!I$2:I$200,'GECC 2026'!F$2:F$200,$A13))</f>
        <v>12.12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92.12</v>
      </c>
      <c r="F13" s="99">
        <f>IF($A13="","",COUNTIFS('GECC 2026'!F$2:F$200,$A13))</f>
        <v>13</v>
      </c>
    </row>
    <row r="14" spans="1:7" x14ac:dyDescent="0.25">
      <c r="A14" t="str">
        <v>Davi Assunção Salvador Nery de Castro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David da Silva de Araújo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1.2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13.2</v>
      </c>
      <c r="F15" s="99">
        <f>IF($A15="","",COUNTIFS('GECC 2026'!F$2:F$200,$A15))</f>
        <v>1</v>
      </c>
    </row>
    <row r="16" spans="1:7" x14ac:dyDescent="0.25">
      <c r="A16" t="str">
        <v>Denise Duarte Guirra Kuhlmann</v>
      </c>
      <c r="B16" s="101">
        <f>IF($A16="","",SUMIFS('GECC 2026'!H$2:H$200,'GECC 2026'!F$2:F$200,$A16))</f>
        <v>12</v>
      </c>
      <c r="C16" s="101">
        <f>IF($A16="","",SUMIFS('GECC 2026'!I$2:I$200,'GECC 2026'!F$2:F$200,$A16))</f>
        <v>2.6399999999999997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14.64</v>
      </c>
      <c r="F16" s="99">
        <f>IF($A16="","",COUNTIFS('GECC 2026'!F$2:F$200,$A16))</f>
        <v>3</v>
      </c>
    </row>
    <row r="17" spans="1:6" x14ac:dyDescent="0.25">
      <c r="A17" t="str">
        <v>Diversos</v>
      </c>
      <c r="B17" s="101">
        <f>IF($A17="","",SUMIFS('GECC 2026'!H$2:H$200,'GECC 2026'!F$2:F$200,$A17))</f>
        <v>24</v>
      </c>
      <c r="C17" s="101">
        <f>IF($A17="","",SUMIFS('GECC 2026'!I$2:I$200,'GECC 2026'!F$2:F$200,$A17))</f>
        <v>7.2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31.2</v>
      </c>
      <c r="F17" s="99">
        <f>IF($A17="","",COUNTIFS('GECC 2026'!F$2:F$200,$A17))</f>
        <v>2</v>
      </c>
    </row>
    <row r="18" spans="1:6" x14ac:dyDescent="0.25">
      <c r="A18" t="str">
        <v>Douglas Vieira Silva Filho</v>
      </c>
      <c r="B18" s="101">
        <f>IF($A18="","",SUMIFS('GECC 2026'!H$2:H$200,'GECC 2026'!F$2:F$200,$A18))</f>
        <v>4</v>
      </c>
      <c r="C18" s="101">
        <f>IF($A18="","",SUMIFS('GECC 2026'!I$2:I$200,'GECC 2026'!F$2:F$200,$A18))</f>
        <v>0.6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4.5999999999999996</v>
      </c>
      <c r="F18" s="99">
        <f>IF($A18="","",COUNTIFS('GECC 2026'!F$2:F$200,$A18))</f>
        <v>1</v>
      </c>
    </row>
    <row r="19" spans="1:6" x14ac:dyDescent="0.25">
      <c r="A19" t="str">
        <v>Elvis Aaron Teixeira dos Santos Lima</v>
      </c>
      <c r="B19" s="101">
        <f>IF($A19="","",SUMIFS('GECC 2026'!H$2:H$200,'GECC 2026'!F$2:F$200,$A19))</f>
        <v>20</v>
      </c>
      <c r="C19" s="101">
        <f>IF($A19="","",SUMIFS('GECC 2026'!I$2:I$200,'GECC 2026'!F$2:F$200,$A19))</f>
        <v>6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26</v>
      </c>
      <c r="F19" s="99">
        <f>IF($A19="","",COUNTIFS('GECC 2026'!F$2:F$200,$A19))</f>
        <v>1</v>
      </c>
    </row>
    <row r="20" spans="1:6" x14ac:dyDescent="0.25">
      <c r="A20" t="str">
        <v>Eustáquio Rabelo de Souza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Felipe da Costa Malaquias</v>
      </c>
      <c r="B21" s="101">
        <f>IF($A21="","",SUMIFS('GECC 2026'!H$2:H$200,'GECC 2026'!F$2:F$200,$A21))</f>
        <v>25.45</v>
      </c>
      <c r="C21" s="101">
        <f>IF($A21="","",SUMIFS('GECC 2026'!I$2:I$200,'GECC 2026'!F$2:F$200,$A21))</f>
        <v>7.6349999999999998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33.085000000000001</v>
      </c>
      <c r="F21" s="99">
        <f>IF($A21="","",COUNTIFS('GECC 2026'!F$2:F$200,$A21))</f>
        <v>2</v>
      </c>
    </row>
    <row r="22" spans="1:6" x14ac:dyDescent="0.25">
      <c r="A22" t="str">
        <v>Felipe Ramos Barbosa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0.24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8.24</v>
      </c>
      <c r="F22" s="99">
        <f>IF($A22="","",COUNTIFS('GECC 2026'!F$2:F$200,$A22))</f>
        <v>1</v>
      </c>
    </row>
    <row r="23" spans="1:6" x14ac:dyDescent="0.25">
      <c r="A23" t="str">
        <v>Fernanda Viana de Souza</v>
      </c>
      <c r="B23" s="101">
        <f>IF($A23="","",SUMIFS('GECC 2026'!H$2:H$200,'GECC 2026'!F$2:F$200,$A23))</f>
        <v>43</v>
      </c>
      <c r="C23" s="101">
        <f>IF($A23="","",SUMIFS('GECC 2026'!I$2:I$200,'GECC 2026'!F$2:F$200,$A23))</f>
        <v>8.6100000000000012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51.610000000000021</v>
      </c>
      <c r="F23" s="99">
        <f>IF($A23="","",COUNTIFS('GECC 2026'!F$2:F$200,$A23))</f>
        <v>11</v>
      </c>
    </row>
    <row r="24" spans="1:6" x14ac:dyDescent="0.25">
      <c r="A24" t="str">
        <v>Flávio José Fonseca de Souza</v>
      </c>
      <c r="B24" s="101">
        <f>IF($A24="","",SUMIFS('GECC 2026'!H$2:H$200,'GECC 2026'!F$2:F$200,$A24))</f>
        <v>25.45</v>
      </c>
      <c r="C24" s="101">
        <f>IF($A24="","",SUMIFS('GECC 2026'!I$2:I$200,'GECC 2026'!F$2:F$200,$A24))</f>
        <v>7.6349999999999998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33.085000000000001</v>
      </c>
      <c r="F24" s="99">
        <f>IF($A24="","",COUNTIFS('GECC 2026'!F$2:F$200,$A24))</f>
        <v>2</v>
      </c>
    </row>
    <row r="25" spans="1:6" x14ac:dyDescent="0.25">
      <c r="A25" t="str">
        <v>Gabriel Heller</v>
      </c>
      <c r="B25" s="101">
        <f>IF($A25="","",SUMIFS('GECC 2026'!H$2:H$200,'GECC 2026'!F$2:F$200,$A25))</f>
        <v>28</v>
      </c>
      <c r="C25" s="101">
        <f>IF($A25="","",SUMIFS('GECC 2026'!I$2:I$200,'GECC 2026'!F$2:F$200,$A25))</f>
        <v>5.52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33.520000000000003</v>
      </c>
      <c r="F25" s="99">
        <f>IF($A25="","",COUNTIFS('GECC 2026'!F$2:F$200,$A25))</f>
        <v>2</v>
      </c>
    </row>
    <row r="26" spans="1:6" x14ac:dyDescent="0.25">
      <c r="A26" t="str">
        <v>Guilherme Bride Fernandes</v>
      </c>
      <c r="B26" s="101">
        <f>IF($A26="","",SUMIFS('GECC 2026'!H$2:H$200,'GECC 2026'!F$2:F$200,$A26))</f>
        <v>8</v>
      </c>
      <c r="C26" s="101">
        <f>IF($A26="","",SUMIFS('GECC 2026'!I$2:I$200,'GECC 2026'!F$2:F$200,$A26))</f>
        <v>0.24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8.24</v>
      </c>
      <c r="F26" s="99">
        <f>IF($A26="","",COUNTIFS('GECC 2026'!F$2:F$200,$A26))</f>
        <v>1</v>
      </c>
    </row>
    <row r="27" spans="1:6" x14ac:dyDescent="0.25">
      <c r="A27" t="str">
        <v>Gustavo Takahashi</v>
      </c>
      <c r="B27" s="101">
        <f>IF($A27="","",SUMIFS('GECC 2026'!H$2:H$200,'GECC 2026'!F$2:F$200,$A27))</f>
        <v>33</v>
      </c>
      <c r="C27" s="101">
        <f>IF($A27="","",SUMIFS('GECC 2026'!I$2:I$200,'GECC 2026'!F$2:F$200,$A27))</f>
        <v>3.5999999999999996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36.599999999999994</v>
      </c>
      <c r="F27" s="99">
        <f>IF($A27="","",COUNTIFS('GECC 2026'!F$2:F$200,$A27))</f>
        <v>5</v>
      </c>
    </row>
    <row r="28" spans="1:6" x14ac:dyDescent="0.25">
      <c r="A28" t="str">
        <v>Hamilton de Jesus Lopes Neto</v>
      </c>
      <c r="B28" s="101">
        <f>IF($A28="","",SUMIFS('GECC 2026'!H$2:H$200,'GECC 2026'!F$2:F$200,$A28))</f>
        <v>12</v>
      </c>
      <c r="C28" s="101">
        <f>IF($A28="","",SUMIFS('GECC 2026'!I$2:I$200,'GECC 2026'!F$2:F$200,$A28))</f>
        <v>1.2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13.2</v>
      </c>
      <c r="F28" s="99">
        <f>IF($A28="","",COUNTIFS('GECC 2026'!F$2:F$200,$A28))</f>
        <v>1</v>
      </c>
    </row>
    <row r="29" spans="1:6" x14ac:dyDescent="0.25">
      <c r="A29" t="str">
        <v>Igor Queiroz</v>
      </c>
      <c r="B29" s="101">
        <f>IF($A29="","",SUMIFS('GECC 2026'!H$2:H$200,'GECC 2026'!F$2:F$200,$A29))</f>
        <v>8</v>
      </c>
      <c r="C29" s="101">
        <f>IF($A29="","",SUMIFS('GECC 2026'!I$2:I$200,'GECC 2026'!F$2:F$200,$A29))</f>
        <v>0.24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8.24</v>
      </c>
      <c r="F29" s="99">
        <f>IF($A29="","",COUNTIFS('GECC 2026'!F$2:F$200,$A29))</f>
        <v>1</v>
      </c>
    </row>
    <row r="30" spans="1:6" x14ac:dyDescent="0.25">
      <c r="A30" t="str">
        <v>Indio Artiaga do Brasil Rabelo</v>
      </c>
      <c r="B30" s="101">
        <f>IF($A30="","",SUMIFS('GECC 2026'!H$2:H$200,'GECC 2026'!F$2:F$200,$A30))</f>
        <v>16</v>
      </c>
      <c r="C30" s="101">
        <f>IF($A30="","",SUMIFS('GECC 2026'!I$2:I$200,'GECC 2026'!F$2:F$200,$A30))</f>
        <v>2.4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18.399999999999999</v>
      </c>
      <c r="F30" s="99">
        <f>IF($A30="","",COUNTIFS('GECC 2026'!F$2:F$200,$A30))</f>
        <v>2</v>
      </c>
    </row>
    <row r="31" spans="1:6" x14ac:dyDescent="0.25">
      <c r="A31" t="str">
        <v>Jamile Medeiros Fon</v>
      </c>
      <c r="B31" s="101">
        <f>IF($A31="","",SUMIFS('GECC 2026'!H$2:H$200,'GECC 2026'!F$2:F$200,$A31))</f>
        <v>4</v>
      </c>
      <c r="C31" s="101">
        <f>IF($A31="","",SUMIFS('GECC 2026'!I$2:I$200,'GECC 2026'!F$2:F$200,$A31))</f>
        <v>0.6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4.5999999999999996</v>
      </c>
      <c r="F31" s="99">
        <f>IF($A31="","",COUNTIFS('GECC 2026'!F$2:F$200,$A31))</f>
        <v>1</v>
      </c>
    </row>
    <row r="32" spans="1:6" x14ac:dyDescent="0.25">
      <c r="A32" t="str">
        <v>José Roberto Alcuri Júnior</v>
      </c>
      <c r="B32" s="101">
        <f>IF($A32="","",SUMIFS('GECC 2026'!H$2:H$200,'GECC 2026'!F$2:F$200,$A32))</f>
        <v>12</v>
      </c>
      <c r="C32" s="101">
        <f>IF($A32="","",SUMIFS('GECC 2026'!I$2:I$200,'GECC 2026'!F$2:F$200,$A32))</f>
        <v>0.84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12.84</v>
      </c>
      <c r="F32" s="99">
        <f>IF($A32="","",COUNTIFS('GECC 2026'!F$2:F$200,$A32))</f>
        <v>2</v>
      </c>
    </row>
    <row r="33" spans="1:6" x14ac:dyDescent="0.25">
      <c r="A33" t="str">
        <v>Leonardo de Melo</v>
      </c>
      <c r="B33" s="101">
        <f>IF($A33="","",SUMIFS('GECC 2026'!H$2:H$200,'GECC 2026'!F$2:F$200,$A33))</f>
        <v>16</v>
      </c>
      <c r="C33" s="101">
        <f>IF($A33="","",SUMIFS('GECC 2026'!I$2:I$200,'GECC 2026'!F$2:F$200,$A33))</f>
        <v>2.4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18.399999999999999</v>
      </c>
      <c r="F33" s="99">
        <f>IF($A33="","",COUNTIFS('GECC 2026'!F$2:F$200,$A33))</f>
        <v>2</v>
      </c>
    </row>
    <row r="34" spans="1:6" x14ac:dyDescent="0.25">
      <c r="A34" t="str">
        <v>Leonardo José Alves Leal Neri</v>
      </c>
      <c r="B34" s="101">
        <f>IF($A34="","",SUMIFS('GECC 2026'!H$2:H$200,'GECC 2026'!F$2:F$200,$A34))</f>
        <v>40</v>
      </c>
      <c r="C34" s="101">
        <f>IF($A34="","",SUMIFS('GECC 2026'!I$2:I$200,'GECC 2026'!F$2:F$200,$A34))</f>
        <v>12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52</v>
      </c>
      <c r="F34" s="99">
        <f>IF($A34="","",COUNTIFS('GECC 2026'!F$2:F$200,$A34))</f>
        <v>2</v>
      </c>
    </row>
    <row r="35" spans="1:6" x14ac:dyDescent="0.25">
      <c r="A35" t="str">
        <v>Luciana Alvim</v>
      </c>
      <c r="B35" s="101">
        <f>IF($A35="","",SUMIFS('GECC 2026'!H$2:H$200,'GECC 2026'!F$2:F$200,$A35))</f>
        <v>60</v>
      </c>
      <c r="C35" s="101">
        <f>IF($A35="","",SUMIFS('GECC 2026'!I$2:I$200,'GECC 2026'!F$2:F$200,$A35))</f>
        <v>74</v>
      </c>
      <c r="D35" s="214">
        <f>IF($A35="","",SUMIFS('GECC 2026'!$AE$3:$AE$32,'GECC 2026'!$AD$3:$AD$32,$A35))</f>
        <v>0</v>
      </c>
      <c r="E35" s="203">
        <f>IF($A35="","",SUMIFS('GECC 2026'!J$2:J$200,'GECC 2026'!F$2:F$200,$A35)+SUMIFS('GECC 2026'!$AE$3:$AE$32,'GECC 2026'!$AD$3:$AD$32,$A35))</f>
        <v>134</v>
      </c>
      <c r="F35" s="99">
        <f>IF($A35="","",COUNTIFS('GECC 2026'!F$2:F$200,$A35))</f>
        <v>6</v>
      </c>
    </row>
    <row r="36" spans="1:6" x14ac:dyDescent="0.25">
      <c r="A36" t="str">
        <v>Luiz Felipe Tenório de Lima Gondim</v>
      </c>
      <c r="B36" s="101">
        <f>IF($A36="","",SUMIFS('GECC 2026'!H$2:H$200,'GECC 2026'!F$2:F$200,$A36))</f>
        <v>28</v>
      </c>
      <c r="C36" s="101">
        <f>IF($A36="","",SUMIFS('GECC 2026'!I$2:I$200,'GECC 2026'!F$2:F$200,$A36))</f>
        <v>5.5200000000000005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33.520000000000003</v>
      </c>
      <c r="F36" s="99">
        <f>IF($A36="","",COUNTIFS('GECC 2026'!F$2:F$200,$A36))</f>
        <v>7</v>
      </c>
    </row>
    <row r="37" spans="1:6" x14ac:dyDescent="0.25">
      <c r="A37" t="str">
        <v>Marcelo Bálbio Moraes</v>
      </c>
      <c r="B37" s="101">
        <f>IF($A37="","",SUMIFS('GECC 2026'!H$2:H$200,'GECC 2026'!F$2:F$200,$A37))</f>
        <v>0</v>
      </c>
      <c r="C37" s="101">
        <f>IF($A37="","",SUMIFS('GECC 2026'!I$2:I$200,'GECC 2026'!F$2:F$200,$A37))</f>
        <v>0</v>
      </c>
      <c r="D37" s="214">
        <f>IF($A37="","",SUMIFS('GECC 2026'!$AE$3:$AE$32,'GECC 2026'!$AD$3:$AD$32,$A37))</f>
        <v>16</v>
      </c>
      <c r="E37" s="203">
        <f>IF($A37="","",SUMIFS('GECC 2026'!J$2:J$200,'GECC 2026'!F$2:F$200,$A37)+SUMIFS('GECC 2026'!$AE$3:$AE$32,'GECC 2026'!$AD$3:$AD$32,$A37))</f>
        <v>16</v>
      </c>
      <c r="F37" s="99">
        <f>IF($A37="","",COUNTIFS('GECC 2026'!F$2:F$200,$A37))</f>
        <v>0</v>
      </c>
    </row>
    <row r="38" spans="1:6" x14ac:dyDescent="0.25">
      <c r="A38" t="str">
        <v>Marcelo Santana</v>
      </c>
      <c r="B38" s="101">
        <f>IF($A38="","",SUMIFS('GECC 2026'!H$2:H$200,'GECC 2026'!F$2:F$200,$A38))</f>
        <v>8</v>
      </c>
      <c r="C38" s="101">
        <f>IF($A38="","",SUMIFS('GECC 2026'!I$2:I$200,'GECC 2026'!F$2:F$200,$A38))</f>
        <v>0.24</v>
      </c>
      <c r="D38" s="214">
        <f>IF($A38="","",SUMIFS('GECC 2026'!$AE$3:$AE$32,'GECC 2026'!$AD$3:$AD$32,$A38))</f>
        <v>0</v>
      </c>
      <c r="E38" s="203">
        <f>IF($A38="","",SUMIFS('GECC 2026'!J$2:J$200,'GECC 2026'!F$2:F$200,$A38)+SUMIFS('GECC 2026'!$AE$3:$AE$32,'GECC 2026'!$AD$3:$AD$32,$A38))</f>
        <v>8.24</v>
      </c>
      <c r="F38" s="99">
        <f>IF($A38="","",COUNTIFS('GECC 2026'!F$2:F$200,$A38))</f>
        <v>1</v>
      </c>
    </row>
    <row r="39" spans="1:6" x14ac:dyDescent="0.25">
      <c r="A39" t="str">
        <v>Marcelo Silva Santana</v>
      </c>
      <c r="B39" s="101">
        <f>IF($A39="","",SUMIFS('GECC 2026'!H$2:H$200,'GECC 2026'!F$2:F$200,$A39))</f>
        <v>4</v>
      </c>
      <c r="C39" s="101">
        <f>IF($A39="","",SUMIFS('GECC 2026'!I$2:I$200,'GECC 2026'!F$2:F$200,$A39))</f>
        <v>0.6</v>
      </c>
      <c r="D39" s="214">
        <f>IF($A39="","",SUMIFS('GECC 2026'!$AE$3:$AE$32,'GECC 2026'!$AD$3:$AD$32,$A39))</f>
        <v>0</v>
      </c>
      <c r="E39" s="203">
        <f>IF($A39="","",SUMIFS('GECC 2026'!J$2:J$200,'GECC 2026'!F$2:F$200,$A39)+SUMIFS('GECC 2026'!$AE$3:$AE$32,'GECC 2026'!$AD$3:$AD$32,$A39))</f>
        <v>4.5999999999999996</v>
      </c>
      <c r="F39" s="99">
        <f>IF($A39="","",COUNTIFS('GECC 2026'!F$2:F$200,$A39))</f>
        <v>1</v>
      </c>
    </row>
    <row r="40" spans="1:6" x14ac:dyDescent="0.25">
      <c r="A40" t="str">
        <v>Mauri Siqueira Montessi</v>
      </c>
      <c r="B40" s="101">
        <f>IF($A40="","",SUMIFS('GECC 2026'!H$2:H$200,'GECC 2026'!F$2:F$200,$A40))</f>
        <v>0</v>
      </c>
      <c r="C40" s="101">
        <f>IF($A40="","",SUMIFS('GECC 2026'!I$2:I$200,'GECC 2026'!F$2:F$200,$A40))</f>
        <v>0</v>
      </c>
      <c r="D40" s="214">
        <f>IF($A40="","",SUMIFS('GECC 2026'!$AE$3:$AE$32,'GECC 2026'!$AD$3:$AD$32,$A40))</f>
        <v>16</v>
      </c>
      <c r="E40" s="203">
        <f>IF($A40="","",SUMIFS('GECC 2026'!J$2:J$200,'GECC 2026'!F$2:F$200,$A40)+SUMIFS('GECC 2026'!$AE$3:$AE$32,'GECC 2026'!$AD$3:$AD$32,$A40))</f>
        <v>16</v>
      </c>
      <c r="F40" s="99">
        <f>IF($A40="","",COUNTIFS('GECC 2026'!F$2:F$200,$A40))</f>
        <v>0</v>
      </c>
    </row>
    <row r="41" spans="1:6" x14ac:dyDescent="0.25">
      <c r="A41" t="str">
        <v>Michel Martins de Morais</v>
      </c>
      <c r="B41" s="101">
        <f>IF($A41="","",SUMIFS('GECC 2026'!H$2:H$200,'GECC 2026'!F$2:F$200,$A41))</f>
        <v>0</v>
      </c>
      <c r="C41" s="101">
        <f>IF($A41="","",SUMIFS('GECC 2026'!I$2:I$200,'GECC 2026'!F$2:F$200,$A41))</f>
        <v>0</v>
      </c>
      <c r="D41" s="214">
        <f>IF($A41="","",SUMIFS('GECC 2026'!$AE$3:$AE$32,'GECC 2026'!$AD$3:$AD$32,$A41))</f>
        <v>16</v>
      </c>
      <c r="E41" s="203">
        <f>IF($A41="","",SUMIFS('GECC 2026'!J$2:J$200,'GECC 2026'!F$2:F$200,$A41)+SUMIFS('GECC 2026'!$AE$3:$AE$32,'GECC 2026'!$AD$3:$AD$32,$A41))</f>
        <v>16</v>
      </c>
      <c r="F41" s="99">
        <f>IF($A41="","",COUNTIFS('GECC 2026'!F$2:F$200,$A41))</f>
        <v>0</v>
      </c>
    </row>
    <row r="42" spans="1:6" x14ac:dyDescent="0.25">
      <c r="A42" t="str">
        <v>Paulo José Góes Daltro</v>
      </c>
      <c r="B42" s="101">
        <f>IF($A42="","",SUMIFS('GECC 2026'!H$2:H$200,'GECC 2026'!F$2:F$200,$A42))</f>
        <v>43</v>
      </c>
      <c r="C42" s="101">
        <f>IF($A42="","",SUMIFS('GECC 2026'!I$2:I$200,'GECC 2026'!F$2:F$200,$A42))</f>
        <v>12.899999999999999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55.9</v>
      </c>
      <c r="F42" s="99">
        <f>IF($A42="","",COUNTIFS('GECC 2026'!F$2:F$200,$A42))</f>
        <v>4</v>
      </c>
    </row>
    <row r="43" spans="1:6" x14ac:dyDescent="0.25">
      <c r="A43" t="str">
        <v>Priscila Nolasco de Oliveira</v>
      </c>
      <c r="B43" s="101">
        <f>IF($A43="","",SUMIFS('GECC 2026'!H$2:H$200,'GECC 2026'!F$2:F$200,$A43))</f>
        <v>40</v>
      </c>
      <c r="C43" s="101">
        <f>IF($A43="","",SUMIFS('GECC 2026'!I$2:I$200,'GECC 2026'!F$2:F$200,$A43))</f>
        <v>6.24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46.240000000000009</v>
      </c>
      <c r="F43" s="99">
        <f>IF($A43="","",COUNTIFS('GECC 2026'!F$2:F$200,$A43))</f>
        <v>10</v>
      </c>
    </row>
    <row r="44" spans="1:6" x14ac:dyDescent="0.25">
      <c r="A44" t="str">
        <v>Reinaldo Alencar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Renan Dias da Silva</v>
      </c>
      <c r="B45" s="101">
        <f>IF($A45="","",SUMIFS('GECC 2026'!H$2:H$200,'GECC 2026'!F$2:F$200,$A45))</f>
        <v>4</v>
      </c>
      <c r="C45" s="101">
        <f>IF($A45="","",SUMIFS('GECC 2026'!I$2:I$200,'GECC 2026'!F$2:F$200,$A45))</f>
        <v>1.2</v>
      </c>
      <c r="D45" s="214">
        <f>IF($A45="","",SUMIFS('GECC 2026'!$AE$3:$AE$32,'GECC 2026'!$AD$3:$AD$32,$A45))</f>
        <v>0</v>
      </c>
      <c r="E45" s="203">
        <f>IF($A45="","",SUMIFS('GECC 2026'!J$2:J$200,'GECC 2026'!F$2:F$200,$A45)+SUMIFS('GECC 2026'!$AE$3:$AE$32,'GECC 2026'!$AD$3:$AD$32,$A45))</f>
        <v>5.2</v>
      </c>
      <c r="F45" s="99">
        <f>IF($A45="","",COUNTIFS('GECC 2026'!F$2:F$200,$A45))</f>
        <v>1</v>
      </c>
    </row>
    <row r="46" spans="1:6" x14ac:dyDescent="0.25">
      <c r="A46" t="str">
        <v>Rogério Ribeiro</v>
      </c>
      <c r="B46" s="101">
        <f>IF($A46="","",SUMIFS('GECC 2026'!H$2:H$200,'GECC 2026'!F$2:F$200,$A46))</f>
        <v>56</v>
      </c>
      <c r="C46" s="101">
        <f>IF($A46="","",SUMIFS('GECC 2026'!I$2:I$200,'GECC 2026'!F$2:F$200,$A46))</f>
        <v>7.3199999999999994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63.32</v>
      </c>
      <c r="F46" s="99">
        <f>IF($A46="","",COUNTIFS('GECC 2026'!F$2:F$200,$A46))</f>
        <v>3</v>
      </c>
    </row>
    <row r="47" spans="1:6" x14ac:dyDescent="0.25">
      <c r="A47" t="str">
        <v>Rômulo Miranda Alvim</v>
      </c>
      <c r="B47" s="101">
        <f>IF($A47="","",SUMIFS('GECC 2026'!H$2:H$200,'GECC 2026'!F$2:F$200,$A47))</f>
        <v>32</v>
      </c>
      <c r="C47" s="101">
        <f>IF($A47="","",SUMIFS('GECC 2026'!I$2:I$200,'GECC 2026'!F$2:F$200,$A47))</f>
        <v>3.7199999999999998</v>
      </c>
      <c r="D47" s="214">
        <f>IF($A47="","",SUMIFS('GECC 2026'!$AE$3:$AE$32,'GECC 2026'!$AD$3:$AD$32,$A47))</f>
        <v>16</v>
      </c>
      <c r="E47" s="203">
        <f>IF($A47="","",SUMIFS('GECC 2026'!J$2:J$200,'GECC 2026'!F$2:F$200,$A47)+SUMIFS('GECC 2026'!$AE$3:$AE$32,'GECC 2026'!$AD$3:$AD$32,$A47))</f>
        <v>51.72</v>
      </c>
      <c r="F47" s="99">
        <f>IF($A47="","",COUNTIFS('GECC 2026'!F$2:F$200,$A47))</f>
        <v>2</v>
      </c>
    </row>
    <row r="48" spans="1:6" x14ac:dyDescent="0.25">
      <c r="A48" t="str">
        <v>Sara Cristina Lins Ramos</v>
      </c>
      <c r="B48" s="101">
        <f>IF($A48="","",SUMIFS('GECC 2026'!H$2:H$200,'GECC 2026'!F$2:F$200,$A48))</f>
        <v>20</v>
      </c>
      <c r="C48" s="101">
        <f>IF($A48="","",SUMIFS('GECC 2026'!I$2:I$200,'GECC 2026'!F$2:F$200,$A48))</f>
        <v>6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26</v>
      </c>
      <c r="F48" s="99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101">
        <f>IF($A49="","",SUMIFS('GECC 2026'!H$2:H$200,'GECC 2026'!F$2:F$200,$A49))</f>
        <v>0</v>
      </c>
      <c r="C49" s="101">
        <f>IF($A49="","",SUMIFS('GECC 2026'!I$2:I$200,'GECC 2026'!F$2:F$200,$A49))</f>
        <v>0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0</v>
      </c>
      <c r="F49" s="99">
        <f>IF($A49="","",COUNTIFS('GECC 2026'!F$2:F$200,$A49))</f>
        <v>1</v>
      </c>
    </row>
    <row r="50" spans="1:6" x14ac:dyDescent="0.25">
      <c r="A50" t="str">
        <v>Silvia Lima Damasceno Carvalho</v>
      </c>
      <c r="B50" s="101">
        <f>IF($A50="","",SUMIFS('GECC 2026'!H$2:H$200,'GECC 2026'!F$2:F$200,$A50))</f>
        <v>28</v>
      </c>
      <c r="C50" s="101">
        <f>IF($A50="","",SUMIFS('GECC 2026'!I$2:I$200,'GECC 2026'!F$2:F$200,$A50))</f>
        <v>3.84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31.84</v>
      </c>
      <c r="F50" s="99">
        <f>IF($A50="","",COUNTIFS('GECC 2026'!F$2:F$200,$A50))</f>
        <v>6</v>
      </c>
    </row>
    <row r="51" spans="1:6" x14ac:dyDescent="0.25">
      <c r="A51" t="str">
        <v>Tarsila Firmino Ely</v>
      </c>
      <c r="B51" s="101">
        <f>IF($A51="","",SUMIFS('GECC 2026'!H$2:H$200,'GECC 2026'!F$2:F$200,$A51))</f>
        <v>76</v>
      </c>
      <c r="C51" s="101">
        <f>IF($A51="","",SUMIFS('GECC 2026'!I$2:I$200,'GECC 2026'!F$2:F$200,$A51))</f>
        <v>82.399999999999991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158.39999999999998</v>
      </c>
      <c r="F51" s="99">
        <f>IF($A51="","",COUNTIFS('GECC 2026'!F$2:F$200,$A51))</f>
        <v>6</v>
      </c>
    </row>
    <row r="52" spans="1:6" x14ac:dyDescent="0.25">
      <c r="A52" t="str">
        <v>Thiago Magalhães de Oliveira</v>
      </c>
      <c r="B52" s="101">
        <f>IF($A52="","",SUMIFS('GECC 2026'!H$2:H$200,'GECC 2026'!F$2:F$200,$A52))</f>
        <v>4</v>
      </c>
      <c r="C52" s="101">
        <f>IF($A52="","",SUMIFS('GECC 2026'!I$2:I$200,'GECC 2026'!F$2:F$200,$A52))</f>
        <v>0.6</v>
      </c>
      <c r="D52" s="214">
        <f>IF($A52="","",SUMIFS('GECC 2026'!$AE$3:$AE$32,'GECC 2026'!$AD$3:$AD$32,$A52))</f>
        <v>0</v>
      </c>
      <c r="E52" s="203">
        <f>IF($A52="","",SUMIFS('GECC 2026'!J$2:J$200,'GECC 2026'!F$2:F$200,$A52)+SUMIFS('GECC 2026'!$AE$3:$AE$32,'GECC 2026'!$AD$3:$AD$32,$A52))</f>
        <v>4.5999999999999996</v>
      </c>
      <c r="F52" s="99">
        <f>IF($A52="","",COUNTIFS('GECC 2026'!F$2:F$200,$A52))</f>
        <v>1</v>
      </c>
    </row>
    <row r="53" spans="1:6" x14ac:dyDescent="0.25">
      <c r="A53" t="str">
        <v>Túllio Herbeth Teixeira Moraes</v>
      </c>
      <c r="B53" s="101">
        <f>IF($A53="","",SUMIFS('GECC 2026'!H$2:H$200,'GECC 2026'!F$2:F$200,$A53))</f>
        <v>3</v>
      </c>
      <c r="C53" s="101">
        <f>IF($A53="","",SUMIFS('GECC 2026'!I$2:I$200,'GECC 2026'!F$2:F$200,$A53))</f>
        <v>0.44999999999999996</v>
      </c>
      <c r="D53" s="214">
        <f>IF($A53="","",SUMIFS('GECC 2026'!$AE$3:$AE$32,'GECC 2026'!$AD$3:$AD$32,$A53))</f>
        <v>0</v>
      </c>
      <c r="E53" s="203">
        <f>IF($A53="","",SUMIFS('GECC 2026'!J$2:J$200,'GECC 2026'!F$2:F$200,$A53)+SUMIFS('GECC 2026'!$AE$3:$AE$32,'GECC 2026'!$AD$3:$AD$32,$A53))</f>
        <v>3.45</v>
      </c>
      <c r="F53" s="99">
        <f>IF($A53="","",COUNTIFS('GECC 2026'!F$2:F$200,$A53))</f>
        <v>1</v>
      </c>
    </row>
    <row r="54" spans="1:6" x14ac:dyDescent="0.25">
      <c r="A54" t="str">
        <v>Wibys Pereira</v>
      </c>
      <c r="B54" s="101">
        <f>IF($A54="","",SUMIFS('GECC 2026'!H$2:H$200,'GECC 2026'!F$2:F$200,$A54))</f>
        <v>4</v>
      </c>
      <c r="C54" s="101">
        <f>IF($A54="","",SUMIFS('GECC 2026'!I$2:I$200,'GECC 2026'!F$2:F$200,$A54))</f>
        <v>0.6</v>
      </c>
      <c r="D54" s="214">
        <f>IF($A54="","",SUMIFS('GECC 2026'!$AE$3:$AE$32,'GECC 2026'!$AD$3:$AD$32,$A54))</f>
        <v>0</v>
      </c>
      <c r="E54" s="203">
        <f>IF($A54="","",SUMIFS('GECC 2026'!J$2:J$200,'GECC 2026'!F$2:F$200,$A54)+SUMIFS('GECC 2026'!$AE$3:$AE$32,'GECC 2026'!$AD$3:$AD$32,$A54))</f>
        <v>4.5999999999999996</v>
      </c>
      <c r="F54" s="99">
        <f>IF($A54="","",COUNTIFS('GECC 2026'!F$2:F$200,$A54))</f>
        <v>1</v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1081.9000000000001</v>
      </c>
      <c r="C105" s="205">
        <f>SUM(C5:C100)</f>
        <v>331.75000000000006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137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2026-07-28T20:14:44Z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