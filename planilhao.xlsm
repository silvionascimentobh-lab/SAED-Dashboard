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68" documentId="8_{454372C2-A99E-4E47-A759-72B38925853E}" xr6:coauthVersionLast="47" xr6:coauthVersionMax="47" xr10:uidLastSave="{75B07886-CE79-4215-A58C-F82F67F09A61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C52" i="23" l="1"/>
  <c r="B52" i="23"/>
  <c r="F52" i="23"/>
  <c r="E52" i="23"/>
  <c r="D52" i="23"/>
  <c r="E51" i="23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<sst xmlns="http://schemas.openxmlformats.org/spreadsheetml/2006/main" count="6239" uniqueCount="2408">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</sst>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49" fontId="41" fillId="22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8" activePane="bottomLeft" state="frozen"/>
      <selection pane="bottomLeft" activeCell="E717" sqref="E717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2407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289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2146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9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9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9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9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2400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>
        <v>1770</v>
      </c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>
        <v>2347</v>
      </c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2401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>
        <v>1990</v>
      </c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2402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>
        <v>3520</v>
      </c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2403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>
        <v>3520</v>
      </c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2404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>
        <v>3520</v>
      </c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2405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>
        <v>3520</v>
      </c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2399</v>
      </c>
      <c r="E720" s="288" t="s">
        <v>2406</v>
      </c>
      <c r="F720" s="220" t="s">
        <v>51</v>
      </c>
      <c r="G720" s="217" t="s">
        <v>59</v>
      </c>
      <c r="H720" s="286" t="s">
        <v>2396</v>
      </c>
      <c r="I720" s="286" t="s">
        <v>2396</v>
      </c>
      <c r="J720" s="286" t="s">
        <v>2396</v>
      </c>
      <c r="K720" s="218" t="s">
        <v>32</v>
      </c>
      <c r="L720" s="223">
        <v>3520</v>
      </c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2398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2" priority="8">
      <formula>TRIM(C2)="Realizado"</formula>
    </cfRule>
    <cfRule type="expression" dxfId="51" priority="9">
      <formula>TRIM(C2)="Cancelado"</formula>
    </cfRule>
    <cfRule type="expression" dxfId="50" priority="10">
      <formula>TRIM(C2)="Adiado"</formula>
    </cfRule>
    <cfRule type="expression" dxfId="49" priority="11">
      <formula>AND(TRIM(C2)="A realizar",ISODD(ROW(C2)))</formula>
    </cfRule>
  </conditionalFormatting>
  <conditionalFormatting sqref="L680">
    <cfRule type="containsBlanks" dxfId="48" priority="5">
      <formula>LEN(TRIM(L680))=0</formula>
    </cfRule>
  </conditionalFormatting>
  <conditionalFormatting sqref="L689:L690">
    <cfRule type="containsBlanks" dxfId="47" priority="3">
      <formula>LEN(TRIM(L689))=0</formula>
    </cfRule>
  </conditionalFormatting>
  <conditionalFormatting sqref="M1:M513 L1:L537 L678">
    <cfRule type="containsBlanks" dxfId="46" priority="6">
      <formula>LEN(TRIM(L1))=0</formula>
    </cfRule>
  </conditionalFormatting>
  <conditionalFormatting sqref="M517:M675 L539:L675 L676:M676">
    <cfRule type="containsBlanks" dxfId="45" priority="7">
      <formula>LEN(TRIM(L517))=0</formula>
    </cfRule>
  </conditionalFormatting>
  <conditionalFormatting sqref="L704">
    <cfRule type="containsBlanks" dxfId="44" priority="2">
      <formula>LEN(TRIM(L704))=0</formula>
    </cfRule>
  </conditionalFormatting>
  <conditionalFormatting sqref="L695">
    <cfRule type="containsBlanks" dxfId="43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2397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3" t="s">
        <v>2293</v>
      </c>
      <c r="B1" s="293"/>
      <c r="C1" s="293"/>
      <c r="D1" s="293"/>
      <c r="E1" s="293"/>
      <c r="F1" s="293"/>
      <c r="G1" s="293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4" t="s">
        <v>2294</v>
      </c>
      <c r="B4" s="295"/>
      <c r="D4" s="296" t="s">
        <v>2295</v>
      </c>
      <c r="E4" s="297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91" t="s">
        <v>2298</v>
      </c>
      <c r="B8" s="291"/>
      <c r="D8" s="291" t="s">
        <v>2299</v>
      </c>
      <c r="E8" s="291"/>
    </row>
    <row r="9" spans="1:7" ht="5.0999999999999996" customHeight="1" x14ac:dyDescent="0.25">
      <c r="A9" s="292"/>
      <c r="B9" s="292"/>
      <c r="D9" s="292"/>
      <c r="E9" s="292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91" t="s">
        <v>2308</v>
      </c>
      <c r="B30" s="291"/>
      <c r="C30" s="291"/>
      <c r="D30" s="291"/>
      <c r="E30" s="291"/>
    </row>
    <row r="31" spans="1:5" ht="5.0999999999999996" customHeight="1" x14ac:dyDescent="0.25">
      <c r="A31" s="292"/>
      <c r="B31" s="292"/>
      <c r="C31" s="292"/>
      <c r="D31" s="292"/>
      <c r="E31" s="292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0.22950819672131148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1.6393442622950821E-2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8" t="s">
        <v>2358</v>
      </c>
      <c r="B1" s="298"/>
      <c r="C1" s="298"/>
      <c r="D1" s="298"/>
      <c r="E1" s="298"/>
      <c r="F1" s="298"/>
      <c r="G1" s="298"/>
      <c r="H1" s="298"/>
    </row>
    <row r="2" spans="1:8" x14ac:dyDescent="0.25">
      <c r="A2" s="130" t="s">
        <v>2359</v>
      </c>
    </row>
    <row r="4" spans="1:8" ht="21.95" customHeight="1" x14ac:dyDescent="0.25">
      <c r="A4" s="299" t="s">
        <v>2360</v>
      </c>
      <c r="B4" s="300"/>
      <c r="D4" s="299" t="s">
        <v>2361</v>
      </c>
      <c r="E4" s="300"/>
      <c r="G4" s="299" t="s">
        <v>2362</v>
      </c>
      <c r="H4" s="300"/>
    </row>
    <row r="5" spans="1:8" ht="35.1" customHeight="1" x14ac:dyDescent="0.25">
      <c r="A5" s="303">
        <f>COUNTIF('Ações InCompany'!E:E,"*maratona*")</f>
        <v>13</v>
      </c>
      <c r="B5" s="302"/>
      <c r="D5" s="301">
        <f>SUM(H8:H100)</f>
        <v>1762</v>
      </c>
      <c r="E5" s="302"/>
      <c r="G5" s="301">
        <f>IFERROR(ROUND(D5/A5,0),"-")</f>
        <v>136</v>
      </c>
      <c r="H5" s="302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4" t="s">
        <v>2368</v>
      </c>
      <c r="B1" s="304"/>
      <c r="C1" s="304"/>
      <c r="D1" s="304"/>
      <c r="E1" s="304"/>
      <c r="F1" s="304"/>
    </row>
    <row r="2" spans="1:7" x14ac:dyDescent="0.25">
      <c r="A2" s="305" t="s">
        <v>2369</v>
      </c>
      <c r="B2" s="305"/>
      <c r="C2" s="305"/>
      <c r="D2" s="305"/>
      <c r="E2" s="305"/>
      <c r="F2" s="305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2026-07-20T17:21:36Z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