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84" documentId="13_ncr:1_{6A2CC3E2-FAFB-4D8F-B284-5E8FB5045DFE}" xr6:coauthVersionLast="47" xr6:coauthVersionMax="47" xr10:uidLastSave="{CB25B8AF-7193-49CD-A4D8-444E0169F08F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<sst xmlns="http://schemas.openxmlformats.org/spreadsheetml/2006/main" count="7457" uniqueCount="3278">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</sst>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28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1228</c:v>
                </c:pt>
                <c:pt idx="1">
                  <c:v>1719</c:v>
                </c:pt>
                <c:pt idx="2">
                  <c:v>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>
    <filterColumn colId="2">
      <filters>
        <filter val="Realizad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G1" zoomScaleNormal="100" workbookViewId="0">
      <pane ySplit="1" topLeftCell="A714" activePane="bottomLeft" state="frozen"/>
      <selection pane="bottomLeft" activeCell="O720" sqref="O72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hidden="1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hidden="1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hidden="1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hidden="1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hidden="1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hidden="1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/>
      <c r="Q719" s="155"/>
      <c r="R719" s="155">
        <f t="shared" si="14"/>
        <v>27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hidden="1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hidden="1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hidden="1" x14ac:dyDescent="0.25">
      <c r="A732" s="153" t="s">
        <v>2998</v>
      </c>
      <c r="B732" s="151">
        <v>2026</v>
      </c>
      <c r="C732" s="151" t="s">
        <v>2982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hidden="1" x14ac:dyDescent="0.25">
      <c r="A733" s="153" t="s">
        <v>3002</v>
      </c>
      <c r="B733" s="151">
        <v>2026</v>
      </c>
      <c r="C733" s="151" t="s">
        <v>2982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hidden="1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3017</v>
      </c>
      <c r="U736" s="208"/>
    </row>
    <row r="737" spans="1:21" ht="15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hidden="1" x14ac:dyDescent="0.25">
      <c r="A738" s="153" t="s">
        <v>3022</v>
      </c>
      <c r="B738" s="115">
        <v>2026</v>
      </c>
      <c r="C738" s="151" t="s">
        <v>2982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3026</v>
      </c>
      <c r="U738" s="209"/>
    </row>
    <row r="739" spans="1:21" ht="15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hidden="1" x14ac:dyDescent="0.25">
      <c r="A740" s="153" t="s">
        <v>3030</v>
      </c>
      <c r="B740" s="151">
        <v>2026</v>
      </c>
      <c r="C740" s="151" t="s">
        <v>2982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hidden="1" x14ac:dyDescent="0.25">
      <c r="A741" s="153" t="s">
        <v>3033</v>
      </c>
      <c r="B741" s="151">
        <v>2026</v>
      </c>
      <c r="C741" s="151" t="s">
        <v>2982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hidden="1" x14ac:dyDescent="0.25">
      <c r="A742" s="153" t="s">
        <v>3037</v>
      </c>
      <c r="B742" s="115">
        <v>2026</v>
      </c>
      <c r="C742" s="151" t="s">
        <v>2982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hidden="1" x14ac:dyDescent="0.25">
      <c r="A743" s="153" t="s">
        <v>3040</v>
      </c>
      <c r="B743" s="115">
        <v>2026</v>
      </c>
      <c r="C743" s="151" t="s">
        <v>2982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hidden="1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3048</v>
      </c>
      <c r="U744" s="208"/>
    </row>
    <row r="745" spans="1:21" ht="15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hidden="1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3066</v>
      </c>
      <c r="U748" s="208"/>
    </row>
    <row r="749" spans="1:21" ht="15" hidden="1" x14ac:dyDescent="0.25">
      <c r="A749" s="153" t="s">
        <v>3067</v>
      </c>
      <c r="B749" s="151">
        <v>2026</v>
      </c>
      <c r="C749" s="151" t="s">
        <v>2982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3066</v>
      </c>
      <c r="U749" s="208"/>
    </row>
    <row r="750" spans="1:21" ht="15" hidden="1" x14ac:dyDescent="0.25">
      <c r="A750" s="153" t="s">
        <v>3070</v>
      </c>
      <c r="B750" s="151">
        <v>2026</v>
      </c>
      <c r="C750" s="151" t="s">
        <v>2982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hidden="1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3170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3171</v>
      </c>
      <c r="B4" s="233"/>
      <c r="D4" s="234" t="s">
        <v>3172</v>
      </c>
      <c r="E4" s="23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75</v>
      </c>
      <c r="E5" s="43" t="s">
        <v>3174</v>
      </c>
      <c r="G5" s="45">
        <f>COUNTIFS('Ações InCompany'!B:B,2026,'Ações InCompany'!C:C,"A realizar")</f>
        <v>11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3175</v>
      </c>
      <c r="B8" s="229"/>
      <c r="D8" s="229" t="s">
        <v>3176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28</v>
      </c>
      <c r="D11" s="28" t="s">
        <v>3180</v>
      </c>
      <c r="E11" s="29">
        <f>SUMIFS('Ações InCompany'!O:O,'Ações InCompany'!B:B,2026,'Ações InCompany'!C:C,"Realizado")</f>
        <v>1228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3182</v>
      </c>
      <c r="E13" s="29">
        <f>SUMIFS('Ações InCompany'!Q:Q,'Ações InCompany'!B:B,2026,'Ações InCompany'!C:C,"Realizado")</f>
        <v>827</v>
      </c>
    </row>
    <row r="14" spans="1:7" ht="27.95" customHeight="1" x14ac:dyDescent="0.3">
      <c r="A14" s="32" t="s">
        <v>3183</v>
      </c>
      <c r="B14" s="33">
        <f>SUM(B11:B13)</f>
        <v>75</v>
      </c>
      <c r="D14" s="32" t="s">
        <v>3184</v>
      </c>
      <c r="E14" s="33">
        <f>SUM(E11:E13)</f>
        <v>3774</v>
      </c>
    </row>
    <row r="30" spans="1:5" ht="17.25" x14ac:dyDescent="0.3">
      <c r="A30" s="229" t="s">
        <v>3185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75</v>
      </c>
      <c r="C45" s="40">
        <f>SUM(C33:C44)</f>
        <v>11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3237</v>
      </c>
    </row>
    <row r="4" spans="1:8" ht="21.95" customHeight="1" x14ac:dyDescent="0.25">
      <c r="A4" s="237" t="s">
        <v>3238</v>
      </c>
      <c r="B4" s="238"/>
      <c r="D4" s="237" t="s">
        <v>3239</v>
      </c>
      <c r="E4" s="238"/>
      <c r="G4" s="237" t="s">
        <v>3240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1789</v>
      </c>
      <c r="E5" s="240"/>
      <c r="G5" s="239">
        <f>IFERROR(ROUND(D5/A5,0),"-")</f>
        <v>138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27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3246</v>
      </c>
      <c r="B1" s="242"/>
      <c r="C1" s="242"/>
      <c r="D1" s="242"/>
      <c r="E1" s="242"/>
      <c r="F1" s="242"/>
    </row>
    <row r="2" spans="1:7" x14ac:dyDescent="0.25">
      <c r="A2" s="243" t="s">
        <v>3247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2026-10-28T21:16:43Z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