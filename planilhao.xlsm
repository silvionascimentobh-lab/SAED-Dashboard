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73" documentId="13_ncr:1_{6A2CC3E2-FAFB-4D8F-B284-5E8FB5045DFE}" xr6:coauthVersionLast="47" xr6:coauthVersionMax="47" xr10:uidLastSave="{86048AAD-C233-4705-AC35-2BD01B431850}"/>
  <bookViews>
    <workbookView xWindow="-120" yWindow="-120" windowWidth="29040" windowHeight="15840" activeTab="8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s="1" a="1"/>
  <c r="E105" i="23" l="1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E38" i="23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57" i="23"/>
  <c r="C30" i="23"/>
  <c r="F26" i="23"/>
  <c r="E52" i="23"/>
  <c r="F50" i="23"/>
  <c r="D27" i="23"/>
  <c r="D20" i="23"/>
  <c r="C37" i="23"/>
  <c r="F5" i="23" l="1"/>
  <c r="F105" i="23" s="1"/>
  <c r="E5" i="23"/>
  <c r="D5" i="23"/>
  <c r="G5" i="23"/>
  <c r="C5" i="23"/>
  <c r="C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<sst xmlns="http://schemas.openxmlformats.org/spreadsheetml/2006/main" count="7396" uniqueCount="3251">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</sst>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zoomScaleNormal="100" workbookViewId="0">
      <pane ySplit="1" topLeftCell="I684" activePane="bottomLeft" state="frozen"/>
      <selection pane="bottomLeft" activeCell="I702" sqref="I702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/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2970</v>
      </c>
      <c r="B726" s="154">
        <v>2026</v>
      </c>
      <c r="C726" s="154" t="s">
        <v>2710</v>
      </c>
      <c r="D726" s="154" t="s">
        <v>2960</v>
      </c>
      <c r="E726" s="159" t="s">
        <v>2971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>
      <c r="A727" s="156" t="s">
        <v>2972</v>
      </c>
      <c r="B727" s="154">
        <v>2026</v>
      </c>
      <c r="C727" s="154" t="s">
        <v>2710</v>
      </c>
      <c r="D727" s="154" t="s">
        <v>2960</v>
      </c>
      <c r="E727" s="159" t="s">
        <v>2973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2974</v>
      </c>
      <c r="B728" s="154">
        <v>2026</v>
      </c>
      <c r="C728" s="154" t="s">
        <v>22</v>
      </c>
      <c r="D728" s="154" t="s">
        <v>2960</v>
      </c>
      <c r="E728" s="159" t="s">
        <v>2975</v>
      </c>
      <c r="F728" s="170" t="s">
        <v>88</v>
      </c>
      <c r="G728" s="155" t="s">
        <v>2717</v>
      </c>
      <c r="H728" s="156" t="s">
        <v>2976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2977</v>
      </c>
      <c r="B729" s="154">
        <v>2026</v>
      </c>
      <c r="C729" s="154" t="s">
        <v>2710</v>
      </c>
      <c r="D729" s="154" t="s">
        <v>2960</v>
      </c>
      <c r="E729" s="159" t="s">
        <v>2978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2979</v>
      </c>
      <c r="B730" s="154">
        <v>2026</v>
      </c>
      <c r="C730" s="154" t="s">
        <v>2710</v>
      </c>
      <c r="D730" s="154" t="s">
        <v>2960</v>
      </c>
      <c r="E730" s="201" t="s">
        <v>2980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2981</v>
      </c>
      <c r="B731" s="154">
        <v>2026</v>
      </c>
      <c r="C731" s="154" t="s">
        <v>2710</v>
      </c>
      <c r="D731" s="154" t="s">
        <v>2960</v>
      </c>
      <c r="E731" s="201" t="s">
        <v>2982</v>
      </c>
      <c r="F731" s="170" t="s">
        <v>88</v>
      </c>
      <c r="G731" s="155" t="s">
        <v>2717</v>
      </c>
      <c r="H731" s="156" t="s">
        <v>2983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2984</v>
      </c>
      <c r="B732" s="154">
        <v>2026</v>
      </c>
      <c r="C732" s="154" t="s">
        <v>2710</v>
      </c>
      <c r="D732" s="154" t="s">
        <v>2985</v>
      </c>
      <c r="E732" s="159" t="s">
        <v>2986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2987</v>
      </c>
      <c r="B733" s="154">
        <v>2026</v>
      </c>
      <c r="C733" s="154" t="s">
        <v>2710</v>
      </c>
      <c r="D733" s="154"/>
      <c r="E733" s="201" t="s">
        <v>2988</v>
      </c>
      <c r="F733" s="170" t="s">
        <v>24</v>
      </c>
      <c r="G733" s="155" t="s">
        <v>2717</v>
      </c>
      <c r="H733" s="156" t="s">
        <v>2989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2990</v>
      </c>
      <c r="B734" s="154">
        <v>2026</v>
      </c>
      <c r="C734" s="154" t="s">
        <v>2710</v>
      </c>
      <c r="D734" s="154" t="s">
        <v>2991</v>
      </c>
      <c r="E734" s="159" t="s">
        <v>2992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2993</v>
      </c>
      <c r="E735" s="159" t="s">
        <v>2994</v>
      </c>
      <c r="F735" s="170" t="s">
        <v>24</v>
      </c>
      <c r="G735" s="155" t="s">
        <v>206</v>
      </c>
      <c r="H735" s="156" t="s">
        <v>2995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2996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2997</v>
      </c>
      <c r="E736" s="159" t="s">
        <v>2998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2999</v>
      </c>
      <c r="B737" s="154">
        <v>2026</v>
      </c>
      <c r="C737" s="154" t="s">
        <v>22</v>
      </c>
      <c r="D737" s="154" t="s">
        <v>3000</v>
      </c>
      <c r="E737" s="159" t="s">
        <v>3001</v>
      </c>
      <c r="F737" s="170" t="s">
        <v>69</v>
      </c>
      <c r="G737" s="155" t="s">
        <v>79</v>
      </c>
      <c r="H737" s="156" t="s">
        <v>3002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3003</v>
      </c>
      <c r="B738" s="154">
        <v>2026</v>
      </c>
      <c r="C738" s="154" t="s">
        <v>22</v>
      </c>
      <c r="D738" s="154" t="s">
        <v>3004</v>
      </c>
      <c r="E738" s="159" t="s">
        <v>3005</v>
      </c>
      <c r="F738" s="170" t="s">
        <v>69</v>
      </c>
      <c r="G738" s="155" t="s">
        <v>2694</v>
      </c>
      <c r="H738" s="156" t="s">
        <v>3006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3007</v>
      </c>
    </row>
    <row r="739" spans="1:20" ht="15">
      <c r="A739" s="156" t="s">
        <v>3008</v>
      </c>
      <c r="B739" s="154">
        <v>2026</v>
      </c>
      <c r="C739" s="154" t="s">
        <v>22</v>
      </c>
      <c r="D739" s="154" t="s">
        <v>3009</v>
      </c>
      <c r="E739" s="159" t="s">
        <v>3010</v>
      </c>
      <c r="F739" s="170" t="s">
        <v>24</v>
      </c>
      <c r="G739" s="155" t="s">
        <v>2699</v>
      </c>
      <c r="H739" s="156" t="s">
        <v>3011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3012</v>
      </c>
      <c r="B740" s="154">
        <v>2026</v>
      </c>
      <c r="C740" s="154" t="s">
        <v>2710</v>
      </c>
      <c r="D740" s="154" t="s">
        <v>3013</v>
      </c>
      <c r="E740" s="159" t="s">
        <v>3014</v>
      </c>
      <c r="F740" s="170" t="s">
        <v>24</v>
      </c>
      <c r="G740" s="155" t="s">
        <v>2699</v>
      </c>
      <c r="H740" s="156" t="s">
        <v>3015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3016</v>
      </c>
      <c r="B741" s="154">
        <v>2026</v>
      </c>
      <c r="C741" s="154" t="s">
        <v>2710</v>
      </c>
      <c r="D741" s="154" t="s">
        <v>3017</v>
      </c>
      <c r="E741" s="159" t="s">
        <v>3018</v>
      </c>
      <c r="F741" s="170" t="s">
        <v>24</v>
      </c>
      <c r="G741" s="155" t="s">
        <v>2699</v>
      </c>
      <c r="H741" s="156" t="s">
        <v>3019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>
      <c r="A742" s="156" t="s">
        <v>3020</v>
      </c>
      <c r="B742" s="154">
        <v>2026</v>
      </c>
      <c r="C742" s="154" t="s">
        <v>2710</v>
      </c>
      <c r="D742" s="154" t="s">
        <v>3017</v>
      </c>
      <c r="E742" s="159" t="s">
        <v>3021</v>
      </c>
      <c r="F742" s="170" t="s">
        <v>24</v>
      </c>
      <c r="G742" s="155" t="s">
        <v>2699</v>
      </c>
      <c r="H742" s="156" t="s">
        <v>3022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3023</v>
      </c>
      <c r="B743" s="154">
        <v>2026</v>
      </c>
      <c r="C743" s="154" t="s">
        <v>2710</v>
      </c>
      <c r="D743" s="154" t="s">
        <v>3024</v>
      </c>
      <c r="E743" s="159" t="s">
        <v>3025</v>
      </c>
      <c r="F743" s="170" t="s">
        <v>24</v>
      </c>
      <c r="G743" s="155" t="s">
        <v>206</v>
      </c>
      <c r="H743" s="156" t="s">
        <v>3026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2996</v>
      </c>
    </row>
    <row r="744" spans="1:20" ht="15">
      <c r="A744" s="156" t="s">
        <v>3027</v>
      </c>
      <c r="B744" s="154">
        <v>2026</v>
      </c>
      <c r="C744" s="154" t="s">
        <v>2710</v>
      </c>
      <c r="D744" s="154" t="s">
        <v>3028</v>
      </c>
      <c r="E744" s="166" t="s">
        <v>3029</v>
      </c>
      <c r="F744" s="170" t="s">
        <v>24</v>
      </c>
      <c r="G744" s="155" t="s">
        <v>206</v>
      </c>
      <c r="H744" s="156" t="s">
        <v>3030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3031</v>
      </c>
      <c r="B745" s="154">
        <v>2026</v>
      </c>
      <c r="C745" s="154" t="s">
        <v>2710</v>
      </c>
      <c r="D745" s="154" t="s">
        <v>3028</v>
      </c>
      <c r="E745" s="166" t="s">
        <v>3032</v>
      </c>
      <c r="F745" s="170" t="s">
        <v>24</v>
      </c>
      <c r="G745" s="155" t="s">
        <v>206</v>
      </c>
      <c r="H745" s="156" t="s">
        <v>3033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>
      <c r="A746" s="156" t="s">
        <v>3034</v>
      </c>
      <c r="B746" s="154">
        <v>2026</v>
      </c>
      <c r="C746" s="154" t="s">
        <v>2789</v>
      </c>
      <c r="D746" s="154" t="s">
        <v>3035</v>
      </c>
      <c r="E746" s="166" t="s">
        <v>3036</v>
      </c>
      <c r="F746" s="170" t="s">
        <v>24</v>
      </c>
      <c r="G746" s="155" t="s">
        <v>206</v>
      </c>
      <c r="H746" s="156" t="s">
        <v>3037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3038</v>
      </c>
    </row>
    <row r="747" spans="1:20" ht="15">
      <c r="A747" s="156" t="s">
        <v>3039</v>
      </c>
      <c r="B747" s="154">
        <v>2026</v>
      </c>
      <c r="C747" s="154" t="s">
        <v>2710</v>
      </c>
      <c r="D747" s="154" t="s">
        <v>3040</v>
      </c>
      <c r="E747" s="166" t="s">
        <v>3041</v>
      </c>
      <c r="F747" s="170" t="s">
        <v>24</v>
      </c>
      <c r="G747" s="155" t="s">
        <v>206</v>
      </c>
      <c r="H747" s="156" t="s">
        <v>3042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3043</v>
      </c>
      <c r="B748" s="154">
        <v>2026</v>
      </c>
      <c r="C748" s="154" t="s">
        <v>2710</v>
      </c>
      <c r="D748" s="154" t="s">
        <v>3044</v>
      </c>
      <c r="E748" s="159" t="s">
        <v>3045</v>
      </c>
      <c r="F748" s="170" t="s">
        <v>69</v>
      </c>
      <c r="G748" s="155" t="s">
        <v>79</v>
      </c>
      <c r="H748" s="156" t="s">
        <v>3046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>
      <c r="A749" s="156" t="s">
        <v>3047</v>
      </c>
      <c r="B749" s="154">
        <v>2026</v>
      </c>
      <c r="C749" s="154" t="s">
        <v>2710</v>
      </c>
      <c r="D749" s="154" t="s">
        <v>3048</v>
      </c>
      <c r="E749" s="166" t="s">
        <v>3049</v>
      </c>
      <c r="F749" s="170" t="s">
        <v>24</v>
      </c>
      <c r="G749" s="155" t="s">
        <v>25</v>
      </c>
      <c r="H749" s="156" t="s">
        <v>3050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3051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3052</v>
      </c>
      <c r="H1" s="168" t="s">
        <v>3053</v>
      </c>
    </row>
    <row r="2" spans="1:8">
      <c r="H2" s="167" t="s">
        <v>3054</v>
      </c>
    </row>
    <row r="3" spans="1:8">
      <c r="A3" t="s">
        <v>0</v>
      </c>
      <c r="B3" t="s">
        <v>19</v>
      </c>
      <c r="C3" t="s">
        <v>3055</v>
      </c>
      <c r="D3" t="s">
        <v>3056</v>
      </c>
      <c r="E3" t="s">
        <v>3057</v>
      </c>
      <c r="H3" s="167" t="s">
        <v>3058</v>
      </c>
    </row>
    <row r="4" spans="1:8">
      <c r="A4">
        <v>1</v>
      </c>
      <c r="B4" t="s">
        <v>3059</v>
      </c>
      <c r="D4" t="s">
        <v>3060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3061</v>
      </c>
    </row>
    <row r="5" spans="1:8">
      <c r="A5">
        <v>2</v>
      </c>
      <c r="B5" t="s">
        <v>2507</v>
      </c>
      <c r="D5" t="s">
        <v>3060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3062</v>
      </c>
    </row>
    <row r="6" spans="1:8">
      <c r="A6">
        <v>3</v>
      </c>
      <c r="B6" t="s">
        <v>1030</v>
      </c>
      <c r="D6" t="s">
        <v>3060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3063</v>
      </c>
      <c r="D7" t="s">
        <v>3060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3064</v>
      </c>
    </row>
    <row r="8" spans="1:8">
      <c r="A8">
        <v>5</v>
      </c>
      <c r="B8" t="s">
        <v>3065</v>
      </c>
      <c r="D8" t="s">
        <v>3060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3060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3060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3060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3060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3060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3060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3060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3060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3060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3060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3060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3060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3060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3060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3066</v>
      </c>
      <c r="D23" t="s">
        <v>3060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3060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3067</v>
      </c>
      <c r="D25" t="s">
        <v>3060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3068</v>
      </c>
      <c r="D26" t="s">
        <v>3060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3060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3060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3069</v>
      </c>
      <c r="D29" t="s">
        <v>3060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3060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3060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3060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3070</v>
      </c>
      <c r="D33" t="s">
        <v>3060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3071</v>
      </c>
      <c r="D34" t="s">
        <v>3060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3060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3060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3060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3072</v>
      </c>
      <c r="D38" t="s">
        <v>3060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3073</v>
      </c>
      <c r="D39" t="s">
        <v>3060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3060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3074</v>
      </c>
      <c r="D41" t="s">
        <v>3060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3060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3060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3075</v>
      </c>
      <c r="D44" t="s">
        <v>3060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3060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3060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3060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3060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3076</v>
      </c>
      <c r="D49" t="s">
        <v>3060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3060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3077</v>
      </c>
      <c r="D51" t="s">
        <v>3060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3060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3060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3078</v>
      </c>
      <c r="D54" t="s">
        <v>3060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3060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3060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3060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3079</v>
      </c>
      <c r="D58" t="s">
        <v>3060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3060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3060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3080</v>
      </c>
      <c r="D61" t="s">
        <v>3060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3081</v>
      </c>
      <c r="D62" t="s">
        <v>3060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3082</v>
      </c>
      <c r="D63" t="s">
        <v>3060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3083</v>
      </c>
      <c r="D64" t="s">
        <v>3060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3060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3060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3084</v>
      </c>
      <c r="D67" t="s">
        <v>3060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3085</v>
      </c>
      <c r="D68" t="s">
        <v>3060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3060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3086</v>
      </c>
      <c r="D70" t="s">
        <v>3060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3060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3060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3060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3087</v>
      </c>
      <c r="D74" t="s">
        <v>3060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3060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3060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3060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3060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3088</v>
      </c>
      <c r="D79" t="s">
        <v>3060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3089</v>
      </c>
      <c r="D80" t="s">
        <v>3060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3090</v>
      </c>
      <c r="D81" t="s">
        <v>3060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3091</v>
      </c>
      <c r="D82" t="s">
        <v>3060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3060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3092</v>
      </c>
      <c r="D84" t="s">
        <v>3060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3060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3093</v>
      </c>
      <c r="D86" t="s">
        <v>3060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3094</v>
      </c>
      <c r="D87" t="s">
        <v>3060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3095</v>
      </c>
      <c r="D88" t="s">
        <v>3060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3096</v>
      </c>
      <c r="D89" t="s">
        <v>3060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3097</v>
      </c>
      <c r="D90" t="s">
        <v>3060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3098</v>
      </c>
      <c r="D91" t="s">
        <v>3060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3099</v>
      </c>
      <c r="D92" t="s">
        <v>3060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3100</v>
      </c>
      <c r="D93" t="s">
        <v>3060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3101</v>
      </c>
      <c r="D94" t="s">
        <v>3060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3060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3102</v>
      </c>
      <c r="D96" t="s">
        <v>3060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3060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3103</v>
      </c>
      <c r="D98" t="s">
        <v>3060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3104</v>
      </c>
      <c r="D99" t="s">
        <v>3060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3105</v>
      </c>
      <c r="D100" t="s">
        <v>3060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3106</v>
      </c>
      <c r="D101" t="s">
        <v>3060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3060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3107</v>
      </c>
      <c r="D103" t="s">
        <v>3060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3108</v>
      </c>
      <c r="D104" t="s">
        <v>3060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3109</v>
      </c>
      <c r="D105" t="s">
        <v>3060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3060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3060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3110</v>
      </c>
      <c r="D108" t="s">
        <v>3060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3111</v>
      </c>
      <c r="D109" t="s">
        <v>3060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B110" t="s">
        <v>3112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37" activePane="bottomLeft" state="frozen"/>
      <selection pane="bottomLeft" activeCell="E52" sqref="E5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3113</v>
      </c>
      <c r="C1" s="18" t="s">
        <v>3114</v>
      </c>
      <c r="D1" s="18" t="s">
        <v>4</v>
      </c>
      <c r="E1" s="18" t="s">
        <v>3115</v>
      </c>
      <c r="F1" s="18" t="s">
        <v>19</v>
      </c>
      <c r="G1" s="18" t="s">
        <v>3116</v>
      </c>
      <c r="H1" s="18" t="s">
        <v>3117</v>
      </c>
      <c r="I1" s="18" t="s">
        <v>3118</v>
      </c>
      <c r="J1" s="18" t="s">
        <v>3119</v>
      </c>
      <c r="L1" s="110" t="s">
        <v>3120</v>
      </c>
      <c r="M1" s="22">
        <v>2026</v>
      </c>
      <c r="U1" s="79" t="s">
        <v>3121</v>
      </c>
      <c r="V1" s="78"/>
      <c r="X1" s="77" t="s">
        <v>3122</v>
      </c>
      <c r="Y1" s="26"/>
      <c r="Z1" s="26"/>
      <c r="AA1" s="26"/>
      <c r="AC1" s="99" t="s">
        <v>3123</v>
      </c>
    </row>
    <row r="2" spans="1:31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3124</v>
      </c>
      <c r="M2" s="106" t="s">
        <v>2927</v>
      </c>
      <c r="X2" s="112" t="s">
        <v>3113</v>
      </c>
      <c r="Y2" s="112" t="s">
        <v>19</v>
      </c>
      <c r="Z2" s="112" t="s">
        <v>3125</v>
      </c>
      <c r="AA2" s="112" t="s">
        <v>3126</v>
      </c>
      <c r="AC2" s="113" t="s">
        <v>1</v>
      </c>
      <c r="AD2" s="113" t="s">
        <v>3127</v>
      </c>
      <c r="AE2" s="113" t="s">
        <v>3128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3129</v>
      </c>
      <c r="M3" s="111" t="s">
        <v>3130</v>
      </c>
      <c r="N3" s="111" t="s">
        <v>3131</v>
      </c>
      <c r="O3" s="111" t="s">
        <v>3132</v>
      </c>
      <c r="P3" s="111" t="s">
        <v>3133</v>
      </c>
      <c r="Q3" s="111" t="s">
        <v>3134</v>
      </c>
      <c r="R3" s="111" t="s">
        <v>3135</v>
      </c>
      <c r="S3" s="111" t="s">
        <v>3136</v>
      </c>
      <c r="T3" s="111" t="s">
        <v>3137</v>
      </c>
      <c r="X3" t="s">
        <v>2835</v>
      </c>
      <c r="Y3" t="s">
        <v>3073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3138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3073</v>
      </c>
      <c r="Z6">
        <v>1</v>
      </c>
      <c r="AA6">
        <v>0</v>
      </c>
      <c r="AC6" s="96">
        <v>2026</v>
      </c>
      <c r="AD6" s="17" t="s">
        <v>3139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3086</v>
      </c>
      <c r="Z33">
        <v>4</v>
      </c>
      <c r="AA33">
        <v>0.6</v>
      </c>
      <c r="AC33" s="98"/>
      <c r="AD33" s="114" t="s">
        <v>3140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3078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3094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3106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3103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3105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3102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3141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3101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3100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2959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2959</v>
      </c>
      <c r="Y68" t="s">
        <v>3089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3078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3079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3079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3079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3142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3142</v>
      </c>
      <c r="Y87" t="s">
        <v>3091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3142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3043</v>
      </c>
      <c r="Y89" t="s">
        <v>3078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3047</v>
      </c>
      <c r="Y90" t="s">
        <v>3112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3143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3144</v>
      </c>
      <c r="B4" s="215"/>
      <c r="D4" s="216" t="s">
        <v>3145</v>
      </c>
      <c r="E4" s="217"/>
      <c r="G4" s="44" t="s">
        <v>3146</v>
      </c>
    </row>
    <row r="5" spans="1:7" ht="54.95" customHeight="1" thickBot="1">
      <c r="A5" s="34">
        <f>COUNTIF('Ações InCompany'!B:B,2026)</f>
        <v>93</v>
      </c>
      <c r="B5" s="35" t="s">
        <v>3147</v>
      </c>
      <c r="D5" s="42">
        <f>COUNTIFS('Ações InCompany'!B:B,2026,'Ações InCompany'!C:C,"Realizado")</f>
        <v>59</v>
      </c>
      <c r="E5" s="43" t="s">
        <v>3147</v>
      </c>
      <c r="G5" s="45">
        <f>COUNTIFS('Ações InCompany'!B:B,2026,'Ações InCompany'!C:C,"A realizar")</f>
        <v>25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3148</v>
      </c>
      <c r="B8" s="212"/>
      <c r="D8" s="212" t="s">
        <v>3149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3150</v>
      </c>
      <c r="D10" s="27" t="s">
        <v>3151</v>
      </c>
      <c r="E10" s="27" t="s">
        <v>3152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3153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3154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3155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3156</v>
      </c>
      <c r="B14" s="33">
        <f>SUM(B11:B13)</f>
        <v>59</v>
      </c>
      <c r="D14" s="32" t="s">
        <v>3157</v>
      </c>
      <c r="E14" s="33">
        <f>SUM(E11:E13)</f>
        <v>3116</v>
      </c>
    </row>
    <row r="30" spans="1:5" ht="17.25">
      <c r="A30" s="212" t="s">
        <v>3158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3159</v>
      </c>
      <c r="C32" s="27" t="s">
        <v>3160</v>
      </c>
      <c r="D32" s="27" t="s">
        <v>3161</v>
      </c>
      <c r="E32" s="27" t="s">
        <v>3162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3163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3164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3156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3165</v>
      </c>
      <c r="B1" s="11" t="s">
        <v>3166</v>
      </c>
      <c r="C1" s="12" t="s">
        <v>3167</v>
      </c>
      <c r="D1" s="12" t="s">
        <v>3168</v>
      </c>
      <c r="E1" s="12" t="s">
        <v>3169</v>
      </c>
    </row>
    <row r="2" spans="1:5" ht="18" customHeight="1">
      <c r="A2" s="11" t="s">
        <v>3170</v>
      </c>
      <c r="B2" s="11" t="s">
        <v>3171</v>
      </c>
      <c r="C2" s="11" t="s">
        <v>1736</v>
      </c>
      <c r="D2" s="11" t="s">
        <v>3172</v>
      </c>
      <c r="E2" s="11" t="s">
        <v>3173</v>
      </c>
    </row>
    <row r="3" spans="1:5" ht="18" customHeight="1">
      <c r="A3" s="11" t="s">
        <v>3170</v>
      </c>
      <c r="B3" s="11" t="s">
        <v>3171</v>
      </c>
      <c r="C3" s="13" t="s">
        <v>25</v>
      </c>
      <c r="D3" s="11" t="s">
        <v>3174</v>
      </c>
      <c r="E3" s="11" t="s">
        <v>3175</v>
      </c>
    </row>
    <row r="4" spans="1:5" ht="18" customHeight="1">
      <c r="A4" s="11" t="s">
        <v>3170</v>
      </c>
      <c r="B4" s="11" t="s">
        <v>3171</v>
      </c>
      <c r="C4" s="11" t="s">
        <v>75</v>
      </c>
      <c r="D4" s="11" t="s">
        <v>3172</v>
      </c>
      <c r="E4" s="11" t="s">
        <v>3176</v>
      </c>
    </row>
    <row r="5" spans="1:5" ht="18" customHeight="1">
      <c r="A5" s="11" t="s">
        <v>3170</v>
      </c>
      <c r="B5" s="11" t="s">
        <v>3171</v>
      </c>
      <c r="C5" s="11" t="s">
        <v>79</v>
      </c>
      <c r="D5" s="11" t="s">
        <v>3177</v>
      </c>
      <c r="E5" s="11" t="s">
        <v>3178</v>
      </c>
    </row>
    <row r="6" spans="1:5" ht="18" customHeight="1">
      <c r="A6" s="11" t="s">
        <v>3170</v>
      </c>
      <c r="B6" s="11" t="s">
        <v>3171</v>
      </c>
      <c r="C6" s="11" t="s">
        <v>2717</v>
      </c>
      <c r="D6" s="11" t="s">
        <v>3179</v>
      </c>
      <c r="E6" s="11" t="s">
        <v>3180</v>
      </c>
    </row>
    <row r="7" spans="1:5" ht="18" customHeight="1">
      <c r="A7" s="11" t="s">
        <v>3170</v>
      </c>
      <c r="B7" s="11" t="s">
        <v>3181</v>
      </c>
      <c r="C7" s="11" t="s">
        <v>36</v>
      </c>
      <c r="D7" s="11" t="s">
        <v>3182</v>
      </c>
      <c r="E7" s="11" t="s">
        <v>3183</v>
      </c>
    </row>
    <row r="8" spans="1:5" ht="18" customHeight="1">
      <c r="A8" s="11" t="s">
        <v>3170</v>
      </c>
      <c r="B8" s="11" t="s">
        <v>3181</v>
      </c>
      <c r="C8" s="11" t="s">
        <v>42</v>
      </c>
      <c r="D8" s="11" t="s">
        <v>3184</v>
      </c>
      <c r="E8" s="11" t="s">
        <v>3185</v>
      </c>
    </row>
    <row r="9" spans="1:5" ht="18" customHeight="1">
      <c r="A9" s="11" t="s">
        <v>3170</v>
      </c>
      <c r="B9" s="11" t="s">
        <v>3186</v>
      </c>
      <c r="C9" s="11" t="s">
        <v>464</v>
      </c>
      <c r="D9" s="11" t="s">
        <v>3187</v>
      </c>
      <c r="E9" s="11" t="s">
        <v>3188</v>
      </c>
    </row>
    <row r="10" spans="1:5" ht="18" customHeight="1">
      <c r="A10" s="11" t="s">
        <v>3170</v>
      </c>
      <c r="B10" s="11" t="s">
        <v>3186</v>
      </c>
      <c r="C10" s="11" t="s">
        <v>206</v>
      </c>
      <c r="D10" s="11" t="s">
        <v>24</v>
      </c>
      <c r="E10" s="11" t="s">
        <v>3189</v>
      </c>
    </row>
    <row r="11" spans="1:5" ht="18" customHeight="1">
      <c r="A11" s="11" t="s">
        <v>3170</v>
      </c>
      <c r="B11" s="11" t="s">
        <v>3186</v>
      </c>
      <c r="C11" s="11" t="s">
        <v>371</v>
      </c>
      <c r="D11" s="11" t="s">
        <v>24</v>
      </c>
      <c r="E11" s="11" t="s">
        <v>3190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3191</v>
      </c>
      <c r="B1" s="5" t="s">
        <v>10</v>
      </c>
      <c r="C1" s="14" t="s">
        <v>3192</v>
      </c>
      <c r="D1" s="14" t="s">
        <v>3114</v>
      </c>
    </row>
    <row r="2" spans="1:4" ht="21" customHeight="1">
      <c r="A2" s="102" t="s">
        <v>24</v>
      </c>
      <c r="B2" s="102" t="s">
        <v>38</v>
      </c>
      <c r="C2" s="11" t="s">
        <v>3193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3194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3195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3165</v>
      </c>
      <c r="B1" s="11" t="s">
        <v>3166</v>
      </c>
      <c r="C1" s="12" t="s">
        <v>3167</v>
      </c>
      <c r="D1" s="12" t="s">
        <v>3168</v>
      </c>
      <c r="E1" s="12" t="s">
        <v>3169</v>
      </c>
    </row>
    <row r="2" spans="1:5" ht="18" customHeight="1">
      <c r="A2" s="11" t="s">
        <v>3196</v>
      </c>
      <c r="B2" s="11" t="s">
        <v>3171</v>
      </c>
      <c r="C2" s="13" t="s">
        <v>25</v>
      </c>
      <c r="D2" s="11" t="s">
        <v>3172</v>
      </c>
      <c r="E2" s="16" t="s">
        <v>3197</v>
      </c>
    </row>
    <row r="3" spans="1:5" ht="18" customHeight="1">
      <c r="A3" s="11" t="s">
        <v>3196</v>
      </c>
      <c r="B3" s="11" t="s">
        <v>3171</v>
      </c>
      <c r="C3" s="11" t="s">
        <v>75</v>
      </c>
      <c r="D3" s="11" t="s">
        <v>3174</v>
      </c>
      <c r="E3" s="11" t="s">
        <v>3198</v>
      </c>
    </row>
    <row r="4" spans="1:5" ht="18" customHeight="1">
      <c r="A4" s="11" t="s">
        <v>3196</v>
      </c>
      <c r="B4" s="11" t="s">
        <v>3171</v>
      </c>
      <c r="C4" s="11" t="s">
        <v>79</v>
      </c>
      <c r="D4" s="11" t="s">
        <v>3177</v>
      </c>
      <c r="E4" s="11" t="s">
        <v>3199</v>
      </c>
    </row>
    <row r="5" spans="1:5" ht="27.75" customHeight="1">
      <c r="A5" s="11" t="s">
        <v>3196</v>
      </c>
      <c r="B5" s="11" t="s">
        <v>3171</v>
      </c>
      <c r="C5" s="11" t="s">
        <v>2694</v>
      </c>
      <c r="D5" s="16" t="s">
        <v>3200</v>
      </c>
      <c r="E5" s="11" t="s">
        <v>3201</v>
      </c>
    </row>
    <row r="6" spans="1:5" ht="18" customHeight="1">
      <c r="A6" s="11" t="s">
        <v>3196</v>
      </c>
      <c r="B6" s="11" t="s">
        <v>3171</v>
      </c>
      <c r="C6" s="11" t="s">
        <v>2717</v>
      </c>
      <c r="D6" s="11" t="s">
        <v>3179</v>
      </c>
      <c r="E6" s="11" t="s">
        <v>3180</v>
      </c>
    </row>
    <row r="7" spans="1:5" ht="18" customHeight="1">
      <c r="A7" s="11" t="s">
        <v>3196</v>
      </c>
      <c r="B7" s="11" t="s">
        <v>3181</v>
      </c>
      <c r="C7" s="11" t="s">
        <v>2699</v>
      </c>
      <c r="D7" s="11" t="s">
        <v>3202</v>
      </c>
      <c r="E7" s="11" t="s">
        <v>3203</v>
      </c>
    </row>
    <row r="8" spans="1:5" ht="18" customHeight="1">
      <c r="A8" s="11" t="s">
        <v>3196</v>
      </c>
      <c r="B8" s="11" t="s">
        <v>3181</v>
      </c>
      <c r="C8" s="11" t="s">
        <v>42</v>
      </c>
      <c r="D8" s="11" t="s">
        <v>3184</v>
      </c>
      <c r="E8" s="11" t="s">
        <v>3185</v>
      </c>
    </row>
    <row r="9" spans="1:5" ht="18" customHeight="1">
      <c r="A9" s="11" t="s">
        <v>3196</v>
      </c>
      <c r="B9" s="11" t="s">
        <v>3181</v>
      </c>
      <c r="C9" s="11" t="s">
        <v>2792</v>
      </c>
      <c r="D9" s="11" t="s">
        <v>3204</v>
      </c>
      <c r="E9" s="16" t="s">
        <v>3205</v>
      </c>
    </row>
    <row r="10" spans="1:5" ht="18" customHeight="1">
      <c r="A10" s="11" t="s">
        <v>3196</v>
      </c>
      <c r="B10" s="11" t="s">
        <v>3206</v>
      </c>
      <c r="C10" s="11" t="s">
        <v>3163</v>
      </c>
      <c r="D10" s="11" t="s">
        <v>3207</v>
      </c>
      <c r="E10" s="16" t="s">
        <v>3208</v>
      </c>
    </row>
    <row r="11" spans="1:5" ht="18" customHeight="1">
      <c r="A11" s="11" t="s">
        <v>3196</v>
      </c>
      <c r="B11" s="11" t="s">
        <v>3206</v>
      </c>
      <c r="C11" s="11" t="s">
        <v>206</v>
      </c>
      <c r="D11" s="11" t="s">
        <v>24</v>
      </c>
      <c r="E11" s="11" t="s">
        <v>3189</v>
      </c>
    </row>
    <row r="12" spans="1:5" ht="18" customHeight="1">
      <c r="A12" s="11" t="s">
        <v>3196</v>
      </c>
      <c r="B12" s="11" t="s">
        <v>3206</v>
      </c>
      <c r="C12" s="11" t="s">
        <v>371</v>
      </c>
      <c r="D12" s="11" t="s">
        <v>24</v>
      </c>
      <c r="E12" s="11" t="s">
        <v>3190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3209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3210</v>
      </c>
    </row>
    <row r="4" spans="1:8" ht="21.95" customHeight="1">
      <c r="A4" s="219" t="s">
        <v>3211</v>
      </c>
      <c r="B4" s="220"/>
      <c r="D4" s="219" t="s">
        <v>3212</v>
      </c>
      <c r="E4" s="220"/>
      <c r="G4" s="219" t="s">
        <v>3213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3214</v>
      </c>
      <c r="B7" s="61" t="s">
        <v>3215</v>
      </c>
      <c r="C7" s="61" t="s">
        <v>1</v>
      </c>
      <c r="D7" s="61" t="s">
        <v>3216</v>
      </c>
      <c r="E7" s="61" t="s">
        <v>3217</v>
      </c>
      <c r="F7" s="61" t="s">
        <v>3114</v>
      </c>
      <c r="G7" s="61" t="s">
        <v>5</v>
      </c>
      <c r="H7" s="61" t="s">
        <v>3218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tabSelected="1" workbookViewId="0">
      <pane ySplit="4" topLeftCell="A15" activePane="bottomLeft" state="frozen"/>
      <selection pane="bottomLeft" activeCell="A3" sqref="A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3219</v>
      </c>
      <c r="B1" s="225"/>
      <c r="C1" s="225"/>
      <c r="D1" s="225"/>
      <c r="E1" s="225"/>
      <c r="F1" s="225"/>
    </row>
    <row r="2" spans="1:7">
      <c r="A2" s="226" t="s">
        <v>3220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3117</v>
      </c>
      <c r="C4" s="24" t="s">
        <v>3118</v>
      </c>
      <c r="D4" s="24" t="s">
        <v>3221</v>
      </c>
      <c r="E4" s="24" t="s">
        <v>3119</v>
      </c>
      <c r="F4" s="24" t="s">
        <v>3222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41.2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45.2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3157</v>
      </c>
      <c r="B105" s="94">
        <f ca="1">SUM(B5:B100)</f>
        <v>837</v>
      </c>
      <c r="C105" s="94">
        <f ca="1">SUM(C5:C100)</f>
        <v>379.44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3223</v>
      </c>
      <c r="B1" s="117" t="s">
        <v>3224</v>
      </c>
      <c r="C1" s="117" t="s">
        <v>3225</v>
      </c>
      <c r="D1" s="117" t="s">
        <v>3226</v>
      </c>
      <c r="E1" s="117" t="s">
        <v>3227</v>
      </c>
      <c r="F1" s="117" t="s">
        <v>3228</v>
      </c>
      <c r="G1" s="117" t="s">
        <v>10</v>
      </c>
      <c r="H1" s="117" t="s">
        <v>3229</v>
      </c>
      <c r="I1" s="117" t="s">
        <v>3230</v>
      </c>
      <c r="J1" s="117" t="s">
        <v>3231</v>
      </c>
      <c r="K1" s="117" t="s">
        <v>3232</v>
      </c>
      <c r="L1" s="117" t="s">
        <v>3233</v>
      </c>
      <c r="N1" s="117" t="s">
        <v>3234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3235</v>
      </c>
      <c r="L2" t="str">
        <f>IF(K2="","",IFERROR(INDEX(Tabela2[Curso],MATCH(K2,Tabela2[ID],0)),""))</f>
        <v/>
      </c>
      <c r="N2" s="117" t="s">
        <v>3113</v>
      </c>
      <c r="O2" s="117" t="s">
        <v>4</v>
      </c>
      <c r="P2" s="117" t="s">
        <v>3236</v>
      </c>
      <c r="Q2" s="117" t="s">
        <v>3237</v>
      </c>
      <c r="R2" s="117" t="s">
        <v>3238</v>
      </c>
      <c r="S2" s="117" t="s">
        <v>3239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3235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3235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3235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3235</v>
      </c>
      <c r="L10" t="str">
        <f>IF(K10="","",IFERROR(INDEX(Tabela2[Curso],MATCH(K10,Tabela2[ID],0)),""))</f>
        <v/>
      </c>
      <c r="N10" s="111" t="s">
        <v>3240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3235</v>
      </c>
      <c r="L11" t="str">
        <f>IF(K11="","",IFERROR(INDEX(Tabela2[Curso],MATCH(K11,Tabela2[ID],0)),""))</f>
        <v/>
      </c>
      <c r="N11" s="210" t="s">
        <v>3241</v>
      </c>
      <c r="O11" s="210" t="s">
        <v>3242</v>
      </c>
      <c r="P11" s="210" t="s">
        <v>3243</v>
      </c>
      <c r="Q11" s="210" t="s">
        <v>3226</v>
      </c>
      <c r="R11" s="210" t="s">
        <v>3227</v>
      </c>
      <c r="S11" s="210" t="s">
        <v>3244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3235</v>
      </c>
      <c r="L12" t="str">
        <f>IF(K12="","",IFERROR(INDEX(Tabela2[Curso],MATCH(K12,Tabela2[ID],0)),""))</f>
        <v/>
      </c>
      <c r="N12" t="s">
        <v>3245</v>
      </c>
      <c r="O12" t="s">
        <v>2753</v>
      </c>
      <c r="P12" t="s">
        <v>3246</v>
      </c>
      <c r="Q12">
        <v>0</v>
      </c>
      <c r="R12">
        <v>0</v>
      </c>
      <c r="S12" t="s">
        <v>3247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3235</v>
      </c>
      <c r="L13" t="str">
        <f>IF(K13="","",IFERROR(INDEX(Tabela2[Curso],MATCH(K13,Tabela2[ID],0)),""))</f>
        <v/>
      </c>
      <c r="N13" t="s">
        <v>3248</v>
      </c>
      <c r="O13" t="s">
        <v>2686</v>
      </c>
      <c r="P13" t="s">
        <v>3249</v>
      </c>
      <c r="Q13">
        <v>0</v>
      </c>
      <c r="R13">
        <v>0</v>
      </c>
      <c r="S13" t="s">
        <v>3250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3235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3235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3235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3235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3235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3235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3235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3235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3235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3235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3235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3235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3235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3235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3235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3235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3235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3235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3235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3235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3235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3235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3235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3235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3235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3235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3235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3235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3235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3235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3235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3235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3235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3235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3235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3235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3235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3235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3235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3235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3235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3235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3235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3235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3235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3235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3235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3235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3235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3235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3235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16690115-09EE-4E0D-A489-D3FB288E822F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2026-09-15T18:40:01Z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