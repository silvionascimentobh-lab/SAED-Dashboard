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790" documentId="8_{454372C2-A99E-4E47-A759-72B38925853E}" xr6:coauthVersionLast="47" xr6:coauthVersionMax="47" xr10:uidLastSave="{B5A59ECD-4336-4C9F-9673-DCECEF345402}"/>
  <bookViews>
    <workbookView xWindow="28680" yWindow="-120" windowWidth="29040" windowHeight="15720" firstSheet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AE33" i="20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D55" i="23" l="1"/>
  <c r="E55" i="23"/>
  <c r="F55" i="23"/>
  <c r="C55" i="23"/>
  <c r="B55" i="23"/>
  <c r="B54" i="23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<sst xmlns="http://schemas.openxmlformats.org/spreadsheetml/2006/main" count="6289" uniqueCount="2423">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</sst>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yyyy"/>
    <numFmt numFmtId="171" formatCode="&quot;R$&quot;\ #,##0.00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6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6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7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6" fontId="8" fillId="4" borderId="1" xfId="2" applyNumberFormat="1" applyFont="1" applyFill="1" applyBorder="1" applyAlignment="1">
      <alignment horizontal="right" vertical="center"/>
    </xf>
    <xf numFmtId="166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6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7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6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165" fontId="8" fillId="4" borderId="2" xfId="0" applyNumberFormat="1" applyFont="1" applyFill="1" applyBorder="1" applyAlignment="1">
      <alignment horizontal="center" vertical="center"/>
    </xf>
    <xf numFmtId="165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9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9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9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9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9" fontId="17" fillId="9" borderId="20" xfId="0" applyNumberFormat="1" applyFont="1" applyFill="1" applyBorder="1" applyAlignment="1">
      <alignment horizontal="center"/>
    </xf>
    <xf numFmtId="169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7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7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7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5" fontId="8" fillId="18" borderId="1" xfId="0" applyNumberFormat="1" applyFont="1" applyFill="1" applyBorder="1" applyAlignment="1">
      <alignment horizontal="center" vertical="center"/>
    </xf>
    <xf numFmtId="165" fontId="31" fillId="18" borderId="1" xfId="0" applyNumberFormat="1" applyFont="1" applyFill="1" applyBorder="1" applyAlignment="1">
      <alignment horizontal="center" vertical="center"/>
    </xf>
    <xf numFmtId="165" fontId="31" fillId="18" borderId="2" xfId="0" applyNumberFormat="1" applyFont="1" applyFill="1" applyBorder="1" applyAlignment="1">
      <alignment horizontal="center" vertical="center"/>
    </xf>
    <xf numFmtId="165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7" fontId="38" fillId="15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7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7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8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7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50" fillId="4" borderId="1" xfId="0" applyNumberFormat="1" applyFont="1" applyFill="1" applyBorder="1" applyAlignment="1">
      <alignment horizontal="center" vertical="center"/>
    </xf>
    <xf numFmtId="170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5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5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70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5" fontId="50" fillId="0" borderId="1" xfId="0" applyNumberFormat="1" applyFont="1" applyBorder="1" applyAlignment="1">
      <alignment horizontal="center" vertical="center"/>
    </xf>
    <xf numFmtId="170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5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1" fontId="4" fillId="2" borderId="1" xfId="2" applyNumberFormat="1" applyFont="1" applyFill="1" applyBorder="1" applyAlignment="1">
      <alignment horizontal="center" vertical="center" wrapText="1"/>
    </xf>
    <xf numFmtId="171" fontId="8" fillId="4" borderId="1" xfId="2" applyNumberFormat="1" applyFont="1" applyFill="1" applyBorder="1" applyAlignment="1">
      <alignment vertical="center"/>
    </xf>
    <xf numFmtId="171" fontId="8" fillId="3" borderId="1" xfId="2" applyNumberFormat="1" applyFont="1" applyFill="1" applyBorder="1" applyAlignment="1">
      <alignment vertical="center"/>
    </xf>
    <xf numFmtId="171" fontId="8" fillId="18" borderId="1" xfId="2" applyNumberFormat="1" applyFont="1" applyFill="1" applyBorder="1" applyAlignment="1">
      <alignment vertical="center"/>
    </xf>
    <xf numFmtId="171" fontId="31" fillId="3" borderId="1" xfId="2" applyNumberFormat="1" applyFont="1" applyFill="1" applyBorder="1" applyAlignment="1">
      <alignment vertical="center"/>
    </xf>
    <xf numFmtId="171" fontId="31" fillId="18" borderId="1" xfId="2" applyNumberFormat="1" applyFont="1" applyFill="1" applyBorder="1" applyAlignment="1">
      <alignment vertical="center"/>
    </xf>
    <xf numFmtId="171" fontId="8" fillId="18" borderId="1" xfId="0" applyNumberFormat="1" applyFont="1" applyFill="1" applyBorder="1" applyAlignment="1">
      <alignment vertical="center"/>
    </xf>
    <xf numFmtId="171" fontId="50" fillId="18" borderId="1" xfId="2" applyNumberFormat="1" applyFont="1" applyFill="1" applyBorder="1" applyAlignment="1">
      <alignment vertical="center"/>
    </xf>
    <xf numFmtId="171" fontId="50" fillId="18" borderId="2" xfId="2" applyNumberFormat="1" applyFont="1" applyFill="1" applyBorder="1" applyAlignment="1">
      <alignment vertical="center"/>
    </xf>
    <xf numFmtId="171" fontId="8" fillId="18" borderId="2" xfId="0" applyNumberFormat="1" applyFont="1" applyFill="1" applyBorder="1" applyAlignment="1">
      <alignment vertical="center"/>
    </xf>
    <xf numFmtId="171" fontId="52" fillId="4" borderId="1" xfId="2" applyNumberFormat="1" applyFont="1" applyFill="1" applyBorder="1" applyAlignment="1">
      <alignment vertical="center"/>
    </xf>
    <xf numFmtId="171" fontId="31" fillId="4" borderId="2" xfId="2" applyNumberFormat="1" applyFont="1" applyFill="1" applyBorder="1" applyAlignment="1">
      <alignment vertical="center"/>
    </xf>
    <xf numFmtId="171" fontId="50" fillId="0" borderId="1" xfId="2" applyNumberFormat="1" applyFont="1" applyBorder="1" applyAlignment="1">
      <alignment vertical="center"/>
    </xf>
    <xf numFmtId="171" fontId="50" fillId="0" borderId="2" xfId="2" applyNumberFormat="1" applyFont="1" applyBorder="1" applyAlignment="1">
      <alignment vertical="center"/>
    </xf>
    <xf numFmtId="171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1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8" fontId="3" fillId="21" borderId="23" xfId="0" applyNumberFormat="1" applyFont="1" applyFill="1" applyBorder="1" applyAlignment="1">
      <alignment horizont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  <xf numFmtId="0" fontId="8" fillId="3" borderId="0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7" totalsRowDxfId="38"/>
    <tableColumn id="3" xr3:uid="{8DE0B36A-F0DC-47A1-A74E-F4BE63A4FB1D}" name="Status Evento" dataDxfId="35" totalsRowDxfId="36"/>
    <tableColumn id="4" xr3:uid="{C1159FBD-CCD0-4CA2-BB8C-598E3AB5DDD8}" name="Processo" dataDxfId="33" totalsRowDxfId="34"/>
    <tableColumn id="5" xr3:uid="{A32670A4-BE4F-480D-8DE9-8FF18024C829}" name="Curso" dataDxfId="31" totalsRowDxfId="32"/>
    <tableColumn id="8" xr3:uid="{905DEA0A-D099-47EA-972D-1012D71C7792}" name="Público-Alvo" dataDxfId="29" totalsRowDxfId="30"/>
    <tableColumn id="9" xr3:uid="{7DC0A0BE-8030-47CA-AF56-2C13C9FF7AE5}" name="Programa" dataDxfId="27" totalsRowDxfId="28"/>
    <tableColumn id="11" xr3:uid="{2B799ACD-69E4-46A5-9A4F-F7E3D7A47CE9}" name="Data TXT" dataDxfId="25" totalsRowDxfId="26"/>
    <tableColumn id="12" xr3:uid="{62016C67-3729-4C41-B72D-09D6616B7474}" name="Início" dataDxfId="23" totalsRowDxfId="24"/>
    <tableColumn id="13" xr3:uid="{E4F20518-0042-40C0-B590-B7616F2843A5}" name="Término" dataDxfId="21" totalsRowDxfId="22"/>
    <tableColumn id="14" xr3:uid="{4D6C4412-CFEE-4506-830E-F79FD008371B}" name="Modalidade" dataDxfId="19" totalsRowDxfId="20"/>
    <tableColumn id="15" xr3:uid="{12EC931A-E71B-4AEB-B20B-0F9EA63D0C71}" name="Valor instrutoria" dataDxfId="17" totalsRowDxfId="18" dataCellStyle="Moeda"/>
    <tableColumn id="17" xr3:uid="{8FCDFADA-4FA3-41E0-86FF-E623116BAFEB}" name="Nota Av. Reação" dataDxfId="15" totalsRowDxfId="16"/>
    <tableColumn id="19" xr3:uid="{316EB379-BB97-4F60-9566-576B25A26B0E}" name="Qtd Vagas" dataDxfId="13" totalsRowDxfId="14"/>
    <tableColumn id="20" xr3:uid="{59A9FB16-6726-411C-88B5-8165DD520DA3}" name="P. Servidores" dataDxfId="11" totalsRowDxfId="12"/>
    <tableColumn id="21" xr3:uid="{0246E091-ADCD-4F62-8F95-84B21E8A7BE1}" name="P. Jurisdicionados" dataDxfId="9" totalsRowDxfId="10"/>
    <tableColumn id="22" xr3:uid="{1B6DBD6D-C072-4600-81C1-69D6F4422D7D}" name="P. Sociedade" dataDxfId="7" totalsRowDxfId="8"/>
    <tableColumn id="23" xr3:uid="{109F7E4E-776C-4249-88BE-FEC3A375D7D9}" name="Total Part." dataDxfId="5" totalsRowDxfId="6"/>
    <tableColumn id="24" xr3:uid="{C67AA4C6-834C-4EBB-839B-EF0CDD50F649}" name="C.H." dataDxfId="3" totalsRowDxfId="4"/>
    <tableColumn id="26" xr3:uid="{973608F6-3E97-493C-AC61-980F73C13CD6}" name="Instrutor" dataDxfId="1" totalsRowDxfId="2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N703" activePane="bottomLeft" state="frozen"/>
      <selection pane="bottomLeft" activeCell="T710" sqref="T710"/>
    </sheetView>
  </sheetViews>
  <sheetFormatPr defaultColWidth="9.140625" defaultRowHeight="22.5" customHeight="1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customHeight="1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customHeight="1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customHeight="1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customHeight="1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customHeight="1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customHeight="1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customHeight="1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customHeight="1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customHeight="1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customHeight="1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20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20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customHeight="1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customHeight="1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customHeight="1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customHeight="1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customHeight="1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customHeight="1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customHeight="1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customHeight="1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21" t="s">
        <v>2118</v>
      </c>
      <c r="F684" s="322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customHeight="1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customHeight="1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20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23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customHeight="1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customHeight="1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customHeight="1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customHeight="1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customHeight="1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>IF(B697="","",SUM(O697:Q697))</f>
        <v>0</v>
      </c>
      <c r="S697" s="224">
        <v>24</v>
      </c>
      <c r="T697" s="232" t="s">
        <v>2130</v>
      </c>
    </row>
    <row r="698" spans="1:20" ht="22.5" customHeight="1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>
        <v>0</v>
      </c>
      <c r="P698" s="23">
        <v>0</v>
      </c>
      <c r="Q698" s="242">
        <v>48</v>
      </c>
      <c r="R698" s="242">
        <f>IF(B698="","",SUM(O698:Q698))</f>
        <v>48</v>
      </c>
      <c r="S698" s="223">
        <v>20</v>
      </c>
      <c r="T698" s="231" t="s">
        <v>324</v>
      </c>
    </row>
    <row r="699" spans="1:20" ht="22.5" customHeight="1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>IF(B699="","",SUM(O699:Q699))</f>
        <v>220</v>
      </c>
      <c r="S699" s="224">
        <v>4</v>
      </c>
      <c r="T699" s="232" t="s">
        <v>365</v>
      </c>
    </row>
    <row r="700" spans="1:20" ht="22.5" customHeight="1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>IF(B700="","",SUM(O700:Q700))</f>
        <v>0</v>
      </c>
      <c r="S700" s="223">
        <v>8</v>
      </c>
      <c r="T700" s="231" t="s">
        <v>2167</v>
      </c>
    </row>
    <row r="701" spans="1:20" ht="22.5" customHeight="1">
      <c r="A701" s="180" t="str">
        <f>IF(B701="","",B701&amp;"-"&amp;TEXT(COUNTIF(B$2:B701,B701),"000"))</f>
        <v>2026-045</v>
      </c>
      <c r="B701" s="68">
        <v>2026</v>
      </c>
      <c r="C701" s="222" t="s">
        <v>2092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>
        <f>IF(B701="","",SUM(O701:Q701))</f>
        <v>0</v>
      </c>
      <c r="S701" s="223">
        <v>15</v>
      </c>
      <c r="T701" s="231" t="s">
        <v>2043</v>
      </c>
    </row>
    <row r="702" spans="1:20" ht="22.5" customHeight="1">
      <c r="A702" s="181" t="str">
        <f>IF(B702="","",B702&amp;"-"&amp;TEXT(COUNTIF(B$2:B702,B702),"000"))</f>
        <v>2026-046</v>
      </c>
      <c r="B702" s="68">
        <v>2026</v>
      </c>
      <c r="C702" s="222" t="s">
        <v>2092</v>
      </c>
      <c r="D702" s="224" t="s">
        <v>2169</v>
      </c>
      <c r="E702" s="228" t="s">
        <v>2170</v>
      </c>
      <c r="F702" s="230" t="s">
        <v>51</v>
      </c>
      <c r="G702" s="232" t="s">
        <v>59</v>
      </c>
      <c r="H702" s="234" t="s">
        <v>2171</v>
      </c>
      <c r="I702" s="236">
        <v>46244</v>
      </c>
      <c r="J702" s="236">
        <v>46245</v>
      </c>
      <c r="K702" s="224" t="s">
        <v>32</v>
      </c>
      <c r="L702" s="289"/>
      <c r="M702" s="238"/>
      <c r="N702" s="240">
        <v>40</v>
      </c>
      <c r="O702" s="243"/>
      <c r="P702" s="243"/>
      <c r="Q702" s="243"/>
      <c r="R702" s="243">
        <f>IF(B702="","",SUM(O702:Q702))</f>
        <v>0</v>
      </c>
      <c r="S702" s="224">
        <v>8</v>
      </c>
      <c r="T702" s="248" t="s">
        <v>2172</v>
      </c>
    </row>
    <row r="703" spans="1:20" ht="22.5" customHeight="1">
      <c r="A703" s="180" t="str">
        <f>IF(B703="","",B703&amp;"-"&amp;TEXT(COUNTIF(B$2:B703,B703),"000"))</f>
        <v>2026-047</v>
      </c>
      <c r="B703" s="68">
        <v>2026</v>
      </c>
      <c r="C703" s="222" t="s">
        <v>2092</v>
      </c>
      <c r="D703" s="223" t="s">
        <v>2173</v>
      </c>
      <c r="E703" s="225" t="s">
        <v>2174</v>
      </c>
      <c r="F703" s="229" t="s">
        <v>51</v>
      </c>
      <c r="G703" s="231" t="s">
        <v>59</v>
      </c>
      <c r="H703" s="233" t="s">
        <v>2175</v>
      </c>
      <c r="I703" s="235">
        <v>46244</v>
      </c>
      <c r="J703" s="235">
        <v>46244</v>
      </c>
      <c r="K703" s="223" t="s">
        <v>32</v>
      </c>
      <c r="L703" s="289">
        <v>1990</v>
      </c>
      <c r="M703" s="238"/>
      <c r="N703" s="239">
        <v>20</v>
      </c>
      <c r="O703" s="242"/>
      <c r="P703" s="242"/>
      <c r="Q703" s="242"/>
      <c r="R703" s="242">
        <f>IF(B703="","",SUM(O703:Q703))</f>
        <v>0</v>
      </c>
      <c r="S703" s="223">
        <v>4</v>
      </c>
      <c r="T703" s="231" t="s">
        <v>1848</v>
      </c>
    </row>
    <row r="704" spans="1:20" ht="22.5" customHeight="1">
      <c r="A704" s="181" t="str">
        <f>IF(B704="","",B704&amp;"-"&amp;TEXT(COUNTIF(B$2:B704,B704),"000"))</f>
        <v>2026-048</v>
      </c>
      <c r="B704" s="68">
        <v>2026</v>
      </c>
      <c r="C704" s="222" t="s">
        <v>2092</v>
      </c>
      <c r="D704" s="224" t="s">
        <v>2176</v>
      </c>
      <c r="E704" s="227" t="s">
        <v>2177</v>
      </c>
      <c r="F704" s="230" t="s">
        <v>51</v>
      </c>
      <c r="G704" s="232" t="s">
        <v>59</v>
      </c>
      <c r="H704" s="234" t="s">
        <v>2175</v>
      </c>
      <c r="I704" s="236">
        <v>46244</v>
      </c>
      <c r="J704" s="236">
        <v>46244</v>
      </c>
      <c r="K704" s="224" t="s">
        <v>32</v>
      </c>
      <c r="L704" s="289">
        <v>3520</v>
      </c>
      <c r="M704" s="238"/>
      <c r="N704" s="240">
        <v>30</v>
      </c>
      <c r="O704" s="243"/>
      <c r="P704" s="243"/>
      <c r="Q704" s="243"/>
      <c r="R704" s="243">
        <f>IF(B704="","",SUM(O704:Q704))</f>
        <v>0</v>
      </c>
      <c r="S704" s="224">
        <v>4</v>
      </c>
      <c r="T704" s="232" t="s">
        <v>2178</v>
      </c>
    </row>
    <row r="705" spans="1:21" ht="22.5" customHeight="1">
      <c r="A705" s="180" t="str">
        <f>IF(B705="","",B705&amp;"-"&amp;TEXT(COUNTIF(B$2:B705,B705),"000"))</f>
        <v>2026-049</v>
      </c>
      <c r="B705" s="68">
        <v>2026</v>
      </c>
      <c r="C705" s="222" t="s">
        <v>2092</v>
      </c>
      <c r="D705" s="223" t="s">
        <v>2179</v>
      </c>
      <c r="E705" s="225" t="s">
        <v>2180</v>
      </c>
      <c r="F705" s="229" t="s">
        <v>51</v>
      </c>
      <c r="G705" s="231" t="s">
        <v>59</v>
      </c>
      <c r="H705" s="233" t="s">
        <v>2181</v>
      </c>
      <c r="I705" s="235">
        <v>46245</v>
      </c>
      <c r="J705" s="235">
        <v>46245</v>
      </c>
      <c r="K705" s="223" t="s">
        <v>32</v>
      </c>
      <c r="L705" s="289">
        <v>3520</v>
      </c>
      <c r="M705" s="238"/>
      <c r="N705" s="239">
        <v>30</v>
      </c>
      <c r="O705" s="242"/>
      <c r="P705" s="242"/>
      <c r="Q705" s="242"/>
      <c r="R705" s="242">
        <f>IF(B705="","",SUM(O705:Q705))</f>
        <v>0</v>
      </c>
      <c r="S705" s="223">
        <v>4</v>
      </c>
      <c r="T705" s="231" t="s">
        <v>1856</v>
      </c>
    </row>
    <row r="706" spans="1:21" ht="22.5" customHeight="1">
      <c r="A706" s="181" t="str">
        <f>IF(B706="","",B706&amp;"-"&amp;TEXT(COUNTIF(B$2:B706,B706),"000"))</f>
        <v>2026-050</v>
      </c>
      <c r="B706" s="68">
        <v>2026</v>
      </c>
      <c r="C706" s="222" t="s">
        <v>2092</v>
      </c>
      <c r="D706" s="224" t="s">
        <v>2182</v>
      </c>
      <c r="E706" s="227" t="s">
        <v>2183</v>
      </c>
      <c r="F706" s="230" t="s">
        <v>51</v>
      </c>
      <c r="G706" s="232" t="s">
        <v>59</v>
      </c>
      <c r="H706" s="234" t="s">
        <v>2184</v>
      </c>
      <c r="I706" s="236">
        <v>46246</v>
      </c>
      <c r="J706" s="236">
        <v>46246</v>
      </c>
      <c r="K706" s="224" t="s">
        <v>32</v>
      </c>
      <c r="L706" s="289">
        <v>2347</v>
      </c>
      <c r="M706" s="238"/>
      <c r="N706" s="240">
        <v>50</v>
      </c>
      <c r="O706" s="243"/>
      <c r="P706" s="243"/>
      <c r="Q706" s="243"/>
      <c r="R706" s="243">
        <f>IF(B706="","",SUM(O706:Q706))</f>
        <v>0</v>
      </c>
      <c r="S706" s="224">
        <v>4</v>
      </c>
      <c r="T706" s="232" t="s">
        <v>1478</v>
      </c>
    </row>
    <row r="707" spans="1:21" ht="22.5" customHeight="1">
      <c r="A707" s="180" t="str">
        <f>IF(B707="","",B707&amp;"-"&amp;TEXT(COUNTIF(B$2:B707,B707),"000"))</f>
        <v>2026-051</v>
      </c>
      <c r="B707" s="68">
        <v>2026</v>
      </c>
      <c r="C707" s="222" t="s">
        <v>2092</v>
      </c>
      <c r="D707" s="224" t="s">
        <v>2185</v>
      </c>
      <c r="E707" s="227" t="s">
        <v>2186</v>
      </c>
      <c r="F707" s="230" t="s">
        <v>51</v>
      </c>
      <c r="G707" s="232" t="s">
        <v>59</v>
      </c>
      <c r="H707" s="234" t="s">
        <v>2184</v>
      </c>
      <c r="I707" s="236">
        <v>46246</v>
      </c>
      <c r="J707" s="236">
        <v>46246</v>
      </c>
      <c r="K707" s="224" t="s">
        <v>32</v>
      </c>
      <c r="L707" s="289">
        <v>3520</v>
      </c>
      <c r="M707" s="238"/>
      <c r="N707" s="240">
        <v>30</v>
      </c>
      <c r="O707" s="243"/>
      <c r="P707" s="243"/>
      <c r="Q707" s="243"/>
      <c r="R707" s="243">
        <f>IF(B707="","",SUM(O707:Q707))</f>
        <v>0</v>
      </c>
      <c r="S707" s="224">
        <v>4</v>
      </c>
      <c r="T707" s="232" t="s">
        <v>2187</v>
      </c>
    </row>
    <row r="708" spans="1:21" ht="22.5" customHeight="1">
      <c r="A708" s="181" t="str">
        <f>IF(B708="","",B708&amp;"-"&amp;TEXT(COUNTIF(B$2:B708,B708),"000"))</f>
        <v>2026-052</v>
      </c>
      <c r="B708" s="68">
        <v>2026</v>
      </c>
      <c r="C708" s="222" t="s">
        <v>2092</v>
      </c>
      <c r="D708" s="223" t="s">
        <v>2188</v>
      </c>
      <c r="E708" s="225" t="s">
        <v>2189</v>
      </c>
      <c r="F708" s="229" t="s">
        <v>51</v>
      </c>
      <c r="G708" s="231" t="s">
        <v>59</v>
      </c>
      <c r="H708" s="233" t="s">
        <v>2190</v>
      </c>
      <c r="I708" s="235">
        <v>46247</v>
      </c>
      <c r="J708" s="235">
        <v>46247</v>
      </c>
      <c r="K708" s="223" t="s">
        <v>32</v>
      </c>
      <c r="L708" s="289">
        <v>1770</v>
      </c>
      <c r="M708" s="238"/>
      <c r="N708" s="239">
        <v>50</v>
      </c>
      <c r="O708" s="242"/>
      <c r="P708" s="242"/>
      <c r="Q708" s="242"/>
      <c r="R708" s="242">
        <f>IF(B708="","",SUM(O708:Q708))</f>
        <v>0</v>
      </c>
      <c r="S708" s="223">
        <v>4</v>
      </c>
      <c r="T708" s="231" t="s">
        <v>2191</v>
      </c>
    </row>
    <row r="709" spans="1:21" ht="22.5" customHeight="1">
      <c r="A709" s="180" t="str">
        <f>IF(B709="","",B709&amp;"-"&amp;TEXT(COUNTIF(B$2:B709,B709),"000"))</f>
        <v>2026-053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2190</v>
      </c>
      <c r="I709" s="235">
        <v>46247</v>
      </c>
      <c r="J709" s="235">
        <v>46247</v>
      </c>
      <c r="K709" s="223" t="s">
        <v>32</v>
      </c>
      <c r="L709" s="289">
        <v>3520</v>
      </c>
      <c r="M709" s="238"/>
      <c r="N709" s="239">
        <v>30</v>
      </c>
      <c r="O709" s="242"/>
      <c r="P709" s="242"/>
      <c r="Q709" s="242"/>
      <c r="R709" s="242">
        <f>IF(B709="","",SUM(O709:Q709))</f>
        <v>0</v>
      </c>
      <c r="S709" s="223">
        <v>4</v>
      </c>
      <c r="T709" s="231" t="s">
        <v>2194</v>
      </c>
      <c r="U709" s="218"/>
    </row>
    <row r="710" spans="1:21" ht="22.5" customHeight="1">
      <c r="A710" s="181" t="str">
        <f>IF(B710="","",B710&amp;"-"&amp;TEXT(COUNTIF(B$2:B710,B710),"000"))</f>
        <v>2026-054</v>
      </c>
      <c r="B710" s="68">
        <v>2026</v>
      </c>
      <c r="C710" s="222" t="s">
        <v>2092</v>
      </c>
      <c r="D710" s="223" t="s">
        <v>2195</v>
      </c>
      <c r="E710" s="225" t="s">
        <v>2196</v>
      </c>
      <c r="F710" s="229" t="s">
        <v>22</v>
      </c>
      <c r="G710" s="231" t="s">
        <v>157</v>
      </c>
      <c r="H710" s="233" t="s">
        <v>2197</v>
      </c>
      <c r="I710" s="235">
        <v>46248</v>
      </c>
      <c r="J710" s="235">
        <v>46248</v>
      </c>
      <c r="K710" s="223" t="s">
        <v>32</v>
      </c>
      <c r="L710" s="289"/>
      <c r="M710" s="238"/>
      <c r="N710" s="239">
        <v>170</v>
      </c>
      <c r="O710" s="242"/>
      <c r="P710" s="242"/>
      <c r="Q710" s="242"/>
      <c r="R710" s="242">
        <f>IF(B710="","",SUM(O710:Q710))</f>
        <v>0</v>
      </c>
      <c r="S710" s="223">
        <v>2</v>
      </c>
      <c r="T710" s="247" t="s">
        <v>1028</v>
      </c>
    </row>
    <row r="711" spans="1:21" ht="22.5" customHeight="1">
      <c r="A711" s="181" t="str">
        <f>IF(B711="","",B711&amp;"-"&amp;TEXT(COUNTIF(B$2:B711,B711),"000"))</f>
        <v>2026-055</v>
      </c>
      <c r="B711" s="68">
        <v>2026</v>
      </c>
      <c r="C711" s="222" t="s">
        <v>2092</v>
      </c>
      <c r="D711" s="223" t="s">
        <v>2085</v>
      </c>
      <c r="E711" s="225" t="s">
        <v>2198</v>
      </c>
      <c r="F711" s="229" t="s">
        <v>66</v>
      </c>
      <c r="G711" s="231" t="s">
        <v>2073</v>
      </c>
      <c r="H711" s="233" t="s">
        <v>2199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>IF(B711="","",SUM(O711:Q711))</f>
        <v>0</v>
      </c>
      <c r="S711" s="223">
        <v>4</v>
      </c>
      <c r="T711" s="247" t="s">
        <v>2200</v>
      </c>
    </row>
    <row r="712" spans="1:21" ht="22.5" customHeight="1">
      <c r="A712" s="180" t="str">
        <f>IF(B712="","",B712&amp;"-"&amp;TEXT(COUNTIF(B$2:B712,B712),"000"))</f>
        <v>2026-056</v>
      </c>
      <c r="B712" s="68">
        <v>2026</v>
      </c>
      <c r="C712" s="222" t="s">
        <v>2092</v>
      </c>
      <c r="D712" s="223" t="s">
        <v>2085</v>
      </c>
      <c r="E712" s="228" t="s">
        <v>2198</v>
      </c>
      <c r="F712" s="230" t="s">
        <v>66</v>
      </c>
      <c r="G712" s="232" t="s">
        <v>2073</v>
      </c>
      <c r="H712" s="234" t="s">
        <v>2201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>IF(B712="","",SUM(O712:Q712))</f>
        <v>0</v>
      </c>
      <c r="S712" s="224">
        <v>4</v>
      </c>
      <c r="T712" s="248" t="s">
        <v>2202</v>
      </c>
    </row>
    <row r="713" spans="1:21" ht="22.5" customHeight="1">
      <c r="A713" s="181" t="str">
        <f>IF(B713="","",B713&amp;"-"&amp;TEXT(COUNTIF(B$2:B713,B713),"000"))</f>
        <v>2026-057</v>
      </c>
      <c r="B713" s="68">
        <v>2026</v>
      </c>
      <c r="C713" s="222" t="s">
        <v>2092</v>
      </c>
      <c r="D713" s="224" t="s">
        <v>2203</v>
      </c>
      <c r="E713" s="227" t="s">
        <v>2204</v>
      </c>
      <c r="F713" s="230" t="s">
        <v>51</v>
      </c>
      <c r="G713" s="232" t="s">
        <v>59</v>
      </c>
      <c r="H713" s="305" t="s">
        <v>2205</v>
      </c>
      <c r="I713" s="236">
        <v>46259</v>
      </c>
      <c r="J713" s="236">
        <v>46268</v>
      </c>
      <c r="K713" s="224" t="s">
        <v>32</v>
      </c>
      <c r="L713" s="289"/>
      <c r="M713" s="238"/>
      <c r="N713" s="240">
        <v>30</v>
      </c>
      <c r="O713" s="243"/>
      <c r="P713" s="243"/>
      <c r="Q713" s="243"/>
      <c r="R713" s="243">
        <f>IF(B713="","",SUM(O713:Q713))</f>
        <v>0</v>
      </c>
      <c r="S713" s="224">
        <v>20</v>
      </c>
      <c r="T713" s="232" t="s">
        <v>2206</v>
      </c>
    </row>
    <row r="714" spans="1:21" ht="22.5" customHeight="1">
      <c r="A714" s="181" t="str">
        <f>IF(B714="","",B714&amp;"-"&amp;TEXT(COUNTIF(B$2:B714,B714),"000"))</f>
        <v>2026-058</v>
      </c>
      <c r="B714" s="68">
        <v>2026</v>
      </c>
      <c r="C714" s="46" t="s">
        <v>2092</v>
      </c>
      <c r="D714" s="20" t="s">
        <v>2207</v>
      </c>
      <c r="E714" s="80" t="s">
        <v>2208</v>
      </c>
      <c r="F714" s="27" t="s">
        <v>66</v>
      </c>
      <c r="G714" s="18" t="s">
        <v>2073</v>
      </c>
      <c r="H714" s="34" t="s">
        <v>2209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2210</v>
      </c>
    </row>
    <row r="715" spans="1:21" ht="22.5" customHeight="1">
      <c r="A715" s="181" t="str">
        <f>IF(B715="","",B715&amp;"-"&amp;TEXT(COUNTIF(B$2:B715,B715),"000"))</f>
        <v>2026-059</v>
      </c>
      <c r="B715" s="68">
        <v>2026</v>
      </c>
      <c r="C715" s="222" t="s">
        <v>2092</v>
      </c>
      <c r="D715" s="223" t="s">
        <v>2085</v>
      </c>
      <c r="E715" s="225" t="s">
        <v>2198</v>
      </c>
      <c r="F715" s="229" t="s">
        <v>66</v>
      </c>
      <c r="G715" s="231" t="s">
        <v>2073</v>
      </c>
      <c r="H715" s="233" t="s">
        <v>2211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2202</v>
      </c>
    </row>
    <row r="716" spans="1:21" ht="22.5" customHeight="1">
      <c r="A716" s="180" t="str">
        <f>IF(B716="","",B716&amp;"-"&amp;TEXT(COUNTIF(B$2:B716,B716),"000"))</f>
        <v>2026-060</v>
      </c>
      <c r="B716" s="68">
        <v>2026</v>
      </c>
      <c r="C716" s="222" t="s">
        <v>2092</v>
      </c>
      <c r="D716" s="223" t="s">
        <v>2085</v>
      </c>
      <c r="E716" s="228" t="s">
        <v>2198</v>
      </c>
      <c r="F716" s="230" t="s">
        <v>66</v>
      </c>
      <c r="G716" s="232" t="s">
        <v>2073</v>
      </c>
      <c r="H716" s="234" t="s">
        <v>2212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2202</v>
      </c>
    </row>
    <row r="717" spans="1:21" ht="22.5" customHeight="1">
      <c r="A717" s="181" t="str">
        <f>IF(B717="","",B717&amp;"-"&amp;TEXT(COUNTIF(B$2:B717,B717),"000"))</f>
        <v>2026-061</v>
      </c>
      <c r="B717" s="68">
        <v>2026</v>
      </c>
      <c r="C717" s="222" t="s">
        <v>2092</v>
      </c>
      <c r="D717" s="223" t="s">
        <v>2085</v>
      </c>
      <c r="E717" s="225" t="s">
        <v>2198</v>
      </c>
      <c r="F717" s="229" t="s">
        <v>66</v>
      </c>
      <c r="G717" s="231" t="s">
        <v>2073</v>
      </c>
      <c r="H717" s="233" t="s">
        <v>2213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2202</v>
      </c>
    </row>
    <row r="718" spans="1:21" ht="22.5" customHeight="1">
      <c r="A718" s="180" t="str">
        <f>IF(B718="","",B718&amp;"-"&amp;TEXT(COUNTIF(B$2:B718,B718),"000"))</f>
        <v>2026-062</v>
      </c>
      <c r="B718" s="68">
        <v>2026</v>
      </c>
      <c r="C718" s="222" t="s">
        <v>2092</v>
      </c>
      <c r="D718" s="224" t="s">
        <v>2085</v>
      </c>
      <c r="E718" s="228" t="s">
        <v>2198</v>
      </c>
      <c r="F718" s="230" t="s">
        <v>66</v>
      </c>
      <c r="G718" s="232" t="s">
        <v>2073</v>
      </c>
      <c r="H718" s="234" t="s">
        <v>2214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2202</v>
      </c>
    </row>
    <row r="719" spans="1:21" ht="22.5" customHeight="1">
      <c r="A719" s="181" t="str">
        <f>IF(B719="","",B719&amp;"-"&amp;TEXT(COUNTIF(B$2:B719,B719),"000"))</f>
        <v>2026-063</v>
      </c>
      <c r="B719" s="68">
        <v>2026</v>
      </c>
      <c r="C719" s="222" t="s">
        <v>2092</v>
      </c>
      <c r="D719" s="223" t="s">
        <v>2215</v>
      </c>
      <c r="E719" s="225" t="s">
        <v>2216</v>
      </c>
      <c r="F719" s="229" t="s">
        <v>51</v>
      </c>
      <c r="G719" s="231" t="s">
        <v>59</v>
      </c>
      <c r="H719" s="233" t="s">
        <v>2217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customHeight="1">
      <c r="A720" s="180" t="str">
        <f>IF(B720="","",B720&amp;"-"&amp;TEXT(COUNTIF(B$2:B720,B720),"000"))</f>
        <v>2026-064</v>
      </c>
      <c r="B720" s="62">
        <v>2026</v>
      </c>
      <c r="C720" s="20" t="s">
        <v>2092</v>
      </c>
      <c r="D720" s="157" t="s">
        <v>2218</v>
      </c>
      <c r="E720" s="324" t="s">
        <v>2219</v>
      </c>
      <c r="F720" s="29" t="s">
        <v>51</v>
      </c>
      <c r="G720" s="19" t="s">
        <v>59</v>
      </c>
      <c r="H720" s="159" t="s">
        <v>2220</v>
      </c>
      <c r="I720" s="160">
        <v>46335</v>
      </c>
      <c r="J720" s="160">
        <v>46335</v>
      </c>
      <c r="K720" s="22" t="s">
        <v>25</v>
      </c>
      <c r="L720" s="287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>
      <c r="A721" s="270" t="str">
        <f>IF(B721="","",B721&amp;"-"&amp;TEXT(COUNTIF(B$2:B721,B721),"000"))</f>
        <v>2026-065</v>
      </c>
      <c r="B721" s="68">
        <v>2026</v>
      </c>
      <c r="C721" s="249" t="s">
        <v>2092</v>
      </c>
      <c r="D721" s="272" t="s">
        <v>2221</v>
      </c>
      <c r="E721" s="273" t="s">
        <v>2222</v>
      </c>
      <c r="F721" s="307" t="s">
        <v>22</v>
      </c>
      <c r="G721" s="274" t="s">
        <v>56</v>
      </c>
      <c r="H721" s="276" t="s">
        <v>2223</v>
      </c>
      <c r="I721" s="278">
        <v>46344</v>
      </c>
      <c r="J721" s="278">
        <v>46345</v>
      </c>
      <c r="K721" s="272" t="s">
        <v>25</v>
      </c>
      <c r="L721" s="290">
        <v>13000</v>
      </c>
      <c r="M721" s="252"/>
      <c r="N721" s="279"/>
      <c r="O721" s="280"/>
      <c r="P721" s="280"/>
      <c r="Q721" s="280"/>
      <c r="R721" s="280">
        <f>IF(B721="","",SUM(O721:Q721))</f>
        <v>0</v>
      </c>
      <c r="S721" s="272">
        <v>10</v>
      </c>
      <c r="T721" s="274" t="s">
        <v>2224</v>
      </c>
    </row>
    <row r="722" spans="1:20" ht="22.5" customHeight="1">
      <c r="A722" s="180" t="str">
        <f>IF(B722="","",B722&amp;"-"&amp;TEXT(COUNTIF(B$2:B722,B722),"000"))</f>
        <v>2026-066</v>
      </c>
      <c r="B722" s="20">
        <v>2026</v>
      </c>
      <c r="C722" s="222" t="s">
        <v>2092</v>
      </c>
      <c r="D722" s="223" t="s">
        <v>2225</v>
      </c>
      <c r="E722" s="225" t="s">
        <v>2226</v>
      </c>
      <c r="F722" s="229" t="s">
        <v>51</v>
      </c>
      <c r="G722" s="231" t="s">
        <v>59</v>
      </c>
      <c r="H722" s="233" t="s">
        <v>2095</v>
      </c>
      <c r="I722" s="235" t="s">
        <v>2227</v>
      </c>
      <c r="J722" s="235" t="s">
        <v>2228</v>
      </c>
      <c r="K722" s="223" t="s">
        <v>32</v>
      </c>
      <c r="L722" s="289"/>
      <c r="M722" s="238"/>
      <c r="N722" s="239"/>
      <c r="O722" s="242"/>
      <c r="P722" s="242"/>
      <c r="Q722" s="242"/>
      <c r="R722" s="242">
        <f>IF(B722="","",SUM(O722:Q722))</f>
        <v>0</v>
      </c>
      <c r="S722" s="223">
        <v>17.45</v>
      </c>
      <c r="T722" s="231" t="s">
        <v>2229</v>
      </c>
    </row>
    <row r="723" spans="1:20" ht="22.5" customHeight="1">
      <c r="A723" s="181" t="str">
        <f>IF(B723="","",B723&amp;"-"&amp;TEXT(COUNTIF(B$2:B723,B723),"000"))</f>
        <v>2026-067</v>
      </c>
      <c r="B723" s="62">
        <v>2026</v>
      </c>
      <c r="C723" s="222" t="s">
        <v>2092</v>
      </c>
      <c r="D723" s="223" t="s">
        <v>2233</v>
      </c>
      <c r="E723" s="226" t="s">
        <v>2234</v>
      </c>
      <c r="F723" s="229" t="s">
        <v>22</v>
      </c>
      <c r="G723" s="231" t="s">
        <v>157</v>
      </c>
      <c r="H723" s="233" t="s">
        <v>2175</v>
      </c>
      <c r="I723" s="233" t="s">
        <v>2175</v>
      </c>
      <c r="J723" s="233" t="s">
        <v>2175</v>
      </c>
      <c r="K723" s="223" t="s">
        <v>25</v>
      </c>
      <c r="L723" s="289">
        <v>2000</v>
      </c>
      <c r="M723" s="238"/>
      <c r="N723" s="239">
        <v>170</v>
      </c>
      <c r="O723" s="242"/>
      <c r="P723" s="242"/>
      <c r="Q723" s="242"/>
      <c r="R723" s="242">
        <f>IF(B723="","",SUM(O723:Q723))</f>
        <v>0</v>
      </c>
      <c r="S723" s="223">
        <v>1</v>
      </c>
      <c r="T723" s="231" t="s">
        <v>2235</v>
      </c>
    </row>
    <row r="724" spans="1:20" ht="22.5" customHeight="1">
      <c r="A724" s="180" t="str">
        <f>IF(B724="","",B724&amp;"-"&amp;TEXT(COUNTIF(B$2:B724,B724),"000"))</f>
        <v>2026-068</v>
      </c>
      <c r="B724" s="334">
        <v>2026</v>
      </c>
      <c r="C724" s="222" t="s">
        <v>2092</v>
      </c>
      <c r="D724" s="224" t="s">
        <v>2230</v>
      </c>
      <c r="E724" s="226" t="s">
        <v>2231</v>
      </c>
      <c r="F724" s="230" t="s">
        <v>51</v>
      </c>
      <c r="G724" s="232" t="s">
        <v>59</v>
      </c>
      <c r="H724" s="302" t="s">
        <v>2197</v>
      </c>
      <c r="I724" s="303" t="s">
        <v>2197</v>
      </c>
      <c r="J724" s="303" t="s">
        <v>2197</v>
      </c>
      <c r="K724" s="224" t="s">
        <v>32</v>
      </c>
      <c r="L724" s="289">
        <v>3520</v>
      </c>
      <c r="M724" s="238"/>
      <c r="N724" s="240">
        <v>30</v>
      </c>
      <c r="O724" s="243"/>
      <c r="P724" s="243"/>
      <c r="Q724" s="243"/>
      <c r="R724" s="304">
        <f>IF(B724="","",SUM(O724:Q724))</f>
        <v>0</v>
      </c>
      <c r="S724" s="224">
        <v>4</v>
      </c>
      <c r="T724" s="232" t="s">
        <v>2232</v>
      </c>
    </row>
    <row r="725" spans="1:20" ht="22.5" customHeight="1">
      <c r="A725" s="181" t="str">
        <f>IF(B725="","",B725&amp;"-"&amp;TEXT(COUNTIF(B$2:B725,B725),"000"))</f>
        <v/>
      </c>
      <c r="B725" s="221"/>
      <c r="C725" s="222"/>
      <c r="D725" s="224"/>
      <c r="E725" s="227"/>
      <c r="F725" s="230"/>
      <c r="G725" s="232"/>
      <c r="H725" s="234"/>
      <c r="I725" s="236"/>
      <c r="J725" s="236"/>
      <c r="K725" s="224"/>
      <c r="L725" s="289"/>
      <c r="M725" s="238"/>
      <c r="N725" s="240"/>
      <c r="O725" s="243"/>
      <c r="P725" s="243"/>
      <c r="Q725" s="243"/>
      <c r="R725" s="243" t="str">
        <f>IF(B725="","",SUM(O725:Q725))</f>
        <v/>
      </c>
      <c r="S725" s="224"/>
      <c r="T725" s="232"/>
    </row>
    <row r="726" spans="1:20" ht="22.5" customHeight="1">
      <c r="A726" s="180" t="str">
        <f>IF(B726="","",B726&amp;"-"&amp;TEXT(COUNTIF(B$2:B726,B726),"000"))</f>
        <v/>
      </c>
      <c r="B726" s="220"/>
      <c r="C726" s="222"/>
      <c r="D726" s="223"/>
      <c r="E726" s="225"/>
      <c r="F726" s="229"/>
      <c r="G726" s="231"/>
      <c r="H726" s="233"/>
      <c r="I726" s="235"/>
      <c r="J726" s="235"/>
      <c r="K726" s="223"/>
      <c r="L726" s="289"/>
      <c r="M726" s="238"/>
      <c r="N726" s="239"/>
      <c r="O726" s="242"/>
      <c r="P726" s="242"/>
      <c r="Q726" s="242"/>
      <c r="R726" s="242" t="str">
        <f>IF(B726="","",SUM(O726:Q726))</f>
        <v/>
      </c>
      <c r="S726" s="223"/>
      <c r="T726" s="231"/>
    </row>
    <row r="727" spans="1:20" ht="22.5" customHeight="1">
      <c r="A727" s="181" t="str">
        <f>IF(B727="","",B727&amp;"-"&amp;TEXT(COUNTIF(B$2:B727,B727),"000"))</f>
        <v/>
      </c>
      <c r="B727" s="221"/>
      <c r="C727" s="222"/>
      <c r="D727" s="224"/>
      <c r="E727" s="227"/>
      <c r="F727" s="230"/>
      <c r="G727" s="232"/>
      <c r="H727" s="234"/>
      <c r="I727" s="236"/>
      <c r="J727" s="236"/>
      <c r="K727" s="224"/>
      <c r="L727" s="289"/>
      <c r="M727" s="238"/>
      <c r="N727" s="240"/>
      <c r="O727" s="243"/>
      <c r="P727" s="243"/>
      <c r="Q727" s="243"/>
      <c r="R727" s="243" t="str">
        <f>IF(B727="","",SUM(O727:Q727))</f>
        <v/>
      </c>
      <c r="S727" s="224"/>
      <c r="T727" s="232"/>
    </row>
    <row r="728" spans="1:20" ht="22.5" customHeight="1">
      <c r="A728" s="180" t="str">
        <f>IF(B728="","",B728&amp;"-"&amp;TEXT(COUNTIF(B$2:B728,B728),"000"))</f>
        <v/>
      </c>
      <c r="B728" s="220"/>
      <c r="C728" s="222"/>
      <c r="D728" s="223"/>
      <c r="E728" s="225"/>
      <c r="F728" s="229"/>
      <c r="G728" s="231"/>
      <c r="H728" s="233"/>
      <c r="I728" s="235"/>
      <c r="J728" s="235"/>
      <c r="K728" s="223"/>
      <c r="L728" s="289"/>
      <c r="M728" s="238"/>
      <c r="N728" s="239"/>
      <c r="O728" s="242"/>
      <c r="P728" s="242"/>
      <c r="Q728" s="242"/>
      <c r="R728" s="242" t="str">
        <f>IF(B728="","",SUM(O728:Q728))</f>
        <v/>
      </c>
      <c r="S728" s="223"/>
      <c r="T728" s="231"/>
    </row>
    <row r="729" spans="1:20" ht="22.5" customHeight="1">
      <c r="A729" s="181" t="str">
        <f>IF(B729="","",B729&amp;"-"&amp;TEXT(COUNTIF(B$2:B729,B729),"000"))</f>
        <v/>
      </c>
      <c r="B729" s="221"/>
      <c r="C729" s="222"/>
      <c r="D729" s="224"/>
      <c r="E729" s="227"/>
      <c r="F729" s="230"/>
      <c r="G729" s="232"/>
      <c r="H729" s="234"/>
      <c r="I729" s="236"/>
      <c r="J729" s="236"/>
      <c r="K729" s="224"/>
      <c r="L729" s="289"/>
      <c r="M729" s="238"/>
      <c r="N729" s="240"/>
      <c r="O729" s="243"/>
      <c r="P729" s="243"/>
      <c r="Q729" s="243"/>
      <c r="R729" s="243" t="str">
        <f>IF(B729="","",SUM(O729:Q729))</f>
        <v/>
      </c>
      <c r="S729" s="224"/>
      <c r="T729" s="232"/>
    </row>
    <row r="730" spans="1:20" ht="22.5" customHeight="1">
      <c r="A730" s="180" t="str">
        <f>IF(B730="","",B730&amp;"-"&amp;TEXT(COUNTIF(B$2:B730,B730),"000"))</f>
        <v/>
      </c>
      <c r="B730" s="220"/>
      <c r="C730" s="222"/>
      <c r="D730" s="223"/>
      <c r="E730" s="225"/>
      <c r="F730" s="229"/>
      <c r="G730" s="231"/>
      <c r="H730" s="233"/>
      <c r="I730" s="235"/>
      <c r="J730" s="235"/>
      <c r="K730" s="223"/>
      <c r="L730" s="289"/>
      <c r="M730" s="238"/>
      <c r="N730" s="239"/>
      <c r="O730" s="242"/>
      <c r="P730" s="242"/>
      <c r="Q730" s="242"/>
      <c r="R730" s="242" t="str">
        <f>IF(B730="","",SUM(O730:Q730))</f>
        <v/>
      </c>
      <c r="S730" s="223"/>
      <c r="T730" s="231"/>
    </row>
    <row r="731" spans="1:20" ht="22.5" customHeight="1">
      <c r="A731" s="181" t="str">
        <f>IF(B731="","",B731&amp;"-"&amp;TEXT(COUNTIF(B$2:B731,B731),"000"))</f>
        <v/>
      </c>
      <c r="B731" s="221"/>
      <c r="C731" s="222"/>
      <c r="D731" s="224"/>
      <c r="E731" s="227"/>
      <c r="F731" s="230"/>
      <c r="G731" s="232"/>
      <c r="H731" s="234"/>
      <c r="I731" s="236"/>
      <c r="J731" s="236"/>
      <c r="K731" s="224"/>
      <c r="L731" s="289"/>
      <c r="M731" s="238"/>
      <c r="N731" s="240"/>
      <c r="O731" s="243"/>
      <c r="P731" s="243"/>
      <c r="Q731" s="243"/>
      <c r="R731" s="243" t="str">
        <f>IF(B731="","",SUM(O731:Q731))</f>
        <v/>
      </c>
      <c r="S731" s="224"/>
      <c r="T731" s="232"/>
    </row>
    <row r="732" spans="1:20" ht="22.5" customHeight="1">
      <c r="A732" s="180" t="str">
        <f>IF(B732="","",B732&amp;"-"&amp;TEXT(COUNTIF(B$2:B732,B732),"000"))</f>
        <v/>
      </c>
      <c r="B732" s="220"/>
      <c r="C732" s="222"/>
      <c r="D732" s="223"/>
      <c r="E732" s="225"/>
      <c r="F732" s="229"/>
      <c r="G732" s="231"/>
      <c r="H732" s="233"/>
      <c r="I732" s="235"/>
      <c r="J732" s="235"/>
      <c r="K732" s="223"/>
      <c r="L732" s="289"/>
      <c r="M732" s="238"/>
      <c r="N732" s="239"/>
      <c r="O732" s="242"/>
      <c r="P732" s="242"/>
      <c r="Q732" s="242"/>
      <c r="R732" s="242" t="str">
        <f>IF(B732="","",SUM(O732:Q732))</f>
        <v/>
      </c>
      <c r="S732" s="223"/>
      <c r="T732" s="231"/>
    </row>
    <row r="733" spans="1:20" ht="22.5" customHeight="1">
      <c r="A733" s="181" t="str">
        <f>IF(B733="","",B733&amp;"-"&amp;TEXT(COUNTIF(B$2:B733,B733),"000"))</f>
        <v/>
      </c>
      <c r="B733" s="221"/>
      <c r="C733" s="222"/>
      <c r="D733" s="224"/>
      <c r="E733" s="227"/>
      <c r="F733" s="230"/>
      <c r="G733" s="232"/>
      <c r="H733" s="234"/>
      <c r="I733" s="236"/>
      <c r="J733" s="236"/>
      <c r="K733" s="224"/>
      <c r="L733" s="289"/>
      <c r="M733" s="238"/>
      <c r="N733" s="240"/>
      <c r="O733" s="243"/>
      <c r="P733" s="243"/>
      <c r="Q733" s="243"/>
      <c r="R733" s="243" t="str">
        <f>IF(B733="","",SUM(O733:Q733))</f>
        <v/>
      </c>
      <c r="S733" s="224"/>
      <c r="T733" s="232"/>
    </row>
    <row r="734" spans="1:20" ht="22.5" customHeight="1">
      <c r="A734" s="180" t="str">
        <f>IF(B734="","",B734&amp;"-"&amp;TEXT(COUNTIF(B$2:B734,B734),"000"))</f>
        <v/>
      </c>
      <c r="B734" s="220"/>
      <c r="C734" s="222"/>
      <c r="D734" s="223"/>
      <c r="E734" s="225"/>
      <c r="F734" s="229"/>
      <c r="G734" s="231"/>
      <c r="H734" s="233"/>
      <c r="I734" s="235"/>
      <c r="J734" s="235"/>
      <c r="K734" s="223"/>
      <c r="L734" s="289"/>
      <c r="M734" s="238"/>
      <c r="N734" s="239"/>
      <c r="O734" s="242"/>
      <c r="P734" s="242"/>
      <c r="Q734" s="242"/>
      <c r="R734" s="242" t="str">
        <f>IF(B734="","",SUM(O734:Q734))</f>
        <v/>
      </c>
      <c r="S734" s="223"/>
      <c r="T734" s="231"/>
    </row>
    <row r="735" spans="1:20" ht="22.5" customHeight="1">
      <c r="A735" s="181" t="str">
        <f>IF(B735="","",B735&amp;"-"&amp;TEXT(COUNTIF(B$2:B735,B735),"000"))</f>
        <v/>
      </c>
      <c r="B735" s="221"/>
      <c r="C735" s="222"/>
      <c r="D735" s="224"/>
      <c r="E735" s="227"/>
      <c r="F735" s="230"/>
      <c r="G735" s="232"/>
      <c r="H735" s="234"/>
      <c r="I735" s="236"/>
      <c r="J735" s="236"/>
      <c r="K735" s="224"/>
      <c r="L735" s="289"/>
      <c r="M735" s="238"/>
      <c r="N735" s="240"/>
      <c r="O735" s="243"/>
      <c r="P735" s="243"/>
      <c r="Q735" s="243"/>
      <c r="R735" s="243" t="str">
        <f>IF(B735="","",SUM(O735:Q735))</f>
        <v/>
      </c>
      <c r="S735" s="224"/>
      <c r="T735" s="232"/>
    </row>
    <row r="736" spans="1:20" ht="22.5" customHeight="1">
      <c r="A736" s="180" t="str">
        <f>IF(B736="","",B736&amp;"-"&amp;TEXT(COUNTIF(B$2:B736,B736),"000"))</f>
        <v/>
      </c>
      <c r="B736" s="220"/>
      <c r="C736" s="222"/>
      <c r="D736" s="223"/>
      <c r="E736" s="225"/>
      <c r="F736" s="229"/>
      <c r="G736" s="231"/>
      <c r="H736" s="233"/>
      <c r="I736" s="235"/>
      <c r="J736" s="235"/>
      <c r="K736" s="223"/>
      <c r="L736" s="289"/>
      <c r="M736" s="238"/>
      <c r="N736" s="239"/>
      <c r="O736" s="242"/>
      <c r="P736" s="242"/>
      <c r="Q736" s="242"/>
      <c r="R736" s="242" t="str">
        <f>IF(B736="","",SUM(O736:Q736))</f>
        <v/>
      </c>
      <c r="S736" s="223"/>
      <c r="T736" s="231"/>
    </row>
    <row r="737" spans="1:20" ht="22.5" customHeight="1">
      <c r="A737" s="181" t="str">
        <f>IF(B737="","",B737&amp;"-"&amp;TEXT(COUNTIF(B$2:B737,B737),"000"))</f>
        <v/>
      </c>
      <c r="B737" s="221"/>
      <c r="C737" s="222"/>
      <c r="D737" s="224"/>
      <c r="E737" s="227"/>
      <c r="F737" s="230"/>
      <c r="G737" s="232"/>
      <c r="H737" s="234"/>
      <c r="I737" s="236"/>
      <c r="J737" s="236"/>
      <c r="K737" s="224"/>
      <c r="L737" s="289"/>
      <c r="M737" s="238"/>
      <c r="N737" s="240"/>
      <c r="O737" s="243"/>
      <c r="P737" s="243"/>
      <c r="Q737" s="243"/>
      <c r="R737" s="243" t="str">
        <f>IF(B737="","",SUM(O737:Q737))</f>
        <v/>
      </c>
      <c r="S737" s="224"/>
      <c r="T737" s="232"/>
    </row>
    <row r="738" spans="1:20" ht="22.5" customHeight="1">
      <c r="A738" s="180" t="str">
        <f>IF(B738="","",B738&amp;"-"&amp;TEXT(COUNTIF(B$2:B738,B738),"000"))</f>
        <v/>
      </c>
      <c r="B738" s="220"/>
      <c r="C738" s="222"/>
      <c r="D738" s="223"/>
      <c r="E738" s="225"/>
      <c r="F738" s="229"/>
      <c r="G738" s="231"/>
      <c r="H738" s="233"/>
      <c r="I738" s="235"/>
      <c r="J738" s="235"/>
      <c r="K738" s="223"/>
      <c r="L738" s="289"/>
      <c r="M738" s="238"/>
      <c r="N738" s="239"/>
      <c r="O738" s="242"/>
      <c r="P738" s="242"/>
      <c r="Q738" s="242"/>
      <c r="R738" s="242" t="str">
        <f>IF(B738="","",SUM(O738:Q738))</f>
        <v/>
      </c>
      <c r="S738" s="223"/>
      <c r="T738" s="231"/>
    </row>
    <row r="739" spans="1:20" ht="22.5" customHeight="1">
      <c r="A739" s="181" t="str">
        <f>IF(B739="","",B739&amp;"-"&amp;TEXT(COUNTIF(B$2:B739,B739),"000"))</f>
        <v/>
      </c>
      <c r="B739" s="221"/>
      <c r="C739" s="222"/>
      <c r="D739" s="224"/>
      <c r="E739" s="227"/>
      <c r="F739" s="230"/>
      <c r="G739" s="232"/>
      <c r="H739" s="234"/>
      <c r="I739" s="236"/>
      <c r="J739" s="236"/>
      <c r="K739" s="224"/>
      <c r="L739" s="289"/>
      <c r="M739" s="238"/>
      <c r="N739" s="240"/>
      <c r="O739" s="243"/>
      <c r="P739" s="243"/>
      <c r="Q739" s="243"/>
      <c r="R739" s="243" t="str">
        <f>IF(B739="","",SUM(O739:Q739))</f>
        <v/>
      </c>
      <c r="S739" s="224"/>
      <c r="T739" s="232"/>
    </row>
    <row r="740" spans="1:20" ht="22.5" customHeight="1">
      <c r="A740" s="180" t="str">
        <f>IF(B740="","",B740&amp;"-"&amp;TEXT(COUNTIF(B$2:B740,B740),"000"))</f>
        <v/>
      </c>
      <c r="B740" s="220"/>
      <c r="C740" s="222"/>
      <c r="D740" s="223"/>
      <c r="E740" s="225"/>
      <c r="F740" s="229"/>
      <c r="G740" s="231"/>
      <c r="H740" s="233"/>
      <c r="I740" s="235"/>
      <c r="J740" s="235"/>
      <c r="K740" s="223"/>
      <c r="L740" s="289"/>
      <c r="M740" s="238"/>
      <c r="N740" s="239"/>
      <c r="O740" s="242"/>
      <c r="P740" s="242"/>
      <c r="Q740" s="242"/>
      <c r="R740" s="242" t="str">
        <f>IF(B740="","",SUM(O740:Q740))</f>
        <v/>
      </c>
      <c r="S740" s="223"/>
      <c r="T740" s="231"/>
    </row>
    <row r="741" spans="1:20" ht="22.5" customHeight="1">
      <c r="A741" s="181" t="str">
        <f>IF(B741="","",B741&amp;"-"&amp;TEXT(COUNTIF(B$2:B741,B741),"000"))</f>
        <v/>
      </c>
      <c r="B741" s="221"/>
      <c r="C741" s="222"/>
      <c r="D741" s="224"/>
      <c r="E741" s="227"/>
      <c r="F741" s="230"/>
      <c r="G741" s="232"/>
      <c r="H741" s="234"/>
      <c r="I741" s="236"/>
      <c r="J741" s="236"/>
      <c r="K741" s="224"/>
      <c r="L741" s="289"/>
      <c r="M741" s="238"/>
      <c r="N741" s="240"/>
      <c r="O741" s="243"/>
      <c r="P741" s="243"/>
      <c r="Q741" s="243"/>
      <c r="R741" s="243" t="str">
        <f>IF(B741="","",SUM(O741:Q741))</f>
        <v/>
      </c>
      <c r="S741" s="224"/>
      <c r="T741" s="232"/>
    </row>
    <row r="742" spans="1:20" ht="22.5" customHeight="1">
      <c r="A742" s="180" t="str">
        <f>IF(B742="","",B742&amp;"-"&amp;TEXT(COUNTIF(B$2:B742,B742),"000"))</f>
        <v/>
      </c>
      <c r="B742" s="220"/>
      <c r="C742" s="222"/>
      <c r="D742" s="223"/>
      <c r="E742" s="225"/>
      <c r="F742" s="229"/>
      <c r="G742" s="231"/>
      <c r="H742" s="233"/>
      <c r="I742" s="235"/>
      <c r="J742" s="235"/>
      <c r="K742" s="223"/>
      <c r="L742" s="289"/>
      <c r="M742" s="238"/>
      <c r="N742" s="239"/>
      <c r="O742" s="242"/>
      <c r="P742" s="242"/>
      <c r="Q742" s="242"/>
      <c r="R742" s="242" t="str">
        <f>IF(B742="","",SUM(O742:Q742))</f>
        <v/>
      </c>
      <c r="S742" s="223"/>
      <c r="T742" s="231"/>
    </row>
    <row r="743" spans="1:20" ht="22.5" customHeight="1">
      <c r="A743" s="181" t="str">
        <f>IF(B743="","",B743&amp;"-"&amp;TEXT(COUNTIF(B$2:B743,B743),"000"))</f>
        <v/>
      </c>
      <c r="B743" s="221"/>
      <c r="C743" s="222"/>
      <c r="D743" s="224"/>
      <c r="E743" s="227"/>
      <c r="F743" s="230"/>
      <c r="G743" s="232"/>
      <c r="H743" s="234"/>
      <c r="I743" s="236"/>
      <c r="J743" s="236"/>
      <c r="K743" s="224"/>
      <c r="L743" s="289"/>
      <c r="M743" s="238"/>
      <c r="N743" s="240"/>
      <c r="O743" s="243"/>
      <c r="P743" s="243"/>
      <c r="Q743" s="243"/>
      <c r="R743" s="243" t="str">
        <f>IF(B743="","",SUM(O743:Q743))</f>
        <v/>
      </c>
      <c r="S743" s="224"/>
      <c r="T743" s="232"/>
    </row>
    <row r="744" spans="1:20" ht="22.5" customHeight="1">
      <c r="A744" s="180" t="str">
        <f>IF(B744="","",B744&amp;"-"&amp;TEXT(COUNTIF(B$2:B744,B744),"000"))</f>
        <v/>
      </c>
      <c r="B744" s="220"/>
      <c r="C744" s="222"/>
      <c r="D744" s="223"/>
      <c r="E744" s="225"/>
      <c r="F744" s="229"/>
      <c r="G744" s="231"/>
      <c r="H744" s="233"/>
      <c r="I744" s="235"/>
      <c r="J744" s="235"/>
      <c r="K744" s="223"/>
      <c r="L744" s="289"/>
      <c r="M744" s="238"/>
      <c r="N744" s="239"/>
      <c r="O744" s="242"/>
      <c r="P744" s="242"/>
      <c r="Q744" s="242"/>
      <c r="R744" s="242" t="str">
        <f>IF(B744="","",SUM(O744:Q744))</f>
        <v/>
      </c>
      <c r="S744" s="223"/>
      <c r="T744" s="231"/>
    </row>
    <row r="745" spans="1:20" ht="22.5" customHeight="1">
      <c r="A745" s="181" t="str">
        <f>IF(B745="","",B745&amp;"-"&amp;TEXT(COUNTIF(B$2:B745,B745),"000"))</f>
        <v/>
      </c>
      <c r="B745" s="221"/>
      <c r="C745" s="222"/>
      <c r="D745" s="224"/>
      <c r="E745" s="227"/>
      <c r="F745" s="230"/>
      <c r="G745" s="232"/>
      <c r="H745" s="234"/>
      <c r="I745" s="236"/>
      <c r="J745" s="236"/>
      <c r="K745" s="224"/>
      <c r="L745" s="289"/>
      <c r="M745" s="238"/>
      <c r="N745" s="240"/>
      <c r="O745" s="243"/>
      <c r="P745" s="243"/>
      <c r="Q745" s="243"/>
      <c r="R745" s="243" t="str">
        <f>IF(B745="","",SUM(O745:Q745))</f>
        <v/>
      </c>
      <c r="S745" s="224"/>
      <c r="T745" s="232"/>
    </row>
    <row r="746" spans="1:20" ht="22.5" customHeight="1">
      <c r="A746" s="180" t="str">
        <f>IF(B746="","",B746&amp;"-"&amp;TEXT(COUNTIF(B$2:B746,B746),"000"))</f>
        <v/>
      </c>
      <c r="B746" s="220"/>
      <c r="C746" s="222"/>
      <c r="D746" s="223"/>
      <c r="E746" s="225"/>
      <c r="F746" s="229"/>
      <c r="G746" s="231"/>
      <c r="H746" s="233"/>
      <c r="I746" s="235"/>
      <c r="J746" s="235"/>
      <c r="K746" s="223"/>
      <c r="L746" s="289"/>
      <c r="M746" s="238"/>
      <c r="N746" s="239"/>
      <c r="O746" s="242"/>
      <c r="P746" s="242"/>
      <c r="Q746" s="242"/>
      <c r="R746" s="242" t="str">
        <f>IF(B746="","",SUM(O746:Q746))</f>
        <v/>
      </c>
      <c r="S746" s="223"/>
      <c r="T746" s="231"/>
    </row>
    <row r="747" spans="1:20" ht="22.5" customHeight="1">
      <c r="A747" s="181" t="str">
        <f>IF(B747="","",B747&amp;"-"&amp;TEXT(COUNTIF(B$2:B747,B747),"000"))</f>
        <v/>
      </c>
      <c r="B747" s="221"/>
      <c r="C747" s="222"/>
      <c r="D747" s="224"/>
      <c r="E747" s="227"/>
      <c r="F747" s="230"/>
      <c r="G747" s="232"/>
      <c r="H747" s="234"/>
      <c r="I747" s="236"/>
      <c r="J747" s="236"/>
      <c r="K747" s="224"/>
      <c r="L747" s="289"/>
      <c r="M747" s="238"/>
      <c r="N747" s="240"/>
      <c r="O747" s="243"/>
      <c r="P747" s="243"/>
      <c r="Q747" s="243"/>
      <c r="R747" s="243" t="str">
        <f>IF(B747="","",SUM(O747:Q747))</f>
        <v/>
      </c>
      <c r="S747" s="224"/>
      <c r="T747" s="232"/>
    </row>
    <row r="748" spans="1:20" ht="22.5" customHeight="1">
      <c r="A748" s="180" t="str">
        <f>IF(B748="","",B748&amp;"-"&amp;TEXT(COUNTIF(B$2:B748,B748),"000"))</f>
        <v/>
      </c>
      <c r="B748" s="220"/>
      <c r="C748" s="222"/>
      <c r="D748" s="223"/>
      <c r="E748" s="225"/>
      <c r="F748" s="229"/>
      <c r="G748" s="231"/>
      <c r="H748" s="233"/>
      <c r="I748" s="235"/>
      <c r="J748" s="235"/>
      <c r="K748" s="223"/>
      <c r="L748" s="289"/>
      <c r="M748" s="238"/>
      <c r="N748" s="239"/>
      <c r="O748" s="242"/>
      <c r="P748" s="242"/>
      <c r="Q748" s="242"/>
      <c r="R748" s="242" t="str">
        <f>IF(B748="","",SUM(O748:Q748))</f>
        <v/>
      </c>
      <c r="S748" s="223"/>
      <c r="T748" s="231"/>
    </row>
    <row r="749" spans="1:20" ht="22.5" customHeight="1">
      <c r="A749" s="181" t="str">
        <f>IF(B749="","",B749&amp;"-"&amp;TEXT(COUNTIF(B$2:B749,B749),"000"))</f>
        <v/>
      </c>
      <c r="B749" s="221"/>
      <c r="C749" s="222"/>
      <c r="D749" s="224"/>
      <c r="E749" s="227"/>
      <c r="F749" s="230"/>
      <c r="G749" s="232"/>
      <c r="H749" s="234"/>
      <c r="I749" s="236"/>
      <c r="J749" s="236"/>
      <c r="K749" s="224"/>
      <c r="L749" s="289"/>
      <c r="M749" s="238"/>
      <c r="N749" s="240"/>
      <c r="O749" s="243"/>
      <c r="P749" s="243"/>
      <c r="Q749" s="243"/>
      <c r="R749" s="243" t="str">
        <f>IF(B749="","",SUM(O749:Q749))</f>
        <v/>
      </c>
      <c r="S749" s="224"/>
      <c r="T749" s="232"/>
    </row>
    <row r="750" spans="1:20" ht="22.5" customHeight="1">
      <c r="A750" s="179"/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customHeight="1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customHeight="1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customHeight="1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customHeight="1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customHeight="1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customHeight="1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customHeight="1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customHeight="1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customHeight="1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customHeight="1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customHeight="1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customHeight="1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customHeight="1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customHeight="1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customHeight="1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customHeight="1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customHeight="1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customHeight="1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customHeight="1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customHeight="1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customHeight="1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customHeight="1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customHeight="1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customHeight="1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customHeight="1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customHeight="1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customHeight="1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customHeight="1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customHeight="1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customHeight="1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customHeight="1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customHeight="1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customHeight="1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customHeight="1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customHeight="1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customHeight="1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customHeight="1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customHeight="1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customHeight="1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customHeight="1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customHeight="1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customHeight="1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customHeight="1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customHeight="1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customHeight="1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customHeight="1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customHeight="1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customHeight="1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customHeight="1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customHeight="1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customHeight="1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customHeight="1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customHeight="1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customHeight="1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customHeight="1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customHeight="1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customHeight="1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customHeight="1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customHeight="1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customHeight="1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customHeight="1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customHeight="1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customHeight="1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customHeight="1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customHeight="1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customHeight="1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customHeight="1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customHeight="1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customHeight="1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customHeight="1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customHeight="1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customHeight="1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customHeight="1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customHeight="1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customHeight="1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customHeight="1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customHeight="1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customHeight="1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customHeight="1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customHeight="1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customHeight="1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customHeight="1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customHeight="1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customHeight="1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customHeight="1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customHeight="1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customHeight="1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customHeight="1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customHeight="1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customHeight="1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customHeight="1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customHeight="1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customHeight="1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customHeight="1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customHeight="1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customHeight="1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customHeight="1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customHeight="1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customHeight="1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customHeight="1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customHeight="1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customHeight="1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customHeight="1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customHeight="1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customHeight="1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customHeight="1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customHeight="1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customHeight="1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customHeight="1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customHeight="1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customHeight="1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customHeight="1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customHeight="1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customHeight="1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customHeight="1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customHeight="1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customHeight="1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customHeight="1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customHeight="1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customHeight="1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customHeight="1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customHeight="1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customHeight="1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customHeight="1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customHeight="1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customHeight="1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customHeight="1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customHeight="1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customHeight="1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customHeight="1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customHeight="1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customHeight="1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customHeight="1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customHeight="1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customHeight="1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customHeight="1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customHeight="1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customHeight="1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customHeight="1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customHeight="1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customHeight="1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customHeight="1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customHeight="1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customHeight="1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customHeight="1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customHeight="1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customHeight="1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customHeight="1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customHeight="1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customHeight="1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customHeight="1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customHeight="1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customHeight="1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customHeight="1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customHeight="1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customHeight="1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customHeight="1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customHeight="1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customHeight="1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customHeight="1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customHeight="1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customHeight="1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customHeight="1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customHeight="1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customHeight="1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customHeight="1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customHeight="1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customHeight="1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customHeight="1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customHeight="1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customHeight="1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customHeight="1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customHeight="1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customHeight="1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customHeight="1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customHeight="1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customHeight="1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customHeight="1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customHeight="1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customHeight="1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customHeight="1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customHeight="1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customHeight="1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customHeight="1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customHeight="1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customHeight="1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customHeight="1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customHeight="1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customHeight="1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customHeight="1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customHeight="1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customHeight="1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customHeight="1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customHeight="1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customHeight="1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customHeight="1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customHeight="1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customHeight="1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customHeight="1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customHeight="1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customHeight="1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customHeight="1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customHeight="1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customHeight="1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customHeight="1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customHeight="1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customHeight="1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customHeight="1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customHeight="1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customHeight="1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customHeight="1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customHeight="1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customHeight="1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customHeight="1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customHeight="1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customHeight="1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customHeight="1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customHeight="1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customHeight="1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customHeight="1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customHeight="1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customHeight="1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customHeight="1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customHeight="1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customHeight="1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customHeight="1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customHeight="1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customHeight="1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customHeight="1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customHeight="1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customHeight="1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customHeight="1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customHeight="1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customHeight="1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customHeight="1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customHeight="1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customHeight="1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customHeight="1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customHeight="1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customHeight="1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customHeight="1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customHeight="1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customHeight="1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customHeight="1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customHeight="1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customHeight="1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customHeight="1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customHeight="1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customHeight="1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customHeight="1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customHeight="1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customHeight="1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customHeight="1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customHeight="1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customHeight="1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customHeight="1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customHeight="1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customHeight="1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customHeight="1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customHeight="1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customHeight="1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customHeight="1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customHeight="1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customHeight="1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customHeight="1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customHeight="1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customHeight="1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customHeight="1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customHeight="1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customHeight="1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customHeight="1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customHeight="1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customHeight="1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customHeight="1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customHeight="1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customHeight="1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customHeight="1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customHeight="1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customHeight="1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customHeight="1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customHeight="1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customHeight="1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customHeight="1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customHeight="1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customHeight="1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customHeight="1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customHeight="1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customHeight="1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customHeight="1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customHeight="1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customHeight="1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customHeight="1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customHeight="1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customHeight="1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customHeight="1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customHeight="1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customHeight="1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customHeight="1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customHeight="1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customHeight="1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customHeight="1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customHeight="1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customHeight="1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customHeight="1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customHeight="1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customHeight="1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customHeight="1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customHeight="1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customHeight="1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customHeight="1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customHeight="1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customHeight="1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customHeight="1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customHeight="1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customHeight="1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customHeight="1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customHeight="1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customHeight="1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customHeight="1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customHeight="1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customHeight="1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customHeight="1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customHeight="1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customHeight="1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customHeight="1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customHeight="1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customHeight="1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customHeight="1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customHeight="1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customHeight="1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customHeight="1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customHeight="1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customHeight="1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customHeight="1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customHeight="1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customHeight="1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customHeight="1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customHeight="1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customHeight="1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customHeight="1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customHeight="1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customHeight="1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customHeight="1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customHeight="1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customHeight="1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customHeight="1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customHeight="1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customHeight="1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customHeight="1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customHeight="1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customHeight="1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customHeight="1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customHeight="1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customHeight="1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customHeight="1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customHeight="1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customHeight="1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customHeight="1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customHeight="1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customHeight="1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customHeight="1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customHeight="1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customHeight="1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customHeight="1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customHeight="1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customHeight="1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customHeight="1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customHeight="1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customHeight="1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customHeight="1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customHeight="1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customHeight="1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customHeight="1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customHeight="1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customHeight="1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customHeight="1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customHeight="1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customHeight="1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customHeight="1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customHeight="1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customHeight="1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customHeight="1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customHeight="1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customHeight="1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customHeight="1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customHeight="1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customHeight="1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customHeight="1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customHeight="1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customHeight="1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customHeight="1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customHeight="1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customHeight="1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customHeight="1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customHeight="1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customHeight="1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customHeight="1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customHeight="1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customHeight="1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customHeight="1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customHeight="1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customHeight="1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customHeight="1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customHeight="1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customHeight="1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customHeight="1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customHeight="1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customHeight="1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customHeight="1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customHeight="1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customHeight="1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customHeight="1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customHeight="1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customHeight="1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customHeight="1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customHeight="1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customHeight="1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customHeight="1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customHeight="1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customHeight="1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customHeight="1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customHeight="1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customHeight="1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customHeight="1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customHeight="1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customHeight="1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customHeight="1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customHeight="1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customHeight="1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customHeight="1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customHeight="1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customHeight="1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customHeight="1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customHeight="1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customHeight="1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customHeight="1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customHeight="1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customHeight="1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customHeight="1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customHeight="1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customHeight="1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customHeight="1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customHeight="1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customHeight="1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customHeight="1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customHeight="1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customHeight="1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customHeight="1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customHeight="1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customHeight="1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customHeight="1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customHeight="1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customHeight="1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customHeight="1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customHeight="1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customHeight="1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customHeight="1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customHeight="1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customHeight="1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customHeight="1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customHeight="1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customHeight="1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customHeight="1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customHeight="1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customHeight="1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customHeight="1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customHeight="1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customHeight="1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customHeight="1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customHeight="1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customHeight="1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customHeight="1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customHeight="1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customHeight="1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customHeight="1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customHeight="1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customHeight="1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customHeight="1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customHeight="1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customHeight="1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customHeight="1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customHeight="1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customHeight="1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customHeight="1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customHeight="1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customHeight="1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customHeight="1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customHeight="1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customHeight="1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customHeight="1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customHeight="1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customHeight="1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customHeight="1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customHeight="1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customHeight="1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customHeight="1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customHeight="1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customHeight="1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customHeight="1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customHeight="1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customHeight="1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customHeight="1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customHeight="1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customHeight="1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customHeight="1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customHeight="1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customHeight="1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customHeight="1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customHeight="1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customHeight="1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customHeight="1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customHeight="1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customHeight="1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customHeight="1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customHeight="1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customHeight="1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customHeight="1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customHeight="1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customHeight="1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customHeight="1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customHeight="1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customHeight="1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customHeight="1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customHeight="1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customHeight="1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customHeight="1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customHeight="1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customHeight="1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customHeight="1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customHeight="1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customHeight="1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customHeight="1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customHeight="1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customHeight="1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customHeight="1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customHeight="1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customHeight="1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customHeight="1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customHeight="1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customHeight="1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customHeight="1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customHeight="1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customHeight="1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customHeight="1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customHeight="1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customHeight="1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customHeight="1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customHeight="1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customHeight="1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customHeight="1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customHeight="1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customHeight="1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customHeight="1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customHeight="1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customHeight="1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customHeight="1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customHeight="1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customHeight="1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customHeight="1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customHeight="1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customHeight="1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customHeight="1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customHeight="1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customHeight="1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customHeight="1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customHeight="1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customHeight="1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customHeight="1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customHeight="1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customHeight="1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customHeight="1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customHeight="1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customHeight="1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customHeight="1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customHeight="1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customHeight="1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customHeight="1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customHeight="1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customHeight="1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customHeight="1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customHeight="1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customHeight="1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customHeight="1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customHeight="1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customHeight="1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customHeight="1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customHeight="1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customHeight="1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customHeight="1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customHeight="1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customHeight="1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customHeight="1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customHeight="1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customHeight="1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customHeight="1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customHeight="1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customHeight="1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customHeight="1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customHeight="1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customHeight="1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customHeight="1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customHeight="1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customHeight="1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customHeight="1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customHeight="1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customHeight="1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customHeight="1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customHeight="1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customHeight="1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customHeight="1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customHeight="1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customHeight="1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customHeight="1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customHeight="1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customHeight="1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customHeight="1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customHeight="1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customHeight="1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customHeight="1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customHeight="1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customHeight="1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customHeight="1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customHeight="1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customHeight="1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customHeight="1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customHeight="1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customHeight="1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customHeight="1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customHeight="1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customHeight="1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customHeight="1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customHeight="1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customHeight="1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customHeight="1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customHeight="1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customHeight="1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customHeight="1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customHeight="1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customHeight="1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customHeight="1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customHeight="1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customHeight="1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customHeight="1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customHeight="1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customHeight="1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customHeight="1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customHeight="1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customHeight="1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customHeight="1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customHeight="1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customHeight="1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customHeight="1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customHeight="1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customHeight="1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customHeight="1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customHeight="1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customHeight="1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customHeight="1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customHeight="1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customHeight="1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customHeight="1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customHeight="1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customHeight="1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customHeight="1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customHeight="1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customHeight="1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customHeight="1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customHeight="1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customHeight="1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customHeight="1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customHeight="1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customHeight="1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customHeight="1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customHeight="1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customHeight="1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customHeight="1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customHeight="1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customHeight="1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customHeight="1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customHeight="1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customHeight="1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customHeight="1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customHeight="1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customHeight="1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customHeight="1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customHeight="1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customHeight="1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customHeight="1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customHeight="1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customHeight="1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customHeight="1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customHeight="1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customHeight="1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customHeight="1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customHeight="1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customHeight="1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customHeight="1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customHeight="1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customHeight="1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customHeight="1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customHeight="1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customHeight="1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customHeight="1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customHeight="1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customHeight="1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customHeight="1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customHeight="1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customHeight="1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customHeight="1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customHeight="1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customHeight="1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customHeight="1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customHeight="1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customHeight="1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customHeight="1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customHeight="1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customHeight="1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customHeight="1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customHeight="1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customHeight="1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customHeight="1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customHeight="1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customHeight="1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customHeight="1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customHeight="1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customHeight="1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customHeight="1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customHeight="1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customHeight="1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customHeight="1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customHeight="1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customHeight="1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customHeight="1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customHeight="1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customHeight="1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customHeight="1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customHeight="1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customHeight="1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customHeight="1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customHeight="1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customHeight="1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customHeight="1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customHeight="1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customHeight="1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customHeight="1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customHeight="1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customHeight="1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customHeight="1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customHeight="1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customHeight="1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customHeight="1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customHeight="1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customHeight="1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customHeight="1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customHeight="1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customHeight="1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customHeight="1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customHeight="1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customHeight="1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customHeight="1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customHeight="1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customHeight="1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customHeight="1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customHeight="1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customHeight="1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customHeight="1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customHeight="1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customHeight="1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customHeight="1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customHeight="1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customHeight="1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customHeight="1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customHeight="1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customHeight="1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customHeight="1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customHeight="1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customHeight="1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customHeight="1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customHeight="1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customHeight="1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customHeight="1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customHeight="1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customHeight="1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customHeight="1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customHeight="1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customHeight="1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customHeight="1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customHeight="1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customHeight="1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customHeight="1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customHeight="1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customHeight="1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customHeight="1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customHeight="1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customHeight="1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customHeight="1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customHeight="1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customHeight="1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customHeight="1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customHeight="1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customHeight="1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customHeight="1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customHeight="1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customHeight="1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customHeight="1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customHeight="1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customHeight="1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customHeight="1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customHeight="1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customHeight="1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customHeight="1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customHeight="1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customHeight="1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customHeight="1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customHeight="1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customHeight="1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customHeight="1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customHeight="1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customHeight="1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customHeight="1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customHeight="1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customHeight="1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customHeight="1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customHeight="1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customHeight="1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customHeight="1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customHeight="1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customHeight="1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customHeight="1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customHeight="1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customHeight="1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customHeight="1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customHeight="1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customHeight="1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customHeight="1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customHeight="1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customHeight="1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customHeight="1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customHeight="1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customHeight="1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customHeight="1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customHeight="1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customHeight="1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customHeight="1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customHeight="1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customHeight="1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customHeight="1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customHeight="1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customHeight="1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customHeight="1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customHeight="1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customHeight="1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customHeight="1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customHeight="1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customHeight="1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customHeight="1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customHeight="1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customHeight="1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customHeight="1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customHeight="1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customHeight="1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customHeight="1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customHeight="1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customHeight="1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customHeight="1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customHeight="1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customHeight="1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customHeight="1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customHeight="1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customHeight="1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customHeight="1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customHeight="1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customHeight="1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customHeight="1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customHeight="1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customHeight="1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customHeight="1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customHeight="1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customHeight="1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customHeight="1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customHeight="1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customHeight="1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customHeight="1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customHeight="1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customHeight="1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customHeight="1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customHeight="1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customHeight="1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customHeight="1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customHeight="1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customHeight="1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customHeight="1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customHeight="1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customHeight="1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customHeight="1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customHeight="1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customHeight="1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customHeight="1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customHeight="1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customHeight="1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customHeight="1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customHeight="1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customHeight="1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customHeight="1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customHeight="1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customHeight="1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customHeight="1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customHeight="1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customHeight="1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customHeight="1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customHeight="1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customHeight="1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customHeight="1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customHeight="1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customHeight="1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customHeight="1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customHeight="1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customHeight="1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customHeight="1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customHeight="1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customHeight="1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customHeight="1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customHeight="1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customHeight="1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customHeight="1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customHeight="1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customHeight="1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customHeight="1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customHeight="1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customHeight="1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customHeight="1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customHeight="1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customHeight="1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customHeight="1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customHeight="1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customHeight="1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customHeight="1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customHeight="1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customHeight="1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customHeight="1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customHeight="1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customHeight="1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customHeight="1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customHeight="1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customHeight="1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customHeight="1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customHeight="1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customHeight="1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customHeight="1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customHeight="1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customHeight="1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customHeight="1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customHeight="1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customHeight="1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customHeight="1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customHeight="1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customHeight="1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customHeight="1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customHeight="1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customHeight="1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customHeight="1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customHeight="1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customHeight="1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customHeight="1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customHeight="1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customHeight="1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customHeight="1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customHeight="1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customHeight="1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customHeight="1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customHeight="1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customHeight="1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customHeight="1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customHeight="1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customHeight="1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customHeight="1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customHeight="1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customHeight="1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customHeight="1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customHeight="1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customHeight="1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customHeight="1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customHeight="1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customHeight="1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customHeight="1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customHeight="1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customHeight="1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customHeight="1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customHeight="1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customHeight="1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customHeight="1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customHeight="1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customHeight="1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customHeight="1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customHeight="1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customHeight="1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customHeight="1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customHeight="1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customHeight="1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customHeight="1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customHeight="1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customHeight="1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customHeight="1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customHeight="1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customHeight="1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customHeight="1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customHeight="1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customHeight="1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customHeight="1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customHeight="1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customHeight="1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customHeight="1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customHeight="1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customHeight="1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customHeight="1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customHeight="1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customHeight="1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customHeight="1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customHeight="1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customHeight="1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customHeight="1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customHeight="1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customHeight="1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customHeight="1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customHeight="1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customHeight="1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customHeight="1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customHeight="1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customHeight="1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customHeight="1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customHeight="1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customHeight="1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customHeight="1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customHeight="1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customHeight="1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customHeight="1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customHeight="1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customHeight="1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customHeight="1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customHeight="1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customHeight="1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customHeight="1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customHeight="1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customHeight="1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customHeight="1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customHeight="1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customHeight="1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customHeight="1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customHeight="1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customHeight="1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customHeight="1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customHeight="1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customHeight="1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customHeight="1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customHeight="1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customHeight="1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customHeight="1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customHeight="1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customHeight="1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customHeight="1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customHeight="1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customHeight="1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customHeight="1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customHeight="1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customHeight="1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customHeight="1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customHeight="1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customHeight="1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customHeight="1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customHeight="1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customHeight="1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customHeight="1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customHeight="1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customHeight="1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customHeight="1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customHeight="1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customHeight="1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customHeight="1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customHeight="1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customHeight="1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customHeight="1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customHeight="1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customHeight="1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customHeight="1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customHeight="1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customHeight="1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customHeight="1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customHeight="1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customHeight="1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customHeight="1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customHeight="1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customHeight="1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customHeight="1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customHeight="1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customHeight="1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customHeight="1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customHeight="1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customHeight="1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customHeight="1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customHeight="1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customHeight="1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customHeight="1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customHeight="1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customHeight="1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customHeight="1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customHeight="1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customHeight="1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customHeight="1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customHeight="1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customHeight="1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customHeight="1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customHeight="1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customHeight="1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customHeight="1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customHeight="1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customHeight="1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customHeight="1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customHeight="1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customHeight="1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customHeight="1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customHeight="1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customHeight="1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customHeight="1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customHeight="1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customHeight="1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customHeight="1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customHeight="1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customHeight="1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customHeight="1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customHeight="1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customHeight="1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customHeight="1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customHeight="1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customHeight="1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customHeight="1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customHeight="1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customHeight="1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customHeight="1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customHeight="1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customHeight="1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customHeight="1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customHeight="1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customHeight="1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customHeight="1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customHeight="1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customHeight="1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customHeight="1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customHeight="1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customHeight="1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customHeight="1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customHeight="1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customHeight="1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customHeight="1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customHeight="1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customHeight="1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customHeight="1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customHeight="1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customHeight="1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customHeight="1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customHeight="1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customHeight="1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customHeight="1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customHeight="1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customHeight="1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customHeight="1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customHeight="1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customHeight="1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customHeight="1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customHeight="1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customHeight="1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customHeight="1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customHeight="1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customHeight="1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customHeight="1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customHeight="1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customHeight="1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customHeight="1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customHeight="1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customHeight="1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customHeight="1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customHeight="1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customHeight="1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customHeight="1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customHeight="1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customHeight="1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customHeight="1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customHeight="1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customHeight="1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customHeight="1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customHeight="1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customHeight="1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customHeight="1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customHeight="1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customHeight="1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customHeight="1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customHeight="1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customHeight="1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customHeight="1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customHeight="1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customHeight="1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customHeight="1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customHeight="1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customHeight="1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customHeight="1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customHeight="1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customHeight="1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customHeight="1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customHeight="1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customHeight="1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customHeight="1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customHeight="1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customHeight="1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customHeight="1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customHeight="1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customHeight="1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customHeight="1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customHeight="1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customHeight="1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customHeight="1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customHeight="1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customHeight="1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customHeight="1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customHeight="1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customHeight="1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customHeight="1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customHeight="1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customHeight="1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customHeight="1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customHeight="1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customHeight="1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customHeight="1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customHeight="1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customHeight="1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customHeight="1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customHeight="1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customHeight="1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customHeight="1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customHeight="1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customHeight="1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customHeight="1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customHeight="1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customHeight="1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customHeight="1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customHeight="1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customHeight="1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customHeight="1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customHeight="1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customHeight="1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customHeight="1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customHeight="1">
      <c r="B2000" s="255"/>
      <c r="C2000" s="222"/>
      <c r="D2000" s="222"/>
      <c r="E2000" s="256"/>
      <c r="F2000" s="257"/>
      <c r="G2000" s="246"/>
      <c r="H2000" s="258"/>
      <c r="I2000" s="259"/>
      <c r="J2000" s="259"/>
      <c r="K2000" s="222"/>
      <c r="L2000" s="294"/>
      <c r="M2000" s="260"/>
      <c r="N2000" s="241"/>
      <c r="O2000" s="244"/>
      <c r="P2000" s="244"/>
      <c r="Q2000" s="244"/>
      <c r="R2000" s="244"/>
      <c r="S2000" s="222"/>
      <c r="T2000" s="246"/>
    </row>
    <row r="2001" spans="2:20" ht="22.5" customHeight="1">
      <c r="B2001" s="261"/>
      <c r="C2001" s="249"/>
      <c r="D2001" s="249"/>
      <c r="E2001" s="262"/>
      <c r="F2001" s="263"/>
      <c r="G2001" s="264"/>
      <c r="H2001" s="265"/>
      <c r="I2001" s="266"/>
      <c r="J2001" s="266"/>
      <c r="K2001" s="249"/>
      <c r="L2001" s="295"/>
      <c r="M2001" s="267"/>
      <c r="N2001" s="268"/>
      <c r="O2001" s="269"/>
      <c r="P2001" s="269"/>
      <c r="Q2001" s="269"/>
      <c r="R2001" s="269"/>
      <c r="S2001" s="249"/>
      <c r="T2001" s="264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69"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215" t="s">
        <v>2236</v>
      </c>
      <c r="F1" s="216" t="s">
        <v>2237</v>
      </c>
    </row>
    <row r="2" spans="1:6">
      <c r="F2" s="217" t="s">
        <v>2238</v>
      </c>
    </row>
    <row r="3" spans="1:6">
      <c r="A3" t="s">
        <v>0</v>
      </c>
      <c r="B3" t="s">
        <v>19</v>
      </c>
      <c r="C3" t="s">
        <v>2239</v>
      </c>
      <c r="D3" t="s">
        <v>2240</v>
      </c>
      <c r="F3" s="217" t="s">
        <v>2241</v>
      </c>
    </row>
    <row r="4" spans="1:6">
      <c r="A4">
        <v>1</v>
      </c>
      <c r="B4" t="s">
        <v>2242</v>
      </c>
      <c r="D4" t="s">
        <v>2243</v>
      </c>
      <c r="F4" s="217" t="s">
        <v>2244</v>
      </c>
    </row>
    <row r="5" spans="1:6">
      <c r="A5">
        <v>2</v>
      </c>
      <c r="B5" t="s">
        <v>1890</v>
      </c>
      <c r="D5" t="s">
        <v>2243</v>
      </c>
      <c r="F5" s="217" t="s">
        <v>2245</v>
      </c>
    </row>
    <row r="6" spans="1:6">
      <c r="A6">
        <v>3</v>
      </c>
      <c r="B6" t="s">
        <v>784</v>
      </c>
      <c r="D6" t="s">
        <v>2243</v>
      </c>
    </row>
    <row r="7" spans="1:6">
      <c r="A7">
        <v>4</v>
      </c>
      <c r="B7" t="s">
        <v>2246</v>
      </c>
      <c r="D7" t="s">
        <v>2243</v>
      </c>
      <c r="F7" s="217" t="s">
        <v>2247</v>
      </c>
    </row>
    <row r="8" spans="1:6">
      <c r="A8">
        <v>5</v>
      </c>
      <c r="B8" t="s">
        <v>2248</v>
      </c>
      <c r="D8" t="s">
        <v>2243</v>
      </c>
    </row>
    <row r="9" spans="1:6">
      <c r="A9">
        <v>6</v>
      </c>
      <c r="B9" t="s">
        <v>1746</v>
      </c>
      <c r="D9" t="s">
        <v>2243</v>
      </c>
    </row>
    <row r="10" spans="1:6">
      <c r="A10">
        <v>7</v>
      </c>
      <c r="B10" t="s">
        <v>1820</v>
      </c>
      <c r="D10" t="s">
        <v>2243</v>
      </c>
    </row>
    <row r="11" spans="1:6">
      <c r="A11">
        <v>8</v>
      </c>
      <c r="B11" t="s">
        <v>1868</v>
      </c>
      <c r="D11" t="s">
        <v>2243</v>
      </c>
    </row>
    <row r="12" spans="1:6">
      <c r="A12">
        <v>10</v>
      </c>
      <c r="B12" t="s">
        <v>2059</v>
      </c>
      <c r="D12" t="s">
        <v>2243</v>
      </c>
    </row>
    <row r="13" spans="1:6">
      <c r="A13">
        <v>11</v>
      </c>
      <c r="B13" t="s">
        <v>1719</v>
      </c>
      <c r="D13" t="s">
        <v>2243</v>
      </c>
    </row>
    <row r="14" spans="1:6">
      <c r="A14">
        <v>12</v>
      </c>
      <c r="B14" t="s">
        <v>1791</v>
      </c>
      <c r="D14" t="s">
        <v>2243</v>
      </c>
    </row>
    <row r="15" spans="1:6">
      <c r="A15">
        <v>13</v>
      </c>
      <c r="B15" t="s">
        <v>2033</v>
      </c>
      <c r="D15" t="s">
        <v>2243</v>
      </c>
    </row>
    <row r="16" spans="1:6">
      <c r="A16">
        <v>14</v>
      </c>
      <c r="B16" t="s">
        <v>1441</v>
      </c>
      <c r="D16" t="s">
        <v>2243</v>
      </c>
    </row>
    <row r="17" spans="1:4">
      <c r="A17">
        <v>15</v>
      </c>
      <c r="B17" t="s">
        <v>441</v>
      </c>
      <c r="D17" t="s">
        <v>2243</v>
      </c>
    </row>
    <row r="18" spans="1:4">
      <c r="A18">
        <v>16</v>
      </c>
      <c r="B18" t="s">
        <v>1478</v>
      </c>
      <c r="D18" t="s">
        <v>2243</v>
      </c>
    </row>
    <row r="19" spans="1:4">
      <c r="A19">
        <v>17</v>
      </c>
      <c r="B19" t="s">
        <v>1359</v>
      </c>
      <c r="D19" t="s">
        <v>2243</v>
      </c>
    </row>
    <row r="20" spans="1:4">
      <c r="A20">
        <v>18</v>
      </c>
      <c r="B20" t="s">
        <v>1601</v>
      </c>
      <c r="D20" t="s">
        <v>2243</v>
      </c>
    </row>
    <row r="21" spans="1:4">
      <c r="A21">
        <v>19</v>
      </c>
      <c r="B21" t="s">
        <v>1028</v>
      </c>
      <c r="D21" t="s">
        <v>2243</v>
      </c>
    </row>
    <row r="22" spans="1:4">
      <c r="A22">
        <v>20</v>
      </c>
      <c r="B22" t="s">
        <v>1705</v>
      </c>
      <c r="D22" t="s">
        <v>2243</v>
      </c>
    </row>
    <row r="23" spans="1:4">
      <c r="A23">
        <v>21</v>
      </c>
      <c r="B23" t="s">
        <v>2249</v>
      </c>
      <c r="D23" t="s">
        <v>2243</v>
      </c>
    </row>
    <row r="24" spans="1:4">
      <c r="A24">
        <v>22</v>
      </c>
      <c r="B24" t="s">
        <v>451</v>
      </c>
      <c r="D24" t="s">
        <v>2243</v>
      </c>
    </row>
    <row r="25" spans="1:4">
      <c r="A25">
        <v>23</v>
      </c>
      <c r="B25" t="s">
        <v>2250</v>
      </c>
      <c r="D25" t="s">
        <v>2243</v>
      </c>
    </row>
    <row r="26" spans="1:4">
      <c r="A26">
        <v>24</v>
      </c>
      <c r="B26" t="s">
        <v>2251</v>
      </c>
      <c r="D26" t="s">
        <v>2243</v>
      </c>
    </row>
    <row r="27" spans="1:4">
      <c r="A27">
        <v>25</v>
      </c>
      <c r="B27" t="s">
        <v>365</v>
      </c>
      <c r="D27" t="s">
        <v>2243</v>
      </c>
    </row>
    <row r="28" spans="1:4">
      <c r="A28">
        <v>26</v>
      </c>
      <c r="B28" t="s">
        <v>57</v>
      </c>
      <c r="D28" t="s">
        <v>2243</v>
      </c>
    </row>
    <row r="29" spans="1:4">
      <c r="A29">
        <v>27</v>
      </c>
      <c r="B29" t="s">
        <v>2252</v>
      </c>
      <c r="D29" t="s">
        <v>2243</v>
      </c>
    </row>
    <row r="30" spans="1:4">
      <c r="A30">
        <v>28</v>
      </c>
      <c r="B30" t="s">
        <v>1591</v>
      </c>
      <c r="D30" t="s">
        <v>2243</v>
      </c>
    </row>
    <row r="31" spans="1:4">
      <c r="A31">
        <v>29</v>
      </c>
      <c r="B31" t="s">
        <v>1701</v>
      </c>
      <c r="D31" t="s">
        <v>2243</v>
      </c>
    </row>
    <row r="32" spans="1:4">
      <c r="A32">
        <v>30</v>
      </c>
      <c r="B32" t="s">
        <v>1894</v>
      </c>
      <c r="D32" t="s">
        <v>2243</v>
      </c>
    </row>
    <row r="33" spans="1:4">
      <c r="A33">
        <v>31</v>
      </c>
      <c r="B33" t="s">
        <v>2253</v>
      </c>
      <c r="D33" t="s">
        <v>2243</v>
      </c>
    </row>
    <row r="34" spans="1:4">
      <c r="A34">
        <v>32</v>
      </c>
      <c r="B34" t="s">
        <v>2254</v>
      </c>
      <c r="D34" t="s">
        <v>2243</v>
      </c>
    </row>
    <row r="35" spans="1:4">
      <c r="A35">
        <v>33</v>
      </c>
      <c r="B35" t="s">
        <v>1046</v>
      </c>
      <c r="D35" t="s">
        <v>2243</v>
      </c>
    </row>
    <row r="36" spans="1:4">
      <c r="A36">
        <v>34</v>
      </c>
      <c r="B36" t="s">
        <v>1125</v>
      </c>
      <c r="D36" t="s">
        <v>2243</v>
      </c>
    </row>
    <row r="37" spans="1:4">
      <c r="A37">
        <v>35</v>
      </c>
      <c r="B37" t="s">
        <v>425</v>
      </c>
      <c r="D37" t="s">
        <v>2243</v>
      </c>
    </row>
    <row r="38" spans="1:4">
      <c r="A38">
        <v>36</v>
      </c>
      <c r="B38" t="s">
        <v>2255</v>
      </c>
      <c r="D38" t="s">
        <v>2243</v>
      </c>
    </row>
    <row r="39" spans="1:4">
      <c r="A39">
        <v>37</v>
      </c>
      <c r="B39" t="s">
        <v>1625</v>
      </c>
      <c r="D39" t="s">
        <v>2243</v>
      </c>
    </row>
    <row r="40" spans="1:4">
      <c r="A40">
        <v>38</v>
      </c>
      <c r="B40" t="s">
        <v>2256</v>
      </c>
      <c r="D40" t="s">
        <v>2243</v>
      </c>
    </row>
    <row r="41" spans="1:4">
      <c r="A41">
        <v>39</v>
      </c>
      <c r="B41" t="s">
        <v>1947</v>
      </c>
      <c r="D41" t="s">
        <v>2243</v>
      </c>
    </row>
    <row r="42" spans="1:4">
      <c r="A42">
        <v>40</v>
      </c>
      <c r="B42" t="s">
        <v>2257</v>
      </c>
      <c r="D42" t="s">
        <v>2243</v>
      </c>
    </row>
    <row r="43" spans="1:4">
      <c r="A43">
        <v>41</v>
      </c>
      <c r="B43" t="s">
        <v>656</v>
      </c>
      <c r="D43" t="s">
        <v>2243</v>
      </c>
    </row>
    <row r="44" spans="1:4">
      <c r="A44">
        <v>42</v>
      </c>
      <c r="B44" t="s">
        <v>546</v>
      </c>
      <c r="D44" t="s">
        <v>2243</v>
      </c>
    </row>
    <row r="45" spans="1:4">
      <c r="A45">
        <v>43</v>
      </c>
      <c r="B45" t="s">
        <v>2258</v>
      </c>
      <c r="D45" t="s">
        <v>2243</v>
      </c>
    </row>
    <row r="46" spans="1:4">
      <c r="A46">
        <v>44</v>
      </c>
      <c r="B46" t="s">
        <v>1630</v>
      </c>
      <c r="D46" t="s">
        <v>2243</v>
      </c>
    </row>
    <row r="47" spans="1:4">
      <c r="A47">
        <v>45</v>
      </c>
      <c r="B47" t="s">
        <v>167</v>
      </c>
      <c r="D47" t="s">
        <v>2243</v>
      </c>
    </row>
    <row r="48" spans="1:4">
      <c r="A48">
        <v>46</v>
      </c>
      <c r="B48" t="s">
        <v>741</v>
      </c>
      <c r="D48" t="s">
        <v>2243</v>
      </c>
    </row>
    <row r="49" spans="1:4">
      <c r="A49">
        <v>47</v>
      </c>
      <c r="B49" t="s">
        <v>1070</v>
      </c>
      <c r="D49" t="s">
        <v>2243</v>
      </c>
    </row>
    <row r="50" spans="1:4">
      <c r="A50">
        <v>48</v>
      </c>
      <c r="B50" t="s">
        <v>2259</v>
      </c>
      <c r="D50" t="s">
        <v>2243</v>
      </c>
    </row>
    <row r="51" spans="1:4">
      <c r="A51">
        <v>49</v>
      </c>
      <c r="B51" t="s">
        <v>2210</v>
      </c>
      <c r="D51" t="s">
        <v>2243</v>
      </c>
    </row>
    <row r="52" spans="1:4">
      <c r="A52">
        <v>50</v>
      </c>
      <c r="B52" t="s">
        <v>2260</v>
      </c>
      <c r="D52" t="s">
        <v>2243</v>
      </c>
    </row>
    <row r="53" spans="1:4">
      <c r="A53">
        <v>51</v>
      </c>
      <c r="B53" t="s">
        <v>808</v>
      </c>
      <c r="D53" t="s">
        <v>2243</v>
      </c>
    </row>
    <row r="54" spans="1:4">
      <c r="A54">
        <v>52</v>
      </c>
      <c r="B54" t="s">
        <v>1334</v>
      </c>
      <c r="D54" t="s">
        <v>2243</v>
      </c>
    </row>
    <row r="55" spans="1:4">
      <c r="A55">
        <v>53</v>
      </c>
      <c r="B55" t="s">
        <v>2261</v>
      </c>
      <c r="D55" t="s">
        <v>2243</v>
      </c>
    </row>
    <row r="56" spans="1:4">
      <c r="A56">
        <v>54</v>
      </c>
      <c r="B56" t="s">
        <v>61</v>
      </c>
      <c r="D56" t="s">
        <v>2243</v>
      </c>
    </row>
    <row r="57" spans="1:4">
      <c r="A57">
        <v>55</v>
      </c>
      <c r="B57" t="s">
        <v>840</v>
      </c>
      <c r="D57" t="s">
        <v>2243</v>
      </c>
    </row>
    <row r="58" spans="1:4">
      <c r="A58">
        <v>56</v>
      </c>
      <c r="B58" t="s">
        <v>1550</v>
      </c>
      <c r="D58" t="s">
        <v>2243</v>
      </c>
    </row>
    <row r="59" spans="1:4">
      <c r="A59">
        <v>57</v>
      </c>
      <c r="B59" t="s">
        <v>2262</v>
      </c>
      <c r="D59" t="s">
        <v>2243</v>
      </c>
    </row>
    <row r="60" spans="1:4">
      <c r="A60">
        <v>58</v>
      </c>
      <c r="B60" t="s">
        <v>1420</v>
      </c>
      <c r="D60" t="s">
        <v>2243</v>
      </c>
    </row>
    <row r="61" spans="1:4">
      <c r="A61">
        <v>59</v>
      </c>
      <c r="B61" t="s">
        <v>1576</v>
      </c>
      <c r="D61" t="s">
        <v>2243</v>
      </c>
    </row>
    <row r="62" spans="1:4">
      <c r="A62">
        <v>60</v>
      </c>
      <c r="B62" t="s">
        <v>1524</v>
      </c>
      <c r="D62" t="s">
        <v>2243</v>
      </c>
    </row>
    <row r="63" spans="1:4">
      <c r="A63">
        <v>61</v>
      </c>
      <c r="B63" t="s">
        <v>2263</v>
      </c>
      <c r="D63" t="s">
        <v>2243</v>
      </c>
    </row>
    <row r="64" spans="1:4">
      <c r="A64">
        <v>62</v>
      </c>
      <c r="B64" t="s">
        <v>2264</v>
      </c>
      <c r="D64" t="s">
        <v>2243</v>
      </c>
    </row>
    <row r="65" spans="1:4">
      <c r="A65">
        <v>63</v>
      </c>
      <c r="B65" t="s">
        <v>2265</v>
      </c>
      <c r="D65" t="s">
        <v>2243</v>
      </c>
    </row>
    <row r="66" spans="1:4">
      <c r="A66">
        <v>64</v>
      </c>
      <c r="B66" t="s">
        <v>2266</v>
      </c>
      <c r="D66" t="s">
        <v>2243</v>
      </c>
    </row>
    <row r="67" spans="1:4">
      <c r="A67">
        <v>65</v>
      </c>
      <c r="B67" t="s">
        <v>2043</v>
      </c>
      <c r="D67" t="s">
        <v>2243</v>
      </c>
    </row>
    <row r="68" spans="1:4">
      <c r="A68">
        <v>66</v>
      </c>
      <c r="B68" t="s">
        <v>1927</v>
      </c>
      <c r="D68" t="s">
        <v>2243</v>
      </c>
    </row>
    <row r="69" spans="1:4">
      <c r="A69">
        <v>67</v>
      </c>
      <c r="B69" t="s">
        <v>2267</v>
      </c>
      <c r="D69" t="s">
        <v>2243</v>
      </c>
    </row>
    <row r="70" spans="1:4">
      <c r="A70">
        <v>68</v>
      </c>
      <c r="B70" t="s">
        <v>2268</v>
      </c>
      <c r="D70" t="s">
        <v>2243</v>
      </c>
    </row>
    <row r="71" spans="1:4">
      <c r="A71">
        <v>69</v>
      </c>
      <c r="B71" t="s">
        <v>1852</v>
      </c>
      <c r="D71" t="s">
        <v>2243</v>
      </c>
    </row>
    <row r="72" spans="1:4">
      <c r="A72">
        <v>70</v>
      </c>
      <c r="B72" t="s">
        <v>2269</v>
      </c>
      <c r="D72" t="s">
        <v>2243</v>
      </c>
    </row>
    <row r="73" spans="1:4">
      <c r="A73">
        <v>71</v>
      </c>
      <c r="B73" t="s">
        <v>2012</v>
      </c>
      <c r="D73" t="s">
        <v>2243</v>
      </c>
    </row>
    <row r="74" spans="1:4">
      <c r="A74">
        <v>72</v>
      </c>
      <c r="B74" t="s">
        <v>1750</v>
      </c>
      <c r="D74" t="s">
        <v>2243</v>
      </c>
    </row>
    <row r="75" spans="1:4">
      <c r="A75">
        <v>73</v>
      </c>
      <c r="B75" t="s">
        <v>1734</v>
      </c>
      <c r="D75" t="s">
        <v>2243</v>
      </c>
    </row>
    <row r="76" spans="1:4">
      <c r="A76">
        <v>74</v>
      </c>
      <c r="B76" t="s">
        <v>2270</v>
      </c>
      <c r="D76" t="s">
        <v>2243</v>
      </c>
    </row>
    <row r="77" spans="1:4">
      <c r="A77">
        <v>75</v>
      </c>
      <c r="B77" t="s">
        <v>88</v>
      </c>
      <c r="D77" t="s">
        <v>2243</v>
      </c>
    </row>
    <row r="78" spans="1:4">
      <c r="A78">
        <v>76</v>
      </c>
      <c r="B78" t="s">
        <v>717</v>
      </c>
      <c r="D78" t="s">
        <v>2243</v>
      </c>
    </row>
    <row r="79" spans="1:4">
      <c r="A79">
        <v>77</v>
      </c>
      <c r="B79" t="s">
        <v>611</v>
      </c>
      <c r="D79" t="s">
        <v>2243</v>
      </c>
    </row>
    <row r="80" spans="1:4">
      <c r="A80">
        <v>78</v>
      </c>
      <c r="B80" t="s">
        <v>324</v>
      </c>
      <c r="D80" t="s">
        <v>2243</v>
      </c>
    </row>
    <row r="81" spans="1:4">
      <c r="A81">
        <v>79</v>
      </c>
      <c r="B81" t="s">
        <v>2271</v>
      </c>
      <c r="D81" t="s">
        <v>2243</v>
      </c>
    </row>
    <row r="82" spans="1:4">
      <c r="A82">
        <v>80</v>
      </c>
      <c r="B82" t="s">
        <v>2272</v>
      </c>
      <c r="D82" t="s">
        <v>2243</v>
      </c>
    </row>
    <row r="83" spans="1:4">
      <c r="A83">
        <v>81</v>
      </c>
      <c r="B83" t="s">
        <v>2273</v>
      </c>
      <c r="D83" t="s">
        <v>2243</v>
      </c>
    </row>
    <row r="84" spans="1:4">
      <c r="A84">
        <v>82</v>
      </c>
      <c r="B84" t="s">
        <v>2274</v>
      </c>
      <c r="D84" t="s">
        <v>2243</v>
      </c>
    </row>
    <row r="85" spans="1:4">
      <c r="A85">
        <v>83</v>
      </c>
      <c r="B85" t="s">
        <v>1871</v>
      </c>
      <c r="D85" t="s">
        <v>2243</v>
      </c>
    </row>
    <row r="86" spans="1:4">
      <c r="A86">
        <v>84</v>
      </c>
      <c r="B86" t="s">
        <v>2275</v>
      </c>
      <c r="D86" t="s">
        <v>2243</v>
      </c>
    </row>
    <row r="87" spans="1:4">
      <c r="A87">
        <v>85</v>
      </c>
      <c r="B87" t="s">
        <v>1943</v>
      </c>
      <c r="D87" t="s">
        <v>2243</v>
      </c>
    </row>
    <row r="88" spans="1:4">
      <c r="A88">
        <v>86</v>
      </c>
      <c r="B88" t="s">
        <v>2276</v>
      </c>
      <c r="D88" t="s">
        <v>2243</v>
      </c>
    </row>
    <row r="89" spans="1:4">
      <c r="A89">
        <v>87</v>
      </c>
      <c r="B89" t="s">
        <v>2277</v>
      </c>
      <c r="D89" t="s">
        <v>2243</v>
      </c>
    </row>
    <row r="90" spans="1:4">
      <c r="A90">
        <v>88</v>
      </c>
      <c r="B90" t="s">
        <v>2278</v>
      </c>
      <c r="D90" t="s">
        <v>2243</v>
      </c>
    </row>
    <row r="91" spans="1:4">
      <c r="A91">
        <v>89</v>
      </c>
      <c r="B91" t="s">
        <v>2279</v>
      </c>
      <c r="D91" t="s">
        <v>2243</v>
      </c>
    </row>
    <row r="92" spans="1:4">
      <c r="A92">
        <v>90</v>
      </c>
      <c r="B92" t="s">
        <v>2280</v>
      </c>
      <c r="D92" t="s">
        <v>2243</v>
      </c>
    </row>
    <row r="93" spans="1:4">
      <c r="A93">
        <v>91</v>
      </c>
      <c r="B93" t="s">
        <v>2281</v>
      </c>
      <c r="D93" t="s">
        <v>2243</v>
      </c>
    </row>
    <row r="94" spans="1:4">
      <c r="A94">
        <v>92</v>
      </c>
      <c r="B94" t="s">
        <v>2282</v>
      </c>
      <c r="D94" t="s">
        <v>2243</v>
      </c>
    </row>
    <row r="95" spans="1:4">
      <c r="A95">
        <v>93</v>
      </c>
      <c r="B95" t="s">
        <v>2283</v>
      </c>
      <c r="D95" t="s">
        <v>2243</v>
      </c>
    </row>
    <row r="96" spans="1:4">
      <c r="A96">
        <v>94</v>
      </c>
      <c r="B96" t="s">
        <v>2284</v>
      </c>
      <c r="D96" t="s">
        <v>2243</v>
      </c>
    </row>
    <row r="97" spans="1:4">
      <c r="A97">
        <v>95</v>
      </c>
      <c r="B97" t="s">
        <v>2235</v>
      </c>
      <c r="D97" t="s">
        <v>2243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" activePane="bottomLeft" state="frozen"/>
      <selection pane="bottomLeft" activeCell="K69" sqref="K69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93" t="s">
        <v>1</v>
      </c>
      <c r="B1" s="93" t="s">
        <v>2285</v>
      </c>
      <c r="C1" s="93" t="s">
        <v>2286</v>
      </c>
      <c r="D1" s="93" t="s">
        <v>4</v>
      </c>
      <c r="E1" s="93" t="s">
        <v>2287</v>
      </c>
      <c r="F1" s="93" t="s">
        <v>19</v>
      </c>
      <c r="G1" s="93" t="s">
        <v>2288</v>
      </c>
      <c r="H1" s="93" t="s">
        <v>2289</v>
      </c>
      <c r="I1" s="93" t="s">
        <v>2290</v>
      </c>
      <c r="J1" s="93" t="s">
        <v>2291</v>
      </c>
      <c r="L1" s="325" t="s">
        <v>2292</v>
      </c>
      <c r="M1" s="97">
        <v>2026</v>
      </c>
      <c r="U1" s="154" t="s">
        <v>2293</v>
      </c>
      <c r="V1" s="153"/>
      <c r="X1" s="152" t="s">
        <v>2294</v>
      </c>
      <c r="Y1" s="101"/>
      <c r="Z1" s="101"/>
      <c r="AA1" s="101"/>
      <c r="AC1" s="202" t="s">
        <v>2295</v>
      </c>
    </row>
    <row r="2" spans="1:31">
      <c r="A2" s="95" cm="1">
        <f t="array" ref="A2:J134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26" t="s">
        <v>2296</v>
      </c>
      <c r="M2" s="219" t="s">
        <v>2297</v>
      </c>
      <c r="X2" s="327" t="s">
        <v>2285</v>
      </c>
      <c r="Y2" s="327" t="s">
        <v>19</v>
      </c>
      <c r="Z2" s="327" t="s">
        <v>2298</v>
      </c>
      <c r="AA2" s="327" t="s">
        <v>2299</v>
      </c>
      <c r="AC2" s="328" t="s">
        <v>1</v>
      </c>
      <c r="AD2" s="328" t="s">
        <v>2300</v>
      </c>
      <c r="AE2" s="328" t="s">
        <v>2301</v>
      </c>
    </row>
    <row r="3" spans="1:31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26" t="s">
        <v>2302</v>
      </c>
      <c r="M3" s="326" t="s">
        <v>2303</v>
      </c>
      <c r="N3" s="326" t="s">
        <v>2304</v>
      </c>
      <c r="O3" s="326" t="s">
        <v>2305</v>
      </c>
      <c r="P3" s="326" t="s">
        <v>2306</v>
      </c>
      <c r="Q3" s="326" t="s">
        <v>2307</v>
      </c>
      <c r="R3" s="326" t="s">
        <v>2308</v>
      </c>
      <c r="S3" s="326" t="s">
        <v>2309</v>
      </c>
      <c r="T3" s="326" t="s">
        <v>2310</v>
      </c>
      <c r="X3" t="s">
        <v>2311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2312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2313</v>
      </c>
      <c r="Y5" t="s">
        <v>2059</v>
      </c>
      <c r="Z5">
        <v>1</v>
      </c>
      <c r="AA5">
        <v>0.6</v>
      </c>
      <c r="AC5" s="199">
        <v>2026</v>
      </c>
      <c r="AD5" s="92" t="s">
        <v>2314</v>
      </c>
      <c r="AE5" s="200">
        <v>16</v>
      </c>
    </row>
    <row r="6" spans="1:31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2313</v>
      </c>
      <c r="Y6" t="s">
        <v>2256</v>
      </c>
      <c r="Z6">
        <v>1</v>
      </c>
      <c r="AA6">
        <v>0</v>
      </c>
      <c r="AC6" s="199">
        <v>2026</v>
      </c>
      <c r="AD6" s="92" t="s">
        <v>2315</v>
      </c>
      <c r="AE6" s="200">
        <v>16</v>
      </c>
    </row>
    <row r="7" spans="1:31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2316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2317</v>
      </c>
      <c r="Y8" s="92" t="s">
        <v>1028</v>
      </c>
      <c r="AA8">
        <v>1.2</v>
      </c>
      <c r="AC8" s="199">
        <v>2026</v>
      </c>
      <c r="AD8" s="92"/>
      <c r="AE8" s="200"/>
    </row>
    <row r="9" spans="1:31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2317</v>
      </c>
      <c r="Y9" s="92" t="s">
        <v>784</v>
      </c>
      <c r="AA9">
        <v>1.2</v>
      </c>
      <c r="AC9" s="199">
        <v>2026</v>
      </c>
      <c r="AD9" s="92"/>
      <c r="AE9" s="200"/>
    </row>
    <row r="10" spans="1:31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2317</v>
      </c>
      <c r="Y10" s="92" t="s">
        <v>1046</v>
      </c>
      <c r="AA10">
        <v>1.2</v>
      </c>
      <c r="AC10" s="199">
        <v>2026</v>
      </c>
      <c r="AD10" s="92"/>
      <c r="AE10" s="200"/>
    </row>
    <row r="11" spans="1:31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2317</v>
      </c>
      <c r="Y11" s="92" t="s">
        <v>2250</v>
      </c>
      <c r="AA11">
        <v>1.2</v>
      </c>
      <c r="AC11" s="199">
        <v>2026</v>
      </c>
      <c r="AD11" s="92"/>
      <c r="AE11" s="200"/>
    </row>
    <row r="12" spans="1:31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2317</v>
      </c>
      <c r="Y12" s="92" t="s">
        <v>2318</v>
      </c>
      <c r="AA12">
        <v>1.2</v>
      </c>
      <c r="AC12" s="199">
        <v>2026</v>
      </c>
      <c r="AD12" s="92"/>
      <c r="AE12" s="200"/>
    </row>
    <row r="13" spans="1:31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2319</v>
      </c>
      <c r="Y13" s="92" t="s">
        <v>1028</v>
      </c>
      <c r="AA13">
        <v>1.2</v>
      </c>
      <c r="AC13" s="199">
        <v>2026</v>
      </c>
      <c r="AD13" s="92"/>
      <c r="AE13" s="200"/>
    </row>
    <row r="14" spans="1:31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2319</v>
      </c>
      <c r="Y14" s="92" t="s">
        <v>784</v>
      </c>
      <c r="AA14">
        <v>1.2</v>
      </c>
      <c r="AC14" s="199">
        <v>2026</v>
      </c>
      <c r="AD14" s="92"/>
      <c r="AE14" s="200"/>
    </row>
    <row r="15" spans="1:31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2319</v>
      </c>
      <c r="Y15" s="92" t="s">
        <v>1046</v>
      </c>
      <c r="AA15">
        <v>1.2</v>
      </c>
      <c r="AC15" s="199">
        <v>2026</v>
      </c>
      <c r="AD15" s="92"/>
      <c r="AE15" s="200"/>
    </row>
    <row r="16" spans="1:31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2319</v>
      </c>
      <c r="Y16" s="92" t="s">
        <v>2250</v>
      </c>
      <c r="AA16">
        <v>1.2</v>
      </c>
      <c r="AC16" s="199">
        <v>2026</v>
      </c>
      <c r="AD16" s="92"/>
      <c r="AE16" s="200"/>
    </row>
    <row r="17" spans="1:31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2319</v>
      </c>
      <c r="Y17" s="92" t="s">
        <v>2318</v>
      </c>
      <c r="AA17">
        <v>1.2</v>
      </c>
      <c r="AC17" s="199">
        <v>2026</v>
      </c>
      <c r="AD17" s="92"/>
      <c r="AE17" s="200"/>
    </row>
    <row r="18" spans="1:31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92" t="s">
        <v>1028</v>
      </c>
      <c r="AA18">
        <v>1.2</v>
      </c>
      <c r="AC18" s="199">
        <v>2026</v>
      </c>
      <c r="AD18" s="92"/>
      <c r="AE18" s="200"/>
    </row>
    <row r="19" spans="1:31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92" t="s">
        <v>784</v>
      </c>
      <c r="AA19">
        <v>1.2</v>
      </c>
      <c r="AC19" s="199">
        <v>2026</v>
      </c>
      <c r="AD19" s="92"/>
      <c r="AE19" s="200"/>
    </row>
    <row r="20" spans="1:31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92" t="s">
        <v>1046</v>
      </c>
      <c r="AA20">
        <v>1.2</v>
      </c>
      <c r="AC20" s="199">
        <v>2026</v>
      </c>
      <c r="AD20" s="92"/>
      <c r="AE20" s="200"/>
    </row>
    <row r="21" spans="1:31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92" t="s">
        <v>2250</v>
      </c>
      <c r="AA21">
        <v>1.2</v>
      </c>
      <c r="AC21" s="199">
        <v>2026</v>
      </c>
      <c r="AD21" s="92"/>
      <c r="AE21" s="200"/>
    </row>
    <row r="22" spans="1:31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92" t="s">
        <v>2318</v>
      </c>
      <c r="AA22">
        <v>1.2</v>
      </c>
      <c r="AC22" s="199">
        <v>2026</v>
      </c>
      <c r="AD22" s="92"/>
      <c r="AE22" s="200"/>
    </row>
    <row r="23" spans="1:31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2321</v>
      </c>
      <c r="Y23" s="92" t="s">
        <v>2059</v>
      </c>
      <c r="AA23">
        <v>2.4</v>
      </c>
      <c r="AC23" s="199">
        <v>2026</v>
      </c>
      <c r="AD23" s="92"/>
      <c r="AE23" s="200"/>
    </row>
    <row r="24" spans="1:31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2321</v>
      </c>
      <c r="Y24" s="92" t="s">
        <v>2256</v>
      </c>
      <c r="AA24">
        <v>0</v>
      </c>
      <c r="AC24" s="199">
        <v>2026</v>
      </c>
      <c r="AD24" s="92"/>
      <c r="AE24" s="200"/>
    </row>
    <row r="25" spans="1:31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92" t="s">
        <v>656</v>
      </c>
      <c r="AA25">
        <v>3.6</v>
      </c>
      <c r="AC25" s="199">
        <v>2026</v>
      </c>
      <c r="AD25" s="92"/>
      <c r="AE25" s="200"/>
    </row>
    <row r="26" spans="1:31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92" t="s">
        <v>2261</v>
      </c>
      <c r="Z26">
        <v>0</v>
      </c>
      <c r="AA26">
        <v>0</v>
      </c>
      <c r="AC26" s="199">
        <v>2026</v>
      </c>
      <c r="AD26" s="92"/>
      <c r="AE26" s="200"/>
    </row>
    <row r="27" spans="1:31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2323</v>
      </c>
      <c r="Y27" s="92" t="s">
        <v>2059</v>
      </c>
      <c r="AA27">
        <v>2.4</v>
      </c>
      <c r="AC27" s="199">
        <v>2026</v>
      </c>
      <c r="AD27" s="92"/>
      <c r="AE27" s="200"/>
    </row>
    <row r="28" spans="1:31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2323</v>
      </c>
      <c r="Y28" s="92" t="s">
        <v>2256</v>
      </c>
      <c r="AA28">
        <v>0</v>
      </c>
      <c r="AC28" s="199">
        <v>2026</v>
      </c>
      <c r="AD28" s="92"/>
      <c r="AE28" s="200"/>
    </row>
    <row r="29" spans="1:31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2324</v>
      </c>
      <c r="Y29" s="92" t="s">
        <v>2059</v>
      </c>
      <c r="AA29">
        <v>2.4</v>
      </c>
      <c r="AC29" s="199">
        <v>2026</v>
      </c>
      <c r="AD29" s="92"/>
      <c r="AE29" s="200"/>
    </row>
    <row r="30" spans="1:31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2324</v>
      </c>
      <c r="Y30" s="92" t="s">
        <v>2256</v>
      </c>
      <c r="AA30">
        <v>0</v>
      </c>
      <c r="AC30" s="199">
        <v>2026</v>
      </c>
      <c r="AD30" s="92"/>
      <c r="AE30" s="200"/>
    </row>
    <row r="31" spans="1:31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2325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2326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2326</v>
      </c>
      <c r="Y33" t="s">
        <v>2269</v>
      </c>
      <c r="Z33">
        <v>4</v>
      </c>
      <c r="AA33">
        <v>0.6</v>
      </c>
      <c r="AC33" s="201"/>
      <c r="AD33" s="329" t="s">
        <v>2327</v>
      </c>
      <c r="AE33" s="330">
        <f>SUM(AE3:AE32)</f>
        <v>80</v>
      </c>
    </row>
    <row r="34" spans="1:31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2326</v>
      </c>
      <c r="Y34" t="s">
        <v>2270</v>
      </c>
      <c r="Z34">
        <v>4</v>
      </c>
      <c r="AA34">
        <v>0.6</v>
      </c>
    </row>
    <row r="35" spans="1:31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2326</v>
      </c>
      <c r="Y35" t="s">
        <v>88</v>
      </c>
      <c r="Z35">
        <v>4</v>
      </c>
      <c r="AA35">
        <v>0.6</v>
      </c>
    </row>
    <row r="36" spans="1:31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2326</v>
      </c>
      <c r="Y36" t="s">
        <v>425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206" t="s">
        <v>840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2329</v>
      </c>
      <c r="Y39" t="s">
        <v>425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2330</v>
      </c>
      <c r="Y40" t="s">
        <v>365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1125</v>
      </c>
      <c r="Z41">
        <v>0</v>
      </c>
      <c r="AA41">
        <v>34.9</v>
      </c>
    </row>
    <row r="42" spans="1:31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2172</v>
      </c>
      <c r="Z42">
        <v>0</v>
      </c>
      <c r="AA42">
        <v>34.9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92" t="s">
        <v>2059</v>
      </c>
      <c r="AA43">
        <v>2.4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92" t="s">
        <v>2256</v>
      </c>
      <c r="AA44">
        <v>0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2333</v>
      </c>
      <c r="Y45" t="s">
        <v>2277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2333</v>
      </c>
      <c r="Y46" t="s">
        <v>2334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2333</v>
      </c>
      <c r="Y47" t="s">
        <v>2335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2333</v>
      </c>
      <c r="Y48" t="s">
        <v>2336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</v>
      </c>
      <c r="R49">
        <v>1</v>
      </c>
      <c r="S49">
        <v>95</v>
      </c>
      <c r="T49">
        <v>94</v>
      </c>
      <c r="X49" t="s">
        <v>2333</v>
      </c>
      <c r="Y49" t="s">
        <v>2337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100</v>
      </c>
      <c r="T50">
        <v>95</v>
      </c>
      <c r="X50" t="s">
        <v>2333</v>
      </c>
      <c r="Y50" t="s">
        <v>717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105</v>
      </c>
      <c r="T51">
        <v>100</v>
      </c>
      <c r="X51" t="s">
        <v>2333</v>
      </c>
      <c r="Y51" t="s">
        <v>2338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109</v>
      </c>
      <c r="T52">
        <v>105</v>
      </c>
      <c r="X52" t="s">
        <v>2333</v>
      </c>
      <c r="Y52" t="s">
        <v>1028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114</v>
      </c>
      <c r="T53">
        <v>109</v>
      </c>
      <c r="X53" t="s">
        <v>2333</v>
      </c>
      <c r="Y53" t="s">
        <v>2339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119</v>
      </c>
      <c r="T54">
        <v>114</v>
      </c>
      <c r="X54" t="s">
        <v>2333</v>
      </c>
      <c r="Y54" t="s">
        <v>2340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124</v>
      </c>
      <c r="T55">
        <v>119</v>
      </c>
      <c r="X55" t="s">
        <v>2297</v>
      </c>
      <c r="Y55" t="s">
        <v>2277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129</v>
      </c>
      <c r="T56">
        <v>124</v>
      </c>
      <c r="X56" t="s">
        <v>2341</v>
      </c>
      <c r="Y56" t="s">
        <v>2261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131</v>
      </c>
      <c r="T57">
        <v>129</v>
      </c>
      <c r="X57" t="s">
        <v>2342</v>
      </c>
      <c r="Y57" t="s">
        <v>324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133</v>
      </c>
      <c r="T58">
        <v>131</v>
      </c>
      <c r="X58" t="s">
        <v>2342</v>
      </c>
      <c r="Y58" s="306" t="s">
        <v>2284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133</v>
      </c>
      <c r="X59" t="s">
        <v>2342</v>
      </c>
      <c r="Y59" t="s">
        <v>2283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2342</v>
      </c>
      <c r="Y60" t="s">
        <v>2282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1</v>
      </c>
      <c r="H96">
        <v>2</v>
      </c>
      <c r="I96">
        <v>0.6</v>
      </c>
      <c r="J96">
        <v>2.6</v>
      </c>
      <c r="R96" t="str">
        <v/>
      </c>
      <c r="S96" t="str">
        <v/>
      </c>
    </row>
    <row r="97" spans="1:19">
      <c r="A97">
        <v>2026</v>
      </c>
      <c r="B97" t="str">
        <v>2026-055</v>
      </c>
      <c r="C97" t="str">
        <v>A realizar</v>
      </c>
      <c r="D97" t="str">
        <v>TCendo o Futuro</v>
      </c>
      <c r="E97">
        <v>4</v>
      </c>
      <c r="F97" t="str">
        <v>Adriana Cuoco Portugal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Cinthia Thais de Carvalho Luz Thomazi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>
      <c r="A99">
        <v>2026</v>
      </c>
      <c r="B99" t="str">
        <v>2026-055</v>
      </c>
      <c r="C99" t="str">
        <v>A realizar</v>
      </c>
      <c r="D99" t="str">
        <v>TCendo o Futuro</v>
      </c>
      <c r="E99">
        <v>4</v>
      </c>
      <c r="F99" t="str">
        <v>Fernanda Viana de Souza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Luiz Felipe Tenório de Lima Gondim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Priscila Nolasco de Oliveira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2026-056</v>
      </c>
      <c r="C102" t="str">
        <v>A realizar</v>
      </c>
      <c r="D102" t="str">
        <v>TCendo o Futuro</v>
      </c>
      <c r="E102">
        <v>4</v>
      </c>
      <c r="F102" t="str">
        <v>Adriana Cuoco Portugal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2026-056</v>
      </c>
      <c r="C103" t="str">
        <v>A realizar</v>
      </c>
      <c r="D103" t="str">
        <v>TCendo o Futuro</v>
      </c>
      <c r="E103">
        <v>4</v>
      </c>
      <c r="F103" t="str">
        <v>Cinthia Thais de Carvalho Luz Thomazi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2026-056</v>
      </c>
      <c r="C104" t="str">
        <v>A realizar</v>
      </c>
      <c r="D104" t="str">
        <v>TCendo o Futuro</v>
      </c>
      <c r="E104">
        <v>4</v>
      </c>
      <c r="F104" t="str">
        <v>Fernanda Viana de Souza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Luiz Felipe Tenório de Lima Gondim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Priscila Nolasco de Oliveira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2026-057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Tarsila Firmino Ely</v>
      </c>
      <c r="G107">
        <v>4</v>
      </c>
      <c r="H107">
        <v>20</v>
      </c>
      <c r="I107">
        <v>6</v>
      </c>
      <c r="J107">
        <v>26</v>
      </c>
      <c r="R107" t="str">
        <v/>
      </c>
      <c r="S107" t="str">
        <v/>
      </c>
    </row>
    <row r="108" spans="1:19">
      <c r="A108">
        <v>2026</v>
      </c>
      <c r="B108" t="str">
        <v>2026-057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Sara Cristina Lins Ramos</v>
      </c>
      <c r="G108">
        <v>4</v>
      </c>
      <c r="H108">
        <v>20</v>
      </c>
      <c r="I108">
        <v>6</v>
      </c>
      <c r="J108">
        <v>26</v>
      </c>
      <c r="R108" t="str">
        <v/>
      </c>
      <c r="S108" t="str">
        <v/>
      </c>
    </row>
    <row r="109" spans="1:19">
      <c r="A109">
        <v>2026</v>
      </c>
      <c r="B109" t="str">
        <v>2026-057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Carina de Souza Mariuba Herthel</v>
      </c>
      <c r="G109">
        <v>4</v>
      </c>
      <c r="H109">
        <v>20</v>
      </c>
      <c r="I109">
        <v>6</v>
      </c>
      <c r="J109">
        <v>26</v>
      </c>
      <c r="R109" t="str">
        <v/>
      </c>
      <c r="S109" t="str">
        <v/>
      </c>
    </row>
    <row r="110" spans="1:19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Elvis Aaron Teixeira dos Santos Lima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>
      <c r="A111">
        <v>2026</v>
      </c>
      <c r="B111" t="str">
        <v>2026-059</v>
      </c>
      <c r="C111" t="str">
        <v>A realizar</v>
      </c>
      <c r="D111" t="str">
        <v>TCendo o Futuro</v>
      </c>
      <c r="E111">
        <v>4</v>
      </c>
      <c r="F111" t="str">
        <v>Adriana Cuoco Portugal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>
      <c r="A112">
        <v>2026</v>
      </c>
      <c r="B112" t="str">
        <v>2026-059</v>
      </c>
      <c r="C112" t="str">
        <v>A realizar</v>
      </c>
      <c r="D112" t="str">
        <v>TCendo o Futuro</v>
      </c>
      <c r="E112">
        <v>4</v>
      </c>
      <c r="F112" t="str">
        <v>Cinthia Thais de Carvalho Luz Thomazi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>
      <c r="A113">
        <v>2026</v>
      </c>
      <c r="B113" t="str">
        <v>2026-059</v>
      </c>
      <c r="C113" t="str">
        <v>A realizar</v>
      </c>
      <c r="D113" t="str">
        <v>TCendo o Futuro</v>
      </c>
      <c r="E113">
        <v>4</v>
      </c>
      <c r="F113" t="str">
        <v>Fernanda Viana de Souza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Luiz Felipe Tenório de Lima Gondim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Priscila Nolasco de Oliveira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2026-060</v>
      </c>
      <c r="C116" t="str">
        <v>A realizar</v>
      </c>
      <c r="D116" t="str">
        <v>TCendo o Futuro</v>
      </c>
      <c r="E116">
        <v>4</v>
      </c>
      <c r="F116" t="str">
        <v>Adriana Cuoco Portugal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2026-060</v>
      </c>
      <c r="C117" t="str">
        <v>A realizar</v>
      </c>
      <c r="D117" t="str">
        <v>TCendo o Futuro</v>
      </c>
      <c r="E117">
        <v>4</v>
      </c>
      <c r="F117" t="str">
        <v>Cinthia Thais de Carvalho Luz Thomazi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2026-060</v>
      </c>
      <c r="C118" t="str">
        <v>A realizar</v>
      </c>
      <c r="D118" t="str">
        <v>TCendo o Futuro</v>
      </c>
      <c r="E118">
        <v>4</v>
      </c>
      <c r="F118" t="str">
        <v>Fernanda Viana de Souza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Luiz Felipe Tenório de Lima Gondim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Priscila Nolasco de Oliveira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2026-061</v>
      </c>
      <c r="C121" t="str">
        <v>A realizar</v>
      </c>
      <c r="D121" t="str">
        <v>TCendo o Futuro</v>
      </c>
      <c r="E121">
        <v>4</v>
      </c>
      <c r="F121" t="str">
        <v>Adriana Cuoco Portugal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2026-061</v>
      </c>
      <c r="C122" t="str">
        <v>A realizar</v>
      </c>
      <c r="D122" t="str">
        <v>TCendo o Futuro</v>
      </c>
      <c r="E122">
        <v>4</v>
      </c>
      <c r="F122" t="str">
        <v>Cinthia Thais de Carvalho Luz Thomazi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2026-061</v>
      </c>
      <c r="C123" t="str">
        <v>A realizar</v>
      </c>
      <c r="D123" t="str">
        <v>TCendo o Futuro</v>
      </c>
      <c r="E123">
        <v>4</v>
      </c>
      <c r="F123" t="str">
        <v>Fernanda Viana de Souza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Luiz Felipe Tenório de Lima Gondim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Priscila Nolasco de Oliveira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>
      <c r="A126">
        <v>2026</v>
      </c>
      <c r="B126" t="str">
        <v>2026-062</v>
      </c>
      <c r="C126" t="str">
        <v>A realizar</v>
      </c>
      <c r="D126" t="str">
        <v>TCendo o Futuro</v>
      </c>
      <c r="E126">
        <v>4</v>
      </c>
      <c r="F126" t="str">
        <v>Adriana Cuoco Portugal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>
      <c r="A127">
        <v>2026</v>
      </c>
      <c r="B127" t="str">
        <v>2026-062</v>
      </c>
      <c r="C127" t="str">
        <v>A realizar</v>
      </c>
      <c r="D127" t="str">
        <v>TCendo o Futuro</v>
      </c>
      <c r="E127">
        <v>4</v>
      </c>
      <c r="F127" t="str">
        <v>Cinthia Thais de Carvalho Luz Thomazi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2026-062</v>
      </c>
      <c r="C128" t="str">
        <v>A realizar</v>
      </c>
      <c r="D128" t="str">
        <v>TCendo o Futuro</v>
      </c>
      <c r="E128">
        <v>4</v>
      </c>
      <c r="F128" t="str">
        <v>Fernanda Viana de Souza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Luiz Felipe Tenório de Lima Gondim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Priscila Nolasco de Oliveira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>
      <c r="A131">
        <v>2026</v>
      </c>
      <c r="B131" t="str">
        <v>2026-066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Flávio José Fonseca de Souza</v>
      </c>
      <c r="G131">
        <v>2</v>
      </c>
      <c r="H131">
        <v>17.45</v>
      </c>
      <c r="I131">
        <v>5.2349999999999994</v>
      </c>
      <c r="J131">
        <v>22.684999999999999</v>
      </c>
      <c r="R131" t="str">
        <v/>
      </c>
      <c r="S131" t="str">
        <v/>
      </c>
    </row>
    <row r="132" spans="1:19">
      <c r="A132">
        <v>2026</v>
      </c>
      <c r="B132" t="str">
        <v>2026-066</v>
      </c>
      <c r="C132" t="str">
        <v>A realizar</v>
      </c>
      <c r="D132" t="str">
        <v>Contratações de TIC com base na jurisprudência do TCDF - EAD</v>
      </c>
      <c r="E132">
        <v>17.45</v>
      </c>
      <c r="F132" t="str">
        <v>Felipe da Costa Malaquias</v>
      </c>
      <c r="G132">
        <v>2</v>
      </c>
      <c r="H132">
        <v>17.45</v>
      </c>
      <c r="I132">
        <v>5.2349999999999994</v>
      </c>
      <c r="J132">
        <v>22.684999999999999</v>
      </c>
      <c r="R132" t="str">
        <v/>
      </c>
      <c r="S132" t="str">
        <v/>
      </c>
    </row>
    <row r="133" spans="1:19">
      <c r="A133">
        <v>2026</v>
      </c>
      <c r="B133" t="str">
        <v>2026-068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Silvia Lima Damasceno Carvalho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>
      <c r="A134">
        <v>2026</v>
      </c>
      <c r="B134" t="str">
        <v>2026-068</v>
      </c>
      <c r="C134" t="str">
        <v>A realizar</v>
      </c>
      <c r="D134" t="str">
        <v>Oficina Temática - SEMAT: Matriz de Riscos em contratos de obras e serviços de engenharia</v>
      </c>
      <c r="E134">
        <v>4</v>
      </c>
      <c r="F134" t="str">
        <v>Renan Dias da Silva</v>
      </c>
      <c r="G134">
        <v>2</v>
      </c>
      <c r="H134">
        <v>4</v>
      </c>
      <c r="I134">
        <v>1.2</v>
      </c>
      <c r="J134">
        <v>5.2</v>
      </c>
      <c r="R134" t="str">
        <v/>
      </c>
      <c r="S134" t="str">
        <v/>
      </c>
    </row>
    <row r="135" spans="1:19">
      <c r="R135" t="str">
        <v/>
      </c>
      <c r="S135" t="str">
        <v/>
      </c>
    </row>
    <row r="136" spans="1:19">
      <c r="R136" t="str">
        <v/>
      </c>
      <c r="S136" t="str">
        <v/>
      </c>
    </row>
    <row r="137" spans="1:19">
      <c r="R137" t="str">
        <v/>
      </c>
      <c r="S137" t="str">
        <v/>
      </c>
    </row>
    <row r="138" spans="1:19">
      <c r="R138" t="str">
        <v/>
      </c>
      <c r="S138" t="str">
        <v/>
      </c>
    </row>
    <row r="139" spans="1:19">
      <c r="R139" t="str">
        <v/>
      </c>
      <c r="S139" t="str">
        <v/>
      </c>
    </row>
    <row r="140" spans="1:19">
      <c r="R140" t="str">
        <v/>
      </c>
      <c r="S140" t="str">
        <v/>
      </c>
    </row>
    <row r="141" spans="1:19">
      <c r="R141" t="str">
        <v/>
      </c>
      <c r="S141" t="str">
        <v/>
      </c>
    </row>
    <row r="142" spans="1:19">
      <c r="R142" t="str">
        <v/>
      </c>
      <c r="S142" t="str">
        <v/>
      </c>
    </row>
    <row r="143" spans="1:19">
      <c r="R143" t="str">
        <v/>
      </c>
      <c r="S143" t="str">
        <v/>
      </c>
    </row>
    <row r="144" spans="1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309" t="s">
        <v>2343</v>
      </c>
      <c r="B1" s="309"/>
      <c r="C1" s="309"/>
      <c r="D1" s="309"/>
      <c r="E1" s="309"/>
      <c r="F1" s="309"/>
      <c r="G1" s="309"/>
    </row>
    <row r="2" spans="1:7" ht="9.9499999999999993" customHeight="1">
      <c r="A2" s="101"/>
      <c r="B2" s="101"/>
      <c r="C2" s="101"/>
      <c r="D2" s="101"/>
      <c r="E2" s="101"/>
      <c r="F2" s="101"/>
      <c r="G2" s="101"/>
    </row>
    <row r="3" spans="1:7" ht="15.75" thickBot="1"/>
    <row r="4" spans="1:7" ht="24.95" customHeight="1">
      <c r="A4" s="310" t="s">
        <v>2344</v>
      </c>
      <c r="B4" s="311"/>
      <c r="D4" s="312" t="s">
        <v>2345</v>
      </c>
      <c r="E4" s="313"/>
      <c r="G4" s="119" t="s">
        <v>2346</v>
      </c>
    </row>
    <row r="5" spans="1:7" ht="54.95" customHeight="1" thickBot="1">
      <c r="A5" s="109">
        <f>COUNTIF('Ações InCompany'!B:B,2026)</f>
        <v>68</v>
      </c>
      <c r="B5" s="110" t="s">
        <v>2347</v>
      </c>
      <c r="D5" s="117">
        <f>COUNTIFS('Ações InCompany'!B:B,2026,'Ações InCompany'!C:C,"Realizado")</f>
        <v>37</v>
      </c>
      <c r="E5" s="118" t="s">
        <v>2347</v>
      </c>
      <c r="G5" s="120">
        <f>COUNTIFS('Ações InCompany'!B:B,2026,'Ações InCompany'!C:C,"A realizar")</f>
        <v>28</v>
      </c>
    </row>
    <row r="6" spans="1:7" ht="5.0999999999999996" customHeight="1">
      <c r="A6" s="101"/>
      <c r="B6" s="101"/>
      <c r="C6" s="101"/>
      <c r="D6" s="101"/>
      <c r="E6" s="101"/>
      <c r="F6" s="101"/>
      <c r="G6" s="101"/>
    </row>
    <row r="8" spans="1:7" ht="17.25">
      <c r="A8" s="308" t="s">
        <v>2348</v>
      </c>
      <c r="B8" s="308"/>
      <c r="D8" s="308" t="s">
        <v>2349</v>
      </c>
      <c r="E8" s="308"/>
    </row>
    <row r="9" spans="1:7" ht="5.0999999999999996" customHeight="1">
      <c r="A9" s="331"/>
      <c r="B9" s="331"/>
      <c r="D9" s="331"/>
      <c r="E9" s="331"/>
    </row>
    <row r="10" spans="1:7" ht="24.95" customHeight="1">
      <c r="A10" s="102" t="s">
        <v>5</v>
      </c>
      <c r="B10" s="102" t="s">
        <v>2350</v>
      </c>
      <c r="D10" s="102" t="s">
        <v>2351</v>
      </c>
      <c r="E10" s="102" t="s">
        <v>2352</v>
      </c>
    </row>
    <row r="11" spans="1:7" ht="27.95" customHeight="1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2353</v>
      </c>
      <c r="E11" s="104">
        <f>SUMIFS('Ações InCompany'!O:O,'Ações InCompany'!B:B,2026,'Ações InCompany'!C:C,"Realizado")</f>
        <v>535</v>
      </c>
    </row>
    <row r="12" spans="1:7" ht="27.95" customHeight="1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2354</v>
      </c>
      <c r="E12" s="106">
        <f>SUMIFS('Ações InCompany'!P:P,'Ações InCompany'!B:B,2026,'Ações InCompany'!C:C,"Realizado")</f>
        <v>808</v>
      </c>
    </row>
    <row r="13" spans="1:7" ht="27.95" customHeight="1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2355</v>
      </c>
      <c r="E13" s="104">
        <f>SUMIFS('Ações InCompany'!Q:Q,'Ações InCompany'!B:B,2026,'Ações InCompany'!C:C,"Realizado")</f>
        <v>481</v>
      </c>
    </row>
    <row r="14" spans="1:7" ht="27.95" customHeight="1">
      <c r="A14" s="107" t="s">
        <v>2356</v>
      </c>
      <c r="B14" s="108">
        <f>SUM(B11:B13)</f>
        <v>37</v>
      </c>
      <c r="D14" s="107" t="s">
        <v>2357</v>
      </c>
      <c r="E14" s="108">
        <f>SUM(E11:E13)</f>
        <v>1824</v>
      </c>
    </row>
    <row r="30" spans="1:5" ht="17.25">
      <c r="A30" s="308" t="s">
        <v>2358</v>
      </c>
      <c r="B30" s="308"/>
      <c r="C30" s="308"/>
      <c r="D30" s="308"/>
      <c r="E30" s="308"/>
    </row>
    <row r="31" spans="1:5" ht="5.0999999999999996" customHeight="1">
      <c r="A31" s="331"/>
      <c r="B31" s="331"/>
      <c r="C31" s="331"/>
      <c r="D31" s="331"/>
      <c r="E31" s="331"/>
    </row>
    <row r="32" spans="1:5" ht="24.95" customHeight="1">
      <c r="A32" s="102" t="s">
        <v>6</v>
      </c>
      <c r="B32" s="102" t="s">
        <v>2359</v>
      </c>
      <c r="C32" s="102" t="s">
        <v>2360</v>
      </c>
      <c r="D32" s="102" t="s">
        <v>2361</v>
      </c>
      <c r="E32" s="102" t="s">
        <v>2362</v>
      </c>
    </row>
    <row r="33" spans="1:5" ht="24" customHeight="1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0.32307692307692309</v>
      </c>
    </row>
    <row r="34" spans="1:5" ht="24" customHeight="1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4.6153846153846156E-2</v>
      </c>
    </row>
    <row r="35" spans="1:5" ht="24" customHeight="1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9.2307692307692313E-2</v>
      </c>
    </row>
    <row r="36" spans="1:5" ht="24" customHeight="1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1</v>
      </c>
      <c r="D36" s="113">
        <f t="shared" si="0"/>
        <v>3</v>
      </c>
      <c r="E36" s="114">
        <f t="shared" si="1"/>
        <v>4.6153846153846156E-2</v>
      </c>
    </row>
    <row r="37" spans="1:5" ht="24" customHeight="1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6.1538461538461542E-2</v>
      </c>
    </row>
    <row r="38" spans="1:5" ht="24" customHeight="1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0.2153846153846154</v>
      </c>
    </row>
    <row r="39" spans="1:5" ht="24" customHeight="1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6.1538461538461542E-2</v>
      </c>
    </row>
    <row r="40" spans="1:5" ht="24" customHeight="1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1.5384615384615385E-2</v>
      </c>
    </row>
    <row r="41" spans="1:5" ht="24" customHeight="1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0.1076923076923077</v>
      </c>
    </row>
    <row r="42" spans="1:5" ht="24" customHeight="1">
      <c r="A42" s="149" t="s">
        <v>2363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3.0769230769230771E-2</v>
      </c>
    </row>
    <row r="44" spans="1:5" ht="24" customHeight="1">
      <c r="A44" s="141" t="s">
        <v>2364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>
      <c r="A45" s="107" t="s">
        <v>2356</v>
      </c>
      <c r="B45" s="115">
        <f>SUM(B33:B44)</f>
        <v>37</v>
      </c>
      <c r="C45" s="115">
        <f>SUM(C33:C44)</f>
        <v>28</v>
      </c>
      <c r="D45" s="115">
        <f>SUM(D33:D44)</f>
        <v>65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2365</v>
      </c>
      <c r="B1" s="12" t="s">
        <v>2366</v>
      </c>
      <c r="C1" s="13" t="s">
        <v>2367</v>
      </c>
      <c r="D1" s="13" t="s">
        <v>2368</v>
      </c>
      <c r="E1" s="13" t="s">
        <v>2369</v>
      </c>
    </row>
    <row r="2" spans="1:5" ht="18" customHeight="1">
      <c r="A2" s="12" t="s">
        <v>2370</v>
      </c>
      <c r="B2" s="12" t="s">
        <v>2371</v>
      </c>
      <c r="C2" s="12" t="s">
        <v>1316</v>
      </c>
      <c r="D2" s="12" t="s">
        <v>2372</v>
      </c>
      <c r="E2" s="12" t="s">
        <v>2373</v>
      </c>
    </row>
    <row r="3" spans="1:5" ht="18" customHeight="1">
      <c r="A3" s="12" t="s">
        <v>2370</v>
      </c>
      <c r="B3" s="12" t="s">
        <v>2371</v>
      </c>
      <c r="C3" s="14" t="s">
        <v>23</v>
      </c>
      <c r="D3" s="12" t="s">
        <v>2374</v>
      </c>
      <c r="E3" s="12" t="s">
        <v>2375</v>
      </c>
    </row>
    <row r="4" spans="1:5" ht="18" customHeight="1">
      <c r="A4" s="12" t="s">
        <v>2370</v>
      </c>
      <c r="B4" s="12" t="s">
        <v>2371</v>
      </c>
      <c r="C4" s="12" t="s">
        <v>56</v>
      </c>
      <c r="D4" s="12" t="s">
        <v>2372</v>
      </c>
      <c r="E4" s="12" t="s">
        <v>2376</v>
      </c>
    </row>
    <row r="5" spans="1:5" ht="18" customHeight="1">
      <c r="A5" s="12" t="s">
        <v>2370</v>
      </c>
      <c r="B5" s="12" t="s">
        <v>2371</v>
      </c>
      <c r="C5" s="12" t="s">
        <v>59</v>
      </c>
      <c r="D5" s="12" t="s">
        <v>2377</v>
      </c>
      <c r="E5" s="12" t="s">
        <v>2378</v>
      </c>
    </row>
    <row r="6" spans="1:5" ht="18" customHeight="1">
      <c r="A6" s="12" t="s">
        <v>2370</v>
      </c>
      <c r="B6" s="12" t="s">
        <v>2371</v>
      </c>
      <c r="C6" s="12" t="s">
        <v>2073</v>
      </c>
      <c r="D6" s="12" t="s">
        <v>2379</v>
      </c>
      <c r="E6" s="12" t="s">
        <v>2380</v>
      </c>
    </row>
    <row r="7" spans="1:5" ht="18" customHeight="1">
      <c r="A7" s="12" t="s">
        <v>2370</v>
      </c>
      <c r="B7" s="12" t="s">
        <v>2381</v>
      </c>
      <c r="C7" s="12" t="s">
        <v>30</v>
      </c>
      <c r="D7" s="12" t="s">
        <v>2382</v>
      </c>
      <c r="E7" s="12" t="s">
        <v>2383</v>
      </c>
    </row>
    <row r="8" spans="1:5" ht="18" customHeight="1">
      <c r="A8" s="12" t="s">
        <v>2370</v>
      </c>
      <c r="B8" s="12" t="s">
        <v>2381</v>
      </c>
      <c r="C8" s="12" t="s">
        <v>34</v>
      </c>
      <c r="D8" s="12" t="s">
        <v>2384</v>
      </c>
      <c r="E8" s="12" t="s">
        <v>2385</v>
      </c>
    </row>
    <row r="9" spans="1:5" ht="18" customHeight="1">
      <c r="A9" s="12" t="s">
        <v>2370</v>
      </c>
      <c r="B9" s="12" t="s">
        <v>2386</v>
      </c>
      <c r="C9" s="12" t="s">
        <v>353</v>
      </c>
      <c r="D9" s="12" t="s">
        <v>2387</v>
      </c>
      <c r="E9" s="12" t="s">
        <v>2388</v>
      </c>
    </row>
    <row r="10" spans="1:5" ht="18" customHeight="1">
      <c r="A10" s="12" t="s">
        <v>2370</v>
      </c>
      <c r="B10" s="12" t="s">
        <v>2386</v>
      </c>
      <c r="C10" s="12" t="s">
        <v>157</v>
      </c>
      <c r="D10" s="12" t="s">
        <v>22</v>
      </c>
      <c r="E10" s="12" t="s">
        <v>2389</v>
      </c>
    </row>
    <row r="11" spans="1:5" ht="18" customHeight="1">
      <c r="A11" s="12" t="s">
        <v>2370</v>
      </c>
      <c r="B11" s="12" t="s">
        <v>2386</v>
      </c>
      <c r="C11" s="12" t="s">
        <v>283</v>
      </c>
      <c r="D11" s="12" t="s">
        <v>22</v>
      </c>
      <c r="E11" s="12" t="s">
        <v>2390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2391</v>
      </c>
      <c r="B1" s="5" t="s">
        <v>10</v>
      </c>
      <c r="C1" s="15" t="s">
        <v>2392</v>
      </c>
      <c r="D1" s="15" t="s">
        <v>2286</v>
      </c>
    </row>
    <row r="2" spans="1:4" ht="21" customHeight="1">
      <c r="A2" s="205" t="s">
        <v>22</v>
      </c>
      <c r="B2" s="205" t="s">
        <v>32</v>
      </c>
      <c r="C2" s="12" t="s">
        <v>2393</v>
      </c>
      <c r="D2" s="12" t="s">
        <v>2092</v>
      </c>
    </row>
    <row r="3" spans="1:4" ht="21" customHeight="1">
      <c r="A3" s="12" t="s">
        <v>51</v>
      </c>
      <c r="B3" s="205" t="s">
        <v>25</v>
      </c>
      <c r="C3" s="12" t="s">
        <v>2394</v>
      </c>
      <c r="D3" s="12" t="s">
        <v>1933</v>
      </c>
    </row>
    <row r="4" spans="1:4" ht="21" customHeight="1">
      <c r="A4" s="14" t="s">
        <v>66</v>
      </c>
      <c r="B4" s="205" t="s">
        <v>174</v>
      </c>
      <c r="D4" s="12" t="s">
        <v>2111</v>
      </c>
    </row>
    <row r="5" spans="1:4" ht="21" customHeight="1">
      <c r="A5" s="12" t="s">
        <v>178</v>
      </c>
      <c r="D5" s="12" t="s">
        <v>20</v>
      </c>
    </row>
    <row r="6" spans="1:4" ht="21" customHeight="1">
      <c r="D6" s="12" t="s">
        <v>2395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2365</v>
      </c>
      <c r="B1" s="12" t="s">
        <v>2366</v>
      </c>
      <c r="C1" s="13" t="s">
        <v>2367</v>
      </c>
      <c r="D1" s="13" t="s">
        <v>2368</v>
      </c>
      <c r="E1" s="13" t="s">
        <v>2369</v>
      </c>
    </row>
    <row r="2" spans="1:5" ht="18" customHeight="1">
      <c r="A2" s="12" t="s">
        <v>2396</v>
      </c>
      <c r="B2" s="12" t="s">
        <v>2371</v>
      </c>
      <c r="C2" s="14" t="s">
        <v>23</v>
      </c>
      <c r="D2" s="12" t="s">
        <v>2372</v>
      </c>
      <c r="E2" s="17" t="s">
        <v>2397</v>
      </c>
    </row>
    <row r="3" spans="1:5" ht="18" customHeight="1">
      <c r="A3" s="12" t="s">
        <v>2396</v>
      </c>
      <c r="B3" s="12" t="s">
        <v>2371</v>
      </c>
      <c r="C3" s="12" t="s">
        <v>56</v>
      </c>
      <c r="D3" s="12" t="s">
        <v>2374</v>
      </c>
      <c r="E3" s="12" t="s">
        <v>2398</v>
      </c>
    </row>
    <row r="4" spans="1:5" ht="18" customHeight="1">
      <c r="A4" s="12" t="s">
        <v>2396</v>
      </c>
      <c r="B4" s="12" t="s">
        <v>2371</v>
      </c>
      <c r="C4" s="12" t="s">
        <v>59</v>
      </c>
      <c r="D4" s="12" t="s">
        <v>2377</v>
      </c>
      <c r="E4" s="12" t="s">
        <v>2399</v>
      </c>
    </row>
    <row r="5" spans="1:5" ht="27.75" customHeight="1">
      <c r="A5" s="12" t="s">
        <v>2396</v>
      </c>
      <c r="B5" s="12" t="s">
        <v>2371</v>
      </c>
      <c r="C5" s="12" t="s">
        <v>2036</v>
      </c>
      <c r="D5" s="17" t="s">
        <v>2400</v>
      </c>
      <c r="E5" s="12" t="s">
        <v>2401</v>
      </c>
    </row>
    <row r="6" spans="1:5" ht="18" customHeight="1">
      <c r="A6" s="12" t="s">
        <v>2396</v>
      </c>
      <c r="B6" s="12" t="s">
        <v>2371</v>
      </c>
      <c r="C6" s="12" t="s">
        <v>2073</v>
      </c>
      <c r="D6" s="12" t="s">
        <v>2379</v>
      </c>
      <c r="E6" s="12" t="s">
        <v>2380</v>
      </c>
    </row>
    <row r="7" spans="1:5" ht="18" customHeight="1">
      <c r="A7" s="12" t="s">
        <v>2396</v>
      </c>
      <c r="B7" s="12" t="s">
        <v>2381</v>
      </c>
      <c r="C7" s="12" t="s">
        <v>2057</v>
      </c>
      <c r="D7" s="12" t="s">
        <v>2402</v>
      </c>
      <c r="E7" s="12" t="s">
        <v>2403</v>
      </c>
    </row>
    <row r="8" spans="1:5" ht="18" customHeight="1">
      <c r="A8" s="12" t="s">
        <v>2396</v>
      </c>
      <c r="B8" s="12" t="s">
        <v>2381</v>
      </c>
      <c r="C8" s="12" t="s">
        <v>34</v>
      </c>
      <c r="D8" s="12" t="s">
        <v>2384</v>
      </c>
      <c r="E8" s="12" t="s">
        <v>2385</v>
      </c>
    </row>
    <row r="9" spans="1:5" ht="18" customHeight="1">
      <c r="A9" s="12" t="s">
        <v>2396</v>
      </c>
      <c r="B9" s="12" t="s">
        <v>2381</v>
      </c>
      <c r="C9" s="12" t="s">
        <v>2041</v>
      </c>
      <c r="D9" s="12" t="s">
        <v>2404</v>
      </c>
      <c r="E9" s="17" t="s">
        <v>2405</v>
      </c>
    </row>
    <row r="10" spans="1:5" ht="18" customHeight="1">
      <c r="A10" s="12" t="s">
        <v>2396</v>
      </c>
      <c r="B10" s="12" t="s">
        <v>2406</v>
      </c>
      <c r="C10" s="12" t="s">
        <v>2363</v>
      </c>
      <c r="D10" s="12" t="s">
        <v>2407</v>
      </c>
      <c r="E10" s="17" t="s">
        <v>2408</v>
      </c>
    </row>
    <row r="11" spans="1:5" ht="18" customHeight="1">
      <c r="A11" s="12" t="s">
        <v>2396</v>
      </c>
      <c r="B11" s="12" t="s">
        <v>2406</v>
      </c>
      <c r="C11" s="12" t="s">
        <v>157</v>
      </c>
      <c r="D11" s="12" t="s">
        <v>22</v>
      </c>
      <c r="E11" s="12" t="s">
        <v>2389</v>
      </c>
    </row>
    <row r="12" spans="1:5" ht="18" customHeight="1">
      <c r="A12" s="12" t="s">
        <v>2396</v>
      </c>
      <c r="B12" s="12" t="s">
        <v>2406</v>
      </c>
      <c r="C12" s="12" t="s">
        <v>283</v>
      </c>
      <c r="D12" s="12" t="s">
        <v>22</v>
      </c>
      <c r="E12" s="12" t="s">
        <v>2390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314" t="s">
        <v>2409</v>
      </c>
      <c r="B1" s="314"/>
      <c r="C1" s="314"/>
      <c r="D1" s="314"/>
      <c r="E1" s="314"/>
      <c r="F1" s="314"/>
      <c r="G1" s="314"/>
      <c r="H1" s="314"/>
    </row>
    <row r="2" spans="1:8">
      <c r="A2" s="123" t="s">
        <v>2410</v>
      </c>
    </row>
    <row r="4" spans="1:8" ht="21.95" customHeight="1">
      <c r="A4" s="315" t="s">
        <v>2411</v>
      </c>
      <c r="B4" s="316"/>
      <c r="D4" s="315" t="s">
        <v>2412</v>
      </c>
      <c r="E4" s="316"/>
      <c r="G4" s="315" t="s">
        <v>2413</v>
      </c>
      <c r="H4" s="316"/>
    </row>
    <row r="5" spans="1:8" ht="35.1" customHeight="1">
      <c r="A5" s="319">
        <f>COUNTIF('Ações InCompany'!E:E,"*maratona*")</f>
        <v>13</v>
      </c>
      <c r="B5" s="318"/>
      <c r="D5" s="317">
        <f>SUM(H8:H100)</f>
        <v>1762</v>
      </c>
      <c r="E5" s="318"/>
      <c r="G5" s="317">
        <f>IFERROR(ROUND(D5/A5,0),"-")</f>
        <v>136</v>
      </c>
      <c r="H5" s="318"/>
    </row>
    <row r="6" spans="1:8" ht="9.9499999999999993" customHeight="1"/>
    <row r="7" spans="1:8" ht="24.95" customHeight="1" thickBot="1">
      <c r="A7" s="136" t="s">
        <v>2414</v>
      </c>
      <c r="B7" s="136" t="s">
        <v>2415</v>
      </c>
      <c r="C7" s="136" t="s">
        <v>1</v>
      </c>
      <c r="D7" s="136" t="s">
        <v>2416</v>
      </c>
      <c r="E7" s="136" t="s">
        <v>2417</v>
      </c>
      <c r="F7" s="136" t="s">
        <v>2286</v>
      </c>
      <c r="G7" s="136" t="s">
        <v>5</v>
      </c>
      <c r="H7" s="136" t="s">
        <v>2418</v>
      </c>
    </row>
    <row r="8" spans="1:8" ht="20.100000000000001" customHeight="1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332" t="s">
        <v>2419</v>
      </c>
      <c r="B1" s="332"/>
      <c r="C1" s="332"/>
      <c r="D1" s="332"/>
      <c r="E1" s="332"/>
      <c r="F1" s="332"/>
    </row>
    <row r="2" spans="1:7">
      <c r="A2" s="333" t="s">
        <v>2420</v>
      </c>
      <c r="B2" s="333"/>
      <c r="C2" s="333"/>
      <c r="D2" s="333"/>
      <c r="E2" s="333"/>
      <c r="F2" s="333"/>
    </row>
    <row r="4" spans="1:7">
      <c r="A4" s="99" t="s">
        <v>19</v>
      </c>
      <c r="B4" s="99" t="s">
        <v>2289</v>
      </c>
      <c r="C4" s="99" t="s">
        <v>2290</v>
      </c>
      <c r="D4" s="99" t="s">
        <v>2421</v>
      </c>
      <c r="E4" s="99" t="s">
        <v>2291</v>
      </c>
      <c r="F4" s="99" t="s">
        <v>2422</v>
      </c>
    </row>
    <row r="5" spans="1:7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>
      <c r="A13" t="str">
        <v>Cinthia Thais de Carvalho Luz Thomazi</v>
      </c>
      <c r="B13" s="100">
        <f>IF($A13="","",SUMIFS('GECC 2026'!H$2:H$200,'GECC 2026'!F$2:F$200,$A13))</f>
        <v>78</v>
      </c>
      <c r="C13" s="100">
        <f>IF($A13="","",SUMIFS('GECC 2026'!I$2:I$200,'GECC 2026'!F$2:F$200,$A13))</f>
        <v>12.479999999999999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90.48</v>
      </c>
      <c r="F13" s="98">
        <f>IF($A13="","",COUNTIFS('GECC 2026'!F$2:F$200,$A13))</f>
        <v>13</v>
      </c>
    </row>
    <row r="14" spans="1:7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>
      <c r="A21" t="str">
        <v>Felipe da Costa Malaquias</v>
      </c>
      <c r="B21" s="100">
        <f>IF($A21="","",SUMIFS('GECC 2026'!H$2:H$200,'GECC 2026'!F$2:F$200,$A21))</f>
        <v>25.45</v>
      </c>
      <c r="C21" s="100">
        <f>IF($A21="","",SUMIFS('GECC 2026'!I$2:I$200,'GECC 2026'!F$2:F$200,$A21))</f>
        <v>7.6349999999999998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33.085000000000001</v>
      </c>
      <c r="F21" s="98">
        <f>IF($A21="","",COUNTIFS('GECC 2026'!F$2:F$200,$A21))</f>
        <v>2</v>
      </c>
    </row>
    <row r="22" spans="1:6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>
      <c r="A24" t="str">
        <v>Flávio José Fonseca de Souza</v>
      </c>
      <c r="B24" s="100">
        <f>IF($A24="","",SUMIFS('GECC 2026'!H$2:H$200,'GECC 2026'!F$2:F$200,$A24))</f>
        <v>25.45</v>
      </c>
      <c r="C24" s="100">
        <f>IF($A24="","",SUMIFS('GECC 2026'!I$2:I$200,'GECC 2026'!F$2:F$200,$A24))</f>
        <v>7.6349999999999998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33.085000000000001</v>
      </c>
      <c r="F24" s="98">
        <f>IF($A24="","",COUNTIFS('GECC 2026'!F$2:F$200,$A24))</f>
        <v>2</v>
      </c>
    </row>
    <row r="25" spans="1:6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2</v>
      </c>
    </row>
    <row r="26" spans="1:6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>
      <c r="A31" t="str">
        <v>Jamile Medeiros Fon</v>
      </c>
      <c r="B31" s="100">
        <f>IF($A31="","",SUMIFS('GECC 2026'!H$2:H$200,'GECC 2026'!F$2:F$200,$A31))</f>
        <v>4</v>
      </c>
      <c r="C31" s="100">
        <f>IF($A31="","",SUMIFS('GECC 2026'!I$2:I$200,'GECC 2026'!F$2:F$200,$A31))</f>
        <v>0.6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4.5999999999999996</v>
      </c>
      <c r="F31" s="98">
        <f>IF($A31="","",COUNTIFS('GECC 2026'!F$2:F$200,$A31))</f>
        <v>1</v>
      </c>
    </row>
    <row r="32" spans="1:6">
      <c r="A32" t="str">
        <v>José Roberto Alcuri Júnior</v>
      </c>
      <c r="B32" s="100">
        <f>IF($A32="","",SUMIFS('GECC 2026'!H$2:H$200,'GECC 2026'!F$2:F$200,$A32))</f>
        <v>12</v>
      </c>
      <c r="C32" s="100">
        <f>IF($A32="","",SUMIFS('GECC 2026'!I$2:I$200,'GECC 2026'!F$2:F$200,$A32))</f>
        <v>0.84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12.84</v>
      </c>
      <c r="F32" s="98">
        <f>IF($A32="","",COUNTIFS('GECC 2026'!F$2:F$200,$A32))</f>
        <v>2</v>
      </c>
    </row>
    <row r="33" spans="1:6">
      <c r="A33" t="str">
        <v>Leonardo de Melo</v>
      </c>
      <c r="B33" s="100">
        <f>IF($A33="","",SUMIFS('GECC 2026'!H$2:H$200,'GECC 2026'!F$2:F$200,$A33))</f>
        <v>16</v>
      </c>
      <c r="C33" s="100">
        <f>IF($A33="","",SUMIFS('GECC 2026'!I$2:I$200,'GECC 2026'!F$2:F$200,$A33))</f>
        <v>2.4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18.399999999999999</v>
      </c>
      <c r="F33" s="98">
        <f>IF($A33="","",COUNTIFS('GECC 2026'!F$2:F$200,$A33))</f>
        <v>2</v>
      </c>
    </row>
    <row r="34" spans="1:6">
      <c r="A34" t="str">
        <v>Leonardo José Alves Leal Neri</v>
      </c>
      <c r="B34" s="100">
        <f>IF($A34="","",SUMIFS('GECC 2026'!H$2:H$200,'GECC 2026'!F$2:F$200,$A34))</f>
        <v>40</v>
      </c>
      <c r="C34" s="100">
        <f>IF($A34="","",SUMIFS('GECC 2026'!I$2:I$200,'GECC 2026'!F$2:F$200,$A34))</f>
        <v>12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52</v>
      </c>
      <c r="F34" s="98">
        <f>IF($A34="","",COUNTIFS('GECC 2026'!F$2:F$200,$A34))</f>
        <v>2</v>
      </c>
    </row>
    <row r="35" spans="1:6">
      <c r="A35" t="str">
        <v>Luciana Alvim</v>
      </c>
      <c r="B35" s="100">
        <f>IF($A35="","",SUMIFS('GECC 2026'!H$2:H$200,'GECC 2026'!F$2:F$200,$A35))</f>
        <v>60</v>
      </c>
      <c r="C35" s="100">
        <f>IF($A35="","",SUMIFS('GECC 2026'!I$2:I$200,'GECC 2026'!F$2:F$200,$A35))</f>
        <v>74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134</v>
      </c>
      <c r="F35" s="98">
        <f>IF($A35="","",COUNTIFS('GECC 2026'!F$2:F$200,$A35))</f>
        <v>6</v>
      </c>
    </row>
    <row r="36" spans="1:6">
      <c r="A36" t="str">
        <v>Luiz Felipe Tenório de Lima Gondim</v>
      </c>
      <c r="B36" s="100">
        <f>IF($A36="","",SUMIFS('GECC 2026'!H$2:H$200,'GECC 2026'!F$2:F$200,$A36))</f>
        <v>24</v>
      </c>
      <c r="C36" s="100">
        <f>IF($A36="","",SUMIFS('GECC 2026'!I$2:I$200,'GECC 2026'!F$2:F$200,$A36))</f>
        <v>5.28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29.279999999999998</v>
      </c>
      <c r="F36" s="98">
        <f>IF($A36="","",COUNTIFS('GECC 2026'!F$2:F$200,$A36))</f>
        <v>6</v>
      </c>
    </row>
    <row r="37" spans="1:6">
      <c r="A37" t="str">
        <v>Marcelo Bálbio Moraes</v>
      </c>
      <c r="B37" s="100">
        <f>IF($A37="","",SUMIFS('GECC 2026'!H$2:H$200,'GECC 2026'!F$2:F$200,$A37))</f>
        <v>0</v>
      </c>
      <c r="C37" s="100">
        <f>IF($A37="","",SUMIFS('GECC 2026'!I$2:I$200,'GECC 2026'!F$2:F$200,$A37))</f>
        <v>0</v>
      </c>
      <c r="D37" s="203">
        <f>IF($A37="","",SUMIFS('GECC 2026'!$AE$3:$AE$32,'GECC 2026'!$AD$3:$AD$32,$A37))</f>
        <v>16</v>
      </c>
      <c r="E37" s="195">
        <f>IF($A37="","",SUMIFS('GECC 2026'!J$2:J$200,'GECC 2026'!F$2:F$200,$A37)+SUMIFS('GECC 2026'!$AE$3:$AE$32,'GECC 2026'!$AD$3:$AD$32,$A37))</f>
        <v>16</v>
      </c>
      <c r="F37" s="98">
        <f>IF($A37="","",COUNTIFS('GECC 2026'!F$2:F$200,$A37))</f>
        <v>0</v>
      </c>
    </row>
    <row r="38" spans="1:6">
      <c r="A38" t="str">
        <v>Marcelo Santana</v>
      </c>
      <c r="B38" s="100">
        <f>IF($A38="","",SUMIFS('GECC 2026'!H$2:H$200,'GECC 2026'!F$2:F$200,$A38))</f>
        <v>8</v>
      </c>
      <c r="C38" s="100">
        <f>IF($A38="","",SUMIFS('GECC 2026'!I$2:I$200,'GECC 2026'!F$2:F$200,$A38))</f>
        <v>0.24</v>
      </c>
      <c r="D38" s="203">
        <f>IF($A38="","",SUMIFS('GECC 2026'!$AE$3:$AE$32,'GECC 2026'!$AD$3:$AD$32,$A38))</f>
        <v>0</v>
      </c>
      <c r="E38" s="195">
        <f>IF($A38="","",SUMIFS('GECC 2026'!J$2:J$200,'GECC 2026'!F$2:F$200,$A38)+SUMIFS('GECC 2026'!$AE$3:$AE$32,'GECC 2026'!$AD$3:$AD$32,$A38))</f>
        <v>8.24</v>
      </c>
      <c r="F38" s="98">
        <f>IF($A38="","",COUNTIFS('GECC 2026'!F$2:F$200,$A38))</f>
        <v>1</v>
      </c>
    </row>
    <row r="39" spans="1:6">
      <c r="A39" t="str">
        <v>Marcelo Silva Santana</v>
      </c>
      <c r="B39" s="100">
        <f>IF($A39="","",SUMIFS('GECC 2026'!H$2:H$200,'GECC 2026'!F$2:F$200,$A39))</f>
        <v>4</v>
      </c>
      <c r="C39" s="100">
        <f>IF($A39="","",SUMIFS('GECC 2026'!I$2:I$200,'GECC 2026'!F$2:F$200,$A39))</f>
        <v>0.6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4.5999999999999996</v>
      </c>
      <c r="F39" s="98">
        <f>IF($A39="","",COUNTIFS('GECC 2026'!F$2:F$200,$A39))</f>
        <v>1</v>
      </c>
    </row>
    <row r="40" spans="1:6">
      <c r="A40" t="str">
        <v>Mauri Siqueira Montessi</v>
      </c>
      <c r="B40" s="100">
        <f>IF($A40="","",SUMIFS('GECC 2026'!H$2:H$200,'GECC 2026'!F$2:F$200,$A40))</f>
        <v>0</v>
      </c>
      <c r="C40" s="100">
        <f>IF($A40="","",SUMIFS('GECC 2026'!I$2:I$200,'GECC 2026'!F$2:F$200,$A40))</f>
        <v>0</v>
      </c>
      <c r="D40" s="203">
        <f>IF($A40="","",SUMIFS('GECC 2026'!$AE$3:$AE$32,'GECC 2026'!$AD$3:$AD$32,$A40))</f>
        <v>16</v>
      </c>
      <c r="E40" s="195">
        <f>IF($A40="","",SUMIFS('GECC 2026'!J$2:J$200,'GECC 2026'!F$2:F$200,$A40)+SUMIFS('GECC 2026'!$AE$3:$AE$32,'GECC 2026'!$AD$3:$AD$32,$A40))</f>
        <v>16</v>
      </c>
      <c r="F40" s="98">
        <f>IF($A40="","",COUNTIFS('GECC 2026'!F$2:F$200,$A40))</f>
        <v>0</v>
      </c>
    </row>
    <row r="41" spans="1:6">
      <c r="A41" t="str">
        <v>Michel Martins de Morais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>
      <c r="A42" t="str">
        <v>Paulo José Góes Daltro</v>
      </c>
      <c r="B42" s="100">
        <f>IF($A42="","",SUMIFS('GECC 2026'!H$2:H$200,'GECC 2026'!F$2:F$200,$A42))</f>
        <v>43</v>
      </c>
      <c r="C42" s="100">
        <f>IF($A42="","",SUMIFS('GECC 2026'!I$2:I$200,'GECC 2026'!F$2:F$200,$A42))</f>
        <v>12.899999999999999</v>
      </c>
      <c r="D42" s="203">
        <f>IF($A42="","",SUMIFS('GECC 2026'!$AE$3:$AE$32,'GECC 2026'!$AD$3:$AD$32,$A42))</f>
        <v>0</v>
      </c>
      <c r="E42" s="195">
        <f>IF($A42="","",SUMIFS('GECC 2026'!J$2:J$200,'GECC 2026'!F$2:F$200,$A42)+SUMIFS('GECC 2026'!$AE$3:$AE$32,'GECC 2026'!$AD$3:$AD$32,$A42))</f>
        <v>55.9</v>
      </c>
      <c r="F42" s="98">
        <f>IF($A42="","",COUNTIFS('GECC 2026'!F$2:F$200,$A42))</f>
        <v>4</v>
      </c>
    </row>
    <row r="43" spans="1:6">
      <c r="A43" t="str">
        <v>Priscila Nolasco de Oliveira</v>
      </c>
      <c r="B43" s="100">
        <f>IF($A43="","",SUMIFS('GECC 2026'!H$2:H$200,'GECC 2026'!F$2:F$200,$A43))</f>
        <v>36</v>
      </c>
      <c r="C43" s="100">
        <f>IF($A43="","",SUMIFS('GECC 2026'!I$2:I$200,'GECC 2026'!F$2:F$200,$A43))</f>
        <v>6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42.000000000000007</v>
      </c>
      <c r="F43" s="98">
        <f>IF($A43="","",COUNTIFS('GECC 2026'!F$2:F$200,$A43))</f>
        <v>9</v>
      </c>
    </row>
    <row r="44" spans="1:6">
      <c r="A44" t="str">
        <v>Reinaldo Alencar</v>
      </c>
      <c r="B44" s="100">
        <f>IF($A44="","",SUMIFS('GECC 2026'!H$2:H$200,'GECC 2026'!F$2:F$200,$A44))</f>
        <v>56</v>
      </c>
      <c r="C44" s="100">
        <f>IF($A44="","",SUMIFS('GECC 2026'!I$2:I$200,'GECC 2026'!F$2:F$200,$A44))</f>
        <v>7.3199999999999994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63.32</v>
      </c>
      <c r="F44" s="98">
        <f>IF($A44="","",COUNTIFS('GECC 2026'!F$2:F$200,$A44))</f>
        <v>3</v>
      </c>
    </row>
    <row r="45" spans="1:6">
      <c r="A45" t="str">
        <v>Renan Dias da Silva</v>
      </c>
      <c r="B45" s="100">
        <f>IF($A45="","",SUMIFS('GECC 2026'!H$2:H$200,'GECC 2026'!F$2:F$200,$A45))</f>
        <v>4</v>
      </c>
      <c r="C45" s="100">
        <f>IF($A45="","",SUMIFS('GECC 2026'!I$2:I$200,'GECC 2026'!F$2:F$200,$A45))</f>
        <v>1.2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5.2</v>
      </c>
      <c r="F45" s="98">
        <f>IF($A45="","",COUNTIFS('GECC 2026'!F$2:F$200,$A45))</f>
        <v>1</v>
      </c>
    </row>
    <row r="46" spans="1:6">
      <c r="A46" t="str">
        <v>Rogério Ribeiro</v>
      </c>
      <c r="B46" s="100">
        <f>IF($A46="","",SUMIFS('GECC 2026'!H$2:H$200,'GECC 2026'!F$2:F$200,$A46))</f>
        <v>56</v>
      </c>
      <c r="C46" s="100">
        <f>IF($A46="","",SUMIFS('GECC 2026'!I$2:I$200,'GECC 2026'!F$2:F$200,$A46))</f>
        <v>7.3199999999999994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63.32</v>
      </c>
      <c r="F46" s="98">
        <f>IF($A46="","",COUNTIFS('GECC 2026'!F$2:F$200,$A46))</f>
        <v>3</v>
      </c>
    </row>
    <row r="47" spans="1:6">
      <c r="A47" t="str">
        <v>Rômulo Miranda Alvim</v>
      </c>
      <c r="B47" s="100">
        <f>IF($A47="","",SUMIFS('GECC 2026'!H$2:H$200,'GECC 2026'!F$2:F$200,$A47))</f>
        <v>32</v>
      </c>
      <c r="C47" s="100">
        <f>IF($A47="","",SUMIFS('GECC 2026'!I$2:I$200,'GECC 2026'!F$2:F$200,$A47))</f>
        <v>3.7199999999999998</v>
      </c>
      <c r="D47" s="203">
        <f>IF($A47="","",SUMIFS('GECC 2026'!$AE$3:$AE$32,'GECC 2026'!$AD$3:$AD$32,$A47))</f>
        <v>16</v>
      </c>
      <c r="E47" s="195">
        <f>IF($A47="","",SUMIFS('GECC 2026'!J$2:J$200,'GECC 2026'!F$2:F$200,$A47)+SUMIFS('GECC 2026'!$AE$3:$AE$32,'GECC 2026'!$AD$3:$AD$32,$A47))</f>
        <v>51.72</v>
      </c>
      <c r="F47" s="98">
        <f>IF($A47="","",COUNTIFS('GECC 2026'!F$2:F$200,$A47))</f>
        <v>2</v>
      </c>
    </row>
    <row r="48" spans="1:6">
      <c r="A48" t="str">
        <v>Sara Cristina Lins Ramos</v>
      </c>
      <c r="B48" s="100">
        <f>IF($A48="","",SUMIFS('GECC 2026'!H$2:H$200,'GECC 2026'!F$2:F$200,$A48))</f>
        <v>20</v>
      </c>
      <c r="C48" s="100">
        <f>IF($A48="","",SUMIFS('GECC 2026'!I$2:I$200,'GECC 2026'!F$2:F$200,$A48))</f>
        <v>6</v>
      </c>
      <c r="D48" s="203">
        <f>IF($A48="","",SUMIFS('GECC 2026'!$AE$3:$AE$32,'GECC 2026'!$AD$3:$AD$32,$A48))</f>
        <v>0</v>
      </c>
      <c r="E48" s="195">
        <f>IF($A48="","",SUMIFS('GECC 2026'!J$2:J$200,'GECC 2026'!F$2:F$200,$A48)+SUMIFS('GECC 2026'!$AE$3:$AE$32,'GECC 2026'!$AD$3:$AD$32,$A48))</f>
        <v>26</v>
      </c>
      <c r="F48" s="98">
        <f>IF($A48="","",COUNTIFS('GECC 2026'!F$2:F$200,$A48))</f>
        <v>1</v>
      </c>
    </row>
    <row r="49" spans="1:6">
      <c r="A49" t="str">
        <v>Servidores, colaboradores e estagiários do TCDF</v>
      </c>
      <c r="B49" s="100">
        <f>IF($A49="","",SUMIFS('GECC 2026'!H$2:H$200,'GECC 2026'!F$2:F$200,$A49))</f>
        <v>0</v>
      </c>
      <c r="C49" s="100">
        <f>IF($A49="","",SUMIFS('GECC 2026'!I$2:I$200,'GECC 2026'!F$2:F$200,$A49))</f>
        <v>0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0</v>
      </c>
      <c r="F49" s="98">
        <f>IF($A49="","",COUNTIFS('GECC 2026'!F$2:F$200,$A49))</f>
        <v>1</v>
      </c>
    </row>
    <row r="50" spans="1:6">
      <c r="A50" t="str">
        <v>Silvia Lima Damasceno Carvalho</v>
      </c>
      <c r="B50" s="100">
        <f>IF($A50="","",SUMIFS('GECC 2026'!H$2:H$200,'GECC 2026'!F$2:F$200,$A50))</f>
        <v>28</v>
      </c>
      <c r="C50" s="100">
        <f>IF($A50="","",SUMIFS('GECC 2026'!I$2:I$200,'GECC 2026'!F$2:F$200,$A50))</f>
        <v>3.84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31.84</v>
      </c>
      <c r="F50" s="98">
        <f>IF($A50="","",COUNTIFS('GECC 2026'!F$2:F$200,$A50))</f>
        <v>6</v>
      </c>
    </row>
    <row r="51" spans="1:6">
      <c r="A51" t="str">
        <v>Tarsila Firmino Ely</v>
      </c>
      <c r="B51" s="100">
        <f>IF($A51="","",SUMIFS('GECC 2026'!H$2:H$200,'GECC 2026'!F$2:F$200,$A51))</f>
        <v>76</v>
      </c>
      <c r="C51" s="100">
        <f>IF($A51="","",SUMIFS('GECC 2026'!I$2:I$200,'GECC 2026'!F$2:F$200,$A51))</f>
        <v>82.399999999999991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158.39999999999998</v>
      </c>
      <c r="F51" s="98">
        <f>IF($A51="","",COUNTIFS('GECC 2026'!F$2:F$200,$A51))</f>
        <v>6</v>
      </c>
    </row>
    <row r="52" spans="1:6">
      <c r="A52" t="str">
        <v>Thiago Magalhães de Oliveira</v>
      </c>
      <c r="B52" s="100">
        <f>IF($A52="","",SUMIFS('GECC 2026'!H$2:H$200,'GECC 2026'!F$2:F$200,$A52))</f>
        <v>4</v>
      </c>
      <c r="C52" s="100">
        <f>IF($A52="","",SUMIFS('GECC 2026'!I$2:I$200,'GECC 2026'!F$2:F$200,$A52))</f>
        <v>0.6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4.5999999999999996</v>
      </c>
      <c r="F52" s="98">
        <f>IF($A52="","",COUNTIFS('GECC 2026'!F$2:F$200,$A52))</f>
        <v>1</v>
      </c>
    </row>
    <row r="53" spans="1:6">
      <c r="A53" t="str">
        <v>Túllio Herbeth Teixeira Moraes</v>
      </c>
      <c r="B53" s="100">
        <f>IF($A53="","",SUMIFS('GECC 2026'!H$2:H$200,'GECC 2026'!F$2:F$200,$A53))</f>
        <v>3</v>
      </c>
      <c r="C53" s="100">
        <f>IF($A53="","",SUMIFS('GECC 2026'!I$2:I$200,'GECC 2026'!F$2:F$200,$A53))</f>
        <v>0.44999999999999996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3.45</v>
      </c>
      <c r="F53" s="98">
        <f>IF($A53="","",COUNTIFS('GECC 2026'!F$2:F$200,$A53))</f>
        <v>1</v>
      </c>
    </row>
    <row r="54" spans="1:6">
      <c r="A54" t="str">
        <v>Wibys Pereira</v>
      </c>
      <c r="B54" s="100">
        <f>IF($A54="","",SUMIFS('GECC 2026'!H$2:H$200,'GECC 2026'!F$2:F$200,$A54))</f>
        <v>4</v>
      </c>
      <c r="C54" s="100">
        <f>IF($A54="","",SUMIFS('GECC 2026'!I$2:I$200,'GECC 2026'!F$2:F$200,$A54))</f>
        <v>0.6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4.5999999999999996</v>
      </c>
      <c r="F54" s="98">
        <f>IF($A54="","",COUNTIFS('GECC 2026'!F$2:F$200,$A54))</f>
        <v>1</v>
      </c>
    </row>
    <row r="55" spans="1:6">
      <c r="B55" s="100" t="str">
        <f>IF($A55="","",SUMIFS('GECC 2026'!H$2:H$200,'GECC 2026'!F$2:F$200,$A55))</f>
        <v/>
      </c>
      <c r="C55" s="100" t="str">
        <f>IF($A55="","",SUMIFS('GECC 2026'!I$2:I$200,'GECC 2026'!F$2:F$200,$A55))</f>
        <v/>
      </c>
      <c r="D55" s="203" t="str">
        <f>IF($A55="","",SUMIFS('GECC 2026'!$AE$3:$AE$32,'GECC 2026'!$AD$3:$AD$32,$A55))</f>
        <v/>
      </c>
      <c r="E55" s="195" t="str">
        <f>IF($A55="","",SUMIFS('GECC 2026'!J$2:J$200,'GECC 2026'!F$2:F$200,$A55)+SUMIFS('GECC 2026'!$AE$3:$AE$32,'GECC 2026'!$AD$3:$AD$32,$A55))</f>
        <v/>
      </c>
      <c r="F55" s="98" t="str">
        <f>IF($A55="","",COUNTIFS('GECC 2026'!F$2:F$200,$A55))</f>
        <v/>
      </c>
    </row>
    <row r="56" spans="1:6">
      <c r="B56" s="100" t="str">
        <f>IF($A56="","",SUMIFS('GECC 2026'!H$2:H$200,'GECC 2026'!F$2:F$200,$A56))</f>
        <v/>
      </c>
      <c r="C56" s="100" t="str">
        <f>IF($A56="","",SUMIFS('GECC 2026'!I$2:I$200,'GECC 2026'!F$2:F$200,$A56))</f>
        <v/>
      </c>
      <c r="D56" s="203" t="str">
        <f>IF($A56="","",SUMIFS('GECC 2026'!$AE$3:$AE$32,'GECC 2026'!$AD$3:$AD$32,$A56))</f>
        <v/>
      </c>
      <c r="E56" s="195" t="str">
        <f>IF($A56="","",SUMIFS('GECC 2026'!J$2:J$200,'GECC 2026'!F$2:F$200,$A56)+SUMIFS('GECC 2026'!$AE$3:$AE$32,'GECC 2026'!$AD$3:$AD$32,$A56))</f>
        <v/>
      </c>
      <c r="F56" s="98" t="str">
        <f>IF($A56="","",COUNTIFS('GECC 2026'!F$2:F$200,$A56))</f>
        <v/>
      </c>
    </row>
    <row r="57" spans="1:6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>
      <c r="A105" s="196" t="s">
        <v>2357</v>
      </c>
      <c r="B105" s="197">
        <f>SUM(B5:B100)</f>
        <v>1063.9000000000001</v>
      </c>
      <c r="C105" s="197">
        <f>SUM(C5:C100)</f>
        <v>331.15000000000003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54B26992-BCD1-4DF2-A87D-5F3BC1837C0B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2026-07-28T20:21:51Z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