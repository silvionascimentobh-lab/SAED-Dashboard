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50" documentId="13_ncr:1_{6A2CC3E2-FAFB-4D8F-B284-5E8FB5045DFE}" xr6:coauthVersionLast="47" xr6:coauthVersionMax="47" xr10:uidLastSave="{C767DF96-60B1-40B4-9F70-2473888C5C46}"/>
  <bookViews>
    <workbookView xWindow="28680" yWindow="-120" windowWidth="29040" windowHeight="15720" firstSheet="2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<sst xmlns="http://schemas.openxmlformats.org/spreadsheetml/2006/main" count="7376" uniqueCount="3239">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</sst>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27" activePane="bottomLeft" state="frozen"/>
      <selection pane="bottomLeft" activeCell="A748" sqref="A74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3037</v>
      </c>
      <c r="E747" s="166" t="s">
        <v>3038</v>
      </c>
      <c r="F747" s="170" t="s">
        <v>24</v>
      </c>
      <c r="G747" s="155" t="s">
        <v>206</v>
      </c>
      <c r="H747" s="156" t="s">
        <v>3039</v>
      </c>
      <c r="I747" s="191">
        <v>46293</v>
      </c>
      <c r="J747" s="191">
        <v>46297</v>
      </c>
      <c r="K747" s="154" t="s">
        <v>38</v>
      </c>
      <c r="L747" s="160"/>
      <c r="M747" s="183"/>
      <c r="N747" s="158">
        <v>20</v>
      </c>
      <c r="O747" s="158"/>
      <c r="P747" s="158"/>
      <c r="Q747" s="158"/>
      <c r="R747" s="158">
        <f t="shared" ref="R747" si="15">IF(B747="","",SUM(O747:Q747))</f>
        <v>0</v>
      </c>
      <c r="S747" s="154">
        <v>20</v>
      </c>
      <c r="T747" s="155" t="s">
        <v>3040</v>
      </c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3042</v>
      </c>
      <c r="H1" s="168" t="s">
        <v>3043</v>
      </c>
    </row>
    <row r="2" spans="1:8">
      <c r="H2" s="167" t="s">
        <v>3044</v>
      </c>
    </row>
    <row r="3" spans="1:8">
      <c r="A3" t="s">
        <v>0</v>
      </c>
      <c r="B3" t="s">
        <v>19</v>
      </c>
      <c r="C3" t="s">
        <v>3045</v>
      </c>
      <c r="D3" t="s">
        <v>3046</v>
      </c>
      <c r="E3" t="s">
        <v>3047</v>
      </c>
      <c r="H3" s="167" t="s">
        <v>3048</v>
      </c>
    </row>
    <row r="4" spans="1:8">
      <c r="A4">
        <v>1</v>
      </c>
      <c r="B4" t="s">
        <v>3049</v>
      </c>
      <c r="D4" t="s">
        <v>3050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3051</v>
      </c>
    </row>
    <row r="5" spans="1:8">
      <c r="A5">
        <v>2</v>
      </c>
      <c r="B5" t="s">
        <v>2507</v>
      </c>
      <c r="D5" t="s">
        <v>3050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3052</v>
      </c>
    </row>
    <row r="6" spans="1:8">
      <c r="A6">
        <v>3</v>
      </c>
      <c r="B6" t="s">
        <v>1030</v>
      </c>
      <c r="D6" t="s">
        <v>3050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3053</v>
      </c>
      <c r="D7" t="s">
        <v>3050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3054</v>
      </c>
    </row>
    <row r="8" spans="1:8">
      <c r="A8">
        <v>5</v>
      </c>
      <c r="B8" t="s">
        <v>3055</v>
      </c>
      <c r="D8" t="s">
        <v>3050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3050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3050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3050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3050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3050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3050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3050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3050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3050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3050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3050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3050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3050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3050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3056</v>
      </c>
      <c r="D23" t="s">
        <v>3050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3050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3057</v>
      </c>
      <c r="D25" t="s">
        <v>3050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3058</v>
      </c>
      <c r="D26" t="s">
        <v>3050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3050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3050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3059</v>
      </c>
      <c r="D29" t="s">
        <v>3050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3050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3050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3050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3060</v>
      </c>
      <c r="D33" t="s">
        <v>3050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3061</v>
      </c>
      <c r="D34" t="s">
        <v>3050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3050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3050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3050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3062</v>
      </c>
      <c r="D38" t="s">
        <v>3050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3063</v>
      </c>
      <c r="D39" t="s">
        <v>3050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3050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3064</v>
      </c>
      <c r="D41" t="s">
        <v>3050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3050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3050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3065</v>
      </c>
      <c r="D44" t="s">
        <v>3050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3050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3050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3050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3050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3066</v>
      </c>
      <c r="D49" t="s">
        <v>3050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3050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3067</v>
      </c>
      <c r="D51" t="s">
        <v>3050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3050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3050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3068</v>
      </c>
      <c r="D54" t="s">
        <v>3050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3050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3050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3050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3069</v>
      </c>
      <c r="D58" t="s">
        <v>3050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3050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3050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3070</v>
      </c>
      <c r="D61" t="s">
        <v>3050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3071</v>
      </c>
      <c r="D62" t="s">
        <v>3050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3072</v>
      </c>
      <c r="D63" t="s">
        <v>3050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3073</v>
      </c>
      <c r="D64" t="s">
        <v>3050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3050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3050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3074</v>
      </c>
      <c r="D67" t="s">
        <v>3050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3075</v>
      </c>
      <c r="D68" t="s">
        <v>3050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3050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3076</v>
      </c>
      <c r="D70" t="s">
        <v>3050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3050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3050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3050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3077</v>
      </c>
      <c r="D74" t="s">
        <v>3050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3050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3050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3050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3050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3078</v>
      </c>
      <c r="D79" t="s">
        <v>3050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3079</v>
      </c>
      <c r="D80" t="s">
        <v>3050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3080</v>
      </c>
      <c r="D81" t="s">
        <v>3050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3081</v>
      </c>
      <c r="D82" t="s">
        <v>3050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3050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3082</v>
      </c>
      <c r="D84" t="s">
        <v>3050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3050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3083</v>
      </c>
      <c r="D86" t="s">
        <v>3050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3084</v>
      </c>
      <c r="D87" t="s">
        <v>3050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3085</v>
      </c>
      <c r="D88" t="s">
        <v>3050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3086</v>
      </c>
      <c r="D89" t="s">
        <v>3050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3087</v>
      </c>
      <c r="D90" t="s">
        <v>3050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3088</v>
      </c>
      <c r="D91" t="s">
        <v>3050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3089</v>
      </c>
      <c r="D92" t="s">
        <v>3050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3090</v>
      </c>
      <c r="D93" t="s">
        <v>3050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3091</v>
      </c>
      <c r="D94" t="s">
        <v>3050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3050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3092</v>
      </c>
      <c r="D96" t="s">
        <v>3050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3050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3093</v>
      </c>
      <c r="D98" t="s">
        <v>3050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3094</v>
      </c>
      <c r="D99" t="s">
        <v>3050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3095</v>
      </c>
      <c r="D100" t="s">
        <v>3050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3096</v>
      </c>
      <c r="D101" t="s">
        <v>3050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3050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3097</v>
      </c>
      <c r="D103" t="s">
        <v>3050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3098</v>
      </c>
      <c r="D104" t="s">
        <v>3050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3099</v>
      </c>
      <c r="D105" t="s">
        <v>3050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3050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3050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3100</v>
      </c>
      <c r="D108" t="s">
        <v>3050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3101</v>
      </c>
      <c r="D109" t="s">
        <v>3050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3102</v>
      </c>
      <c r="C1" s="18" t="s">
        <v>3103</v>
      </c>
      <c r="D1" s="18" t="s">
        <v>4</v>
      </c>
      <c r="E1" s="18" t="s">
        <v>3104</v>
      </c>
      <c r="F1" s="18" t="s">
        <v>19</v>
      </c>
      <c r="G1" s="18" t="s">
        <v>3105</v>
      </c>
      <c r="H1" s="18" t="s">
        <v>3106</v>
      </c>
      <c r="I1" s="18" t="s">
        <v>3107</v>
      </c>
      <c r="J1" s="18" t="s">
        <v>3108</v>
      </c>
      <c r="L1" s="110" t="s">
        <v>3109</v>
      </c>
      <c r="M1" s="22">
        <v>2026</v>
      </c>
      <c r="U1" s="79" t="s">
        <v>3110</v>
      </c>
      <c r="V1" s="78"/>
      <c r="X1" s="77" t="s">
        <v>3111</v>
      </c>
      <c r="Y1" s="26"/>
      <c r="Z1" s="26"/>
      <c r="AA1" s="26"/>
      <c r="AC1" s="99" t="s">
        <v>3112</v>
      </c>
    </row>
    <row r="2" spans="1:31">
      <c r="A2" s="20" cm="1">
        <f t="array" aca="1" ref="A2:J14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3113</v>
      </c>
      <c r="M2" s="106" t="s">
        <v>2928</v>
      </c>
      <c r="X2" s="112" t="s">
        <v>3102</v>
      </c>
      <c r="Y2" s="112" t="s">
        <v>19</v>
      </c>
      <c r="Z2" s="112" t="s">
        <v>3114</v>
      </c>
      <c r="AA2" s="112" t="s">
        <v>3115</v>
      </c>
      <c r="AC2" s="113" t="s">
        <v>1</v>
      </c>
      <c r="AD2" s="113" t="s">
        <v>3116</v>
      </c>
      <c r="AE2" s="113" t="s">
        <v>3117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3118</v>
      </c>
      <c r="M3" s="111" t="s">
        <v>3119</v>
      </c>
      <c r="N3" s="111" t="s">
        <v>3120</v>
      </c>
      <c r="O3" s="111" t="s">
        <v>3121</v>
      </c>
      <c r="P3" s="111" t="s">
        <v>3122</v>
      </c>
      <c r="Q3" s="111" t="s">
        <v>3123</v>
      </c>
      <c r="R3" s="111" t="s">
        <v>3124</v>
      </c>
      <c r="S3" s="111" t="s">
        <v>3125</v>
      </c>
      <c r="T3" s="111" t="s">
        <v>3126</v>
      </c>
      <c r="X3" t="s">
        <v>2835</v>
      </c>
      <c r="Y3" t="s">
        <v>3063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9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3127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3063</v>
      </c>
      <c r="Z6">
        <v>1</v>
      </c>
      <c r="AA6">
        <v>0</v>
      </c>
      <c r="AC6" s="96">
        <v>2026</v>
      </c>
      <c r="AD6" s="17" t="s">
        <v>3128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3057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3057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3057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3076</v>
      </c>
      <c r="Z33">
        <v>4</v>
      </c>
      <c r="AA33">
        <v>0.6</v>
      </c>
      <c r="AC33" s="98"/>
      <c r="AD33" s="114" t="s">
        <v>3129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3068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3130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2026-091</v>
      </c>
      <c r="N68" t="str">
        <f ca="1"/>
        <v>A realizar</v>
      </c>
      <c r="O68" t="str">
        <f ca="1"/>
        <v>Gestão de Conflitos – da escuta à solução</v>
      </c>
      <c r="P68">
        <f ca="1"/>
        <v>20</v>
      </c>
      <c r="Q68" t="str">
        <f ca="1"/>
        <v>Isac Mendes Caixeta de Pamplona Araújo; Isabel Cristina Ribeiro</v>
      </c>
      <c r="R68">
        <f ca="1"/>
        <v>2</v>
      </c>
      <c r="S68">
        <f ca="1"/>
        <v>140</v>
      </c>
      <c r="T68">
        <f ca="1"/>
        <v>138</v>
      </c>
      <c r="X68" t="s">
        <v>2961</v>
      </c>
      <c r="Y68" t="s">
        <v>3079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3068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3087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3069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3069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3069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3131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3131</v>
      </c>
      <c r="Y87" t="s">
        <v>3081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3131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2026-091</v>
      </c>
      <c r="C140" t="str">
        <f ca="1"/>
        <v>A realizar</v>
      </c>
      <c r="D140" t="str">
        <f ca="1"/>
        <v>Gestão de Conflitos – da escuta à solução</v>
      </c>
      <c r="E140">
        <f ca="1"/>
        <v>20</v>
      </c>
      <c r="F140" t="str">
        <f ca="1"/>
        <v>Isac Mendes Caixeta de Pamplona Araújo</v>
      </c>
      <c r="G140">
        <f ca="1"/>
        <v>2</v>
      </c>
      <c r="H140">
        <f ca="1"/>
        <v>20</v>
      </c>
      <c r="I140">
        <f ca="1"/>
        <v>6</v>
      </c>
      <c r="J140">
        <f ca="1"/>
        <v>26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2026-091</v>
      </c>
      <c r="C141" t="str">
        <f ca="1"/>
        <v>A realizar</v>
      </c>
      <c r="D141" t="str">
        <f ca="1"/>
        <v>Gestão de Conflitos – da escuta à solução</v>
      </c>
      <c r="E141">
        <f ca="1"/>
        <v>20</v>
      </c>
      <c r="F141" t="str">
        <f ca="1"/>
        <v>Isabel Cristina Ribeiro</v>
      </c>
      <c r="G141">
        <f ca="1"/>
        <v>2</v>
      </c>
      <c r="H141">
        <f ca="1"/>
        <v>20</v>
      </c>
      <c r="I141">
        <f ca="1"/>
        <v>6</v>
      </c>
      <c r="J141">
        <f ca="1"/>
        <v>26</v>
      </c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3132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3133</v>
      </c>
      <c r="B4" s="214"/>
      <c r="D4" s="215" t="s">
        <v>3134</v>
      </c>
      <c r="E4" s="216"/>
      <c r="G4" s="44" t="s">
        <v>3135</v>
      </c>
    </row>
    <row r="5" spans="1:7" ht="54.95" customHeight="1" thickBot="1">
      <c r="A5" s="34">
        <f>COUNTIF('Ações InCompany'!B:B,2026)</f>
        <v>90</v>
      </c>
      <c r="B5" s="35" t="s">
        <v>3136</v>
      </c>
      <c r="D5" s="42">
        <f>COUNTIFS('Ações InCompany'!B:B,2026,'Ações InCompany'!C:C,"Realizado")</f>
        <v>59</v>
      </c>
      <c r="E5" s="43" t="s">
        <v>3136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3137</v>
      </c>
      <c r="B8" s="211"/>
      <c r="D8" s="211" t="s">
        <v>3138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3139</v>
      </c>
      <c r="D10" s="27" t="s">
        <v>3140</v>
      </c>
      <c r="E10" s="27" t="s">
        <v>3141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3142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3143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3144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3145</v>
      </c>
      <c r="B14" s="33">
        <f>SUM(B11:B13)</f>
        <v>59</v>
      </c>
      <c r="D14" s="32" t="s">
        <v>3146</v>
      </c>
      <c r="E14" s="33">
        <f>SUM(E11:E13)</f>
        <v>3263</v>
      </c>
    </row>
    <row r="30" spans="1:5" ht="17.25">
      <c r="A30" s="211" t="s">
        <v>3147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3148</v>
      </c>
      <c r="C32" s="27" t="s">
        <v>3149</v>
      </c>
      <c r="D32" s="27" t="s">
        <v>3150</v>
      </c>
      <c r="E32" s="27" t="s">
        <v>3151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3152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3153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3145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3154</v>
      </c>
      <c r="B1" s="11" t="s">
        <v>3155</v>
      </c>
      <c r="C1" s="12" t="s">
        <v>3156</v>
      </c>
      <c r="D1" s="12" t="s">
        <v>3157</v>
      </c>
      <c r="E1" s="12" t="s">
        <v>3158</v>
      </c>
    </row>
    <row r="2" spans="1:5" ht="18" customHeight="1">
      <c r="A2" s="11" t="s">
        <v>3159</v>
      </c>
      <c r="B2" s="11" t="s">
        <v>3160</v>
      </c>
      <c r="C2" s="11" t="s">
        <v>1736</v>
      </c>
      <c r="D2" s="11" t="s">
        <v>3161</v>
      </c>
      <c r="E2" s="11" t="s">
        <v>3162</v>
      </c>
    </row>
    <row r="3" spans="1:5" ht="18" customHeight="1">
      <c r="A3" s="11" t="s">
        <v>3159</v>
      </c>
      <c r="B3" s="11" t="s">
        <v>3160</v>
      </c>
      <c r="C3" s="13" t="s">
        <v>25</v>
      </c>
      <c r="D3" s="11" t="s">
        <v>3163</v>
      </c>
      <c r="E3" s="11" t="s">
        <v>3164</v>
      </c>
    </row>
    <row r="4" spans="1:5" ht="18" customHeight="1">
      <c r="A4" s="11" t="s">
        <v>3159</v>
      </c>
      <c r="B4" s="11" t="s">
        <v>3160</v>
      </c>
      <c r="C4" s="11" t="s">
        <v>75</v>
      </c>
      <c r="D4" s="11" t="s">
        <v>3161</v>
      </c>
      <c r="E4" s="11" t="s">
        <v>3165</v>
      </c>
    </row>
    <row r="5" spans="1:5" ht="18" customHeight="1">
      <c r="A5" s="11" t="s">
        <v>3159</v>
      </c>
      <c r="B5" s="11" t="s">
        <v>3160</v>
      </c>
      <c r="C5" s="11" t="s">
        <v>79</v>
      </c>
      <c r="D5" s="11" t="s">
        <v>3166</v>
      </c>
      <c r="E5" s="11" t="s">
        <v>3167</v>
      </c>
    </row>
    <row r="6" spans="1:5" ht="18" customHeight="1">
      <c r="A6" s="11" t="s">
        <v>3159</v>
      </c>
      <c r="B6" s="11" t="s">
        <v>3160</v>
      </c>
      <c r="C6" s="11" t="s">
        <v>2717</v>
      </c>
      <c r="D6" s="11" t="s">
        <v>3168</v>
      </c>
      <c r="E6" s="11" t="s">
        <v>3169</v>
      </c>
    </row>
    <row r="7" spans="1:5" ht="18" customHeight="1">
      <c r="A7" s="11" t="s">
        <v>3159</v>
      </c>
      <c r="B7" s="11" t="s">
        <v>3170</v>
      </c>
      <c r="C7" s="11" t="s">
        <v>36</v>
      </c>
      <c r="D7" s="11" t="s">
        <v>3171</v>
      </c>
      <c r="E7" s="11" t="s">
        <v>3172</v>
      </c>
    </row>
    <row r="8" spans="1:5" ht="18" customHeight="1">
      <c r="A8" s="11" t="s">
        <v>3159</v>
      </c>
      <c r="B8" s="11" t="s">
        <v>3170</v>
      </c>
      <c r="C8" s="11" t="s">
        <v>42</v>
      </c>
      <c r="D8" s="11" t="s">
        <v>3173</v>
      </c>
      <c r="E8" s="11" t="s">
        <v>3174</v>
      </c>
    </row>
    <row r="9" spans="1:5" ht="18" customHeight="1">
      <c r="A9" s="11" t="s">
        <v>3159</v>
      </c>
      <c r="B9" s="11" t="s">
        <v>3175</v>
      </c>
      <c r="C9" s="11" t="s">
        <v>464</v>
      </c>
      <c r="D9" s="11" t="s">
        <v>3176</v>
      </c>
      <c r="E9" s="11" t="s">
        <v>3177</v>
      </c>
    </row>
    <row r="10" spans="1:5" ht="18" customHeight="1">
      <c r="A10" s="11" t="s">
        <v>3159</v>
      </c>
      <c r="B10" s="11" t="s">
        <v>3175</v>
      </c>
      <c r="C10" s="11" t="s">
        <v>206</v>
      </c>
      <c r="D10" s="11" t="s">
        <v>24</v>
      </c>
      <c r="E10" s="11" t="s">
        <v>3178</v>
      </c>
    </row>
    <row r="11" spans="1:5" ht="18" customHeight="1">
      <c r="A11" s="11" t="s">
        <v>3159</v>
      </c>
      <c r="B11" s="11" t="s">
        <v>3175</v>
      </c>
      <c r="C11" s="11" t="s">
        <v>371</v>
      </c>
      <c r="D11" s="11" t="s">
        <v>24</v>
      </c>
      <c r="E11" s="11" t="s">
        <v>3179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3180</v>
      </c>
      <c r="B1" s="5" t="s">
        <v>10</v>
      </c>
      <c r="C1" s="14" t="s">
        <v>3181</v>
      </c>
      <c r="D1" s="14" t="s">
        <v>3103</v>
      </c>
    </row>
    <row r="2" spans="1:4" ht="21" customHeight="1">
      <c r="A2" s="102" t="s">
        <v>24</v>
      </c>
      <c r="B2" s="102" t="s">
        <v>38</v>
      </c>
      <c r="C2" s="11" t="s">
        <v>3182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3183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3154</v>
      </c>
      <c r="B1" s="11" t="s">
        <v>3155</v>
      </c>
      <c r="C1" s="12" t="s">
        <v>3156</v>
      </c>
      <c r="D1" s="12" t="s">
        <v>3157</v>
      </c>
      <c r="E1" s="12" t="s">
        <v>3158</v>
      </c>
    </row>
    <row r="2" spans="1:5" ht="18" customHeight="1">
      <c r="A2" s="11" t="s">
        <v>3184</v>
      </c>
      <c r="B2" s="11" t="s">
        <v>3160</v>
      </c>
      <c r="C2" s="13" t="s">
        <v>25</v>
      </c>
      <c r="D2" s="11" t="s">
        <v>3161</v>
      </c>
      <c r="E2" s="16" t="s">
        <v>3185</v>
      </c>
    </row>
    <row r="3" spans="1:5" ht="18" customHeight="1">
      <c r="A3" s="11" t="s">
        <v>3184</v>
      </c>
      <c r="B3" s="11" t="s">
        <v>3160</v>
      </c>
      <c r="C3" s="11" t="s">
        <v>75</v>
      </c>
      <c r="D3" s="11" t="s">
        <v>3163</v>
      </c>
      <c r="E3" s="11" t="s">
        <v>3186</v>
      </c>
    </row>
    <row r="4" spans="1:5" ht="18" customHeight="1">
      <c r="A4" s="11" t="s">
        <v>3184</v>
      </c>
      <c r="B4" s="11" t="s">
        <v>3160</v>
      </c>
      <c r="C4" s="11" t="s">
        <v>79</v>
      </c>
      <c r="D4" s="11" t="s">
        <v>3166</v>
      </c>
      <c r="E4" s="11" t="s">
        <v>3187</v>
      </c>
    </row>
    <row r="5" spans="1:5" ht="27.75" customHeight="1">
      <c r="A5" s="11" t="s">
        <v>3184</v>
      </c>
      <c r="B5" s="11" t="s">
        <v>3160</v>
      </c>
      <c r="C5" s="11" t="s">
        <v>2694</v>
      </c>
      <c r="D5" s="16" t="s">
        <v>3188</v>
      </c>
      <c r="E5" s="11" t="s">
        <v>3189</v>
      </c>
    </row>
    <row r="6" spans="1:5" ht="18" customHeight="1">
      <c r="A6" s="11" t="s">
        <v>3184</v>
      </c>
      <c r="B6" s="11" t="s">
        <v>3160</v>
      </c>
      <c r="C6" s="11" t="s">
        <v>2717</v>
      </c>
      <c r="D6" s="11" t="s">
        <v>3168</v>
      </c>
      <c r="E6" s="11" t="s">
        <v>3169</v>
      </c>
    </row>
    <row r="7" spans="1:5" ht="18" customHeight="1">
      <c r="A7" s="11" t="s">
        <v>3184</v>
      </c>
      <c r="B7" s="11" t="s">
        <v>3170</v>
      </c>
      <c r="C7" s="11" t="s">
        <v>2699</v>
      </c>
      <c r="D7" s="11" t="s">
        <v>3190</v>
      </c>
      <c r="E7" s="11" t="s">
        <v>3191</v>
      </c>
    </row>
    <row r="8" spans="1:5" ht="18" customHeight="1">
      <c r="A8" s="11" t="s">
        <v>3184</v>
      </c>
      <c r="B8" s="11" t="s">
        <v>3170</v>
      </c>
      <c r="C8" s="11" t="s">
        <v>42</v>
      </c>
      <c r="D8" s="11" t="s">
        <v>3173</v>
      </c>
      <c r="E8" s="11" t="s">
        <v>3174</v>
      </c>
    </row>
    <row r="9" spans="1:5" ht="18" customHeight="1">
      <c r="A9" s="11" t="s">
        <v>3184</v>
      </c>
      <c r="B9" s="11" t="s">
        <v>3170</v>
      </c>
      <c r="C9" s="11" t="s">
        <v>2792</v>
      </c>
      <c r="D9" s="11" t="s">
        <v>3192</v>
      </c>
      <c r="E9" s="16" t="s">
        <v>3193</v>
      </c>
    </row>
    <row r="10" spans="1:5" ht="18" customHeight="1">
      <c r="A10" s="11" t="s">
        <v>3184</v>
      </c>
      <c r="B10" s="11" t="s">
        <v>3194</v>
      </c>
      <c r="C10" s="11" t="s">
        <v>3152</v>
      </c>
      <c r="D10" s="11" t="s">
        <v>3195</v>
      </c>
      <c r="E10" s="16" t="s">
        <v>3196</v>
      </c>
    </row>
    <row r="11" spans="1:5" ht="18" customHeight="1">
      <c r="A11" s="11" t="s">
        <v>3184</v>
      </c>
      <c r="B11" s="11" t="s">
        <v>3194</v>
      </c>
      <c r="C11" s="11" t="s">
        <v>206</v>
      </c>
      <c r="D11" s="11" t="s">
        <v>24</v>
      </c>
      <c r="E11" s="11" t="s">
        <v>3178</v>
      </c>
    </row>
    <row r="12" spans="1:5" ht="18" customHeight="1">
      <c r="A12" s="11" t="s">
        <v>3184</v>
      </c>
      <c r="B12" s="11" t="s">
        <v>3194</v>
      </c>
      <c r="C12" s="11" t="s">
        <v>371</v>
      </c>
      <c r="D12" s="11" t="s">
        <v>24</v>
      </c>
      <c r="E12" s="11" t="s">
        <v>3179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3197</v>
      </c>
      <c r="B1" s="217"/>
      <c r="C1" s="217"/>
      <c r="D1" s="217"/>
      <c r="E1" s="217"/>
      <c r="F1" s="217"/>
      <c r="G1" s="217"/>
      <c r="H1" s="217"/>
    </row>
    <row r="2" spans="1:8">
      <c r="A2" s="48" t="s">
        <v>3198</v>
      </c>
    </row>
    <row r="4" spans="1:8" ht="21.95" customHeight="1">
      <c r="A4" s="218" t="s">
        <v>3199</v>
      </c>
      <c r="B4" s="219"/>
      <c r="D4" s="218" t="s">
        <v>3200</v>
      </c>
      <c r="E4" s="219"/>
      <c r="G4" s="218" t="s">
        <v>3201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3202</v>
      </c>
      <c r="B7" s="61" t="s">
        <v>3203</v>
      </c>
      <c r="C7" s="61" t="s">
        <v>1</v>
      </c>
      <c r="D7" s="61" t="s">
        <v>3204</v>
      </c>
      <c r="E7" s="61" t="s">
        <v>3205</v>
      </c>
      <c r="F7" s="61" t="s">
        <v>3103</v>
      </c>
      <c r="G7" s="61" t="s">
        <v>5</v>
      </c>
      <c r="H7" s="61" t="s">
        <v>3206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3207</v>
      </c>
      <c r="B1" s="224"/>
      <c r="C1" s="224"/>
      <c r="D1" s="224"/>
      <c r="E1" s="224"/>
      <c r="F1" s="224"/>
    </row>
    <row r="2" spans="1:7">
      <c r="A2" s="225" t="s">
        <v>3208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3106</v>
      </c>
      <c r="C4" s="24" t="s">
        <v>3107</v>
      </c>
      <c r="D4" s="24" t="s">
        <v>3209</v>
      </c>
      <c r="E4" s="24" t="s">
        <v>3108</v>
      </c>
      <c r="F4" s="24" t="s">
        <v>3210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40</v>
      </c>
      <c r="C33" s="25">
        <f ca="1">IF($A33="","",SUMIFS('GECC 2026'!I$2:I$200,'GECC 2026'!F$2:F$200,$A33))</f>
        <v>12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52</v>
      </c>
      <c r="F33" s="23">
        <f ca="1">IF($A33="","",COUNTIFS('GECC 2026'!F$2:F$200,$A33))</f>
        <v>2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40</v>
      </c>
      <c r="C34" s="25">
        <f ca="1">IF($A34="","",SUMIFS('GECC 2026'!I$2:I$200,'GECC 2026'!F$2:F$200,$A34))</f>
        <v>12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52</v>
      </c>
      <c r="F34" s="23">
        <f ca="1">IF($A34="","",COUNTIFS('GECC 2026'!F$2:F$200,$A34))</f>
        <v>4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3146</v>
      </c>
      <c r="B105" s="94">
        <f ca="1">SUM(B5:B100)</f>
        <v>887</v>
      </c>
      <c r="C105" s="94">
        <f ca="1">SUM(C5:C100)</f>
        <v>386.43999999999988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3211</v>
      </c>
      <c r="B1" s="117" t="s">
        <v>3212</v>
      </c>
      <c r="C1" s="117" t="s">
        <v>3213</v>
      </c>
      <c r="D1" s="117" t="s">
        <v>3214</v>
      </c>
      <c r="E1" s="117" t="s">
        <v>3215</v>
      </c>
      <c r="F1" s="117" t="s">
        <v>3216</v>
      </c>
      <c r="G1" s="117" t="s">
        <v>10</v>
      </c>
      <c r="H1" s="117" t="s">
        <v>3217</v>
      </c>
      <c r="I1" s="117" t="s">
        <v>3218</v>
      </c>
      <c r="J1" s="117" t="s">
        <v>3219</v>
      </c>
      <c r="K1" s="117" t="s">
        <v>3220</v>
      </c>
      <c r="L1" s="117" t="s">
        <v>3221</v>
      </c>
      <c r="N1" s="117" t="s">
        <v>3222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3223</v>
      </c>
      <c r="L2" t="str">
        <f>IF(K2="","",IFERROR(INDEX(Tabela2[Curso],MATCH(K2,Tabela2[ID],0)),""))</f>
        <v/>
      </c>
      <c r="N2" s="117" t="s">
        <v>3102</v>
      </c>
      <c r="O2" s="117" t="s">
        <v>4</v>
      </c>
      <c r="P2" s="117" t="s">
        <v>3224</v>
      </c>
      <c r="Q2" s="117" t="s">
        <v>3225</v>
      </c>
      <c r="R2" s="117" t="s">
        <v>3226</v>
      </c>
      <c r="S2" s="117" t="s">
        <v>3227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3223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3223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3223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3223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3223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3223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3223</v>
      </c>
      <c r="L10" t="str">
        <f>IF(K10="","",IFERROR(INDEX(Tabela2[Curso],MATCH(K10,Tabela2[ID],0)),""))</f>
        <v/>
      </c>
      <c r="N10" s="111" t="s">
        <v>3228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3223</v>
      </c>
      <c r="L11" t="str">
        <f>IF(K11="","",IFERROR(INDEX(Tabela2[Curso],MATCH(K11,Tabela2[ID],0)),""))</f>
        <v/>
      </c>
      <c r="N11" s="210" t="s">
        <v>3229</v>
      </c>
      <c r="O11" s="210" t="s">
        <v>3230</v>
      </c>
      <c r="P11" s="210" t="s">
        <v>3231</v>
      </c>
      <c r="Q11" s="210" t="s">
        <v>3214</v>
      </c>
      <c r="R11" s="210" t="s">
        <v>3215</v>
      </c>
      <c r="S11" s="210" t="s">
        <v>3232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3223</v>
      </c>
      <c r="L12" t="str">
        <f>IF(K12="","",IFERROR(INDEX(Tabela2[Curso],MATCH(K12,Tabela2[ID],0)),""))</f>
        <v/>
      </c>
      <c r="N12" t="s">
        <v>3233</v>
      </c>
      <c r="O12" t="s">
        <v>2753</v>
      </c>
      <c r="P12" t="s">
        <v>3234</v>
      </c>
      <c r="Q12">
        <v>0</v>
      </c>
      <c r="R12">
        <v>0</v>
      </c>
      <c r="S12" t="s">
        <v>3235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3223</v>
      </c>
      <c r="L13" t="str">
        <f>IF(K13="","",IFERROR(INDEX(Tabela2[Curso],MATCH(K13,Tabela2[ID],0)),""))</f>
        <v/>
      </c>
      <c r="N13" t="s">
        <v>3236</v>
      </c>
      <c r="O13" t="s">
        <v>2686</v>
      </c>
      <c r="P13" t="s">
        <v>3237</v>
      </c>
      <c r="Q13">
        <v>0</v>
      </c>
      <c r="R13">
        <v>0</v>
      </c>
      <c r="S13" t="s">
        <v>3238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3223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3223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3223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3223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3223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3223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3223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3223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3223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3223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3223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3223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3223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3223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3223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3223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3223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3223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3223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3223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3223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3223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3223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3223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3223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3223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3223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3223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3223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3223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3223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3223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3223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3223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3223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3223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3223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3223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3223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3223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3223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3223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3223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3223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3223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3223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3223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3223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3223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3223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3223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2026-09-11T19:02:24Z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