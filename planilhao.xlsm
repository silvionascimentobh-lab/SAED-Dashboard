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273" documentId="13_ncr:1_{6A2CC3E2-FAFB-4D8F-B284-5E8FB5045DFE}" xr6:coauthVersionLast="47" xr6:coauthVersionMax="47" xr10:uidLastSave="{6AB62C67-78FE-46B1-BC50-CDCE3046BEA6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C57" i="23"/>
  <c r="B57" i="23"/>
  <c r="E57" i="23"/>
  <c r="F57" i="23"/>
  <c r="D57" i="23"/>
  <c r="E56" i="23"/>
  <c r="B56" i="23"/>
  <c r="C56" i="23"/>
  <c r="D56" i="23"/>
  <c r="F56" i="23"/>
  <c r="B8" i="27" l="1"/>
  <c r="A8" i="27"/>
  <c r="L4" i="20"/>
  <c r="R4" i="20" s="1" a="1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s="1"/>
  <c r="T4" i="20" l="1" a="1"/>
  <c r="T4" i="20" s="1"/>
  <c r="A2" i="20" l="1" a="1"/>
  <c r="A5" i="23" s="1" a="1"/>
  <c r="E105" i="23" l="1"/>
  <c r="A2" i="20"/>
  <c r="F6" i="23"/>
  <c r="C35" i="23"/>
  <c r="D29" i="23"/>
  <c r="C6" i="23"/>
  <c r="F32" i="23"/>
  <c r="E6" i="23"/>
  <c r="D7" i="23"/>
  <c r="F47" i="23"/>
  <c r="F45" i="23"/>
  <c r="F22" i="23"/>
  <c r="B18" i="23"/>
  <c r="C23" i="23"/>
  <c r="F53" i="23"/>
  <c r="F30" i="23"/>
  <c r="C50" i="23"/>
  <c r="D23" i="23"/>
  <c r="C29" i="23"/>
  <c r="C34" i="23"/>
  <c r="E11" i="23"/>
  <c r="C37" i="23"/>
  <c r="E37" i="23"/>
  <c r="C13" i="23"/>
  <c r="C21" i="23"/>
  <c r="E23" i="23"/>
  <c r="F21" i="23"/>
  <c r="C19" i="23"/>
  <c r="F9" i="23"/>
  <c r="B52" i="23"/>
  <c r="D25" i="23"/>
  <c r="D45" i="23"/>
  <c r="C24" i="23"/>
  <c r="F48" i="23"/>
  <c r="C55" i="23"/>
  <c r="D6" i="23"/>
  <c r="C7" i="23"/>
  <c r="F12" i="23"/>
  <c r="D53" i="23"/>
  <c r="C36" i="23"/>
  <c r="D10" i="23"/>
  <c r="F51" i="23"/>
  <c r="D33" i="23"/>
  <c r="D9" i="23"/>
  <c r="E16" i="23"/>
  <c r="F50" i="23"/>
  <c r="E41" i="23"/>
  <c r="B20" i="23"/>
  <c r="E43" i="23"/>
  <c r="C44" i="23"/>
  <c r="F44" i="23"/>
  <c r="B12" i="23"/>
  <c r="C12" i="23"/>
  <c r="F34" i="23"/>
  <c r="E40" i="23"/>
  <c r="F23" i="23"/>
  <c r="D32" i="23"/>
  <c r="D38" i="23"/>
  <c r="B55" i="23"/>
  <c r="D28" i="23"/>
  <c r="D34" i="23"/>
  <c r="E35" i="23"/>
  <c r="E7" i="23"/>
  <c r="B16" i="23"/>
  <c r="D40" i="23"/>
  <c r="C41" i="23"/>
  <c r="E20" i="23"/>
  <c r="C11" i="23"/>
  <c r="F49" i="23"/>
  <c r="F15" i="23"/>
  <c r="C39" i="23"/>
  <c r="B13" i="23"/>
  <c r="E44" i="23"/>
  <c r="E39" i="23"/>
  <c r="B19" i="23"/>
  <c r="E42" i="23"/>
  <c r="F52" i="23"/>
  <c r="E47" i="23"/>
  <c r="D44" i="23"/>
  <c r="C54" i="23"/>
  <c r="E51" i="23"/>
  <c r="F40" i="23"/>
  <c r="B48" i="23"/>
  <c r="E26" i="23"/>
  <c r="F42" i="23"/>
  <c r="E46" i="23"/>
  <c r="B33" i="23"/>
  <c r="F29" i="23"/>
  <c r="F39" i="23"/>
  <c r="F10" i="23"/>
  <c r="E10" i="23"/>
  <c r="B21" i="23"/>
  <c r="E55" i="23"/>
  <c r="D14" i="23"/>
  <c r="B37" i="23"/>
  <c r="E28" i="23"/>
  <c r="D39" i="23"/>
  <c r="B30" i="23"/>
  <c r="E36" i="23"/>
  <c r="E31" i="23"/>
  <c r="E8" i="23"/>
  <c r="C43" i="23"/>
  <c r="B10" i="23"/>
  <c r="D18" i="23"/>
  <c r="F28" i="23"/>
  <c r="C27" i="23"/>
  <c r="F8" i="23"/>
  <c r="E50" i="23"/>
  <c r="D50" i="23"/>
  <c r="B22" i="23"/>
  <c r="E34" i="23"/>
  <c r="D55" i="23"/>
  <c r="F31" i="23"/>
  <c r="F7" i="23"/>
  <c r="D13" i="23"/>
  <c r="E9" i="23"/>
  <c r="C28" i="23"/>
  <c r="E53" i="23"/>
  <c r="D31" i="23"/>
  <c r="C30" i="23"/>
  <c r="C16" i="23"/>
  <c r="D16" i="23"/>
  <c r="F20" i="23"/>
  <c r="E29" i="23"/>
  <c r="C42" i="23"/>
  <c r="C32" i="23"/>
  <c r="E22" i="23"/>
  <c r="E15" i="23"/>
  <c r="E32" i="23"/>
  <c r="B41" i="23"/>
  <c r="B38" i="23"/>
  <c r="F17" i="23"/>
  <c r="D41" i="23"/>
  <c r="C45" i="23"/>
  <c r="F33" i="23"/>
  <c r="E13" i="23"/>
  <c r="E48" i="23"/>
  <c r="B27" i="23"/>
  <c r="D47" i="23"/>
  <c r="B23" i="23"/>
  <c r="B44" i="23"/>
  <c r="D20" i="23"/>
  <c r="C17" i="23"/>
  <c r="C18" i="23"/>
  <c r="B24" i="23"/>
  <c r="F26" i="23"/>
  <c r="B32" i="23"/>
  <c r="B39" i="23"/>
  <c r="C22" i="23"/>
  <c r="B40" i="23"/>
  <c r="B7" i="23"/>
  <c r="C40" i="23"/>
  <c r="F27" i="23"/>
  <c r="F36" i="23"/>
  <c r="D49" i="23"/>
  <c r="D24" i="23"/>
  <c r="C15" i="23"/>
  <c r="B14" i="23"/>
  <c r="D51" i="23"/>
  <c r="B36" i="23"/>
  <c r="B47" i="23"/>
  <c r="E24" i="23"/>
  <c r="E18" i="23"/>
  <c r="E30" i="23"/>
  <c r="E27" i="23"/>
  <c r="E21" i="23"/>
  <c r="D37" i="23"/>
  <c r="F38" i="23"/>
  <c r="E52" i="23"/>
  <c r="B15" i="23"/>
  <c r="C49" i="23"/>
  <c r="B29" i="23"/>
  <c r="C51" i="23"/>
  <c r="C25" i="23"/>
  <c r="E38" i="23"/>
  <c r="D26" i="23"/>
  <c r="D35" i="23"/>
  <c r="F25" i="23"/>
  <c r="C47" i="23"/>
  <c r="D46" i="23"/>
  <c r="C9" i="23"/>
  <c r="C10" i="23"/>
  <c r="F13" i="23"/>
  <c r="D22" i="23"/>
  <c r="F37" i="23"/>
  <c r="F19" i="23"/>
  <c r="B26" i="23"/>
  <c r="B8" i="23"/>
  <c r="D19" i="23"/>
  <c r="B9" i="23"/>
  <c r="B28" i="23"/>
  <c r="D36" i="23"/>
  <c r="F18" i="23"/>
  <c r="B25" i="23"/>
  <c r="B11" i="23"/>
  <c r="B53" i="23"/>
  <c r="F55" i="23"/>
  <c r="C31" i="23"/>
  <c r="F43" i="23"/>
  <c r="C48" i="23"/>
  <c r="E14" i="23"/>
  <c r="E25" i="23"/>
  <c r="F41" i="23"/>
  <c r="B45" i="23"/>
  <c r="D12" i="23"/>
  <c r="C14" i="23"/>
  <c r="C26" i="23"/>
  <c r="D8" i="23"/>
  <c r="E17" i="23"/>
  <c r="D52" i="23"/>
  <c r="C8" i="23"/>
  <c r="B6" i="23"/>
  <c r="E19" i="23"/>
  <c r="F14" i="23"/>
  <c r="B54" i="23"/>
  <c r="D43" i="23"/>
  <c r="C53" i="23"/>
  <c r="F16" i="23"/>
  <c r="E33" i="23"/>
  <c r="B51" i="23"/>
  <c r="B49" i="23"/>
  <c r="D27" i="23"/>
  <c r="E49" i="23"/>
  <c r="B42" i="23"/>
  <c r="D48" i="23"/>
  <c r="D21" i="23"/>
  <c r="F24" i="23"/>
  <c r="B43" i="23"/>
  <c r="D11" i="23"/>
  <c r="D30" i="23"/>
  <c r="E54" i="23"/>
  <c r="E45" i="23"/>
  <c r="F46" i="23"/>
  <c r="F11" i="23"/>
  <c r="C52" i="23"/>
  <c r="B46" i="23"/>
  <c r="D42" i="23"/>
  <c r="F54" i="23"/>
  <c r="B17" i="23"/>
  <c r="D15" i="23"/>
  <c r="C33" i="23"/>
  <c r="C46" i="23"/>
  <c r="B50" i="23"/>
  <c r="D54" i="23"/>
  <c r="B35" i="23"/>
  <c r="E12" i="23"/>
  <c r="B34" i="23"/>
  <c r="C20" i="23"/>
  <c r="D17" i="23"/>
  <c r="F35" i="23"/>
  <c r="C38" i="23"/>
  <c r="B31" i="23"/>
  <c r="A5" i="23"/>
  <c r="C5" i="23" l="1"/>
  <c r="C105" i="23" s="1"/>
  <c r="E5" i="23"/>
  <c r="B5" i="23"/>
  <c r="B105" i="23" s="1"/>
  <c r="F5" i="23"/>
  <c r="F105" i="23" s="1"/>
  <c r="D5" i="23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<sst xmlns="http://schemas.openxmlformats.org/spreadsheetml/2006/main" count="7241" uniqueCount="3185">
  <si>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</si>
  <si>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</si>
  <si>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</si>
  <si>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</si>
  <si>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</si>
  <si>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</si>
  <si>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</si>
  <si>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</si>
  <si>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</si>
  <si>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</si>
  <si>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</si>
  <si>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</si>
  <si>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</si>
  <si>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</si>
  <si>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</si>
  <si>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</si>
  <si>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</si>
  <si>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</si>
  <si>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</si>
  <si>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</si>
  <si>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</si>
  <si>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</si>
  <si>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</si>
  <si>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</si>
  <si>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</si>
  <si>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</si>
  <si>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</si>
  <si>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</si>
  <si>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</si>
  <si>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</si>
  <si>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</si>
  <si>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</si>
  <si>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</si>
  <si>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</si>
  <si>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</si>
  <si>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</si>
  <si>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</si>
  <si>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</si>
  <si>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</si>
  <si>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</si>
  <si>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</si>
  <si>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</si>
  <si>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</si>
  <si>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</si>
  <si>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</si>
  <si>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</si>
  <si>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</si>
  <si>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</si>
  <si>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</si>
  <si>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</si>
  <si>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</si>
  <si>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</si>
  <si>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</si>
  <si>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</si>
  <si>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</si>
  <si>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</si>
  <si>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</si>
  <si>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</si>
  <si>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</si>
  <si>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</si>
  <si>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</si>
  <si>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</si>
  <si>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</si>
  <si>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</si>
  <si>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</si>
  <si>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</si>
  <si>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</si>
  <si>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</si>
  <si>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</si>
  <si>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</si>
  <si>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</si>
  <si>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</si>
  <si>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</si>
  <si>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</si>
  <si>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</si>
  <si>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</si>
  <si>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</si>
  <si>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</si>
  <si>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</si>
  <si>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</si>
  <si>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</si>
  <si>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</si>
  <si>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</si>
  <si>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</si>
  <si>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</si>
  <si>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</si>
  <si>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</si>
  <si>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</si>
  <si>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</si>
  <si>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</si>
  <si>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</si>
  <si>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</si>
  <si>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</si>
  <si>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</si>
  <si>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</si>
  <si>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</si>
  <si>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</si>
  <si>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</si>
  <si>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</si>
  <si>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</si>
  <si>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</si>
  <si>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</si>
  <si>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</si>
  <si>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</si>
  <si>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</si>
  <si>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</si>
  <si>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</si>
  <si>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</si>
  <si>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</si>
  <si>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</si>
  <si>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</si>
  <si>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</si>
  <si>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</si>
  <si>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</si>
  <si>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</si>
  <si>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</si>
  <si>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</si>
  <si>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</si>
  <si>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</si>
  <si>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</si>
  <si>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</si>
  <si>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</si>
  <si>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</si>
  <si>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</si>
  <si>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</si>
  <si>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</si>
  <si>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</si>
  <si>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</si>
  <si>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</si>
  <si>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</si>
  <si>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</si>
  <si>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</si>
  <si>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</si>
  <si>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</si>
  <si>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</si>
  <si>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</si>
  <si>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</si>
  <si>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</si>
  <si>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</si>
  <si>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</si>
  <si>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</si>
  <si>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</si>
  <si>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</si>
  <si>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</si>
  <si>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</si>
  <si>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</si>
  <si>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</si>
  <si>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</si>
  <si>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</si>
  <si>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</si>
  <si>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</si>
  <si>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</si>
  <si>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</si>
  <si>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</si>
  <si>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</si>
  <si>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</si>
  <si>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</si>
  <si>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</si>
  <si>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</si>
  <si>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</si>
  <si>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</si>
  <si>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</si>
  <si>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</si>
  <si>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</si>
  <si>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</si>
  <si>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</si>
  <si>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</si>
  <si>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</si>
  <si>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</si>
  <si>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</si>
  <si>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</si>
  <si>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</si>
  <si>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</si>
  <si>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</si>
  <si>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</si>
  <si>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</si>
  <si>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</si>
  <si>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</si>
  <si>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</si>
  <si>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</si>
  <si>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</si>
  <si>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</si>
  <si>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</si>
  <si>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</si>
  <si>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</si>
  <si>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</si>
  <si>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</si>
  <si>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</si>
  <si>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</si>
  <si>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</si>
  <si>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</si>
  <si>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</si>
  <si>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</si>
  <si>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</si>
  <si>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</si>
  <si>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</si>
  <si>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</si>
  <si>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</si>
  <si>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</si>
  <si>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</si>
  <si>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</si>
  <si>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</si>
  <si>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</si>
  <si>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</si>
  <si>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</si>
  <si>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</si>
  <si>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</si>
  <si>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</si>
  <si>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</si>
  <si>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</si>
  <si>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</si>
  <si>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</si>
  <si>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</si>
  <si>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</si>
  <si>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</si>
  <si>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</si>
  <si>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</si>
  <si>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</si>
  <si>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</si>
  <si>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</si>
  <si>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</si>
  <si>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</si>
  <si>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</si>
  <si>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</si>
  <si>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</si>
  <si>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</si>
  <si>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</si>
  <si>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</si>
  <si>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</si>
  <si>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</si>
  <si>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</si>
  <si>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</si>
  <si>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</si>
  <si>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</si>
  <si>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</si>
  <si>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</si>
  <si>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</si>
  <si>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</si>
  <si>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</si>
  <si>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</si>
  <si>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</si>
  <si>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</si>
  <si>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</si>
  <si>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</si>
  <si>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</si>
  <si>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</si>
  <si>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</si>
  <si>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</si>
  <si>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</si>
  <si>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</si>
  <si>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</si>
  <si>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</si>
  <si>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</si>
  <si>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</si>
  <si>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</si>
  <si>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</si>
  <si>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</si>
  <si>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</si>
  <si>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</si>
  <si>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</si>
  <si>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</si>
  <si>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</si>
  <si>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</si>
  <si>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</si>
  <si>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</si>
  <si>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</si>
  <si>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</si>
  <si>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</si>
  <si>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</si>
  <si>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</si>
  <si>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</si>
  <si>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</si>
  <si>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</si>
  <si>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</si>
  <si>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</si>
  <si>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</si>
  <si>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</si>
  <si>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</si>
  <si>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</si>
  <si>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</si>
  <si>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</si>
  <si>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</si>
  <si>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</si>
  <si>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</si>
  <si>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</si>
  <si>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</si>
  <si>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</si>
  <si>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</si>
  <si>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</si>
  <si>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</si>
  <si>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</si>
  <si>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</si>
  <si>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</si>
  <si>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</si>
  <si>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</si>
  <si>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</si>
  <si>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</si>
  <si>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</si>
  <si>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</si>
  <si>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</si>
  <si>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</si>
  <si>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</si>
  <si>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</si>
  <si>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</si>
  <si>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</si>
  <si>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</si>
  <si>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</si>
  <si>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</si>
  <si>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</si>
  <si>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</si>
  <si>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</si>
  <si>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</si>
  <si>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</si>
  <si>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</si>
  <si>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</si>
  <si>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</si>
  <si>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</si>
  <si>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</si>
  <si>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</si>
  <si>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</si>
  <si>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</si>
  <si>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</si>
  <si>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</si>
  <si>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</si>
  <si>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</si>
  <si>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</si>
  <si>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</si>
  <si>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</si>
  <si>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</si>
  <si>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</si>
  <si>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</si>
  <si>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</si>
  <si>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</si>
  <si>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</si>
  <si>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</si>
  <si>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</si>
  <si>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</si>
  <si>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</si>
  <si>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</si>
  <si>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</si>
  <si>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</si>
  <si>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</si>
  <si>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</si>
  <si>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</si>
  <si>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</si>
  <si>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</si>
  <si>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</si>
  <si>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</si>
  <si>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</si>
  <si>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</si>
  <si>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</si>
  <si>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</si>
  <si>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</si>
  <si>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</si>
  <si>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</si>
  <si>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</si>
  <si>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</si>
  <si>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</si>
  <si>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</si>
  <si>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</si>
  <si>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</si>
  <si>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</si>
  <si>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</si>
  <si>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</si>
  <si>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</si>
  <si>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</si>
  <si>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</si>
  <si>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</si>
  <si>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</si>
  <si>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</si>
  <si>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</si>
  <si>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</si>
  <si>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</si>
  <si>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</si>
  <si>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</si>
  <si>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</si>
  <si>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</si>
  <si>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</si>
  <si>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</si>
  <si>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</si>
  <si>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</si>
  <si>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</si>
  <si>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</si>
  <si>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</si>
  <si>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</si>
  <si>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</si>
  <si>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</si>
  <si>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</si>
  <si>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</si>
  <si>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</si>
  <si>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</si>
  <si>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</si>
  <si>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</si>
  <si>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</si>
  <si>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</si>
  <si>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</si>
  <si>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</si>
  <si>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</si>
  <si>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</si>
  <si>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</si>
  <si>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</si>
  <si>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</si>
  <si>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</si>
  <si>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</si>
  <si>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</si>
  <si>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</si>
  <si>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</si>
  <si>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</si>
  <si>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</si>
  <si>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</si>
  <si>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</si>
  <si>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</si>
  <si>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</si>
  <si>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</si>
  <si>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</si>
  <si>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</si>
  <si>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</si>
  <si>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</si>
  <si>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</si>
  <si>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</si>
  <si>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</si>
  <si>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</si>
  <si>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</si>
  <si>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</si>
  <si>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</si>
  <si>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</si>
  <si>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</si>
  <si>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</si>
  <si>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</si>
  <si>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</si>
  <si>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</si>
  <si>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</si>
  <si>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</si>
  <si>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</si>
  <si>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</si>
  <si>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</si>
  <si>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</si>
  <si>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</si>
  <si>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</si>
  <si>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</si>
  <si>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</si>
  <si>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</si>
  <si>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</si>
  <si>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</si>
  <si>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</si>
  <si>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</si>
  <si>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</si>
  <si>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</si>
  <si>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</si>
  <si>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</si>
  <si>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</si>
  <si>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</si>
  <si>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</si>
  <si>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</si>
  <si>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</si>
  <si>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</si>
  <si>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</si>
  <si>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</si>
  <si>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</si>
  <si>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</si>
  <si>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</si>
  <si>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</si>
  <si>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</si>
  <si>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</si>
  <si>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</si>
  <si>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</si>
  <si>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</si>
  <si>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</si>
  <si>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</si>
  <si>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</si>
  <si>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</si>
  <si>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</si>
  <si>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</si>
  <si>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</si>
  <si>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</si>
  <si>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</si>
  <si>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</si>
  <si>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</si>
  <si>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</si>
  <si>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</si>
  <si>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</si>
  <si>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</si>
  <si>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</si>
  <si>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</si>
  <si>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</si>
  <si>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</si>
  <si>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</si>
  <si>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</si>
  <si>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</si>
  <si>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</si>
  <si>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</si>
  <si>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</si>
  <si>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</si>
  <si>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</si>
  <si>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</si>
  <si>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</si>
  <si>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</si>
  <si>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</si>
  <si>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</si>
  <si>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</si>
  <si>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</si>
  <si>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</si>
  <si>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</si>
  <si>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</si>
  <si>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</si>
  <si>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</si>
  <si>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</si>
  <si>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</si>
  <si>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</si>
  <si>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</si>
  <si>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</si>
  <si>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</si>
  <si>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</si>
  <si>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</si>
  <si>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</si>
  <si>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</si>
  <si>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</si>
  <si>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</si>
  <si>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</si>
  <si>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</si>
  <si>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</si>
  <si>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</si>
  <si>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</si>
  <si>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</si>
  <si>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</si>
  <si>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</si>
  <si>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</si>
  <si>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</si>
  <si>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</si>
  <si>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</si>
  <si>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</si>
  <si>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</si>
  <si>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</si>
  <si>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</si>
  <si>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</si>
  <si>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</si>
  <si>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</si>
  <si>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</si>
  <si>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</si>
  <si>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</si>
  <si>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</si>
  <si>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</si>
  <si>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</si>
  <si>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</si>
  <si>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</si>
  <si>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</si>
  <si>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</si>
  <si>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</si>
  <si>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</si>
  <si>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</si>
  <si>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</si>
  <si>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</si>
  <si>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</si>
  <si>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</si>
  <si>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</si>
  <si>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</si>
  <si>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</si>
  <si>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</si>
  <si>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</si>
  <si>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</si>
  <si>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</si>
  <si>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</si>
  <si>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</si>
  <si>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</si>
  <si>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</si>
  <si>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</si>
  <si>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</si>
  <si>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</si>
  <si>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</si>
  <si>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</si>
  <si>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</si>
  <si>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</si>
  <si>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</si>
  <si>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</si>
  <si>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</si>
  <si>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</si>
  <si>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</si>
  <si>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</si>
  <si>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</si>
  <si>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</si>
  <si>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</si>
  <si>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</si>
  <si>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</si>
  <si>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</si>
  <si>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</si>
  <si>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</si>
  <si>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</si>
  <si>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</si>
  <si>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</si>
  <si>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</si>
  <si>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</si>
  <si>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</si>
  <si>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</si>
  <si>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</si>
  <si>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</si>
  <si>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</si>
  <si>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</si>
  <si>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</si>
  <si>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</si>
  <si>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</si>
  <si>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</si>
  <si>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</si>
  <si>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</si>
  <si>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</si>
  <si>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</si>
  <si>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</si>
  <si>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</si>
  <si>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</si>
  <si>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</si>
  <si>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</si>
  <si>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</si>
  <si>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</si>
  <si>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</si>
  <si>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</si>
  <si>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</si>
  <si>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</si>
  <si>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</si>
  <si>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</si>
  <si>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</si>
  <si>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</si>
  <si>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</si>
  <si>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</si>
  <si>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</si>
  <si>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</si>
  <si>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</si>
  <si>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</si>
  <si>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</si>
  <si>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</si>
  <si>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</si>
  <si>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</si>
  <si>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</si>
  <si>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</si>
  <si>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</si>
  <si>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</si>
  <si>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</si>
  <si>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</si>
  <si>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</si>
  <si>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</si>
  <si>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</si>
  <si>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</si>
  <si>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</si>
  <si>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</si>
  <si>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</si>
  <si>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</si>
  <si>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</si>
  <si>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</si>
  <si>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</si>
  <si>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</si>
  <si>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</si>
  <si>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</si>
  <si>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</si>
  <si>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</si>
  <si>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</si>
  <si>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</si>
  <si>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</si>
  <si>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</si>
  <si>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</si>
  <si>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</si>
  <si>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</si>
  <si>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</si>
  <si>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</si>
  <si>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</si>
  <si>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</si>
  <si>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</si>
  <si>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</si>
  <si>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</si>
  <si>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</si>
  <si>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</si>
  <si>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</si>
  <si>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</si>
  <si>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</si>
  <si>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</si>
  <si>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</si>
  <si>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</si>
  <si>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</si>
  <si>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</si>
  <si>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</si>
  <si>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</si>
  <si>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</si>
  <si>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</si>
  <si>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</si>
  <si>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</si>
  <si>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</si>
  <si>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</si>
  <si>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</si>
  <si>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</si>
  <si>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</si>
  <si>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</si>
  <si>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</si>
  <si>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</si>
  <si>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</si>
  <si>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</si>
  <si>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</si>
  <si>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</si>
  <si>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</si>
  <si>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</si>
  <si>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</si>
  <si>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</si>
  <si>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</si>
  <si>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</si>
  <si>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</si>
  <si>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</si>
  <si>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</si>
  <si>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</si>
  <si>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</si>
  <si>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</si>
  <si>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</si>
  <si>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</si>
  <si>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</si>
  <si>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</si>
  <si>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</si>
  <si>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</si>
  <si>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</si>
  <si>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</si>
  <si>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</si>
  <si>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</si>
  <si>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</si>
  <si>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</si>
  <si>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</si>
  <si>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</si>
  <si>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</si>
  <si>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</si>
  <si>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</si>
  <si>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</si>
  <si>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</si>
  <si>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</si>
  <si>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</si>
  <si>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</si>
  <si>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</si>
  <si>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</si>
  <si>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</si>
  <si>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</si>
  <si>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</si>
  <si>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</si>
  <si>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</si>
  <si>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</si>
  <si>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</si>
  <si>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</si>
  <si>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</si>
  <si>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</si>
  <si>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</si>
  <si>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</si>
  <si>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</si>
  <si>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</si>
  <si>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</si>
  <si>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</si>
  <si>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</si>
  <si>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</si>
  <si>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</si>
  <si>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</si>
  <si>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</si>
  <si>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</si>
  <si>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</si>
  <si>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</si>
  <si>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</si>
  <si>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</si>
  <si>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</si>
  <si>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</si>
  <si>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</si>
  <si>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</si>
  <si>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</si>
  <si>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</si>
  <si>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</si>
  <si>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</si>
  <si>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</si>
  <si>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</si>
  <si>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</si>
  <si>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</si>
  <si>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</si>
  <si>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</si>
  <si>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</si>
  <si>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</si>
  <si>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</si>
  <si>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</si>
  <si>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</si>
  <si>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</si>
  <si>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</si>
  <si>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</si>
  <si>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</si>
  <si>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</si>
  <si>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</si>
  <si>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</si>
  <si>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</si>
  <si>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</si>
  <si>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</si>
  <si>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</si>
  <si>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</si>
  <si>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</si>
  <si>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</si>
  <si>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</si>
  <si>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</si>
  <si>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</si>
  <si>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</si>
  <si>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</si>
  <si>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</si>
  <si>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</si>
  <si>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</si>
  <si>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</si>
  <si>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</si>
  <si>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</si>
  <si>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</si>
  <si>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</si>
  <si>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</si>
  <si>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</si>
  <si>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</si>
  <si>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</si>
  <si>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</si>
  <si>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</si>
  <si>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</si>
  <si>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</si>
  <si>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</si>
  <si>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</si>
  <si>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</si>
  <si>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</si>
  <si>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</si>
  <si>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</si>
  <si>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</si>
  <si>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</si>
  <si>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</si>
  <si>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</si>
  <si>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</si>
  <si>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</si>
  <si>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</si>
  <si>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</si>
  <si>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</si>
  <si>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</si>
  <si>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</si>
  <si>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</si>
  <si>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</si>
  <si>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</si>
  <si>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</si>
  <si>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</si>
  <si>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</si>
  <si>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</si>
  <si>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</si>
  <si>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</si>
  <si>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</si>
  <si>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</si>
  <si>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</si>
  <si>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</si>
  <si>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</si>
  <si>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</si>
  <si>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</si>
  <si>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</si>
  <si>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</si>
  <si>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</si>
  <si>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</si>
  <si>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</si>
  <si>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</si>
  <si>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</si>
  <si>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</si>
  <si>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</si>
  <si>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</si>
  <si>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</si>
  <si>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</si>
  <si>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</si>
  <si>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</si>
  <si>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</si>
  <si>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</si>
  <si>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</si>
  <si>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</si>
  <si>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</si>
  <si>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</si>
  <si>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</si>
  <si>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</si>
  <si>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</si>
  <si>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</si>
  <si>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</si>
  <si>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</si>
  <si>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</si>
  <si>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</si>
  <si>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</si>
  <si>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</si>
  <si>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</si>
  <si>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</si>
  <si>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</si>
  <si>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</si>
  <si>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</si>
  <si>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</si>
  <si>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</si>
  <si>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</si>
  <si>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</si>
  <si>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</si>
  <si>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</si>
  <si>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</si>
  <si>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</si>
  <si>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</si>
  <si>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</si>
  <si>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</si>
  <si>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</si>
  <si>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</si>
  <si>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</si>
  <si>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</si>
  <si>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</si>
  <si>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</si>
  <si>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</si>
  <si>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</si>
  <si>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</si>
  <si>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</si>
  <si>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</si>
  <si>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</si>
  <si>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</si>
  <si>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</si>
  <si>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</si>
  <si>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</si>
  <si>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</si>
  <si>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</si>
  <si>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</si>
  <si>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</si>
  <si>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</si>
  <si>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</si>
  <si>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</si>
  <si>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</si>
  <si>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</si>
  <si>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</si>
  <si>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</si>
  <si>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</si>
  <si>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</si>
  <si>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</si>
  <si>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</si>
  <si>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</si>
  <si>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</si>
  <si>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</si>
  <si>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</si>
  <si>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</si>
  <si>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</si>
  <si>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</si>
  <si>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</si>
  <si>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</si>
  <si>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</si>
  <si>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</si>
  <si>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</si>
  <si>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</si>
  <si>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</si>
  <si>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</si>
  <si>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</si>
  <si>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</si>
  <si>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</si>
  <si>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</si>
  <si>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</si>
  <si>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</si>
  <si>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</si>
  <si>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</si>
  <si>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</si>
  <si>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</si>
  <si>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</si>
  <si>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</si>
  <si>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</si>
  <si>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</si>
  <si>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</si>
  <si>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</si>
  <si>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</si>
  <si>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</si>
  <si>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</si>
  <si>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</si>
  <si>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</si>
  <si>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</si>
  <si>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</si>
  <si>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</si>
  <si>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</si>
  <si>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</si>
  <si>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</si>
  <si>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</si>
  <si>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</si>
  <si>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</si>
  <si>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</si>
  <si>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</si>
  <si>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</si>
  <si>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</si>
  <si>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</si>
  <si>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</si>
  <si>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</si>
  <si>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</si>
  <si>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</si>
  <si>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</si>
  <si>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</si>
  <si>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</si>
  <si>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</si>
  <si>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</si>
  <si>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</si>
  <si>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</si>
  <si>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</si>
  <si>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</si>
  <si>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</si>
  <si>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</si>
  <si>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</si>
  <si>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</si>
  <si>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</si>
  <si>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</si>
  <si>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</si>
  <si>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</si>
  <si>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</si>
  <si>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</si>
  <si>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</si>
  <si>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</si>
  <si>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</si>
  <si>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</si>
  <si>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</si>
  <si>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</si>
  <si>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</si>
  <si>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</si>
  <si>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</si>
  <si>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</si>
  <si>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</si>
  <si>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</si>
  <si>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</si>
  <si>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</si>
  <si>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</si>
  <si>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</si>
  <si>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</si>
  <si>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</si>
  <si>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</si>
  <si>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</si>
  <si>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</si>
  <si>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</si>
  <si>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</si>
  <si>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</si>
  <si>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</si>
  <si>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</si>
  <si>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</si>
  <si>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</si>
  <si>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</si>
  <si>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</si>
  <si>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</si>
  <si>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</si>
  <si>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</si>
  <si>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</si>
  <si>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</si>
  <si>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</si>
  <si>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</si>
  <si>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</si>
  <si>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</si>
  <si>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</si>
  <si>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</si>
  <si>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</si>
  <si>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</si>
  <si>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</si>
  <si>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</si>
  <si>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</si>
  <si>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</si>
  <si>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</si>
  <si>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</si>
  <si>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</si>
  <si>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</si>
  <si>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</si>
  <si>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</si>
  <si>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</si>
  <si>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</si>
  <si>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</si>
  <si>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</si>
  <si>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</si>
  <si>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</si>
  <si>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</si>
  <si>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</si>
  <si>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</si>
  <si>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</si>
  <si>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</si>
  <si>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</si>
  <si>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</si>
  <si>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</si>
  <si>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</si>
  <si>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</si>
  <si>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</si>
  <si>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</si>
  <si>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</si>
  <si>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</si>
  <si>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</si>
  <si>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</si>
  <si>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</si>
  <si>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</si>
  <si>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</si>
  <si>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</si>
  <si>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</si>
  <si>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</si>
  <si>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</si>
  <si>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</si>
  <si>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</si>
  <si>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</si>
  <si>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</si>
  <si>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</si>
  <si>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</si>
  <si>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</si>
  <si>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</si>
  <si>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</si>
  <si>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</si>
  <si>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</si>
  <si>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</si>
  <si>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</si>
  <si>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</si>
  <si>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</si>
  <si>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</si>
  <si>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</si>
  <si>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</si>
  <si>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</si>
  <si>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</si>
  <si>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</si>
  <si>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</si>
  <si>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</si>
  <si>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</si>
  <si>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</si>
  <si>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</si>
  <si>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</si>
  <si>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</si>
  <si>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</si>
  <si>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</si>
  <si>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</si>
  <si>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</si>
  <si>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</si>
  <si>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</si>
  <si>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</si>
  <si>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</si>
  <si>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</si>
  <si>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</si>
  <si>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</si>
  <si>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</si>
  <si>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</si>
  <si>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</si>
  <si>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</si>
  <si>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</si>
  <si>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</si>
  <si>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</si>
  <si>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</si>
  <si>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</si>
  <si>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</si>
  <si>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</si>
  <si>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</si>
  <si>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</si>
  <si>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</si>
  <si>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</si>
  <si>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</si>
  <si>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</si>
  <si>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</si>
  <si>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</si>
  <si>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</si>
  <si>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</si>
  <si>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</si>
  <si>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</si>
  <si>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</si>
  <si>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</si>
  <si>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</si>
  <si>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</si>
  <si>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</si>
  <si>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</si>
  <si>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</si>
  <si>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</si>
  <si>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</si>
  <si>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</si>
  <si>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</si>
  <si>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</si>
  <si>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</si>
  <si>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</si>
  <si>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</si>
  <si>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</si>
  <si>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</si>
  <si>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</si>
  <si>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</si>
  <si>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</si>
  <si>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</si>
  <si>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</si>
  <si>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</si>
  <si>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</si>
  <si>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</si>
  <si>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</si>
  <si>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</si>
  <si>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</si>
  <si>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</si>
  <si>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</si>
  <si>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</si>
  <si>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</si>
  <si>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</si>
  <si>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</si>
  <si>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</si>
  <si>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</si>
  <si>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</si>
  <si>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</si>
  <si>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</si>
  <si>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</si>
  <si>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</si>
  <si>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</si>
  <si>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</si>
  <si>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</si>
  <si>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</si>
  <si>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</si>
  <si>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</si>
  <si>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</si>
  <si>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</si>
  <si>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</si>
  <si>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</si>
  <si>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</si>
  <si>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</si>
  <si>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</si>
  <si>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</si>
  <si>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</si>
  <si>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</si>
  <si>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</si>
  <si>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</si>
  <si>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</si>
  <si>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</si>
  <si>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</si>
  <si>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</si>
  <si>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</si>
  <si>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</si>
  <si>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</si>
  <si>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</si>
  <si>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</si>
  <si>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</si>
  <si>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</si>
  <si>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</si>
  <si>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</si>
  <si>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</si>
  <si>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</si>
  <si>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</si>
  <si>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</si>
  <si>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</si>
  <si>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</si>
  <si>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</si>
  <si>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</si>
  <si>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</si>
  <si>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</si>
  <si>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</si>
  <si>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</si>
  <si>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</si>
  <si>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</si>
  <si>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</si>
  <si>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</si>
  <si>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</si>
  <si>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</si>
  <si>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</si>
  <si>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</si>
  <si>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</si>
  <si>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</si>
  <si>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</si>
  <si>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</si>
  <si>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</si>
  <si>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</si>
  <si>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</si>
  <si>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</si>
  <si>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</si>
  <si>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</si>
  <si>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</si>
  <si>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</si>
  <si>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</si>
  <si>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</si>
  <si>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</si>
  <si>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</si>
  <si>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</si>
  <si>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</si>
  <si>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</si>
  <si>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</si>
  <si>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</si>
  <si>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</si>
  <si>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</si>
  <si>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</si>
  <si>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</si>
  <si>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</si>
  <si>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</si>
  <si>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</si>
  <si>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</si>
  <si>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</si>
  <si>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</si>
  <si>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</si>
  <si>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</si>
  <si>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</si>
  <si>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</si>
  <si>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</si>
  <si>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</si>
  <si>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</si>
  <si>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</si>
  <si>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</si>
  <si>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</si>
  <si>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</si>
  <si>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</si>
  <si>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</si>
  <si>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</si>
  <si>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</si>
  <si>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</si>
  <si>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</si>
  <si>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</si>
  <si>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</si>
  <si>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</si>
  <si>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</si>
  <si>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</si>
  <si>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</si>
  <si>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</si>
  <si>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</si>
  <si>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</si>
  <si>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</si>
  <si>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</si>
  <si>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</si>
  <si>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</si>
  <si>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</si>
  <si>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</si>
  <si>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</si>
  <si>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</si>
  <si>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</si>
  <si>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</si>
  <si>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</si>
  <si>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</si>
  <si>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</si>
  <si>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</si>
  <si>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</si>
  <si>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</si>
  <si>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</si>
  <si>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</si>
  <si>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</si>
  <si>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</si>
  <si>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</si>
  <si>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</si>
  <si>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</si>
  <si>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</si>
  <si>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</si>
  <si>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</si>
  <si>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</si>
  <si>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</si>
  <si>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</si>
  <si>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</si>
  <si>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</si>
  <si>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</si>
  <si>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</si>
  <si>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</si>
  <si>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</si>
  <si>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</si>
  <si>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</si>
  <si>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</si>
  <si>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</si>
  <si>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</si>
  <si>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</si>
  <si>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</si>
  <si>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</si>
  <si>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</si>
  <si>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</si>
  <si>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</si>
  <si>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</si>
  <si>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</si>
  <si>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</si>
  <si>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</si>
  <si>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</si>
  <si>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</si>
  <si>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</si>
  <si>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</si>
  <si>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</si>
  <si>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</si>
  <si>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</si>
  <si>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</si>
  <si>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</si>
  <si>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</si>
  <si>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</si>
  <si>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</si>
  <si>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</si>
  <si>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</si>
  <si>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</si>
  <si>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</si>
  <si>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</si>
  <si>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</si>
  <si>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</si>
  <si>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</si>
  <si>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</si>
  <si>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</si>
  <si>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</si>
  <si>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</si>
  <si>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</si>
  <si>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</si>
  <si>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</si>
  <si>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</si>
  <si>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</si>
  <si>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</si>
  <si>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</si>
  <si>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</si>
  <si>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</si>
  <si>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</si>
  <si>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</si>
  <si>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</si>
  <si>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</si>
  <si>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</si>
  <si>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</si>
  <si>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</si>
  <si>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</si>
  <si>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</si>
  <si>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</si>
  <si>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</si>
  <si>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</si>
  <si>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</si>
  <si>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</si>
  <si>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</si>
  <si>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</si>
  <si>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</si>
  <si>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</si>
  <si>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</si>
  <si>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</si>
  <si>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</si>
  <si>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</si>
  <si>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</si>
  <si>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</si>
  <si>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</si>
  <si>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</si>
  <si>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</si>
  <si>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</si>
  <si>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</si>
  <si>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</si>
  <si>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</si>
  <si>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</si>
  <si>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</si>
  <si>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</si>
  <si>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</si>
  <si>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</si>
  <si>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</si>
  <si>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</si>
  <si>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</si>
  <si>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</si>
  <si>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</si>
  <si>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</si>
  <si>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</si>
  <si>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</si>
  <si>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</si>
  <si>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</si>
  <si>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</si>
  <si>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</si>
  <si>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</si>
  <si>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</si>
  <si>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</si>
  <si>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</si>
  <si>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</si>
  <si>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</si>
  <si>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</si>
  <si>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</si>
  <si>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</si>
  <si>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</si>
  <si>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</si>
  <si>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</si>
  <si>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</si>
  <si>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</si>
  <si>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</si>
  <si>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</si>
  <si>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</si>
  <si>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</si>
  <si>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</si>
  <si>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</si>
  <si>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</si>
  <si>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</si>
  <si>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</si>
  <si>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</si>
  <si>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</si>
  <si>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</si>
  <si>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</si>
  <si>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</si>
  <si>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</si>
  <si>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</si>
  <si>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</si>
  <si>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</si>
  <si>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</si>
  <si>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</si>
  <si>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</si>
  <si>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</si>
  <si>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</si>
  <si>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</si>
  <si>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</si>
  <si>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</si>
  <si>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</si>
  <si>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</si>
  <si>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</si>
  <si>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</si>
  <si>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</si>
  <si>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</si>
  <si>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</si>
  <si>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</si>
  <si>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</si>
  <si>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</si>
  <si>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</si>
  <si>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</si>
  <si>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</si>
  <si>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</si>
  <si>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</si>
  <si>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</si>
  <si>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</si>
  <si>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</si>
  <si>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</si>
  <si>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</si>
  <si>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</si>
  <si>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</si>
  <si>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</si>
  <si>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</si>
  <si>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</si>
  <si>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</si>
  <si>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</si>
  <si>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</si>
  <si>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</si>
  <si>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</si>
  <si>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</si>
  <si>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</si>
  <si>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</si>
  <si>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</si>
  <si>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</si>
  <si>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</si>
  <si>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</si>
  <si>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</si>
  <si>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</si>
  <si>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</si>
  <si>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</si>
  <si>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</si>
  <si>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</si>
  <si>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</si>
  <si>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</si>
  <si>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</si>
  <si>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</si>
  <si>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</si>
  <si>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</si>
  <si>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</si>
  <si>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</si>
  <si>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</si>
  <si>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</si>
  <si>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</si>
  <si>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</si>
  <si>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</si>
  <si>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</si>
  <si>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</si>
  <si>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</si>
  <si>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</si>
  <si>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</si>
  <si>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</si>
  <si>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</si>
  <si>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</si>
  <si>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</si>
  <si>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</si>
  <si>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</si>
  <si>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</si>
  <si>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</si>
  <si>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</si>
  <si>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</si>
  <si>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</si>
  <si>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</si>
  <si>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</si>
  <si>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</si>
  <si>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</si>
  <si>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</si>
  <si>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</si>
  <si>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</si>
  <si>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</si>
  <si>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</si>
  <si>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</si>
  <si>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</si>
  <si>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</si>
  <si>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</si>
  <si>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</si>
  <si>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</si>
  <si>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</si>
  <si>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</si>
  <si>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</si>
  <si>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</si>
  <si>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</si>
  <si>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</si>
  <si>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</si>
  <si>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</si>
  <si>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</si>
  <si>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</si>
  <si>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</si>
  <si>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</si>
  <si>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</si>
  <si>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</si>
  <si>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</si>
  <si>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</si>
  <si>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</si>
  <si>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</si>
  <si>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</si>
  <si>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</si>
  <si>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</si>
  <si>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</si>
  <si>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</si>
  <si>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</si>
  <si>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</si>
  <si>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</si>
  <si>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</si>
  <si>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</si>
  <si>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</si>
  <si>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</si>
  <si>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</si>
  <si>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</si>
  <si>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</si>
  <si>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</si>
  <si>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</si>
  <si>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</si>
  <si>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</si>
  <si>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</si>
  <si>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</si>
  <si>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</si>
  <si>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</si>
  <si>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</si>
  <si>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</si>
  <si>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</si>
  <si>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</si>
  <si>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</si>
  <si>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</si>
  <si>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</si>
  <si>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</si>
  <si>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</si>
  <si>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</si>
  <si>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</si>
  <si>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</si>
  <si>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</si>
  <si>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</si>
  <si>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</si>
  <si>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</si>
  <si>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</si>
  <si>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</si>
  <si>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</si>
  <si>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</si>
  <si>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</si>
  <si>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</si>
  <si>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</si>
  <si>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</si>
  <si>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</si>
  <si>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</si>
  <si>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</si>
  <si>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</si>
  <si>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</si>
  <si>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</si>
  <si>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</si>
  <si>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</si>
  <si>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</si>
  <si>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</si>
  <si>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</si>
  <si>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</si>
  <si>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</si>
  <si>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</si>
  <si>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</si>
  <si>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</si>
  <si>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</si>
  <si>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</si>
  <si>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</si>
  <si>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</si>
  <si>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</si>
  <si>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</si>
  <si>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</si>
  <si>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</si>
  <si>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</si>
  <si>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</si>
  <si>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</si>
  <si>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</si>
  <si>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</si>
  <si>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</si>
  <si>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</si>
  <si>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</si>
  <si>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</si>
  <si>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</si>
  <si>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</si>
  <si>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</si>
  <si>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</si>
  <si>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</si>
  <si>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</si>
  <si>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</si>
  <si>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</si>
  <si>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</si>
  <si>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</si>
  <si>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</si>
  <si>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</si>
  <si>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</si>
  <si>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</si>
  <si>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</si>
  <si>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</si>
  <si>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</si>
  <si>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</si>
  <si>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</si>
  <si>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</si>
  <si>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</si>
  <si>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</si>
  <si>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</si>
  <si>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</si>
  <si>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</si>
  <si>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</si>
  <si>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</si>
  <si>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</si>
  <si>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</si>
  <si>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</si>
  <si>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</si>
  <si>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</si>
  <si>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</si>
  <si>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</si>
  <si>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</si>
  <si>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</si>
  <si>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</si>
  <si>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</si>
  <si>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</si>
  <si>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</si>
  <si>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</si>
  <si>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</si>
  <si>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</si>
  <si>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</si>
  <si>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</si>
  <si>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</si>
  <si>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</si>
  <si>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</si>
  <si>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</si>
  <si>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</si>
  <si>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</si>
  <si>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</si>
  <si>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</si>
  <si>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</si>
  <si>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</si>
  <si>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</si>
  <si>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</si>
  <si>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</si>
  <si>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</si>
  <si>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</si>
  <si>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</si>
  <si>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</si>
  <si>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</si>
  <si>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</si>
  <si>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</si>
  <si>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</si>
  <si>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</si>
  <si>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</si>
  <si>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</si>
  <si>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</si>
  <si>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</si>
  <si>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</si>
  <si>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</si>
  <si>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</si>
  <si>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</si>
  <si>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</si>
  <si>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</si>
  <si>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</si>
  <si>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</si>
  <si>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</si>
  <si>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</si>
  <si>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</si>
  <si>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</si>
  <si>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</si>
  <si>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</si>
  <si>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</si>
  <si>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</si>
  <si>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</si>
  <si>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</si>
  <si>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</si>
  <si>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</si>
  <si>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</si>
  <si>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</si>
  <si>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</si>
  <si>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</si>
  <si>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</si>
  <si>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</si>
  <si>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</si>
  <si>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</si>
  <si>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</si>
  <si>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</si>
  <si>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</si>
  <si>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</si>
  <si>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</si>
  <si>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</si>
  <si>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</si>
  <si>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</si>
  <si>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</si>
  <si>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</si>
  <si>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</si>
  <si>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</si>
  <si>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</si>
  <si>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</si>
  <si>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</si>
  <si>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</si>
  <si>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</si>
  <si>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</si>
  <si>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</si>
  <si>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</si>
  <si>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</si>
  <si>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</si>
  <si>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</si>
  <si>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</si>
  <si>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</si>
  <si>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</si>
  <si>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</si>
  <si>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</si>
  <si>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</si>
  <si>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</si>
  <si>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</si>
  <si>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</si>
  <si>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</si>
  <si>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</si>
  <si>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</si>
  <si>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</si>
  <si>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</si>
  <si>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</si>
  <si>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</si>
  <si>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</si>
  <si>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</si>
  <si>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</si>
  <si>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</si>
  <si>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</si>
  <si>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</si>
  <si>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</si>
  <si>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</si>
  <si>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</si>
  <si>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</si>
  <si>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</si>
  <si>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</si>
  <si>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</si>
  <si>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</si>
  <si>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</si>
  <si>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</si>
  <si>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</si>
  <si>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</si>
  <si>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</si>
  <si>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</si>
  <si>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</si>
  <si>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</si>
  <si>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</si>
  <si>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</si>
  <si>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</si>
  <si>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</si>
  <si>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</si>
  <si>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</si>
  <si>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</si>
  <si>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</si>
  <si>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</si>
  <si>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</si>
  <si>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</si>
  <si>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</si>
  <si>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</si>
  <si>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</si>
  <si>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</si>
  <si>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</si>
  <si>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</si>
  <si>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</si>
  <si>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</si>
  <si>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</si>
  <si>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</si>
  <si>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</si>
  <si>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</si>
  <si>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</si>
  <si>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</si>
  <si>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</si>
  <si>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</si>
  <si>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</si>
  <si>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</si>
  <si>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</si>
  <si>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</si>
  <si>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</si>
  <si>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</si>
  <si>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</si>
  <si>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</si>
  <si>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</si>
  <si>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</si>
  <si>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</si>
  <si>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</si>
  <si>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</si>
  <si>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</si>
  <si>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</si>
  <si>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</si>
  <si>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</si>
  <si>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</si>
  <si>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</si>
  <si>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</si>
  <si>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</si>
  <si>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</si>
  <si>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</si>
  <si>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</si>
  <si>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</si>
  <si>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</si>
  <si>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</si>
  <si>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</si>
  <si>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</si>
  <si>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</si>
  <si>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</si>
  <si>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</si>
  <si>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</si>
  <si>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</si>
  <si>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</si>
  <si>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</si>
  <si>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</si>
  <si>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</si>
  <si>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</si>
  <si>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</si>
  <si>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</si>
  <si>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</si>
  <si>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</si>
  <si>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</si>
  <si>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</si>
  <si>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</si>
  <si>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</si>
  <si>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</si>
  <si>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</si>
  <si>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</si>
  <si>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</si>
  <si>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</si>
  <si>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</si>
  <si>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</si>
  <si>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</si>
  <si>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</si>
  <si>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</si>
  <si>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</si>
  <si>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</si>
  <si>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</si>
  <si>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</si>
  <si>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</si>
  <si>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</si>
  <si>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</si>
  <si>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</si>
  <si>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</si>
  <si>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</si>
  <si>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</si>
  <si>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</si>
  <si>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</si>
  <si>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</si>
  <si>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</si>
  <si>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</si>
  <si>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</si>
  <si>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</si>
  <si>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</si>
  <si>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</si>
  <si>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</si>
  <si>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</si>
  <si>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</si>
  <si>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</si>
  <si>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</si>
  <si>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</si>
  <si>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</si>
  <si>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</si>
  <si>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</si>
  <si>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</si>
  <si>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</si>
  <si>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</si>
  <si>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</si>
  <si>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</si>
  <si>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</si>
  <si>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</si>
  <si>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</si>
  <si>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</si>
  <si>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</si>
  <si>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</si>
  <si>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</si>
  <si>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</si>
  <si>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</si>
  <si>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</si>
  <si>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</si>
  <si>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</si>
  <si>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</si>
  <si>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</si>
  <si>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</si>
  <si>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</si>
  <si>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</si>
  <si>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</si>
  <si>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</si>
  <si>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</si>
  <si>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</si>
  <si>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</si>
  <si>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</si>
  <si>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</si>
  <si>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</si>
  <si>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</si>
  <si>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</si>
  <si>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</si>
  <si>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</si>
  <si>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</si>
  <si>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</si>
  <si>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</si>
  <si>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</si>
  <si>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</si>
  <si>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</si>
  <si>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</si>
  <si>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</si>
  <si>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</si>
  <si>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</si>
  <si>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</si>
  <si>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</si>
  <si>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</si>
  <si>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</si>
  <si>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</si>
  <si>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</si>
  <si>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</si>
  <si>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</si>
  <si>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</si>
  <si>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</si>
  <si>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</si>
  <si>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</si>
  <si>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</si>
  <si>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</si>
  <si>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</si>
  <si>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</si>
  <si>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</si>
  <si>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</si>
  <si>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</si>
  <si>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</si>
  <si>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</si>
  <si>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</si>
  <si>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</si>
  <si>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</si>
  <si>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</si>
  <si>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</si>
  <si>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</si>
  <si>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</si>
  <si>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</si>
  <si>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</si>
  <si>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</si>
  <si>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</si>
  <si>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</si>
  <si>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</si>
  <si>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</si>
  <si>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</si>
  <si>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</si>
  <si>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</si>
  <si>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</si>
  <si>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</si>
  <si>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</si>
  <si>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</si>
  <si>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</si>
  <si>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</si>
  <si>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</si>
  <si>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</si>
  <si>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</si>
  <si>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</si>
  <si>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</si>
  <si>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</si>
  <si>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</si>
  <si>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</si>
  <si>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</si>
  <si>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</si>
  <si>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</si>
  <si>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</si>
  <si>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</si>
  <si>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</si>
  <si>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</si>
  <si>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</si>
  <si>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</si>
  <si>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</si>
  <si>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</si>
  <si>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</si>
  <si>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</si>
  <si>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</si>
  <si>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</si>
  <si>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</si>
  <si>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</si>
  <si>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</si>
  <si>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</si>
  <si>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</si>
  <si>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</si>
  <si>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</si>
  <si>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</si>
  <si>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</si>
  <si>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</si>
  <si>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</si>
  <si>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</si>
  <si>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</si>
  <si>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</si>
  <si>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</si>
  <si>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</si>
  <si>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</si>
  <si>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</si>
  <si>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</si>
  <si>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</si>
  <si>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</si>
  <si>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</si>
  <si>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</si>
  <si>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</si>
  <si>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</si>
  <si>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</si>
  <si>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</si>
  <si>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</si>
  <si>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</si>
  <si>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</si>
  <si>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</si>
  <si>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</si>
  <si>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</si>
  <si>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</si>
  <si>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</si>
  <si>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</si>
  <si>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</si>
  <si>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</si>
  <si>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</si>
  <si>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</si>
  <si>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</si>
  <si>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</si>
  <si>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</si>
  <si>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</si>
  <si>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</si>
  <si>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</si>
  <si>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</si>
  <si>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</si>
  <si>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</si>
  <si>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</si>
  <si>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</si>
  <si>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</si>
  <si>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</si>
  <si>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</si>
  <si>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</si>
  <si>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</si>
  <si>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</si>
  <si>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</si>
  <si>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</si>
  <si>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</si>
  <si>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</si>
  <si>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</si>
  <si>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</si>
  <si>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</si>
  <si>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</si>
  <si>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</si>
  <si>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</si>
  <si>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</si>
  <si>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</si>
  <si>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</si>
  <si>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</si>
  <si>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</si>
  <si>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</si>
  <si>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</si>
  <si>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</si>
  <si>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</si>
  <si>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</si>
  <si>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</si>
  <si>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</si>
  <si>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</si>
  <si>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</si>
  <si>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</si>
  <si>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</si>
  <si>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</si>
  <si>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</si>
  <si>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</si>
  <si>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</si>
  <si>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</si>
  <si>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</si>
  <si>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</si>
  <si>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</si>
  <si>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</si>
  <si>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</si>
  <si>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</si>
  <si>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</si>
  <si>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</si>
  <si>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</si>
  <si>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</si>
  <si>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</si>
  <si>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</si>
  <si>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</si>
  <si>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</si>
  <si>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</si>
  <si>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</si>
  <si>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</si>
  <si>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</si>
  <si>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</si>
  <si>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</si>
  <si>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</si>
  <si>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</si>
  <si>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</si>
  <si>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</si>
  <si>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</si>
  <si>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</si>
  <si>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</si>
  <si>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</si>
  <si>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</si>
  <si>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</si>
  <si>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</si>
  <si>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</si>
  <si>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</si>
  <si>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</si>
  <si>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</si>
  <si>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</si>
  <si>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</si>
  <si>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</si>
  <si>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</si>
  <si>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</si>
  <si>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</si>
  <si>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</si>
  <si>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</si>
  <si>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</si>
  <si>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</si>
  <si>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</si>
  <si>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</si>
  <si>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</si>
  <si>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</si>
  <si>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</si>
  <si>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</si>
  <si>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</si>
  <si>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</si>
  <si>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</si>
  <si>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</si>
  <si>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</si>
  <si>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</si>
  <si>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</si>
  <si>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</si>
  <si>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</si>
  <si>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</si>
  <si>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</si>
  <si>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</si>
  <si>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</si>
  <si>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</si>
  <si>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</si>
  <si>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</si>
  <si>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</si>
  <si>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</si>
  <si>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</si>
  <si>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</si>
  <si>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</si>
  <si>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</si>
  <si>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</si>
  <si>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</si>
  <si>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</si>
  <si>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</si>
  <si>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</si>
  <si>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</si>
  <si>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</si>
  <si>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</si>
  <si>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</si>
  <si>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</si>
  <si>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</si>
  <si>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</si>
  <si>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</si>
  <si>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</si>
  <si>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</si>
  <si>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</si>
  <si>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</si>
  <si>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</si>
  <si>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</si>
  <si>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</si>
  <si>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</si>
  <si>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</si>
  <si>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</si>
  <si>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</si>
  <si>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</si>
  <si>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</si>
  <si>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</si>
  <si>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</si>
  <si>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</si>
  <si>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</si>
  <si>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</si>
  <si>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</si>
  <si>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</si>
  <si>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</si>
  <si>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</si>
  <si>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</si>
  <si>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</si>
  <si>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</si>
  <si>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</si>
  <si>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</si>
  <si>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</si>
  <si>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</si>
  <si>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</si>
  <si>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</si>
  <si>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</si>
  <si>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</si>
  <si>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</si>
  <si>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</si>
  <si>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</si>
  <si>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</si>
  <si>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</si>
  <si>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</si>
  <si>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</si>
  <si>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</si>
  <si>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</si>
  <si>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</si>
  <si>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</si>
  <si>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</si>
  <si>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</si>
  <si>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</si>
  <si>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</si>
  <si>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</si>
  <si>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</si>
  <si>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</si>
  <si>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</si>
  <si>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</si>
  <si>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</si>
  <si>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</si>
  <si>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</si>
  <si>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</si>
  <si>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</si>
  <si>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</si>
  <si>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</si>
  <si>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</si>
  <si>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</si>
  <si>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</si>
  <si>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</si>
  <si>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</si>
  <si>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</si>
  <si>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</si>
  <si>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</si>
  <si>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</si>
  <si>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</si>
  <si>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</si>
  <si>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</si>
  <si>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</si>
  <si>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</si>
  <si>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</si>
  <si>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</si>
  <si>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</si>
  <si>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</si>
  <si>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</si>
  <si>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</si>
  <si>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</si>
  <si>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</si>
  <si>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</si>
  <si>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</si>
  <si>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</si>
  <si>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</si>
  <si>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</si>
  <si>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</si>
  <si>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</si>
  <si>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</si>
  <si>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</si>
  <si>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</si>
  <si>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</si>
  <si>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</si>
  <si>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</si>
  <si>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</si>
  <si>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</si>
  <si>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</si>
  <si>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</si>
  <si>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</si>
  <si>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</si>
  <si>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</si>
  <si>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</si>
  <si>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</si>
  <si>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</si>
  <si>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</si>
  <si>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</si>
  <si>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</si>
  <si>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</si>
  <si>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</si>
  <si>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</si>
  <si>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</si>
  <si>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</si>
  <si>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</si>
  <si>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</si>
  <si>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</si>
  <si>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</si>
  <si>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</si>
  <si>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</si>
  <si>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</si>
  <si>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</si>
  <si>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</si>
  <si>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</si>
  <si>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</si>
  <si>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</si>
  <si>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</si>
  <si>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</si>
  <si>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</si>
  <si>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</si>
  <si>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</si>
  <si>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</si>
  <si>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</si>
  <si>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</si>
  <si>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</si>
  <si>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</si>
  <si>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</si>
  <si>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</si>
  <si>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</si>
  <si>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</si>
  <si>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</si>
  <si>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</si>
  <si>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</si>
  <si>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</si>
  <si>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</si>
  <si>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</si>
  <si>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</si>
  <si>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</si>
  <si>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</si>
  <si>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</si>
  <si>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</si>
  <si>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</si>
  <si>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</si>
  <si>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</si>
  <si>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</si>
  <si>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</si>
  <si>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</si>
  <si>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</si>
  <si>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</si>
  <si>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</si>
  <si>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</si>
  <si>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</si>
  <si>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</si>
  <si>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</si>
  <si>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</si>
  <si>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</si>
  <si>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</si>
  <si>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</si>
  <si>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</si>
  <si>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</si>
  <si>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</si>
  <si>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</si>
  <si>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</si>
  <si>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</si>
  <si>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</si>
  <si>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</si>
  <si>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</si>
  <si>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</si>
  <si>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</si>
  <si>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</si>
  <si>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</si>
  <si>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</si>
  <si>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</si>
  <si>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</si>
  <si>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</si>
  <si>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</si>
  <si>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</si>
  <si>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</si>
  <si>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</si>
  <si>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</si>
  <si>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</si>
  <si>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</si>
  <si>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</si>
  <si>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</si>
  <si>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</si>
  <si>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</si>
  <si>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</si>
  <si>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</si>
  <si>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</si>
  <si>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</si>
  <si>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</si>
  <si>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</si>
  <si>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</si>
  <si>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</si>
  <si>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</si>
  <si>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</si>
  <si>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</si>
  <si>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</si>
  <si>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</si>
  <si>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</si>
  <si>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</si>
  <si>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</si>
  <si>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</si>
  <si>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</si>
  <si>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</si>
  <si>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</si>
  <si>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</si>
  <si>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</si>
  <si>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</si>
  <si>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</si>
  <si>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</si>
  <si>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</si>
  <si>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</si>
  <si>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</si>
  <si>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</si>
  <si>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</si>
  <si>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</si>
  <si>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</si>
  <si>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</si>
  <si>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</si>
  <si>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</si>
  <si>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</si>
  <si>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</si>
  <si>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</si>
  <si>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</si>
  <si>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</si>
  <si>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</si>
  <si>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</si>
  <si>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</si>
  <si>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</si>
  <si>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</si>
  <si>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</si>
  <si>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</si>
  <si>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</si>
  <si>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</si>
  <si>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</si>
  <si>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</si>
  <si>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</si>
  <si>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</si>
  <si>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</si>
  <si>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</si>
  <si>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</si>
  <si>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</si>
  <si>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</si>
  <si>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</si>
  <si>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</si>
  <si>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</si>
  <si>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</si>
  <si>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</si>
  <si>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</si>
  <si>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</si>
  <si>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</si>
  <si>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</si>
  <si>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</si>
  <si>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</si>
  <si>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</si>
  <si>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</si>
  <si>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</si>
  <si>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</si>
  <si>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</si>
  <si>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</si>
  <si>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</si>
  <si>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</si>
  <si>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</si>
  <si>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</si>
  <si>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</si>
  <si>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</si>
  <si>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</si>
  <si>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</si>
  <si>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</si>
  <si>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</si>
  <si>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</si>
  <si>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</si>
  <si>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</si>
  <si>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</si>
  <si>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</si>
  <si>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</si>
  <si>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</si>
  <si>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</si>
  <si>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</si>
  <si>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</si>
  <si>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</si>
  <si>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</si>
  <si>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</si>
  <si>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</si>
  <si>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</si>
  <si>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</si>
  <si>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</si>
  <si>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</si>
  <si>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</si>
  <si>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</si>
  <si>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</si>
  <si>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</si>
  <si>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</si>
  <si>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</si>
  <si>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</si>
  <si>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</si>
  <si>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</si>
  <si>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</si>
  <si>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</si>
  <si>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</si>
  <si>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</si>
  <si>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</si>
  <si>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</si>
  <si>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</si>
  <si>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</si>
  <si>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</si>
  <si>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</si>
  <si>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</si>
  <si>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</si>
  <si>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</si>
  <si>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</si>
  <si>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</si>
  <si>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</si>
  <si>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</si>
  <si>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</si>
  <si>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</si>
  <si>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</si>
  <si>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</si>
  <si>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</si>
  <si>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</si>
  <si>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</si>
  <si>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</si>
  <si>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</si>
  <si>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</si>
  <si>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</si>
  <si>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</si>
  <si>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</si>
  <si>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</si>
  <si>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</si>
  <si>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</si>
  <si>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</si>
  <si>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</si>
  <si>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</si>
  <si>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</si>
  <si>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</si>
  <si>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</si>
  <si>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</si>
  <si>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</si>
  <si>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</si>
  <si>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</si>
  <si>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</si>
  <si>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</si>
  <si>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</si>
  <si>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</si>
  <si>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</si>
  <si>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</si>
  <si>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</si>
  <si>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</si>
  <si>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</si>
  <si>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</si>
  <si>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</si>
  <si>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</si>
  <si>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</si>
  <si>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</si>
  <si>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</si>
  <si>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</si>
  <si>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</si>
  <si>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</si>
  <si>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</si>
  <si>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</si>
  <si>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</si>
  <si>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</si>
  <si>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</si>
  <si>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</si>
  <si>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</si>
  <si>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</si>
  <si>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</si>
  <si>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</si>
  <si>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</si>
  <si>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</si>
  <si>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</si>
  <si>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</si>
  <si>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</si>
  <si>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</si>
  <si>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</si>
  <si>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</si>
  <si>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</si>
  <si>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</si>
  <si>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</si>
  <si>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</si>
  <si>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</si>
  <si>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</si>
  <si>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</si>
  <si>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</si>
  <si>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</si>
  <si>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</si>
  <si>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</si>
  <si>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</si>
  <si>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</si>
  <si>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</si>
  <si>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</si>
  <si>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</si>
  <si>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</si>
  <si>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</si>
  <si>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</si>
  <si>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</si>
  <si>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</si>
  <si>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</si>
  <si>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</si>
  <si>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</si>
  <si>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</si>
  <si>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</si>
  <si>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</si>
  <si>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</si>
  <si>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</si>
  <si>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</si>
  <si>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</si>
  <si>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</si>
  <si>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</si>
  <si>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</si>
  <si>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</si>
  <si>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</si>
  <si>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</si>
  <si>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</si>
  <si>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</si>
  <si>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</si>
  <si>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</si>
  <si>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</si>
  <si>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</si>
  <si>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</si>
  <si>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</si>
  <si>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</si>
  <si>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</si>
  <si>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</si>
  <si>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</si>
  <si>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</si>
  <si>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</si>
  <si>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</si>
  <si>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</si>
  <si>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</si>
  <si>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</si>
  <si>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</si>
  <si>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</si>
  <si>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</si>
  <si>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</si>
  <si>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</si>
  <si>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</si>
  <si>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</si>
  <si>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</si>
  <si>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</si>
  <si>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</si>
  <si>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</si>
  <si>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</si>
  <si>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</si>
  <si>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</si>
  <si>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</si>
  <si>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</si>
  <si>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</si>
  <si>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</si>
  <si>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</si>
  <si>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</si>
  <si>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</si>
  <si>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</si>
  <si>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</si>
  <si>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</si>
  <si>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</si>
  <si>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</si>
  <si>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</si>
  <si>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</si>
  <si>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</si>
  <si>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</si>
  <si>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</si>
  <si>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</si>
  <si>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</si>
  <si>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</si>
  <si>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</si>
  <si>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</si>
  <si>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</si>
  <si>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</si>
  <si>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</si>
  <si>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</si>
  <si>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</si>
  <si>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</si>
  <si>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</si>
  <si>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</si>
  <si>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</si>
  <si>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</si>
  <si>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A realizar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</si>
  <si>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</si>
  <si>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</si>
  <si>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</si>
  <si>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</si>
  <si>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</si>
  <si>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</si>
  <si>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</si>
  <si>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</si>
  <si>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</si>
  <si>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</si>
  <si>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</si>
  <si>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</si>
  <si>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</si>
  <si>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</si>
  <si>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</si>
  <si>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</si>
  <si>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</si>
  <si>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</si>
  <si>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</si>
  <si>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</si>
  <si>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</si>
  <si>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</si>
  <si>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</si>
  <si>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</si>
  <si>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</si>
  <si>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</si>
  <si>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</si>
  <si>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</si>
  <si>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</si>
  <si>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</si>
  <si>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</si>
  <si>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</si>
  <si>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</si>
  <si>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</si>
  <si>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</si>
  <si>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</si>
  <si>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</si>
  <si>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</si>
  <si>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</si>
  <si>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</si>
  <si>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</si>
  <si>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</si>
  <si>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</si>
  <si>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</si>
  <si>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</si>
  <si>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</si>
  <si>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</si>
  <si>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</si>
  <si>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</si>
  <si>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</si>
  <si>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</si>
  <si>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</si>
  <si>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</si>
  <si>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</si>
  <si>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</si>
  <si>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</si>
  <si>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</si>
  <si>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</si>
  <si>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</si>
  <si>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</si>
  <si>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</si>
  <si>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</si>
  <si>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</si>
  <si>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</si>
  <si>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</si>
  <si>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</si>
  <si>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</si>
  <si>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</si>
  <si>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</si>
  <si>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</si>
  <si>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</si>
  <si>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</si>
  <si>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</si>
  <si>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</si>
  <si>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</si>
  <si>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</si>
  <si>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</si>
  <si>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</si>
  <si>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</si>
  <si>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</si>
  <si>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</si>
  <si>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</si>
  <si>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</si>
  <si>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</si>
  <si>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</si>
  <si>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</si>
  <si>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</si>
  <si>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</si>
  <si>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</si>
  <si>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</si>
  <si>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</si>
  <si>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</si>
  <si>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</si>
  <si>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</si>
  <si>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</si>
  <si>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</si>
  <si>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</si>
  <si>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</si>
  <si>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</si>
  <si>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</si>
  <si>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</si>
  <si>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</si>
  <si>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</si>
  <si>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</si>
  <si>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</si>
  <si>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</si>
  <si>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</si>
  <si>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</si>
  <si>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</si>
  <si>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</si>
  <si>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</si>
  <si>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</si>
  <si>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</si>
  <si>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</si>
  <si>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</si>
  <si>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</si>
  <si>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</si>
  <si>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</si>
  <si>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</si>
  <si>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</si>
  <si>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</si>
  <si>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</si>
  <si>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</si>
  <si>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</si>
  <si>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</si>
  <si>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</si>
  <si>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</si>
  <si>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</si>
  <si>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</si>
  <si>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</si>
  <si>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</si>
  <si>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</si>
  <si>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</si>
  <si>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</si>
  <si>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</si>
  <si>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</si>
  <si>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</si>
  <si>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</si>
  <si>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</si>
  <si>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</si>
  <si>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</si>
  <si>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</si>
  <si>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</si>
  <si>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</si>
  <si>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</si>
  <si>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</si>
  <si>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</si>
  <si>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</si>
  <si>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</si>
  <si>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</si>
  <si>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</si>
  <si>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</si>
  <si>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</si>
  <si>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</si>
  <si>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</si>
  <si>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</si>
  <si>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</si>
  <si>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</si>
  <si>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</si>
  <si>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</si>
  <si>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</si>
  <si>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</si>
  <si>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</si>
  <si>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</si>
  <si>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</si>
  <si>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</si>
  <si>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</si>
  <si>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</si>
  <si>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</si>
  <si>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</si>
  <si>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</si>
  <si>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</si>
  <si>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</si>
  <si>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</si>
  <si>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</si>
  <si>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</si>
  <si>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</si>
  <si>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</si>
  <si>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</si>
  <si>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</si>
  <si>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</si>
  <si>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</si>
  <si>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</si>
  <si>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</si>
  <si>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</si>
  <si>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</si>
  <si>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</si>
  <si>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</si>
  <si>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</si>
  <si>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</si>
  <si>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</si>
  <si>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</si>
  <si>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</si>
  <si>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</si>
  <si>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</si>
  <si>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</si>
  <si>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</si>
  <si>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</si>
  <si>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</si>
  <si>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</si>
  <si>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</si>
  <si>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</si>
  <si>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</si>
  <si>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</si>
  <si>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</si>
  <si>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</si>
  <si>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</si>
  <si>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</si>
  <si>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</si>
  <si>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</si>
  <si>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</si>
  <si>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</si>
  <si>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 para servidores do GDF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</si>
  <si>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</si>
  <si>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</si>
  <si>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</si>
  <si>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</si>
  <si>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</si>
  <si>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</si>
  <si>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</si>
  <si>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</si>
  <si>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</si>
  <si>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</si>
  <si>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</si>
  <si>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</si>
  <si>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</si>
  <si>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</si>
  <si>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</si>
  <si>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</si>
  <si>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</si>
  <si>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</si>
  <si>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</si>
  <si>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</si>
  <si>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</si>
  <si>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</si>
  <si>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</si>
  <si>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</si>
  <si>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</si>
  <si>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</si>
  <si>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</si>
  <si>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</si>
  <si>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</si>
  <si>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</si>
  <si>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</si>
  <si>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</si>
  <si>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</si>
  <si>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</si>
  <si>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</si>
  <si>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</si>
  <si>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</si>
  <si>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</si>
  <si>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</si>
  <si>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</si>
  <si>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</si>
  <si>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</si>
  <si>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</si>
  <si>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</si>
  <si>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</si>
  <si>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</si>
  <si>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</si>
  <si>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</si>
  <si>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</si>
  <si>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</si>
  <si>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</si>
  <si>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</si>
  <si>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</si>
  <si>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</si>
  <si>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</si>
  <si>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</si>
  <si>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</si>
  <si>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</si>
  <si>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</si>
  <si>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</si>
  <si>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</si>
  <si>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</si>
  <si>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</si>
  <si>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</si>
  <si>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</si>
  <si>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</si>
  <si>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</si>
  <si>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</si>
  <si>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</si>
  <si>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</si>
  <si>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</si>
  <si>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</si>
  <si>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</si>
  <si>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</si>
  <si>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</si>
  <si>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</si>
  <si>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</si>
  <si>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</si>
  <si>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</si>
  <si>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</si>
  <si>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</si>
  <si>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</si>
  <si>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</si>
  <si>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</si>
  <si>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</si>
  <si>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</si>
  <si>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</si>
  <si>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</si>
  <si>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Felipe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</si>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</sst>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60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u/>
      <sz val="11"/>
      <color rgb="FF000000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2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5" fillId="7" borderId="0" xfId="0" applyFont="1" applyFill="1"/>
    <xf numFmtId="0" fontId="15" fillId="7" borderId="0" xfId="0" applyFont="1" applyFill="1"/>
    <xf numFmtId="0" fontId="55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58" fillId="0" borderId="0" xfId="0" applyFont="1"/>
    <xf numFmtId="0" fontId="59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550</c:v>
                </c:pt>
                <c:pt idx="1">
                  <c:v>808</c:v>
                </c:pt>
                <c:pt idx="2">
                  <c:v>490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  <c:pt idx="5">
                  <c:v>8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14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>
    <filterColumn colId="1">
      <filters blank="1">
        <filter val="2026"/>
      </filters>
    </filterColumn>
  </autoFilter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690" activePane="bottomLeft" state="frozen"/>
      <selection pane="bottomLeft" activeCell="S702" sqref="S702"/>
    </sheetView>
  </sheetViews>
  <sheetFormatPr defaultColWidth="9.140625" defaultRowHeight="22.5" customHeight="1" x14ac:dyDescent="0.25"/>
  <cols>
    <col min="1" max="1" width="11.5703125" style="3" hidden="1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255.7109375" style="2" bestFit="1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hidden="1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hidden="1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2026-081</v>
      </c>
    </row>
    <row r="4" spans="1:23" ht="15" hidden="1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hidden="1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hidden="1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hidden="1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hidden="1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hidden="1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hidden="1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hidden="1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hidden="1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hidden="1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hidden="1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hidden="1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hidden="1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hidden="1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hidden="1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hidden="1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hidden="1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hidden="1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hidden="1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hidden="1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hidden="1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hidden="1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hidden="1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hidden="1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hidden="1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hidden="1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hidden="1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hidden="1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hidden="1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hidden="1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hidden="1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hidden="1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hidden="1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hidden="1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hidden="1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hidden="1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hidden="1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hidden="1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hidden="1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hidden="1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hidden="1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hidden="1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hidden="1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hidden="1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hidden="1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hidden="1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hidden="1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hidden="1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hidden="1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hidden="1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hidden="1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hidden="1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hidden="1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hidden="1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hidden="1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hidden="1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hidden="1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hidden="1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hidden="1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hidden="1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hidden="1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hidden="1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hidden="1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hidden="1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hidden="1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hidden="1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hidden="1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hidden="1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hidden="1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hidden="1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hidden="1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hidden="1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hidden="1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hidden="1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hidden="1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hidden="1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hidden="1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hidden="1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hidden="1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hidden="1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hidden="1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hidden="1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hidden="1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hidden="1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hidden="1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hidden="1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hidden="1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hidden="1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hidden="1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hidden="1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hidden="1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hidden="1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hidden="1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hidden="1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hidden="1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hidden="1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hidden="1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hidden="1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hidden="1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hidden="1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hidden="1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hidden="1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hidden="1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hidden="1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hidden="1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hidden="1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hidden="1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hidden="1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hidden="1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hidden="1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hidden="1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hidden="1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hidden="1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hidden="1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hidden="1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hidden="1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hidden="1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hidden="1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hidden="1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hidden="1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hidden="1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hidden="1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hidden="1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hidden="1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hidden="1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hidden="1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hidden="1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hidden="1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hidden="1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hidden="1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hidden="1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hidden="1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hidden="1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hidden="1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hidden="1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hidden="1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hidden="1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hidden="1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hidden="1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hidden="1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hidden="1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hidden="1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hidden="1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hidden="1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hidden="1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hidden="1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hidden="1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hidden="1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hidden="1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hidden="1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hidden="1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hidden="1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hidden="1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hidden="1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hidden="1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hidden="1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hidden="1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hidden="1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hidden="1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hidden="1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hidden="1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hidden="1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hidden="1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hidden="1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hidden="1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hidden="1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hidden="1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hidden="1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hidden="1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hidden="1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hidden="1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hidden="1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hidden="1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hidden="1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hidden="1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hidden="1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hidden="1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hidden="1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hidden="1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hidden="1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hidden="1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hidden="1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hidden="1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hidden="1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hidden="1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hidden="1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hidden="1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hidden="1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hidden="1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hidden="1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hidden="1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hidden="1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hidden="1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hidden="1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hidden="1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hidden="1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hidden="1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hidden="1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hidden="1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hidden="1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hidden="1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hidden="1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hidden="1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hidden="1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hidden="1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hidden="1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hidden="1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hidden="1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hidden="1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hidden="1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hidden="1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hidden="1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hidden="1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hidden="1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hidden="1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hidden="1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hidden="1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hidden="1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hidden="1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hidden="1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hidden="1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hidden="1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hidden="1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hidden="1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hidden="1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hidden="1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hidden="1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hidden="1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hidden="1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hidden="1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hidden="1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hidden="1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hidden="1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hidden="1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hidden="1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hidden="1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hidden="1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hidden="1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hidden="1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hidden="1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hidden="1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hidden="1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hidden="1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hidden="1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hidden="1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hidden="1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hidden="1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hidden="1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hidden="1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hidden="1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hidden="1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hidden="1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hidden="1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hidden="1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hidden="1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hidden="1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hidden="1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hidden="1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hidden="1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hidden="1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hidden="1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hidden="1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hidden="1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hidden="1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hidden="1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hidden="1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hidden="1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hidden="1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hidden="1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hidden="1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hidden="1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hidden="1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hidden="1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15" hidden="1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hidden="1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hidden="1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hidden="1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hidden="1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hidden="1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hidden="1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hidden="1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hidden="1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hidden="1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hidden="1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hidden="1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hidden="1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hidden="1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hidden="1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hidden="1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hidden="1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hidden="1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hidden="1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hidden="1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hidden="1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hidden="1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hidden="1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hidden="1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hidden="1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hidden="1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hidden="1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hidden="1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hidden="1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hidden="1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hidden="1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hidden="1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hidden="1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hidden="1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45" hidden="1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hidden="1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hidden="1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hidden="1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hidden="1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hidden="1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hidden="1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hidden="1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hidden="1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hidden="1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hidden="1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hidden="1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hidden="1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hidden="1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hidden="1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hidden="1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30" hidden="1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hidden="1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hidden="1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hidden="1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hidden="1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hidden="1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hidden="1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hidden="1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hidden="1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hidden="1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hidden="1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hidden="1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hidden="1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hidden="1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hidden="1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hidden="1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hidden="1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hidden="1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hidden="1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hidden="1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hidden="1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hidden="1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hidden="1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hidden="1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hidden="1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hidden="1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hidden="1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hidden="1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hidden="1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hidden="1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hidden="1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hidden="1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hidden="1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hidden="1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hidden="1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hidden="1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hidden="1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hidden="1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hidden="1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hidden="1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hidden="1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hidden="1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hidden="1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hidden="1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hidden="1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hidden="1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hidden="1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hidden="1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hidden="1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hidden="1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hidden="1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hidden="1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hidden="1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hidden="1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hidden="1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hidden="1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hidden="1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hidden="1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hidden="1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hidden="1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hidden="1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hidden="1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hidden="1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hidden="1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hidden="1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hidden="1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hidden="1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hidden="1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hidden="1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hidden="1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hidden="1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hidden="1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hidden="1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hidden="1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hidden="1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hidden="1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hidden="1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hidden="1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hidden="1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hidden="1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hidden="1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hidden="1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hidden="1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hidden="1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hidden="1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hidden="1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hidden="1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hidden="1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hidden="1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hidden="1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hidden="1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hidden="1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hidden="1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hidden="1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hidden="1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hidden="1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hidden="1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hidden="1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hidden="1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hidden="1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hidden="1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hidden="1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hidden="1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hidden="1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hidden="1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hidden="1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hidden="1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hidden="1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hidden="1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hidden="1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hidden="1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hidden="1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hidden="1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hidden="1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hidden="1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hidden="1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hidden="1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hidden="1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hidden="1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hidden="1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hidden="1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hidden="1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hidden="1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hidden="1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hidden="1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hidden="1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hidden="1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hidden="1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hidden="1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hidden="1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hidden="1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hidden="1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hidden="1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hidden="1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hidden="1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hidden="1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hidden="1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hidden="1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hidden="1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hidden="1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hidden="1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hidden="1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hidden="1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hidden="1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hidden="1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hidden="1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hidden="1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hidden="1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hidden="1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hidden="1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hidden="1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hidden="1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hidden="1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hidden="1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hidden="1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hidden="1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hidden="1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hidden="1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hidden="1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hidden="1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hidden="1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hidden="1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hidden="1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hidden="1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hidden="1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hidden="1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hidden="1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hidden="1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hidden="1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hidden="1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hidden="1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hidden="1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hidden="1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hidden="1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hidden="1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hidden="1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hidden="1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hidden="1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hidden="1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hidden="1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hidden="1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hidden="1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hidden="1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hidden="1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hidden="1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hidden="1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hidden="1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hidden="1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hidden="1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hidden="1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hidden="1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hidden="1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hidden="1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hidden="1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hidden="1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hidden="1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hidden="1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hidden="1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hidden="1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hidden="1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hidden="1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hidden="1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hidden="1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hidden="1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hidden="1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hidden="1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hidden="1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hidden="1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hidden="1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hidden="1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hidden="1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hidden="1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hidden="1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hidden="1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hidden="1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hidden="1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hidden="1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hidden="1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hidden="1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hidden="1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hidden="1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hidden="1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hidden="1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hidden="1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hidden="1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hidden="1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hidden="1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hidden="1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hidden="1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hidden="1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hidden="1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hidden="1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hidden="1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hidden="1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hidden="1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hidden="1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hidden="1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hidden="1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hidden="1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hidden="1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hidden="1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hidden="1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hidden="1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hidden="1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hidden="1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hidden="1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hidden="1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hidden="1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hidden="1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hidden="1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15" hidden="1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15" hidden="1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hidden="1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hidden="1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hidden="1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hidden="1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hidden="1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hidden="1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hidden="1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hidden="1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hidden="1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hidden="1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hidden="1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hidden="1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hidden="1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hidden="1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hidden="1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hidden="1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hidden="1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hidden="1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hidden="1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hidden="1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hidden="1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hidden="1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hidden="1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hidden="1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hidden="1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hidden="1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hidden="1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15" hidden="1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hidden="1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hidden="1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hidden="1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hidden="1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hidden="1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hidden="1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hidden="1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hidden="1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hidden="1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hidden="1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hidden="1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hidden="1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hidden="1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hidden="1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hidden="1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hidden="1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15" hidden="1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hidden="1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15" hidden="1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hidden="1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hidden="1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hidden="1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hidden="1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hidden="1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hidden="1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hidden="1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hidden="1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hidden="1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hidden="1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hidden="1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hidden="1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hidden="1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hidden="1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hidden="1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hidden="1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hidden="1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15" hidden="1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15" hidden="1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hidden="1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hidden="1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hidden="1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hidden="1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hidden="1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hidden="1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hidden="1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hidden="1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hidden="1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hidden="1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hidden="1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2687</v>
      </c>
      <c r="D657" s="183" t="s">
        <v>2688</v>
      </c>
      <c r="E657" s="184" t="s">
        <v>2689</v>
      </c>
      <c r="F657" s="185" t="s">
        <v>69</v>
      </c>
      <c r="G657" s="186" t="s">
        <v>79</v>
      </c>
      <c r="H657" s="191" t="s">
        <v>2690</v>
      </c>
      <c r="I657" s="192">
        <v>46237</v>
      </c>
      <c r="J657" s="192">
        <v>46238</v>
      </c>
      <c r="K657" s="183" t="s">
        <v>38</v>
      </c>
      <c r="L657" s="187"/>
      <c r="M657" s="188"/>
      <c r="N657" s="189">
        <v>400</v>
      </c>
      <c r="O657" s="190"/>
      <c r="P657" s="190"/>
      <c r="Q657" s="190"/>
      <c r="R657" s="190">
        <f>IF(B657="","",SUM(O657:Q657))</f>
        <v>0</v>
      </c>
      <c r="S657" s="183">
        <v>8</v>
      </c>
      <c r="T657" s="186" t="s">
        <v>2691</v>
      </c>
    </row>
    <row r="658" spans="1:20" ht="15" x14ac:dyDescent="0.25">
      <c r="A658" s="191" t="s">
        <v>2692</v>
      </c>
      <c r="B658" s="127">
        <v>2026</v>
      </c>
      <c r="C658" s="127" t="s">
        <v>22</v>
      </c>
      <c r="D658" s="173" t="s">
        <v>2693</v>
      </c>
      <c r="E658" s="162" t="s">
        <v>2694</v>
      </c>
      <c r="F658" s="129" t="s">
        <v>69</v>
      </c>
      <c r="G658" s="174" t="s">
        <v>2695</v>
      </c>
      <c r="H658" s="175" t="s">
        <v>2696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2697</v>
      </c>
      <c r="B659" s="127">
        <v>2026</v>
      </c>
      <c r="C659" s="183" t="s">
        <v>2687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2687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2687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17.45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2687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6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2695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2695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2687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2695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2695</v>
      </c>
      <c r="H675" s="218" t="s">
        <v>2773</v>
      </c>
      <c r="I675" s="220">
        <v>46120</v>
      </c>
      <c r="J675" s="220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2687</v>
      </c>
      <c r="D677" s="193" t="s">
        <v>2779</v>
      </c>
      <c r="E677" s="184" t="s">
        <v>2780</v>
      </c>
      <c r="F677" s="185" t="s">
        <v>69</v>
      </c>
      <c r="G677" s="194" t="s">
        <v>2695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2781</v>
      </c>
      <c r="B678" s="127">
        <v>2026</v>
      </c>
      <c r="C678" s="193" t="s">
        <v>2687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/>
      <c r="N678" s="199">
        <v>50</v>
      </c>
      <c r="O678" s="200"/>
      <c r="P678" s="200"/>
      <c r="Q678" s="200"/>
      <c r="R678" s="200">
        <f>IF(B678="","",SUM(O678:Q678))</f>
        <v>0</v>
      </c>
      <c r="S678" s="193">
        <v>4</v>
      </c>
      <c r="T678" s="186" t="s">
        <v>1958</v>
      </c>
    </row>
    <row r="679" spans="1:20" ht="15" x14ac:dyDescent="0.25">
      <c r="A679" s="191" t="s">
        <v>2785</v>
      </c>
      <c r="B679" s="127">
        <v>2026</v>
      </c>
      <c r="C679" s="193" t="s">
        <v>2687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/>
      <c r="N679" s="199">
        <v>50</v>
      </c>
      <c r="O679" s="200"/>
      <c r="P679" s="200"/>
      <c r="Q679" s="200"/>
      <c r="R679" s="200">
        <f>IF(B679="","",SUM(O679:Q679))</f>
        <v>0</v>
      </c>
      <c r="S679" s="193">
        <v>4</v>
      </c>
      <c r="T679" s="194" t="s">
        <v>2789</v>
      </c>
    </row>
    <row r="680" spans="1:20" ht="15" x14ac:dyDescent="0.25">
      <c r="A680" s="137" t="s">
        <v>2790</v>
      </c>
      <c r="B680" s="127">
        <v>2026</v>
      </c>
      <c r="C680" s="168" t="s">
        <v>2791</v>
      </c>
      <c r="D680" s="152" t="s">
        <v>2792</v>
      </c>
      <c r="E680" s="153" t="s">
        <v>2793</v>
      </c>
      <c r="F680" s="129" t="s">
        <v>24</v>
      </c>
      <c r="G680" s="130" t="s">
        <v>2794</v>
      </c>
      <c r="H680" s="155" t="s">
        <v>2795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2796</v>
      </c>
    </row>
    <row r="681" spans="1:20" ht="15" x14ac:dyDescent="0.25">
      <c r="A681" s="191" t="s">
        <v>2797</v>
      </c>
      <c r="B681" s="127">
        <v>2026</v>
      </c>
      <c r="C681" s="168" t="s">
        <v>22</v>
      </c>
      <c r="D681" s="152" t="s">
        <v>2792</v>
      </c>
      <c r="E681" s="153" t="s">
        <v>2798</v>
      </c>
      <c r="F681" s="129" t="s">
        <v>24</v>
      </c>
      <c r="G681" s="154" t="s">
        <v>2794</v>
      </c>
      <c r="H681" s="155" t="s">
        <v>2799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2796</v>
      </c>
    </row>
    <row r="682" spans="1:20" ht="15" x14ac:dyDescent="0.25">
      <c r="A682" s="191" t="s">
        <v>2800</v>
      </c>
      <c r="B682" s="127">
        <v>2026</v>
      </c>
      <c r="C682" s="193" t="s">
        <v>2791</v>
      </c>
      <c r="D682" s="152" t="s">
        <v>2792</v>
      </c>
      <c r="E682" s="153" t="s">
        <v>2798</v>
      </c>
      <c r="F682" s="185" t="s">
        <v>24</v>
      </c>
      <c r="G682" s="194" t="s">
        <v>2794</v>
      </c>
      <c r="H682" s="195" t="s">
        <v>2801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2796</v>
      </c>
    </row>
    <row r="683" spans="1:20" ht="15" x14ac:dyDescent="0.25">
      <c r="A683" s="137" t="s">
        <v>2802</v>
      </c>
      <c r="B683" s="127">
        <v>2026</v>
      </c>
      <c r="C683" s="152" t="s">
        <v>22</v>
      </c>
      <c r="D683" s="152" t="s">
        <v>2803</v>
      </c>
      <c r="E683" s="153" t="s">
        <v>2804</v>
      </c>
      <c r="F683" s="129" t="s">
        <v>24</v>
      </c>
      <c r="G683" s="130" t="s">
        <v>42</v>
      </c>
      <c r="H683" s="219" t="s">
        <v>2805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2806</v>
      </c>
    </row>
    <row r="684" spans="1:20" ht="15" x14ac:dyDescent="0.25">
      <c r="A684" s="191" t="s">
        <v>2807</v>
      </c>
      <c r="B684" s="152">
        <v>2026</v>
      </c>
      <c r="C684" s="168" t="s">
        <v>22</v>
      </c>
      <c r="D684" s="152" t="s">
        <v>2808</v>
      </c>
      <c r="E684" s="153" t="s">
        <v>2809</v>
      </c>
      <c r="F684" s="161" t="s">
        <v>24</v>
      </c>
      <c r="G684" s="154" t="s">
        <v>25</v>
      </c>
      <c r="H684" s="207" t="s">
        <v>2810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2811</v>
      </c>
    </row>
    <row r="685" spans="1:20" ht="15" x14ac:dyDescent="0.25">
      <c r="A685" s="137" t="s">
        <v>2812</v>
      </c>
      <c r="B685" s="152">
        <v>2026</v>
      </c>
      <c r="C685" s="127" t="s">
        <v>22</v>
      </c>
      <c r="D685" s="131" t="s">
        <v>2813</v>
      </c>
      <c r="E685" s="128" t="s">
        <v>2814</v>
      </c>
      <c r="F685" s="129" t="s">
        <v>24</v>
      </c>
      <c r="G685" s="144" t="s">
        <v>2794</v>
      </c>
      <c r="H685" s="131" t="s">
        <v>2815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2796</v>
      </c>
    </row>
    <row r="686" spans="1:20" ht="15" x14ac:dyDescent="0.25">
      <c r="A686" s="137" t="s">
        <v>2816</v>
      </c>
      <c r="B686" s="152">
        <v>2026</v>
      </c>
      <c r="C686" s="127" t="s">
        <v>22</v>
      </c>
      <c r="D686" s="127" t="s">
        <v>2817</v>
      </c>
      <c r="E686" s="128" t="s">
        <v>2818</v>
      </c>
      <c r="F686" s="129" t="s">
        <v>69</v>
      </c>
      <c r="G686" s="130" t="s">
        <v>2695</v>
      </c>
      <c r="H686" s="131" t="s">
        <v>2819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2820</v>
      </c>
      <c r="B687" s="152">
        <v>2026</v>
      </c>
      <c r="C687" s="127" t="s">
        <v>22</v>
      </c>
      <c r="D687" s="173" t="s">
        <v>2821</v>
      </c>
      <c r="E687" s="180" t="s">
        <v>2822</v>
      </c>
      <c r="F687" s="217" t="s">
        <v>24</v>
      </c>
      <c r="G687" s="174" t="s">
        <v>42</v>
      </c>
      <c r="H687" s="175" t="s">
        <v>2823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/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2824</v>
      </c>
      <c r="B688" s="152">
        <v>2026</v>
      </c>
      <c r="C688" s="183" t="s">
        <v>22</v>
      </c>
      <c r="D688" s="183" t="s">
        <v>2825</v>
      </c>
      <c r="E688" s="184" t="s">
        <v>2826</v>
      </c>
      <c r="F688" s="185" t="s">
        <v>69</v>
      </c>
      <c r="G688" s="186" t="s">
        <v>79</v>
      </c>
      <c r="H688" s="191" t="s">
        <v>2827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2828</v>
      </c>
    </row>
    <row r="689" spans="1:20" ht="15" x14ac:dyDescent="0.25">
      <c r="A689" s="137" t="s">
        <v>2829</v>
      </c>
      <c r="B689" s="152">
        <v>2026</v>
      </c>
      <c r="C689" s="127" t="s">
        <v>22</v>
      </c>
      <c r="D689" s="127" t="s">
        <v>2830</v>
      </c>
      <c r="E689" s="128" t="s">
        <v>2831</v>
      </c>
      <c r="F689" s="129" t="s">
        <v>24</v>
      </c>
      <c r="G689" s="144" t="s">
        <v>2700</v>
      </c>
      <c r="H689" s="131" t="s">
        <v>2832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2833</v>
      </c>
    </row>
    <row r="690" spans="1:20" ht="15" x14ac:dyDescent="0.25">
      <c r="A690" s="137" t="s">
        <v>2834</v>
      </c>
      <c r="B690" s="152">
        <v>2026</v>
      </c>
      <c r="C690" s="127" t="s">
        <v>22</v>
      </c>
      <c r="D690" s="127" t="s">
        <v>2830</v>
      </c>
      <c r="E690" s="128" t="s">
        <v>2835</v>
      </c>
      <c r="F690" s="129" t="s">
        <v>24</v>
      </c>
      <c r="G690" s="144" t="s">
        <v>2700</v>
      </c>
      <c r="H690" s="131" t="s">
        <v>2836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2828</v>
      </c>
    </row>
    <row r="691" spans="1:20" ht="15" x14ac:dyDescent="0.25">
      <c r="A691" s="137" t="s">
        <v>2837</v>
      </c>
      <c r="B691" s="152">
        <v>2026</v>
      </c>
      <c r="C691" s="183" t="s">
        <v>22</v>
      </c>
      <c r="D691" s="183" t="s">
        <v>2838</v>
      </c>
      <c r="E691" s="184" t="s">
        <v>2839</v>
      </c>
      <c r="F691" s="185" t="s">
        <v>24</v>
      </c>
      <c r="G691" s="186" t="s">
        <v>2700</v>
      </c>
      <c r="H691" s="191" t="s">
        <v>2840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2828</v>
      </c>
    </row>
    <row r="692" spans="1:20" ht="15" x14ac:dyDescent="0.25">
      <c r="A692" s="191" t="s">
        <v>2841</v>
      </c>
      <c r="B692" s="152">
        <v>2026</v>
      </c>
      <c r="C692" s="183" t="s">
        <v>22</v>
      </c>
      <c r="D692" s="183" t="s">
        <v>2838</v>
      </c>
      <c r="E692" s="184" t="s">
        <v>2842</v>
      </c>
      <c r="F692" s="185" t="s">
        <v>24</v>
      </c>
      <c r="G692" s="186" t="s">
        <v>2700</v>
      </c>
      <c r="H692" s="191" t="s">
        <v>2843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2828</v>
      </c>
    </row>
    <row r="693" spans="1:20" ht="15" x14ac:dyDescent="0.25">
      <c r="A693" s="191" t="s">
        <v>2844</v>
      </c>
      <c r="B693" s="152">
        <v>2026</v>
      </c>
      <c r="C693" s="183" t="s">
        <v>2687</v>
      </c>
      <c r="D693" s="183" t="s">
        <v>2845</v>
      </c>
      <c r="E693" s="184" t="s">
        <v>2846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2847</v>
      </c>
      <c r="B694" s="152">
        <v>2026</v>
      </c>
      <c r="C694" s="127" t="s">
        <v>2687</v>
      </c>
      <c r="D694" s="173" t="s">
        <v>2848</v>
      </c>
      <c r="E694" s="180" t="s">
        <v>2849</v>
      </c>
      <c r="F694" s="129" t="s">
        <v>69</v>
      </c>
      <c r="G694" s="130" t="s">
        <v>79</v>
      </c>
      <c r="H694" s="175" t="s">
        <v>2850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2851</v>
      </c>
      <c r="B695" s="152">
        <v>2026</v>
      </c>
      <c r="C695" s="183" t="s">
        <v>2687</v>
      </c>
      <c r="D695" s="183" t="s">
        <v>2852</v>
      </c>
      <c r="E695" s="184" t="s">
        <v>2853</v>
      </c>
      <c r="F695" s="185" t="s">
        <v>69</v>
      </c>
      <c r="G695" s="186" t="s">
        <v>79</v>
      </c>
      <c r="H695" s="191" t="s">
        <v>2854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2855</v>
      </c>
      <c r="B696" s="152">
        <v>2026</v>
      </c>
      <c r="C696" s="127" t="s">
        <v>22</v>
      </c>
      <c r="D696" s="127" t="s">
        <v>2856</v>
      </c>
      <c r="E696" s="128" t="s">
        <v>2857</v>
      </c>
      <c r="F696" s="129" t="s">
        <v>69</v>
      </c>
      <c r="G696" s="130" t="s">
        <v>79</v>
      </c>
      <c r="H696" s="131" t="s">
        <v>2858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2859</v>
      </c>
      <c r="B697" s="152">
        <v>2026</v>
      </c>
      <c r="C697" s="127" t="s">
        <v>22</v>
      </c>
      <c r="D697" s="173" t="s">
        <v>2860</v>
      </c>
      <c r="E697" s="180" t="s">
        <v>2861</v>
      </c>
      <c r="F697" s="129" t="s">
        <v>24</v>
      </c>
      <c r="G697" s="144" t="s">
        <v>2700</v>
      </c>
      <c r="H697" s="175" t="s">
        <v>2862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2828</v>
      </c>
    </row>
    <row r="698" spans="1:20" ht="15" x14ac:dyDescent="0.25">
      <c r="A698" s="191" t="s">
        <v>2863</v>
      </c>
      <c r="B698" s="152">
        <v>2026</v>
      </c>
      <c r="C698" s="183" t="s">
        <v>2791</v>
      </c>
      <c r="D698" s="183" t="s">
        <v>2864</v>
      </c>
      <c r="E698" s="184" t="s">
        <v>2865</v>
      </c>
      <c r="F698" s="185" t="s">
        <v>24</v>
      </c>
      <c r="G698" s="186" t="s">
        <v>75</v>
      </c>
      <c r="H698" s="191" t="s">
        <v>2866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2867</v>
      </c>
    </row>
    <row r="699" spans="1:20" ht="15" x14ac:dyDescent="0.25">
      <c r="A699" s="137" t="s">
        <v>2868</v>
      </c>
      <c r="B699" s="152">
        <v>2026</v>
      </c>
      <c r="C699" s="127" t="s">
        <v>22</v>
      </c>
      <c r="D699" s="127" t="s">
        <v>2869</v>
      </c>
      <c r="E699" s="128" t="s">
        <v>2870</v>
      </c>
      <c r="F699" s="129" t="s">
        <v>24</v>
      </c>
      <c r="G699" s="130" t="s">
        <v>206</v>
      </c>
      <c r="H699" s="131" t="s">
        <v>2871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2872</v>
      </c>
    </row>
    <row r="700" spans="1:20" ht="15" x14ac:dyDescent="0.25">
      <c r="A700" s="191" t="s">
        <v>2873</v>
      </c>
      <c r="B700" s="152">
        <v>2026</v>
      </c>
      <c r="C700" s="183" t="s">
        <v>22</v>
      </c>
      <c r="D700" s="183" t="s">
        <v>2874</v>
      </c>
      <c r="E700" s="184" t="s">
        <v>2875</v>
      </c>
      <c r="F700" s="185" t="s">
        <v>88</v>
      </c>
      <c r="G700" s="186" t="s">
        <v>2719</v>
      </c>
      <c r="H700" s="191" t="s">
        <v>2876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2877</v>
      </c>
      <c r="B701" s="152">
        <v>2026</v>
      </c>
      <c r="C701" s="183" t="s">
        <v>22</v>
      </c>
      <c r="D701" s="183" t="s">
        <v>2878</v>
      </c>
      <c r="E701" s="184" t="s">
        <v>2879</v>
      </c>
      <c r="F701" s="185" t="s">
        <v>24</v>
      </c>
      <c r="G701" s="186" t="s">
        <v>75</v>
      </c>
      <c r="H701" s="191" t="s">
        <v>2880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2811</v>
      </c>
    </row>
    <row r="702" spans="1:20" ht="15" x14ac:dyDescent="0.25">
      <c r="A702" s="191" t="s">
        <v>2881</v>
      </c>
      <c r="B702" s="152">
        <v>2026</v>
      </c>
      <c r="C702" s="183" t="s">
        <v>2687</v>
      </c>
      <c r="D702" s="183" t="s">
        <v>2882</v>
      </c>
      <c r="E702" s="184" t="s">
        <v>2883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/>
      <c r="N702" s="189">
        <v>30</v>
      </c>
      <c r="O702" s="190"/>
      <c r="P702" s="190"/>
      <c r="Q702" s="190"/>
      <c r="R702" s="190">
        <f t="shared" si="12"/>
        <v>0</v>
      </c>
      <c r="S702" s="183">
        <v>4</v>
      </c>
      <c r="T702" s="186" t="s">
        <v>2884</v>
      </c>
    </row>
    <row r="703" spans="1:20" ht="15" x14ac:dyDescent="0.25">
      <c r="A703" s="191" t="s">
        <v>2885</v>
      </c>
      <c r="B703" s="152">
        <v>2026</v>
      </c>
      <c r="C703" s="183" t="s">
        <v>2687</v>
      </c>
      <c r="D703" s="183" t="s">
        <v>2886</v>
      </c>
      <c r="E703" s="184" t="s">
        <v>2887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/>
      <c r="N703" s="189">
        <v>30</v>
      </c>
      <c r="O703" s="190"/>
      <c r="P703" s="190"/>
      <c r="Q703" s="190"/>
      <c r="R703" s="190">
        <f t="shared" si="12"/>
        <v>0</v>
      </c>
      <c r="S703" s="183">
        <v>4</v>
      </c>
      <c r="T703" s="186" t="s">
        <v>2888</v>
      </c>
    </row>
    <row r="704" spans="1:20" ht="15" x14ac:dyDescent="0.25">
      <c r="A704" s="191" t="s">
        <v>2889</v>
      </c>
      <c r="B704" s="152">
        <v>2026</v>
      </c>
      <c r="C704" s="183" t="s">
        <v>2687</v>
      </c>
      <c r="D704" s="183" t="s">
        <v>2890</v>
      </c>
      <c r="E704" s="184" t="s">
        <v>2891</v>
      </c>
      <c r="F704" s="185" t="s">
        <v>69</v>
      </c>
      <c r="G704" s="186" t="s">
        <v>79</v>
      </c>
      <c r="H704" s="191" t="s">
        <v>2892</v>
      </c>
      <c r="I704" s="192">
        <v>46244</v>
      </c>
      <c r="J704" s="192">
        <v>46245</v>
      </c>
      <c r="K704" s="183" t="s">
        <v>38</v>
      </c>
      <c r="L704" s="187"/>
      <c r="M704" s="188"/>
      <c r="N704" s="189">
        <v>40</v>
      </c>
      <c r="O704" s="190"/>
      <c r="P704" s="190"/>
      <c r="Q704" s="190"/>
      <c r="R704" s="190">
        <f t="shared" si="12"/>
        <v>0</v>
      </c>
      <c r="S704" s="183">
        <v>8</v>
      </c>
      <c r="T704" s="205" t="s">
        <v>2893</v>
      </c>
    </row>
    <row r="705" spans="1:21" ht="15" x14ac:dyDescent="0.25">
      <c r="A705" s="191" t="s">
        <v>2894</v>
      </c>
      <c r="B705" s="152">
        <v>2026</v>
      </c>
      <c r="C705" s="183" t="s">
        <v>2687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/>
      <c r="N705" s="189">
        <v>30</v>
      </c>
      <c r="O705" s="190"/>
      <c r="P705" s="190"/>
      <c r="Q705" s="190"/>
      <c r="R705" s="190">
        <f t="shared" si="12"/>
        <v>0</v>
      </c>
      <c r="S705" s="183">
        <v>4</v>
      </c>
      <c r="T705" s="186" t="s">
        <v>2897</v>
      </c>
    </row>
    <row r="706" spans="1:21" ht="15" x14ac:dyDescent="0.25">
      <c r="A706" s="191" t="s">
        <v>2898</v>
      </c>
      <c r="B706" s="152">
        <v>2026</v>
      </c>
      <c r="C706" s="183" t="s">
        <v>2687</v>
      </c>
      <c r="D706" s="183" t="s">
        <v>2899</v>
      </c>
      <c r="E706" s="184" t="s">
        <v>2900</v>
      </c>
      <c r="F706" s="185" t="s">
        <v>69</v>
      </c>
      <c r="G706" s="186" t="s">
        <v>79</v>
      </c>
      <c r="H706" s="191" t="s">
        <v>2901</v>
      </c>
      <c r="I706" s="192">
        <v>46244</v>
      </c>
      <c r="J706" s="192">
        <v>46244</v>
      </c>
      <c r="K706" s="183" t="s">
        <v>38</v>
      </c>
      <c r="L706" s="187">
        <v>1990</v>
      </c>
      <c r="M706" s="188"/>
      <c r="N706" s="189">
        <v>20</v>
      </c>
      <c r="O706" s="190"/>
      <c r="P706" s="190"/>
      <c r="Q706" s="190"/>
      <c r="R706" s="190">
        <f t="shared" si="12"/>
        <v>0</v>
      </c>
      <c r="S706" s="183">
        <v>4</v>
      </c>
      <c r="T706" s="186" t="s">
        <v>2452</v>
      </c>
    </row>
    <row r="707" spans="1:21" ht="15" x14ac:dyDescent="0.25">
      <c r="A707" s="191" t="s">
        <v>2902</v>
      </c>
      <c r="B707" s="152">
        <v>2026</v>
      </c>
      <c r="C707" s="183" t="s">
        <v>2687</v>
      </c>
      <c r="D707" s="183" t="s">
        <v>2903</v>
      </c>
      <c r="E707" s="184" t="s">
        <v>2904</v>
      </c>
      <c r="F707" s="185" t="s">
        <v>69</v>
      </c>
      <c r="G707" s="186" t="s">
        <v>79</v>
      </c>
      <c r="H707" s="191" t="s">
        <v>2905</v>
      </c>
      <c r="I707" s="192">
        <v>46245</v>
      </c>
      <c r="J707" s="192">
        <v>46245</v>
      </c>
      <c r="K707" s="183" t="s">
        <v>38</v>
      </c>
      <c r="L707" s="187">
        <v>3520</v>
      </c>
      <c r="M707" s="188"/>
      <c r="N707" s="189">
        <v>30</v>
      </c>
      <c r="O707" s="190"/>
      <c r="P707" s="190"/>
      <c r="Q707" s="190"/>
      <c r="R707" s="190">
        <f t="shared" si="12"/>
        <v>0</v>
      </c>
      <c r="S707" s="183">
        <v>4</v>
      </c>
      <c r="T707" s="186" t="s">
        <v>2462</v>
      </c>
    </row>
    <row r="708" spans="1:21" ht="15" x14ac:dyDescent="0.25">
      <c r="A708" s="191" t="s">
        <v>2906</v>
      </c>
      <c r="B708" s="152">
        <v>2026</v>
      </c>
      <c r="C708" s="183" t="s">
        <v>2687</v>
      </c>
      <c r="D708" s="183" t="s">
        <v>2907</v>
      </c>
      <c r="E708" s="184" t="s">
        <v>2908</v>
      </c>
      <c r="F708" s="185" t="s">
        <v>69</v>
      </c>
      <c r="G708" s="186" t="s">
        <v>79</v>
      </c>
      <c r="H708" s="191" t="s">
        <v>2901</v>
      </c>
      <c r="I708" s="192">
        <v>46244</v>
      </c>
      <c r="J708" s="192">
        <v>46244</v>
      </c>
      <c r="K708" s="183" t="s">
        <v>38</v>
      </c>
      <c r="L708" s="187">
        <v>3520</v>
      </c>
      <c r="M708" s="188"/>
      <c r="N708" s="189">
        <v>30</v>
      </c>
      <c r="O708" s="190"/>
      <c r="P708" s="190"/>
      <c r="Q708" s="190"/>
      <c r="R708" s="190">
        <f t="shared" si="12"/>
        <v>0</v>
      </c>
      <c r="S708" s="183">
        <v>4</v>
      </c>
      <c r="T708" s="186" t="s">
        <v>2909</v>
      </c>
    </row>
    <row r="709" spans="1:21" ht="15" x14ac:dyDescent="0.25">
      <c r="A709" s="191" t="s">
        <v>2910</v>
      </c>
      <c r="B709" s="152">
        <v>2026</v>
      </c>
      <c r="C709" s="183" t="s">
        <v>2687</v>
      </c>
      <c r="D709" s="183" t="s">
        <v>2911</v>
      </c>
      <c r="E709" s="184" t="s">
        <v>2912</v>
      </c>
      <c r="F709" s="185" t="s">
        <v>24</v>
      </c>
      <c r="G709" s="186" t="s">
        <v>75</v>
      </c>
      <c r="H709" s="191" t="s">
        <v>2913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2914</v>
      </c>
      <c r="U709" s="106"/>
    </row>
    <row r="710" spans="1:21" ht="15" x14ac:dyDescent="0.25">
      <c r="A710" s="191" t="s">
        <v>2915</v>
      </c>
      <c r="B710" s="152">
        <v>2026</v>
      </c>
      <c r="C710" s="183" t="s">
        <v>22</v>
      </c>
      <c r="D710" s="183" t="s">
        <v>2916</v>
      </c>
      <c r="E710" s="184" t="s">
        <v>2917</v>
      </c>
      <c r="F710" s="185" t="s">
        <v>69</v>
      </c>
      <c r="G710" s="186" t="s">
        <v>79</v>
      </c>
      <c r="H710" s="191" t="s">
        <v>2918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2919</v>
      </c>
      <c r="B711" s="152">
        <v>2026</v>
      </c>
      <c r="C711" s="183" t="s">
        <v>2687</v>
      </c>
      <c r="D711" s="183" t="s">
        <v>2920</v>
      </c>
      <c r="E711" s="184" t="s">
        <v>2921</v>
      </c>
      <c r="F711" s="185" t="s">
        <v>24</v>
      </c>
      <c r="G711" s="186" t="s">
        <v>206</v>
      </c>
      <c r="H711" s="191" t="s">
        <v>2901</v>
      </c>
      <c r="I711" s="191" t="s">
        <v>2901</v>
      </c>
      <c r="J711" s="191" t="s">
        <v>2901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 t="shared" si="12"/>
        <v>0</v>
      </c>
      <c r="S711" s="183">
        <v>1</v>
      </c>
      <c r="T711" s="186" t="s">
        <v>2922</v>
      </c>
    </row>
    <row r="712" spans="1:21" ht="15" x14ac:dyDescent="0.25">
      <c r="A712" s="137" t="s">
        <v>2923</v>
      </c>
      <c r="B712" s="152">
        <v>2026</v>
      </c>
      <c r="C712" s="127" t="s">
        <v>22</v>
      </c>
      <c r="D712" s="131" t="s">
        <v>2924</v>
      </c>
      <c r="E712" s="128" t="s">
        <v>2925</v>
      </c>
      <c r="F712" s="129" t="s">
        <v>69</v>
      </c>
      <c r="G712" s="130" t="s">
        <v>79</v>
      </c>
      <c r="H712" s="131" t="s">
        <v>2926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2927</v>
      </c>
      <c r="B713" s="152">
        <v>2026</v>
      </c>
      <c r="C713" s="127" t="s">
        <v>22</v>
      </c>
      <c r="D713" s="131" t="s">
        <v>2924</v>
      </c>
      <c r="E713" s="128" t="s">
        <v>2928</v>
      </c>
      <c r="F713" s="129" t="s">
        <v>69</v>
      </c>
      <c r="G713" s="130" t="s">
        <v>79</v>
      </c>
      <c r="H713" s="131" t="s">
        <v>2929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x14ac:dyDescent="0.25">
      <c r="A714" s="191" t="s">
        <v>2930</v>
      </c>
      <c r="B714" s="152">
        <v>2026</v>
      </c>
      <c r="C714" s="183" t="s">
        <v>2687</v>
      </c>
      <c r="D714" s="183" t="s">
        <v>2931</v>
      </c>
      <c r="E714" s="184" t="s">
        <v>2932</v>
      </c>
      <c r="F714" s="185" t="s">
        <v>88</v>
      </c>
      <c r="G714" s="186" t="s">
        <v>2719</v>
      </c>
      <c r="H714" s="191" t="s">
        <v>2933</v>
      </c>
      <c r="I714" s="192">
        <v>46254</v>
      </c>
      <c r="J714" s="192">
        <v>46254</v>
      </c>
      <c r="K714" s="183" t="s">
        <v>38</v>
      </c>
      <c r="L714" s="187"/>
      <c r="M714" s="188"/>
      <c r="N714" s="189">
        <v>80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x14ac:dyDescent="0.25">
      <c r="A715" s="191" t="s">
        <v>2934</v>
      </c>
      <c r="B715" s="152">
        <v>2026</v>
      </c>
      <c r="C715" s="183" t="s">
        <v>2687</v>
      </c>
      <c r="D715" s="183" t="s">
        <v>2931</v>
      </c>
      <c r="E715" s="184" t="s">
        <v>2932</v>
      </c>
      <c r="F715" s="185" t="s">
        <v>88</v>
      </c>
      <c r="G715" s="186" t="s">
        <v>2719</v>
      </c>
      <c r="H715" s="191" t="s">
        <v>2935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x14ac:dyDescent="0.25">
      <c r="A716" s="191" t="s">
        <v>2936</v>
      </c>
      <c r="B716" s="152">
        <v>2026</v>
      </c>
      <c r="C716" s="183" t="s">
        <v>2687</v>
      </c>
      <c r="D716" s="183" t="s">
        <v>2931</v>
      </c>
      <c r="E716" s="184" t="s">
        <v>2932</v>
      </c>
      <c r="F716" s="185" t="s">
        <v>88</v>
      </c>
      <c r="G716" s="186" t="s">
        <v>2719</v>
      </c>
      <c r="H716" s="191" t="s">
        <v>2937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2938</v>
      </c>
      <c r="B717" s="152">
        <v>2026</v>
      </c>
      <c r="C717" s="183" t="s">
        <v>2687</v>
      </c>
      <c r="D717" s="183" t="s">
        <v>2931</v>
      </c>
      <c r="E717" s="184" t="s">
        <v>2932</v>
      </c>
      <c r="F717" s="185" t="s">
        <v>88</v>
      </c>
      <c r="G717" s="186" t="s">
        <v>2719</v>
      </c>
      <c r="H717" s="191" t="s">
        <v>2939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2940</v>
      </c>
      <c r="B718" s="152">
        <v>2026</v>
      </c>
      <c r="C718" s="183" t="s">
        <v>2687</v>
      </c>
      <c r="D718" s="183" t="s">
        <v>2931</v>
      </c>
      <c r="E718" s="184" t="s">
        <v>2932</v>
      </c>
      <c r="F718" s="185" t="s">
        <v>88</v>
      </c>
      <c r="G718" s="186" t="s">
        <v>2719</v>
      </c>
      <c r="H718" s="191" t="s">
        <v>2941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2942</v>
      </c>
      <c r="B719" s="152">
        <v>2026</v>
      </c>
      <c r="C719" s="183" t="s">
        <v>2687</v>
      </c>
      <c r="D719" s="183" t="s">
        <v>2931</v>
      </c>
      <c r="E719" s="184" t="s">
        <v>2932</v>
      </c>
      <c r="F719" s="185" t="s">
        <v>88</v>
      </c>
      <c r="G719" s="186" t="s">
        <v>2719</v>
      </c>
      <c r="H719" s="191" t="s">
        <v>2943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15" x14ac:dyDescent="0.25">
      <c r="A720" s="137" t="s">
        <v>2944</v>
      </c>
      <c r="B720" s="152">
        <v>2026</v>
      </c>
      <c r="C720" s="127" t="s">
        <v>22</v>
      </c>
      <c r="D720" s="127" t="s">
        <v>2945</v>
      </c>
      <c r="E720" s="128" t="s">
        <v>2946</v>
      </c>
      <c r="F720" s="129" t="s">
        <v>24</v>
      </c>
      <c r="G720" s="130" t="s">
        <v>206</v>
      </c>
      <c r="H720" s="131" t="s">
        <v>2947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2948</v>
      </c>
    </row>
    <row r="721" spans="1:20" ht="15" x14ac:dyDescent="0.25">
      <c r="A721" s="137" t="s">
        <v>2949</v>
      </c>
      <c r="B721" s="152">
        <v>2026</v>
      </c>
      <c r="C721" s="152" t="s">
        <v>22</v>
      </c>
      <c r="D721" s="152" t="s">
        <v>2931</v>
      </c>
      <c r="E721" s="153" t="s">
        <v>2950</v>
      </c>
      <c r="F721" s="161" t="s">
        <v>88</v>
      </c>
      <c r="G721" s="168" t="s">
        <v>2719</v>
      </c>
      <c r="H721" s="155" t="s">
        <v>2951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2952</v>
      </c>
    </row>
    <row r="722" spans="1:20" ht="15" x14ac:dyDescent="0.25">
      <c r="A722" s="137" t="s">
        <v>2953</v>
      </c>
      <c r="B722" s="127">
        <v>2026</v>
      </c>
      <c r="C722" s="127" t="s">
        <v>22</v>
      </c>
      <c r="D722" s="127" t="s">
        <v>2931</v>
      </c>
      <c r="E722" s="128" t="s">
        <v>2954</v>
      </c>
      <c r="F722" s="129" t="s">
        <v>88</v>
      </c>
      <c r="G722" s="164" t="s">
        <v>2719</v>
      </c>
      <c r="H722" s="131" t="s">
        <v>2955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2952</v>
      </c>
    </row>
    <row r="723" spans="1:20" ht="15" x14ac:dyDescent="0.25">
      <c r="A723" s="137" t="s">
        <v>2956</v>
      </c>
      <c r="B723" s="152">
        <v>2026</v>
      </c>
      <c r="C723" s="183" t="s">
        <v>22</v>
      </c>
      <c r="D723" s="183" t="s">
        <v>2957</v>
      </c>
      <c r="E723" s="184" t="s">
        <v>2958</v>
      </c>
      <c r="F723" s="185" t="s">
        <v>88</v>
      </c>
      <c r="G723" s="186" t="s">
        <v>2719</v>
      </c>
      <c r="H723" s="191" t="s">
        <v>2959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2960</v>
      </c>
      <c r="B724" s="151">
        <v>2026</v>
      </c>
      <c r="C724" s="183" t="s">
        <v>22</v>
      </c>
      <c r="D724" s="183" t="s">
        <v>2961</v>
      </c>
      <c r="E724" s="184" t="s">
        <v>2962</v>
      </c>
      <c r="F724" s="185" t="s">
        <v>88</v>
      </c>
      <c r="G724" s="186" t="s">
        <v>2719</v>
      </c>
      <c r="H724" s="191" t="s">
        <v>2963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2964</v>
      </c>
      <c r="B725" s="183">
        <v>2026</v>
      </c>
      <c r="C725" s="183" t="s">
        <v>22</v>
      </c>
      <c r="D725" s="183" t="s">
        <v>2957</v>
      </c>
      <c r="E725" s="184" t="s">
        <v>2965</v>
      </c>
      <c r="F725" s="185"/>
      <c r="G725" s="186" t="s">
        <v>2719</v>
      </c>
      <c r="H725" s="191" t="s">
        <v>2966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2967</v>
      </c>
      <c r="B726" s="183">
        <v>2026</v>
      </c>
      <c r="C726" s="183" t="s">
        <v>2687</v>
      </c>
      <c r="D726" s="212"/>
      <c r="E726" s="184" t="s">
        <v>2968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2969</v>
      </c>
      <c r="B727" s="183">
        <v>2026</v>
      </c>
      <c r="C727" s="183" t="s">
        <v>2687</v>
      </c>
      <c r="D727" s="183"/>
      <c r="E727" s="180" t="s">
        <v>2970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2971</v>
      </c>
      <c r="B728" s="183">
        <v>2026</v>
      </c>
      <c r="C728" s="183" t="s">
        <v>2687</v>
      </c>
      <c r="D728" s="183"/>
      <c r="E728" s="180" t="s">
        <v>2972</v>
      </c>
      <c r="F728" s="185"/>
      <c r="G728" s="186" t="s">
        <v>2719</v>
      </c>
      <c r="H728" s="191"/>
      <c r="I728" s="192"/>
      <c r="J728" s="192"/>
      <c r="K728" s="183"/>
      <c r="L728" s="187"/>
      <c r="M728" s="188"/>
      <c r="N728" s="189"/>
      <c r="O728" s="190"/>
      <c r="P728" s="190"/>
      <c r="Q728" s="190"/>
      <c r="R728" s="190">
        <f>IF(B728="","",SUM(O728:Q728))</f>
        <v>0</v>
      </c>
      <c r="S728" s="183"/>
      <c r="T728" s="186"/>
    </row>
    <row r="729" spans="1:20" ht="15" x14ac:dyDescent="0.25">
      <c r="A729" s="191" t="s">
        <v>2973</v>
      </c>
      <c r="B729" s="183">
        <v>2026</v>
      </c>
      <c r="C729" s="183" t="s">
        <v>2687</v>
      </c>
      <c r="D729" s="183"/>
      <c r="E729" s="180" t="s">
        <v>2974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2975</v>
      </c>
      <c r="B730" s="183">
        <v>2026</v>
      </c>
      <c r="C730" s="183" t="s">
        <v>2687</v>
      </c>
      <c r="D730" s="183"/>
      <c r="E730" s="203" t="s">
        <v>2976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2977</v>
      </c>
      <c r="B731" s="183">
        <v>2026</v>
      </c>
      <c r="C731" s="183" t="s">
        <v>2687</v>
      </c>
      <c r="D731" s="183"/>
      <c r="E731" s="203" t="s">
        <v>2978</v>
      </c>
      <c r="F731" s="185"/>
      <c r="G731" s="186" t="s">
        <v>2719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2979</v>
      </c>
      <c r="B732" s="183">
        <v>2026</v>
      </c>
      <c r="C732" s="183" t="s">
        <v>2687</v>
      </c>
      <c r="D732" s="183"/>
      <c r="E732" s="184" t="s">
        <v>2980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2981</v>
      </c>
      <c r="B733" s="183">
        <v>2026</v>
      </c>
      <c r="C733" s="183" t="s">
        <v>2687</v>
      </c>
      <c r="D733" s="183"/>
      <c r="E733" s="203" t="s">
        <v>2982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2983</v>
      </c>
      <c r="B734" s="183">
        <v>2026</v>
      </c>
      <c r="C734" s="183" t="s">
        <v>2687</v>
      </c>
      <c r="D734" s="183"/>
      <c r="E734" s="184" t="s">
        <v>2984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2985</v>
      </c>
      <c r="E735" s="184" t="s">
        <v>2986</v>
      </c>
      <c r="F735" s="185"/>
      <c r="G735" s="186" t="s">
        <v>206</v>
      </c>
      <c r="H735" s="191" t="s">
        <v>2985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2987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2687</v>
      </c>
      <c r="D736" s="183" t="s">
        <v>2988</v>
      </c>
      <c r="E736" s="184" t="s">
        <v>2989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83" t="str">
        <f ca="1">IF(E737="","",IF(B737="",YEAR(TODAY()),B737)&amp;"-"&amp;TEXT(COUNTIF($B$2:B737,IF(B737="",YEAR(TODAY()),B737))+COUNTIFS($E$2:E737,"&lt;&gt;",$B$2:B737,""),"000"))</f>
        <v/>
      </c>
      <c r="B737" s="183"/>
      <c r="C737" s="183"/>
      <c r="D737" s="183"/>
      <c r="E737" s="184"/>
      <c r="F737" s="185"/>
      <c r="G737" s="186"/>
      <c r="H737" s="191"/>
      <c r="I737" s="192"/>
      <c r="J737" s="192"/>
      <c r="K737" s="183"/>
      <c r="L737" s="187"/>
      <c r="M737" s="188"/>
      <c r="N737" s="189"/>
      <c r="O737" s="190"/>
      <c r="P737" s="190"/>
      <c r="Q737" s="190"/>
      <c r="R737" s="190" t="str">
        <f t="shared" si="14"/>
        <v/>
      </c>
      <c r="S737" s="183"/>
      <c r="T737" s="186"/>
    </row>
    <row r="738" spans="1:20" ht="15" x14ac:dyDescent="0.25">
      <c r="A738" s="183" t="str">
        <f ca="1">IF(E738="","",IF(B738="",YEAR(TODAY()),B738)&amp;"-"&amp;TEXT(COUNTIF($B$2:B738,IF(B738="",YEAR(TODAY()),B738))+COUNTIFS($E$2:E738,"&lt;&gt;",$B$2:B738,""),"000"))</f>
        <v/>
      </c>
      <c r="B738" s="183"/>
      <c r="C738" s="183"/>
      <c r="D738" s="183"/>
      <c r="E738" s="184"/>
      <c r="F738" s="185"/>
      <c r="G738" s="186"/>
      <c r="H738" s="191"/>
      <c r="I738" s="192"/>
      <c r="J738" s="192"/>
      <c r="K738" s="183"/>
      <c r="L738" s="187"/>
      <c r="M738" s="188"/>
      <c r="N738" s="189"/>
      <c r="O738" s="190"/>
      <c r="P738" s="190"/>
      <c r="Q738" s="190"/>
      <c r="R738" s="190" t="str">
        <f t="shared" si="14"/>
        <v/>
      </c>
      <c r="S738" s="183"/>
      <c r="T738" s="186"/>
    </row>
    <row r="739" spans="1:20" ht="15" x14ac:dyDescent="0.25">
      <c r="A739" s="183" t="str">
        <f ca="1">IF(E739="","",IF(B739="",YEAR(TODAY()),B739)&amp;"-"&amp;TEXT(COUNTIF($B$2:B739,IF(B739="",YEAR(TODAY()),B739))+COUNTIFS($E$2:E739,"&lt;&gt;",$B$2:B739,""),"000"))</f>
        <v/>
      </c>
      <c r="B739" s="183"/>
      <c r="C739" s="183"/>
      <c r="D739" s="183"/>
      <c r="E739" s="184"/>
      <c r="F739" s="185"/>
      <c r="G739" s="186"/>
      <c r="H739" s="191"/>
      <c r="I739" s="192"/>
      <c r="J739" s="192"/>
      <c r="K739" s="183"/>
      <c r="L739" s="187"/>
      <c r="M739" s="188"/>
      <c r="N739" s="189"/>
      <c r="O739" s="190"/>
      <c r="P739" s="190"/>
      <c r="Q739" s="190"/>
      <c r="R739" s="190" t="str">
        <f t="shared" si="14"/>
        <v/>
      </c>
      <c r="S739" s="183"/>
      <c r="T739" s="186"/>
    </row>
    <row r="740" spans="1:20" ht="15" x14ac:dyDescent="0.25">
      <c r="A740" s="183" t="str">
        <f ca="1">IF(E740="","",IF(B740="",YEAR(TODAY()),B740)&amp;"-"&amp;TEXT(COUNTIF($B$2:B740,IF(B740="",YEAR(TODAY()),B740))+COUNTIFS($E$2:E740,"&lt;&gt;",$B$2:B740,""),"000"))</f>
        <v/>
      </c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ht="15" x14ac:dyDescent="0.25">
      <c r="A741" s="183" t="str">
        <f ca="1">IF(E741="","",IF(B741="",YEAR(TODAY()),B741)&amp;"-"&amp;TEXT(COUNTIF($B$2:B741,IF(B741="",YEAR(TODAY()),B741))+COUNTIFS($E$2:E741,"&lt;&gt;",$B$2:B741,""),"000"))</f>
        <v/>
      </c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ht="15" x14ac:dyDescent="0.25">
      <c r="A742" s="183" t="str">
        <f ca="1">IF(E742="","",IF(B742="",YEAR(TODAY()),B742)&amp;"-"&amp;TEXT(COUNTIF($B$2:B742,IF(B742="",YEAR(TODAY()),B742))+COUNTIFS($E$2:E742,"&lt;&gt;",$B$2:B742,""),"000"))</f>
        <v/>
      </c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4"/>
      <c r="C2002" s="193"/>
      <c r="D2002" s="193"/>
      <c r="E2002" s="184"/>
      <c r="F2002" s="211"/>
      <c r="G2002" s="194"/>
      <c r="H2002" s="195"/>
      <c r="I2002" s="196"/>
      <c r="J2002" s="196"/>
      <c r="K2002" s="225"/>
      <c r="L2002" s="226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4"/>
      <c r="C2003" s="193"/>
      <c r="D2003" s="193"/>
      <c r="E2003" s="184"/>
      <c r="F2003" s="211"/>
      <c r="G2003" s="194"/>
      <c r="H2003" s="195"/>
      <c r="I2003" s="196"/>
      <c r="J2003" s="196"/>
      <c r="K2003" s="225"/>
      <c r="L2003" s="226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1"/>
      <c r="C2004" s="183"/>
      <c r="D2004" s="183"/>
      <c r="E2004" s="184"/>
      <c r="F2004" s="185"/>
      <c r="G2004" s="186"/>
      <c r="H2004" s="191"/>
      <c r="I2004" s="192"/>
      <c r="J2004" s="192"/>
      <c r="K2004" s="222"/>
      <c r="L2004" s="223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4"/>
      <c r="C2005" s="193"/>
      <c r="D2005" s="193"/>
      <c r="E2005" s="184"/>
      <c r="F2005" s="211"/>
      <c r="G2005" s="194"/>
      <c r="H2005" s="195"/>
      <c r="I2005" s="196"/>
      <c r="J2005" s="196"/>
      <c r="K2005" s="225"/>
      <c r="L2005" s="226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1"/>
      <c r="C2006" s="183"/>
      <c r="D2006" s="183"/>
      <c r="E2006" s="184"/>
      <c r="F2006" s="185"/>
      <c r="G2006" s="186"/>
      <c r="H2006" s="191"/>
      <c r="I2006" s="192"/>
      <c r="J2006" s="192"/>
      <c r="K2006" s="222"/>
      <c r="L2006" s="223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4"/>
      <c r="C2007" s="193"/>
      <c r="D2007" s="193"/>
      <c r="E2007" s="203"/>
      <c r="F2007" s="211"/>
      <c r="G2007" s="194"/>
      <c r="H2007" s="195"/>
      <c r="I2007" s="196"/>
      <c r="J2007" s="196"/>
      <c r="K2007" s="225"/>
      <c r="L2007" s="226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727:C727 E727:T727 A2002:A2006 E2007 A2:T726 A728:T2001">
    <cfRule type="expression" dxfId="52" priority="9">
      <formula>MOD(ROW(),2)=0</formula>
    </cfRule>
  </conditionalFormatting>
  <conditionalFormatting sqref="A727:C727 E727:T727 A2002:A2006 E2007 A2:T726 A728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2990</v>
      </c>
      <c r="H1" s="214" t="s">
        <v>2991</v>
      </c>
    </row>
    <row r="2" spans="1:8" x14ac:dyDescent="0.25">
      <c r="H2" s="213" t="s">
        <v>2992</v>
      </c>
    </row>
    <row r="3" spans="1:8" x14ac:dyDescent="0.25">
      <c r="A3" t="s">
        <v>0</v>
      </c>
      <c r="B3" t="s">
        <v>19</v>
      </c>
      <c r="C3" t="s">
        <v>2993</v>
      </c>
      <c r="D3" t="s">
        <v>2994</v>
      </c>
      <c r="E3" t="s">
        <v>2995</v>
      </c>
      <c r="H3" s="213" t="s">
        <v>2996</v>
      </c>
    </row>
    <row r="4" spans="1:8" x14ac:dyDescent="0.25">
      <c r="A4">
        <v>1</v>
      </c>
      <c r="B4" t="s">
        <v>2997</v>
      </c>
      <c r="D4" t="s">
        <v>2998</v>
      </c>
      <c r="E4" s="215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3" t="s">
        <v>2999</v>
      </c>
    </row>
    <row r="5" spans="1:8" x14ac:dyDescent="0.25">
      <c r="A5">
        <v>2</v>
      </c>
      <c r="B5" t="s">
        <v>2507</v>
      </c>
      <c r="D5" t="s">
        <v>2998</v>
      </c>
      <c r="E5" s="215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3" t="s">
        <v>3000</v>
      </c>
    </row>
    <row r="6" spans="1:8" x14ac:dyDescent="0.25">
      <c r="A6">
        <v>3</v>
      </c>
      <c r="B6" t="s">
        <v>1030</v>
      </c>
      <c r="D6" t="s">
        <v>2998</v>
      </c>
      <c r="E6" s="215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3"/>
    </row>
    <row r="7" spans="1:8" x14ac:dyDescent="0.25">
      <c r="A7">
        <v>4</v>
      </c>
      <c r="B7" t="s">
        <v>3001</v>
      </c>
      <c r="D7" t="s">
        <v>2998</v>
      </c>
      <c r="E7" s="215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4" t="s">
        <v>3002</v>
      </c>
    </row>
    <row r="8" spans="1:8" x14ac:dyDescent="0.25">
      <c r="A8">
        <v>5</v>
      </c>
      <c r="B8" t="s">
        <v>3003</v>
      </c>
      <c r="D8" t="s">
        <v>2998</v>
      </c>
      <c r="E8" s="215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2998</v>
      </c>
      <c r="E9" s="215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2998</v>
      </c>
      <c r="E10" s="215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2998</v>
      </c>
      <c r="E11" s="215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2833</v>
      </c>
      <c r="D12" t="s">
        <v>2998</v>
      </c>
      <c r="E12" s="215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2998</v>
      </c>
      <c r="E13" s="215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2998</v>
      </c>
      <c r="E14" s="215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2806</v>
      </c>
      <c r="D15" t="s">
        <v>2998</v>
      </c>
      <c r="E15" s="215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2998</v>
      </c>
      <c r="E16" s="215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2998</v>
      </c>
      <c r="E17" s="215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2998</v>
      </c>
      <c r="E18" s="215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2998</v>
      </c>
      <c r="E19" s="215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2998</v>
      </c>
      <c r="E20" s="215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2998</v>
      </c>
      <c r="E21" s="215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2998</v>
      </c>
      <c r="E22" s="215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3004</v>
      </c>
      <c r="D23" t="s">
        <v>2998</v>
      </c>
      <c r="E23" s="215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2998</v>
      </c>
      <c r="E24" s="215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3005</v>
      </c>
      <c r="D25" t="s">
        <v>2998</v>
      </c>
      <c r="E25" s="215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3006</v>
      </c>
      <c r="D26" t="s">
        <v>2998</v>
      </c>
      <c r="E26" s="215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2998</v>
      </c>
      <c r="E27" s="215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2998</v>
      </c>
      <c r="E28" s="215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3007</v>
      </c>
      <c r="D29" t="s">
        <v>2998</v>
      </c>
      <c r="E29" s="215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2998</v>
      </c>
      <c r="E30" s="215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2998</v>
      </c>
      <c r="E31" s="215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2998</v>
      </c>
      <c r="E32" s="215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3008</v>
      </c>
      <c r="D33" t="s">
        <v>2998</v>
      </c>
      <c r="E33" s="215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3009</v>
      </c>
      <c r="D34" t="s">
        <v>2998</v>
      </c>
      <c r="E34" s="215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2998</v>
      </c>
      <c r="E35" s="215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2998</v>
      </c>
      <c r="E36" s="215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2998</v>
      </c>
      <c r="E37" s="215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3010</v>
      </c>
      <c r="D38" t="s">
        <v>2998</v>
      </c>
      <c r="E38" s="215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2998</v>
      </c>
      <c r="E39" s="215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3011</v>
      </c>
      <c r="D40" t="s">
        <v>2998</v>
      </c>
      <c r="E40" s="215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2998</v>
      </c>
      <c r="E41" s="215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3012</v>
      </c>
      <c r="D42" t="s">
        <v>2998</v>
      </c>
      <c r="E42" s="215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2998</v>
      </c>
      <c r="E43" s="215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2998</v>
      </c>
      <c r="E44" s="215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3013</v>
      </c>
      <c r="D45" t="s">
        <v>2998</v>
      </c>
      <c r="E45" s="215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2998</v>
      </c>
      <c r="E46" s="215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2998</v>
      </c>
      <c r="E47" s="215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2998</v>
      </c>
      <c r="E48" s="215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2998</v>
      </c>
      <c r="E49" s="215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3014</v>
      </c>
      <c r="D50" t="s">
        <v>2998</v>
      </c>
      <c r="E50" s="215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2721</v>
      </c>
      <c r="D51" t="s">
        <v>2998</v>
      </c>
      <c r="E51" s="215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3015</v>
      </c>
      <c r="D52" t="s">
        <v>2998</v>
      </c>
      <c r="E52" s="215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2998</v>
      </c>
      <c r="E53" s="215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2998</v>
      </c>
      <c r="E54" s="215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3016</v>
      </c>
      <c r="D55" t="s">
        <v>2998</v>
      </c>
      <c r="E55" s="215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2998</v>
      </c>
      <c r="E56" s="215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2998</v>
      </c>
      <c r="E57" s="215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2998</v>
      </c>
      <c r="E58" s="215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3017</v>
      </c>
      <c r="D59" t="s">
        <v>2998</v>
      </c>
      <c r="E59" s="215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2998</v>
      </c>
      <c r="E60" s="215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2998</v>
      </c>
      <c r="E61" s="215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2998</v>
      </c>
      <c r="E62" s="215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3018</v>
      </c>
      <c r="D63" t="s">
        <v>2998</v>
      </c>
      <c r="E63" s="215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3019</v>
      </c>
      <c r="D64" t="s">
        <v>2998</v>
      </c>
      <c r="E64" s="215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3020</v>
      </c>
      <c r="D65" t="s">
        <v>2998</v>
      </c>
      <c r="E65" s="215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3021</v>
      </c>
      <c r="D66" t="s">
        <v>2998</v>
      </c>
      <c r="E66" s="215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2796</v>
      </c>
      <c r="D67" t="s">
        <v>2998</v>
      </c>
      <c r="E67" s="215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2998</v>
      </c>
      <c r="E68" s="215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3022</v>
      </c>
      <c r="D69" t="s">
        <v>2998</v>
      </c>
      <c r="E69" s="215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3023</v>
      </c>
      <c r="D70" t="s">
        <v>2998</v>
      </c>
      <c r="E70" s="215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2998</v>
      </c>
      <c r="E71" s="215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3024</v>
      </c>
      <c r="D72" t="s">
        <v>2998</v>
      </c>
      <c r="E72" s="215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2998</v>
      </c>
      <c r="E73" s="215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2998</v>
      </c>
      <c r="E74" s="215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2998</v>
      </c>
      <c r="E75" s="215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3025</v>
      </c>
      <c r="D76" t="s">
        <v>2998</v>
      </c>
      <c r="E76" s="215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2998</v>
      </c>
      <c r="E77" s="215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2998</v>
      </c>
      <c r="E78" s="215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2998</v>
      </c>
      <c r="E79" s="215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2998</v>
      </c>
      <c r="E80" s="215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3026</v>
      </c>
      <c r="D81" t="s">
        <v>2998</v>
      </c>
      <c r="E81" s="215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3027</v>
      </c>
      <c r="D82" t="s">
        <v>2998</v>
      </c>
      <c r="E82" s="215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3028</v>
      </c>
      <c r="D83" t="s">
        <v>2998</v>
      </c>
      <c r="E83" s="215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3029</v>
      </c>
      <c r="D84" t="s">
        <v>2998</v>
      </c>
      <c r="E84" s="215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2998</v>
      </c>
      <c r="E85" s="215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3030</v>
      </c>
      <c r="D86" t="s">
        <v>2998</v>
      </c>
      <c r="E86" s="215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2998</v>
      </c>
      <c r="E87" s="215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3031</v>
      </c>
      <c r="D88" t="s">
        <v>2998</v>
      </c>
      <c r="E88" s="215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3032</v>
      </c>
      <c r="D89" t="s">
        <v>2998</v>
      </c>
      <c r="E89" s="215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3033</v>
      </c>
      <c r="D90" t="s">
        <v>2998</v>
      </c>
      <c r="E90" s="215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3034</v>
      </c>
      <c r="D91" t="s">
        <v>2998</v>
      </c>
      <c r="E91" s="215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3035</v>
      </c>
      <c r="D92" t="s">
        <v>2998</v>
      </c>
      <c r="E92" s="215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3036</v>
      </c>
      <c r="D93" t="s">
        <v>2998</v>
      </c>
      <c r="E93" s="215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3037</v>
      </c>
      <c r="D94" t="s">
        <v>2998</v>
      </c>
      <c r="E94" s="215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3038</v>
      </c>
      <c r="D95" t="s">
        <v>2998</v>
      </c>
      <c r="E95" s="215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3039</v>
      </c>
      <c r="D96" t="s">
        <v>2998</v>
      </c>
      <c r="E96" s="215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2922</v>
      </c>
      <c r="D97" t="s">
        <v>2998</v>
      </c>
      <c r="E97" s="215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3040</v>
      </c>
      <c r="D98" t="s">
        <v>2998</v>
      </c>
      <c r="E98" s="215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2914</v>
      </c>
      <c r="D99" t="s">
        <v>2998</v>
      </c>
      <c r="E99" s="215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3041</v>
      </c>
      <c r="D100" t="s">
        <v>2998</v>
      </c>
      <c r="E100" s="215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3042</v>
      </c>
      <c r="D101" t="s">
        <v>2998</v>
      </c>
      <c r="E101" s="215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3043</v>
      </c>
      <c r="D102" t="s">
        <v>2998</v>
      </c>
      <c r="E102" s="215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3044</v>
      </c>
      <c r="D103" t="s">
        <v>2998</v>
      </c>
      <c r="E103" s="215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2893</v>
      </c>
      <c r="D104" t="s">
        <v>2998</v>
      </c>
      <c r="E104" s="215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3045</v>
      </c>
      <c r="D105" t="s">
        <v>2998</v>
      </c>
      <c r="E105" s="215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3046</v>
      </c>
      <c r="D106" t="s">
        <v>2998</v>
      </c>
      <c r="E106" s="215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3047</v>
      </c>
      <c r="D107" t="s">
        <v>2998</v>
      </c>
      <c r="E107" s="215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2867</v>
      </c>
      <c r="D108" t="s">
        <v>2998</v>
      </c>
      <c r="E108" s="215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2872</v>
      </c>
      <c r="D109" t="s">
        <v>2998</v>
      </c>
      <c r="E109" s="215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40" activePane="bottomLeft" state="frozen"/>
      <selection pane="bottomLeft" activeCell="D112" sqref="D11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3048</v>
      </c>
      <c r="C1" s="19" t="s">
        <v>3049</v>
      </c>
      <c r="D1" s="19" t="s">
        <v>4</v>
      </c>
      <c r="E1" s="19" t="s">
        <v>3050</v>
      </c>
      <c r="F1" s="19" t="s">
        <v>19</v>
      </c>
      <c r="G1" s="19" t="s">
        <v>3051</v>
      </c>
      <c r="H1" s="19" t="s">
        <v>3052</v>
      </c>
      <c r="I1" s="19" t="s">
        <v>3053</v>
      </c>
      <c r="J1" s="19" t="s">
        <v>3054</v>
      </c>
      <c r="L1" s="112" t="s">
        <v>3055</v>
      </c>
      <c r="M1" s="23">
        <v>2026</v>
      </c>
      <c r="U1" s="80" t="s">
        <v>3056</v>
      </c>
      <c r="V1" s="79"/>
      <c r="X1" s="78" t="s">
        <v>3057</v>
      </c>
      <c r="Y1" s="27"/>
      <c r="Z1" s="27"/>
      <c r="AA1" s="27"/>
      <c r="AC1" s="100" t="s">
        <v>3058</v>
      </c>
    </row>
    <row r="2" spans="1:31" x14ac:dyDescent="0.25">
      <c r="A2" s="21" cm="1">
        <f t="array" aca="1" ref="A2:J116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A realizar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3059</v>
      </c>
      <c r="M2" s="107" t="s">
        <v>2930</v>
      </c>
      <c r="X2" s="114" t="s">
        <v>3048</v>
      </c>
      <c r="Y2" s="114" t="s">
        <v>19</v>
      </c>
      <c r="Z2" s="114" t="s">
        <v>3060</v>
      </c>
      <c r="AA2" s="114" t="s">
        <v>3061</v>
      </c>
      <c r="AC2" s="115" t="s">
        <v>1</v>
      </c>
      <c r="AD2" s="115" t="s">
        <v>3062</v>
      </c>
      <c r="AE2" s="115" t="s">
        <v>3063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A realizar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3064</v>
      </c>
      <c r="M3" s="113" t="s">
        <v>3065</v>
      </c>
      <c r="N3" s="113" t="s">
        <v>3066</v>
      </c>
      <c r="O3" s="113" t="s">
        <v>3067</v>
      </c>
      <c r="P3" s="113" t="s">
        <v>3068</v>
      </c>
      <c r="Q3" s="113" t="s">
        <v>3069</v>
      </c>
      <c r="R3" s="113" t="s">
        <v>3070</v>
      </c>
      <c r="S3" s="113" t="s">
        <v>3071</v>
      </c>
      <c r="T3" s="113" t="s">
        <v>3072</v>
      </c>
      <c r="X3" t="s">
        <v>2837</v>
      </c>
      <c r="Y3" t="s">
        <v>3011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A realizar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58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A realizar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59" ca="1">_xlfn.VSTACK(0,_xlfn._xlws.FILTER(S4:S200,S4:S200&lt;&gt;""))</f>
        <v>0</v>
      </c>
      <c r="X4" t="s">
        <v>2837</v>
      </c>
      <c r="Y4" t="s">
        <v>2833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A realizar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1</v>
      </c>
      <c r="I5" s="22">
        <f ca="1"/>
        <v>0.3</v>
      </c>
      <c r="J5" s="22">
        <f ca="1"/>
        <v>1.3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2833</v>
      </c>
      <c r="Z5">
        <v>1</v>
      </c>
      <c r="AA5">
        <v>0.6</v>
      </c>
      <c r="AC5" s="97">
        <v>2026</v>
      </c>
      <c r="AD5" s="18" t="s">
        <v>3073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A realizar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3011</v>
      </c>
      <c r="Z6">
        <v>1</v>
      </c>
      <c r="AA6">
        <v>0</v>
      </c>
      <c r="AC6" s="97">
        <v>2026</v>
      </c>
      <c r="AD6" s="18" t="s">
        <v>3074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A realizar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17.45</v>
      </c>
      <c r="Q7" t="str">
        <f ca="1"/>
        <v>Flávio José Fonseca de Souza; Felipe da Costa Malaquias</v>
      </c>
      <c r="R7">
        <f ca="1"/>
        <v>2</v>
      </c>
      <c r="S7">
        <f ca="1"/>
        <v>17</v>
      </c>
      <c r="T7">
        <f ca="1"/>
        <v>15</v>
      </c>
      <c r="X7" s="21" t="s">
        <v>2812</v>
      </c>
      <c r="Y7" t="s">
        <v>2796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A realizar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20</v>
      </c>
      <c r="T8">
        <f ca="1"/>
        <v>17</v>
      </c>
      <c r="X8" t="s">
        <v>2944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A realizar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21</v>
      </c>
      <c r="T9">
        <f ca="1"/>
        <v>20</v>
      </c>
      <c r="X9" t="s">
        <v>2944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A realizar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22</v>
      </c>
      <c r="T10">
        <f ca="1"/>
        <v>21</v>
      </c>
      <c r="X10" t="s">
        <v>2944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A realizar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23</v>
      </c>
      <c r="T11">
        <f ca="1"/>
        <v>22</v>
      </c>
      <c r="X11" t="s">
        <v>2944</v>
      </c>
      <c r="Y11" s="18" t="s">
        <v>3005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25</v>
      </c>
      <c r="T12">
        <f ca="1"/>
        <v>23</v>
      </c>
      <c r="X12" t="s">
        <v>2944</v>
      </c>
      <c r="Y12" s="18" t="s">
        <v>3023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27</v>
      </c>
      <c r="T13">
        <f ca="1"/>
        <v>25</v>
      </c>
      <c r="X13" t="s">
        <v>2953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31</v>
      </c>
      <c r="T14">
        <f ca="1"/>
        <v>27</v>
      </c>
      <c r="X14" t="s">
        <v>2953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36</v>
      </c>
      <c r="T15">
        <f ca="1"/>
        <v>31</v>
      </c>
      <c r="X15" t="s">
        <v>2953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38</v>
      </c>
      <c r="T16">
        <f ca="1"/>
        <v>36</v>
      </c>
      <c r="X16" t="s">
        <v>2953</v>
      </c>
      <c r="Y16" s="18" t="s">
        <v>3005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17.45</v>
      </c>
      <c r="F17" s="18" t="str">
        <f ca="1"/>
        <v>Flávio José Fonseca de Souza</v>
      </c>
      <c r="G17" s="20">
        <f ca="1"/>
        <v>2</v>
      </c>
      <c r="H17" s="22">
        <f ca="1"/>
        <v>0</v>
      </c>
      <c r="I17" s="22">
        <f ca="1"/>
        <v>34.9</v>
      </c>
      <c r="J17" s="22">
        <f ca="1"/>
        <v>34.9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40</v>
      </c>
      <c r="T17">
        <f ca="1"/>
        <v>38</v>
      </c>
      <c r="X17" t="s">
        <v>2953</v>
      </c>
      <c r="Y17" s="18" t="s">
        <v>3023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2026-066</v>
      </c>
      <c r="C18" s="21" t="str">
        <f ca="1"/>
        <v>A realizar</v>
      </c>
      <c r="D18" s="18" t="str">
        <f ca="1"/>
        <v>Contratações de TIC com base na jurisprudência do TCDF - EAD</v>
      </c>
      <c r="E18" s="20">
        <f ca="1"/>
        <v>17.45</v>
      </c>
      <c r="F18" s="18" t="str">
        <f ca="1"/>
        <v>Felipe da Costa Malaquias</v>
      </c>
      <c r="G18" s="20">
        <f ca="1"/>
        <v>2</v>
      </c>
      <c r="H18" s="22">
        <f ca="1"/>
        <v>0</v>
      </c>
      <c r="I18" s="22">
        <f ca="1"/>
        <v>34.9</v>
      </c>
      <c r="J18" s="22">
        <f ca="1"/>
        <v>34.9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42</v>
      </c>
      <c r="T18">
        <f ca="1"/>
        <v>40</v>
      </c>
      <c r="X18" t="s">
        <v>2949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 Assunção Salvador Nery de Castro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44</v>
      </c>
      <c r="T19">
        <f ca="1"/>
        <v>42</v>
      </c>
      <c r="X19" t="s">
        <v>2949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David da Silva de Araújo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A realizar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45</v>
      </c>
      <c r="T20">
        <f ca="1"/>
        <v>44</v>
      </c>
      <c r="X20" t="s">
        <v>2949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2026-034</v>
      </c>
      <c r="C21" s="21" t="str">
        <f ca="1"/>
        <v>Realizado</v>
      </c>
      <c r="D21" s="18" t="str">
        <f ca="1"/>
        <v>Curso “Sisaudit na Prática”</v>
      </c>
      <c r="E21" s="20">
        <f ca="1"/>
        <v>12</v>
      </c>
      <c r="F21" s="18" t="str">
        <f ca="1"/>
        <v>Hamilton de Jesus Lopes Neto</v>
      </c>
      <c r="G21" s="20">
        <f ca="1"/>
        <v>3</v>
      </c>
      <c r="H21" s="22">
        <f ca="1"/>
        <v>12</v>
      </c>
      <c r="I21" s="22">
        <f ca="1"/>
        <v>1.2</v>
      </c>
      <c r="J21" s="22">
        <f ca="1"/>
        <v>13.2</v>
      </c>
      <c r="L21">
        <f ca="1"/>
        <v>2026</v>
      </c>
      <c r="M21" t="str">
        <f ca="1"/>
        <v>2026-052</v>
      </c>
      <c r="N21" t="str">
        <f ca="1"/>
        <v>A realizar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47</v>
      </c>
      <c r="T21">
        <f ca="1"/>
        <v>45</v>
      </c>
      <c r="X21" t="s">
        <v>2949</v>
      </c>
      <c r="Y21" s="18" t="s">
        <v>3005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2026-027</v>
      </c>
      <c r="C22" s="21" t="str">
        <f ca="1"/>
        <v>Realizado</v>
      </c>
      <c r="D22" s="18" t="str">
        <f ca="1"/>
        <v>Curso básico de e-TCDF</v>
      </c>
      <c r="E22" s="20">
        <f ca="1"/>
        <v>16</v>
      </c>
      <c r="F22" s="18" t="str">
        <f ca="1"/>
        <v>Cássio Murilo Alves Costa Filho</v>
      </c>
      <c r="G22" s="20">
        <f ca="1"/>
        <v>1</v>
      </c>
      <c r="H22" s="22">
        <f ca="1"/>
        <v>16</v>
      </c>
      <c r="I22" s="22">
        <f ca="1"/>
        <v>4.8</v>
      </c>
      <c r="J22" s="22">
        <f ca="1"/>
        <v>20.8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48</v>
      </c>
      <c r="T22">
        <f ca="1"/>
        <v>47</v>
      </c>
      <c r="X22" t="s">
        <v>2949</v>
      </c>
      <c r="Y22" s="18" t="s">
        <v>3023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2026-019</v>
      </c>
      <c r="C23" s="21" t="str">
        <f ca="1"/>
        <v>Realizado</v>
      </c>
      <c r="D23" s="18" t="str">
        <f ca="1"/>
        <v>Curso de Ambientação para os novos Auditores de Controle Externo - Área Auditoria</v>
      </c>
      <c r="E23" s="20">
        <f ca="1"/>
        <v>20</v>
      </c>
      <c r="F23" s="18" t="str">
        <f ca="1"/>
        <v>Diversos</v>
      </c>
      <c r="G23" s="20">
        <f ca="1"/>
        <v>1</v>
      </c>
      <c r="H23" s="22">
        <f ca="1"/>
        <v>0</v>
      </c>
      <c r="I23" s="22">
        <f ca="1"/>
        <v>0</v>
      </c>
      <c r="J23" s="22">
        <f ca="1"/>
        <v>0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50</v>
      </c>
      <c r="T23">
        <f ca="1"/>
        <v>48</v>
      </c>
      <c r="X23" s="21" t="s">
        <v>2834</v>
      </c>
      <c r="Y23" s="18" t="s">
        <v>2833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2026-042</v>
      </c>
      <c r="C24" s="21" t="str">
        <f ca="1"/>
        <v>Realizado</v>
      </c>
      <c r="D24" s="18" t="str">
        <f ca="1"/>
        <v>Curso de Formação para Conselheiros de Saúde do DF</v>
      </c>
      <c r="E24" s="20">
        <f ca="1"/>
        <v>20</v>
      </c>
      <c r="F24" s="18" t="str">
        <f ca="1"/>
        <v>Tarsila Firmino Ely</v>
      </c>
      <c r="G24" s="20">
        <f ca="1"/>
        <v>1</v>
      </c>
      <c r="H24" s="22">
        <f ca="1"/>
        <v>20</v>
      </c>
      <c r="I24" s="22">
        <f ca="1"/>
        <v>6</v>
      </c>
      <c r="J24" s="22">
        <f ca="1"/>
        <v>26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51</v>
      </c>
      <c r="T24">
        <f ca="1"/>
        <v>50</v>
      </c>
      <c r="X24" s="21" t="s">
        <v>2834</v>
      </c>
      <c r="Y24" s="18" t="s">
        <v>3011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Tarsila Firmino Ely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53</v>
      </c>
      <c r="T25">
        <f ca="1"/>
        <v>51</v>
      </c>
      <c r="X25" t="s">
        <v>2841</v>
      </c>
      <c r="Y25" s="18" t="s">
        <v>2833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2026-032</v>
      </c>
      <c r="C26" s="21" t="str">
        <f ca="1"/>
        <v>Realizado</v>
      </c>
      <c r="D26" s="18" t="str">
        <f ca="1"/>
        <v>Curso de formação para gestores e fiscais de Contrato em equipamentos nas unidades hospitalares - T2</v>
      </c>
      <c r="E26" s="20">
        <f ca="1"/>
        <v>12</v>
      </c>
      <c r="F26" s="18" t="str">
        <f ca="1"/>
        <v>Luciana Alvim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55</v>
      </c>
      <c r="T26">
        <f ca="1"/>
        <v>53</v>
      </c>
      <c r="X26" t="s">
        <v>2841</v>
      </c>
      <c r="Y26" s="18" t="s">
        <v>3011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Tarsila Firmino Ely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56</v>
      </c>
      <c r="T27">
        <f ca="1"/>
        <v>55</v>
      </c>
      <c r="X27" s="102" t="s">
        <v>2797</v>
      </c>
      <c r="Y27" s="18" t="s">
        <v>2796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2026-033</v>
      </c>
      <c r="C28" s="21" t="str">
        <f ca="1"/>
        <v>Realizado</v>
      </c>
      <c r="D28" s="18" t="str">
        <f ca="1"/>
        <v>Curso de formação para gestores e fiscais de Contrato em equipamentos nas unidades hospitalares - T3</v>
      </c>
      <c r="E28" s="20">
        <f ca="1"/>
        <v>12</v>
      </c>
      <c r="F28" s="18" t="str">
        <f ca="1"/>
        <v>Luciana Alvim</v>
      </c>
      <c r="G28" s="20">
        <f ca="1"/>
        <v>2</v>
      </c>
      <c r="H28" s="22">
        <f ca="1"/>
        <v>12</v>
      </c>
      <c r="I28" s="22">
        <f ca="1"/>
        <v>1.7999999999999998</v>
      </c>
      <c r="J28" s="22">
        <f ca="1"/>
        <v>13.8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58</v>
      </c>
      <c r="T28">
        <f ca="1"/>
        <v>56</v>
      </c>
      <c r="X28" s="102" t="s">
        <v>2722</v>
      </c>
      <c r="Y28" s="18" t="s">
        <v>3046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Tarsila Firmino Ely</v>
      </c>
      <c r="G29" s="20">
        <f ca="1"/>
        <v>4</v>
      </c>
      <c r="H29" s="22">
        <f ca="1"/>
        <v>20</v>
      </c>
      <c r="I29" s="22">
        <f ca="1"/>
        <v>3.6</v>
      </c>
      <c r="J29" s="22">
        <f ca="1"/>
        <v>23.6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60</v>
      </c>
      <c r="T29">
        <f ca="1"/>
        <v>58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Sara Cristina Lins Ramos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62</v>
      </c>
      <c r="T30">
        <f ca="1"/>
        <v>60</v>
      </c>
      <c r="X30" s="102" t="s">
        <v>2722</v>
      </c>
      <c r="Y30" s="18" t="s">
        <v>3042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Carina de Souza Mariuba Herthel</v>
      </c>
      <c r="G31" s="20">
        <f ca="1"/>
        <v>4</v>
      </c>
      <c r="H31" s="22">
        <f ca="1"/>
        <v>8</v>
      </c>
      <c r="I31" s="22">
        <f ca="1"/>
        <v>2.4</v>
      </c>
      <c r="J31" s="22">
        <f ca="1"/>
        <v>10.4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63</v>
      </c>
      <c r="T31">
        <f ca="1"/>
        <v>62</v>
      </c>
      <c r="X31" s="102" t="s">
        <v>2841</v>
      </c>
      <c r="Y31" s="18" t="s">
        <v>2833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2026-057</v>
      </c>
      <c r="C32" s="21" t="str">
        <f ca="1"/>
        <v>A realizar</v>
      </c>
      <c r="D32" s="18" t="str">
        <f ca="1"/>
        <v>Curso de formação sobre "Programa de Descentralização Progressiva das Ações de Saúde - PDPAS</v>
      </c>
      <c r="E32" s="20">
        <f ca="1"/>
        <v>20</v>
      </c>
      <c r="F32" s="18" t="str">
        <f ca="1"/>
        <v>Elvis Aaron Teixeira dos Santos Lima</v>
      </c>
      <c r="G32" s="20">
        <f ca="1"/>
        <v>4</v>
      </c>
      <c r="H32" s="22">
        <f ca="1"/>
        <v>0</v>
      </c>
      <c r="I32" s="22">
        <f ca="1"/>
        <v>0</v>
      </c>
      <c r="J32" s="22">
        <f ca="1"/>
        <v>0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65</v>
      </c>
      <c r="T32">
        <f ca="1"/>
        <v>63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Cinthia Thais de Carvalho Luz Thomazi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66</v>
      </c>
      <c r="T33">
        <f ca="1"/>
        <v>65</v>
      </c>
      <c r="X33" s="102" t="s">
        <v>2755</v>
      </c>
      <c r="Y33" t="s">
        <v>3024</v>
      </c>
      <c r="Z33">
        <v>4</v>
      </c>
      <c r="AA33">
        <v>0.6</v>
      </c>
      <c r="AC33" s="99"/>
      <c r="AD33" s="116" t="s">
        <v>3075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Reinaldo Alencar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68</v>
      </c>
      <c r="T34">
        <f ca="1"/>
        <v>66</v>
      </c>
      <c r="X34" s="102" t="s">
        <v>2755</v>
      </c>
      <c r="Y34" t="s">
        <v>3025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Rogério Ribeiro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70</v>
      </c>
      <c r="T35">
        <f ca="1"/>
        <v>68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Rômulo Miranda Alvim</v>
      </c>
      <c r="G36" s="20">
        <f ca="1"/>
        <v>5</v>
      </c>
      <c r="H36" s="22">
        <f ca="1"/>
        <v>4</v>
      </c>
      <c r="I36" s="22">
        <f ca="1"/>
        <v>0.6</v>
      </c>
      <c r="J36" s="22">
        <f ca="1"/>
        <v>4.5999999999999996</v>
      </c>
      <c r="L36">
        <f ca="1"/>
        <v>2026</v>
      </c>
      <c r="M36" t="str">
        <f ca="1"/>
        <v>2026-053</v>
      </c>
      <c r="N36" t="str">
        <f ca="1"/>
        <v>A realizar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72</v>
      </c>
      <c r="T36">
        <f ca="1"/>
        <v>70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2026-021</v>
      </c>
      <c r="C37" s="81" t="str">
        <f ca="1"/>
        <v>Realizado</v>
      </c>
      <c r="D37" t="str">
        <f ca="1"/>
        <v>Curso de Fundamentos básicos de controle externo no TCDF</v>
      </c>
      <c r="E37" s="81">
        <f ca="1"/>
        <v>12</v>
      </c>
      <c r="F37" t="str">
        <f ca="1"/>
        <v>Gabriel Heller</v>
      </c>
      <c r="G37" s="81">
        <f ca="1"/>
        <v>5</v>
      </c>
      <c r="H37" s="81">
        <f ca="1"/>
        <v>4</v>
      </c>
      <c r="I37" s="81">
        <f ca="1"/>
        <v>1.2</v>
      </c>
      <c r="J37" s="81">
        <f ca="1"/>
        <v>5.2</v>
      </c>
      <c r="L37">
        <f ca="1"/>
        <v>2026</v>
      </c>
      <c r="M37" t="str">
        <f ca="1"/>
        <v>2026-051</v>
      </c>
      <c r="N37" t="str">
        <f ca="1"/>
        <v>A realizar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74</v>
      </c>
      <c r="T37">
        <f ca="1"/>
        <v>72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Rômulo Miranda Alvim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A realizar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75</v>
      </c>
      <c r="T38">
        <f ca="1"/>
        <v>74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2026-008</v>
      </c>
      <c r="C39" s="81" t="str">
        <f ca="1"/>
        <v>Realizado</v>
      </c>
      <c r="D39" t="str">
        <f ca="1"/>
        <v>Curso de Promoção Funcional 2026/2027</v>
      </c>
      <c r="E39" s="81">
        <f ca="1"/>
        <v>20</v>
      </c>
      <c r="F39" t="str">
        <f ca="1"/>
        <v>Cinthia Thais de Carvalho Luz Thomazi</v>
      </c>
      <c r="G39" s="81">
        <f ca="1"/>
        <v>2</v>
      </c>
      <c r="H39" s="81">
        <f ca="1"/>
        <v>20</v>
      </c>
      <c r="I39" s="81">
        <f ca="1"/>
        <v>3</v>
      </c>
      <c r="J39" s="81">
        <f ca="1"/>
        <v>23</v>
      </c>
      <c r="L39">
        <f ca="1"/>
        <v>2026</v>
      </c>
      <c r="M39" t="str">
        <f ca="1"/>
        <v>2026-068</v>
      </c>
      <c r="N39" t="str">
        <f ca="1"/>
        <v>A realizar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77</v>
      </c>
      <c r="T39">
        <f ca="1"/>
        <v>75</v>
      </c>
      <c r="X39" t="s">
        <v>2844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Adriana Magalhães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A realizar</v>
      </c>
      <c r="O40" t="str">
        <f ca="1"/>
        <v>Oficina Temática - SEMAT: MROSC para servidores do GDF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79</v>
      </c>
      <c r="T40">
        <f ca="1"/>
        <v>77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2026-006</v>
      </c>
      <c r="C41" s="81" t="str">
        <f ca="1"/>
        <v>Realizado</v>
      </c>
      <c r="D41" t="str">
        <f ca="1"/>
        <v>Curso para gestores e fiscais de contratos de serviços assistenciais complementares – SES/DF</v>
      </c>
      <c r="E41" s="81">
        <f ca="1"/>
        <v>12</v>
      </c>
      <c r="F41" t="str">
        <f ca="1"/>
        <v>Luciana Alvim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A realizar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81</v>
      </c>
      <c r="T41">
        <f ca="1"/>
        <v>79</v>
      </c>
      <c r="X41" t="s">
        <v>2898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Adriana Magalhães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A realizar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83</v>
      </c>
      <c r="T42">
        <f ca="1"/>
        <v>81</v>
      </c>
      <c r="X42" t="s">
        <v>2898</v>
      </c>
      <c r="Y42" t="s">
        <v>3016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2026-013</v>
      </c>
      <c r="C43" t="str">
        <f ca="1"/>
        <v>Realizado</v>
      </c>
      <c r="D43" t="str">
        <f ca="1"/>
        <v>Curso para gestores e fiscais de contratos de serviços assistenciais complementares – SES/DF - T2</v>
      </c>
      <c r="E43">
        <f ca="1"/>
        <v>12</v>
      </c>
      <c r="F43" t="str">
        <f ca="1"/>
        <v>Luciana Alvim</v>
      </c>
      <c r="G43">
        <f ca="1"/>
        <v>2</v>
      </c>
      <c r="H43">
        <f ca="1"/>
        <v>12</v>
      </c>
      <c r="I43">
        <f ca="1"/>
        <v>1.7999999999999998</v>
      </c>
      <c r="J43">
        <f ca="1"/>
        <v>13.8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84</v>
      </c>
      <c r="T43">
        <f ca="1"/>
        <v>83</v>
      </c>
      <c r="X43" t="s">
        <v>2906</v>
      </c>
      <c r="Y43" s="18" t="s">
        <v>3033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Tarsila Firmino Ely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85</v>
      </c>
      <c r="T44">
        <f ca="1"/>
        <v>84</v>
      </c>
      <c r="X44" t="s">
        <v>2906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2026-025</v>
      </c>
      <c r="C45" t="str">
        <f ca="1"/>
        <v>A realizar</v>
      </c>
      <c r="D45" t="str">
        <f ca="1"/>
        <v>Elaboração da Cartilha "Gestão e Fiscalização de Contratos em Saúde"</v>
      </c>
      <c r="E45">
        <f ca="1"/>
        <v>65</v>
      </c>
      <c r="F45" t="str">
        <f ca="1"/>
        <v>Luciana Alvim</v>
      </c>
      <c r="G45">
        <f ca="1"/>
        <v>2</v>
      </c>
      <c r="H45">
        <f ca="1"/>
        <v>0</v>
      </c>
      <c r="I45">
        <f ca="1"/>
        <v>65</v>
      </c>
      <c r="J45">
        <f ca="1"/>
        <v>65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86</v>
      </c>
      <c r="T45">
        <f ca="1"/>
        <v>85</v>
      </c>
      <c r="X45" t="s">
        <v>2686</v>
      </c>
      <c r="Y45" t="s">
        <v>3032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2026-050</v>
      </c>
      <c r="C46" t="str">
        <f ca="1"/>
        <v>A realizar</v>
      </c>
      <c r="D46" t="str">
        <f ca="1"/>
        <v>Encontro Técnico - SEMAT: Concursos públicos e registro de admissões</v>
      </c>
      <c r="E46">
        <f ca="1"/>
        <v>4</v>
      </c>
      <c r="F46" t="str">
        <f ca="1"/>
        <v>Carlos Antônio</v>
      </c>
      <c r="G46">
        <f ca="1"/>
        <v>1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A realizar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87</v>
      </c>
      <c r="T46">
        <f ca="1"/>
        <v>86</v>
      </c>
      <c r="X46" t="s">
        <v>2686</v>
      </c>
      <c r="Y46" t="s">
        <v>3044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A realizar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Jamile Medeiros Fon</v>
      </c>
      <c r="G47">
        <f ca="1"/>
        <v>2</v>
      </c>
      <c r="H47">
        <f ca="1"/>
        <v>4</v>
      </c>
      <c r="I47">
        <f ca="1"/>
        <v>1.2</v>
      </c>
      <c r="J47">
        <f ca="1"/>
        <v>5.2</v>
      </c>
      <c r="L47">
        <f ca="1"/>
        <v>2026</v>
      </c>
      <c r="M47" t="str">
        <f ca="1"/>
        <v>2026-056</v>
      </c>
      <c r="N47" t="str">
        <f ca="1"/>
        <v>A realizar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88</v>
      </c>
      <c r="T47">
        <f ca="1"/>
        <v>87</v>
      </c>
      <c r="X47" t="s">
        <v>2686</v>
      </c>
      <c r="Y47" t="s">
        <v>3041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2026-052</v>
      </c>
      <c r="C48" t="str">
        <f ca="1"/>
        <v>A realizar</v>
      </c>
      <c r="D48" t="str">
        <f ca="1"/>
        <v>Encontro Técnico– SEMAT: Concessões e Fiscalização de Pessoal</v>
      </c>
      <c r="E48">
        <f ca="1"/>
        <v>4</v>
      </c>
      <c r="F48" t="str">
        <f ca="1"/>
        <v>José Roberto Alcuri Júnior</v>
      </c>
      <c r="G48">
        <f ca="1"/>
        <v>2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89</v>
      </c>
      <c r="T48">
        <f ca="1"/>
        <v>88</v>
      </c>
      <c r="X48" t="s">
        <v>2686</v>
      </c>
      <c r="Y48" t="s">
        <v>3043</v>
      </c>
      <c r="Z48">
        <v>1</v>
      </c>
      <c r="AA48">
        <v>0.3</v>
      </c>
    </row>
    <row r="49" spans="1:27" x14ac:dyDescent="0.25">
      <c r="A49">
        <f ca="1"/>
        <v>2026</v>
      </c>
      <c r="B49" t="str">
        <f ca="1"/>
        <v>2026-040</v>
      </c>
      <c r="C49" t="str">
        <f ca="1"/>
        <v>Realizado</v>
      </c>
      <c r="D49" t="str">
        <f ca="1"/>
        <v>Escola de Instrutores - Design Instrucional</v>
      </c>
      <c r="E49">
        <f ca="1"/>
        <v>12</v>
      </c>
      <c r="F49" t="str">
        <f ca="1"/>
        <v>Paulo José Góes Daltro</v>
      </c>
      <c r="G49">
        <f ca="1"/>
        <v>1</v>
      </c>
      <c r="H49">
        <f ca="1"/>
        <v>0</v>
      </c>
      <c r="I49">
        <f ca="1"/>
        <v>0</v>
      </c>
      <c r="J49">
        <f ca="1"/>
        <v>0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90</v>
      </c>
      <c r="T49">
        <f ca="1"/>
        <v>89</v>
      </c>
      <c r="X49" t="s">
        <v>2686</v>
      </c>
      <c r="Y49" t="s">
        <v>3040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Reinaldo Alencar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91</v>
      </c>
      <c r="T50">
        <f ca="1"/>
        <v>90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2026-031</v>
      </c>
      <c r="C51" t="str">
        <f ca="1"/>
        <v>Realizado</v>
      </c>
      <c r="D51" t="str">
        <f ca="1"/>
        <v>Fiscalizações Baseadas em Risco</v>
      </c>
      <c r="E51">
        <f ca="1"/>
        <v>20</v>
      </c>
      <c r="F51" t="str">
        <f ca="1"/>
        <v>Rogério Ribeiro</v>
      </c>
      <c r="G51">
        <f ca="1"/>
        <v>2</v>
      </c>
      <c r="H51">
        <f ca="1"/>
        <v>20</v>
      </c>
      <c r="I51">
        <f ca="1"/>
        <v>3</v>
      </c>
      <c r="J51">
        <f ca="1"/>
        <v>23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92</v>
      </c>
      <c r="T51">
        <f ca="1"/>
        <v>91</v>
      </c>
      <c r="X51" t="s">
        <v>2686</v>
      </c>
      <c r="Y51" t="s">
        <v>3076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2026-005</v>
      </c>
      <c r="C52" t="str">
        <f ca="1"/>
        <v>Realizado</v>
      </c>
      <c r="D52" t="str">
        <f ca="1"/>
        <v>FIT1: Treinamento e Desenvolvimento (T&amp;D)</v>
      </c>
      <c r="E52">
        <f ca="1"/>
        <v>16</v>
      </c>
      <c r="F52" t="str">
        <f ca="1"/>
        <v>Paulo José Góes Daltro</v>
      </c>
      <c r="G52">
        <f ca="1"/>
        <v>1</v>
      </c>
      <c r="H52">
        <f ca="1"/>
        <v>0</v>
      </c>
      <c r="I52">
        <f ca="1"/>
        <v>0</v>
      </c>
      <c r="J52">
        <f ca="1"/>
        <v>0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97</v>
      </c>
      <c r="T52">
        <f ca="1"/>
        <v>92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Tarsila Firmino Ely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102</v>
      </c>
      <c r="T53">
        <f ca="1"/>
        <v>97</v>
      </c>
      <c r="X53" t="s">
        <v>2686</v>
      </c>
      <c r="Y53" t="s">
        <v>3047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2026-004</v>
      </c>
      <c r="C54" t="str">
        <f ca="1"/>
        <v>Realizado</v>
      </c>
      <c r="D54" t="str">
        <f ca="1"/>
        <v>Gestão e Fiscalização de Contratos de Equipamentos Médico Hospitalares e Serviços de Manutenção</v>
      </c>
      <c r="E54">
        <f ca="1"/>
        <v>12</v>
      </c>
      <c r="F54" t="str">
        <f ca="1"/>
        <v>Luciana Alvim</v>
      </c>
      <c r="G54">
        <f ca="1"/>
        <v>2</v>
      </c>
      <c r="H54">
        <f ca="1"/>
        <v>12</v>
      </c>
      <c r="I54">
        <f ca="1"/>
        <v>1.7999999999999998</v>
      </c>
      <c r="J54">
        <f ca="1"/>
        <v>13.8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107</v>
      </c>
      <c r="T54">
        <f ca="1"/>
        <v>102</v>
      </c>
      <c r="X54" t="s">
        <v>2686</v>
      </c>
      <c r="Y54" t="s">
        <v>3045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Arthur Wú</v>
      </c>
      <c r="G55">
        <f ca="1"/>
        <v>2</v>
      </c>
      <c r="H55">
        <f ca="1"/>
        <v>8</v>
      </c>
      <c r="I55">
        <f ca="1"/>
        <v>2.4</v>
      </c>
      <c r="J55">
        <f ca="1"/>
        <v>10.4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109</v>
      </c>
      <c r="T55">
        <f ca="1"/>
        <v>107</v>
      </c>
      <c r="X55" t="s">
        <v>2785</v>
      </c>
      <c r="Y55" t="s">
        <v>3032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2026-037</v>
      </c>
      <c r="C56" t="str">
        <f ca="1"/>
        <v>Realizado</v>
      </c>
      <c r="D56" t="str">
        <f ca="1"/>
        <v>Introdução à Engenharia de Prompt - SEE</v>
      </c>
      <c r="E56">
        <f ca="1"/>
        <v>8</v>
      </c>
      <c r="F56" t="str">
        <f ca="1"/>
        <v>Gustavo Takahashi</v>
      </c>
      <c r="G56">
        <f ca="1"/>
        <v>2</v>
      </c>
      <c r="H56">
        <f ca="1"/>
        <v>8</v>
      </c>
      <c r="I56">
        <f ca="1"/>
        <v>0</v>
      </c>
      <c r="J56">
        <f ca="1"/>
        <v>8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110</v>
      </c>
      <c r="T56">
        <f ca="1"/>
        <v>109</v>
      </c>
      <c r="X56" t="s">
        <v>2936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2026-009</v>
      </c>
      <c r="C57" t="str">
        <f ca="1"/>
        <v>Realizado</v>
      </c>
      <c r="D57" t="str">
        <f ca="1"/>
        <v>Introdução à Engenharia de Prompt - t1</v>
      </c>
      <c r="E57">
        <f ca="1"/>
        <v>8</v>
      </c>
      <c r="F57" t="str">
        <f ca="1"/>
        <v>Arthur Wú</v>
      </c>
      <c r="G57">
        <f ca="1"/>
        <v>1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112</v>
      </c>
      <c r="T57">
        <f ca="1"/>
        <v>110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Arthur Wú</v>
      </c>
      <c r="G58">
        <f ca="1"/>
        <v>2</v>
      </c>
      <c r="H58">
        <f ca="1"/>
        <v>8</v>
      </c>
      <c r="I58">
        <f ca="1"/>
        <v>2.4</v>
      </c>
      <c r="J58">
        <f ca="1"/>
        <v>10.4</v>
      </c>
      <c r="L58">
        <f ca="1"/>
        <v>2026</v>
      </c>
      <c r="M58" t="str">
        <f ca="1"/>
        <v>2026-079</v>
      </c>
      <c r="N58" t="str">
        <f ca="1"/>
        <v>Realizado</v>
      </c>
      <c r="O58" t="str">
        <f ca="1"/>
        <v>Café e Tertúlia: Gincana dos Neurotransmissores</v>
      </c>
      <c r="P58">
        <f ca="1"/>
        <v>2</v>
      </c>
      <c r="Q58" t="str">
        <f ca="1"/>
        <v>Isac Mendes Caixeta de Pamplona Araújo; Valéria Feitoza; Cinthia Thais de Carvalho Luz Thomazi</v>
      </c>
      <c r="R58">
        <f ca="1"/>
        <v>3</v>
      </c>
      <c r="S58">
        <f ca="1"/>
        <v>115</v>
      </c>
      <c r="T58">
        <f ca="1"/>
        <v>112</v>
      </c>
      <c r="X58" t="s">
        <v>2750</v>
      </c>
      <c r="Y58" s="110" t="s">
        <v>3039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2026-015</v>
      </c>
      <c r="C59" t="str">
        <f ca="1"/>
        <v>Realizado</v>
      </c>
      <c r="D59" t="str">
        <f ca="1"/>
        <v>Introdução à Engenharia de Prompt - t2</v>
      </c>
      <c r="E59">
        <f ca="1"/>
        <v>8</v>
      </c>
      <c r="F59" t="str">
        <f ca="1"/>
        <v>Gustavo Takahashi</v>
      </c>
      <c r="G59">
        <f ca="1"/>
        <v>2</v>
      </c>
      <c r="H59">
        <f ca="1"/>
        <v>8</v>
      </c>
      <c r="I59">
        <f ca="1"/>
        <v>0</v>
      </c>
      <c r="J59">
        <f ca="1"/>
        <v>8</v>
      </c>
      <c r="R59" t="str">
        <f ca="1"/>
        <v/>
      </c>
      <c r="S59" t="str">
        <f ca="1"/>
        <v/>
      </c>
      <c r="T59">
        <f ca="1"/>
        <v>115</v>
      </c>
      <c r="X59" t="s">
        <v>2750</v>
      </c>
      <c r="Y59" t="s">
        <v>3038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Arthur Wú</v>
      </c>
      <c r="G60">
        <f ca="1"/>
        <v>2</v>
      </c>
      <c r="H60">
        <f ca="1"/>
        <v>8</v>
      </c>
      <c r="I60">
        <f ca="1"/>
        <v>2.4</v>
      </c>
      <c r="J60">
        <f ca="1"/>
        <v>10.4</v>
      </c>
      <c r="R60" t="str">
        <f ca="1"/>
        <v/>
      </c>
      <c r="S60" t="str">
        <f ca="1"/>
        <v/>
      </c>
      <c r="X60" t="s">
        <v>2750</v>
      </c>
      <c r="Y60" t="s">
        <v>3037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2026-024</v>
      </c>
      <c r="C61" t="str">
        <f ca="1"/>
        <v>Realizado</v>
      </c>
      <c r="D61" t="str">
        <f ca="1"/>
        <v>Introdução à Engenharia de Prompt - T3</v>
      </c>
      <c r="E61">
        <f ca="1"/>
        <v>8</v>
      </c>
      <c r="F61" t="str">
        <f ca="1"/>
        <v>Gustavo Takahashi</v>
      </c>
      <c r="G61">
        <f ca="1"/>
        <v>2</v>
      </c>
      <c r="H61">
        <f ca="1"/>
        <v>8</v>
      </c>
      <c r="I61">
        <f ca="1"/>
        <v>0</v>
      </c>
      <c r="J61">
        <f ca="1"/>
        <v>8</v>
      </c>
      <c r="R61" t="str">
        <f ca="1"/>
        <v/>
      </c>
      <c r="S61" t="str">
        <f ca="1"/>
        <v/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Arthur Wú</v>
      </c>
      <c r="G62">
        <f ca="1"/>
        <v>2</v>
      </c>
      <c r="H62">
        <f ca="1"/>
        <v>8</v>
      </c>
      <c r="I62">
        <f ca="1"/>
        <v>2.4</v>
      </c>
      <c r="J62">
        <f ca="1"/>
        <v>10.4</v>
      </c>
      <c r="R62" t="str">
        <f ca="1"/>
        <v/>
      </c>
      <c r="S62" t="str">
        <f ca="1"/>
        <v/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2026-036</v>
      </c>
      <c r="C63" t="str">
        <f ca="1"/>
        <v>Realizado</v>
      </c>
      <c r="D63" t="str">
        <f ca="1"/>
        <v>Introdução à Engenharia de Prompt - T4</v>
      </c>
      <c r="E63">
        <f ca="1"/>
        <v>8</v>
      </c>
      <c r="F63" t="str">
        <f ca="1"/>
        <v>Gustavo Takahashi</v>
      </c>
      <c r="G63">
        <f ca="1"/>
        <v>2</v>
      </c>
      <c r="H63">
        <f ca="1"/>
        <v>8</v>
      </c>
      <c r="I63">
        <f ca="1"/>
        <v>0</v>
      </c>
      <c r="J63">
        <f ca="1"/>
        <v>8</v>
      </c>
      <c r="R63" t="str">
        <f ca="1"/>
        <v/>
      </c>
      <c r="S63" t="str">
        <f ca="1"/>
        <v/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2026-038</v>
      </c>
      <c r="C64" t="str">
        <f ca="1"/>
        <v>A realizar</v>
      </c>
      <c r="D64" t="str">
        <f ca="1"/>
        <v>Introdução ao processo de controle externo - EAD</v>
      </c>
      <c r="E64">
        <f ca="1"/>
        <v>16</v>
      </c>
      <c r="F64" t="str">
        <f ca="1"/>
        <v>Gabriel Heller</v>
      </c>
      <c r="G64">
        <f ca="1"/>
        <v>1</v>
      </c>
      <c r="H64">
        <f ca="1"/>
        <v>0</v>
      </c>
      <c r="I64">
        <f ca="1"/>
        <v>32</v>
      </c>
      <c r="J64">
        <f ca="1"/>
        <v>32</v>
      </c>
      <c r="R64" t="str">
        <f ca="1"/>
        <v/>
      </c>
      <c r="S64" t="str">
        <f ca="1"/>
        <v/>
      </c>
      <c r="X64" t="s">
        <v>2702</v>
      </c>
      <c r="Y64" t="s">
        <v>3029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Arthur Wú</v>
      </c>
      <c r="G65">
        <f ca="1"/>
        <v>2</v>
      </c>
      <c r="H65">
        <f ca="1"/>
        <v>1</v>
      </c>
      <c r="I65">
        <f ca="1"/>
        <v>0.6</v>
      </c>
      <c r="J65">
        <f ca="1"/>
        <v>1.6</v>
      </c>
      <c r="R65" t="str">
        <f ca="1"/>
        <v/>
      </c>
      <c r="S65" t="str">
        <f ca="1"/>
        <v/>
      </c>
      <c r="X65" t="s">
        <v>2710</v>
      </c>
      <c r="Y65" t="s">
        <v>2893</v>
      </c>
      <c r="Z65">
        <v>0</v>
      </c>
      <c r="AA65">
        <v>34.9</v>
      </c>
    </row>
    <row r="66" spans="1:27" x14ac:dyDescent="0.25">
      <c r="A66">
        <f ca="1"/>
        <v>2026</v>
      </c>
      <c r="B66" t="str">
        <f ca="1"/>
        <v>2026-016</v>
      </c>
      <c r="C66" t="str">
        <f ca="1"/>
        <v>Realizado</v>
      </c>
      <c r="D66" t="str">
        <f ca="1"/>
        <v>Mentoria de introdução à Engenharia de Prompt</v>
      </c>
      <c r="E66">
        <f ca="1"/>
        <v>2</v>
      </c>
      <c r="F66" t="str">
        <f ca="1"/>
        <v>Gustavo Takahashi</v>
      </c>
      <c r="G66">
        <f ca="1"/>
        <v>2</v>
      </c>
      <c r="H66">
        <f ca="1"/>
        <v>1</v>
      </c>
      <c r="I66">
        <f ca="1"/>
        <v>0</v>
      </c>
      <c r="J66">
        <f ca="1"/>
        <v>1</v>
      </c>
      <c r="R66" t="str">
        <f ca="1"/>
        <v/>
      </c>
      <c r="S66" t="str">
        <f ca="1"/>
        <v/>
      </c>
      <c r="X66" t="s">
        <v>2710</v>
      </c>
      <c r="Y66" t="s">
        <v>1479</v>
      </c>
      <c r="Z66">
        <v>0</v>
      </c>
      <c r="AA66">
        <v>34.9</v>
      </c>
    </row>
    <row r="67" spans="1:27" x14ac:dyDescent="0.25">
      <c r="A67">
        <f ca="1"/>
        <v>2026</v>
      </c>
      <c r="B67" t="str">
        <f ca="1"/>
        <v>2026-017</v>
      </c>
      <c r="C67" t="str">
        <f ca="1"/>
        <v>Realizado</v>
      </c>
      <c r="D67" t="str">
        <f ca="1"/>
        <v>Mostra Fotográfica “Meu Olhar sobre Brasília”</v>
      </c>
      <c r="E67">
        <f ca="1"/>
        <v>0</v>
      </c>
      <c r="F67" t="str">
        <f ca="1"/>
        <v>Servidores, colaboradores e estagiários do TCDF</v>
      </c>
      <c r="G67">
        <f ca="1"/>
        <v>1</v>
      </c>
      <c r="H67">
        <f ca="1"/>
        <v>0</v>
      </c>
      <c r="I67">
        <f ca="1"/>
        <v>0</v>
      </c>
      <c r="J67">
        <f ca="1"/>
        <v>0</v>
      </c>
      <c r="R67" t="str">
        <f ca="1"/>
        <v/>
      </c>
      <c r="S67" t="str">
        <f ca="1"/>
        <v/>
      </c>
      <c r="X67" t="s">
        <v>2956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Indio Artiaga do Brasil Rabelo</v>
      </c>
      <c r="G68">
        <f ca="1"/>
        <v>2</v>
      </c>
      <c r="H68">
        <f ca="1"/>
        <v>12</v>
      </c>
      <c r="I68">
        <f ca="1"/>
        <v>3.6</v>
      </c>
      <c r="J68">
        <f ca="1"/>
        <v>15.6</v>
      </c>
      <c r="R68" t="str">
        <f ca="1"/>
        <v/>
      </c>
      <c r="S68" t="str">
        <f ca="1"/>
        <v/>
      </c>
      <c r="X68" t="s">
        <v>2956</v>
      </c>
      <c r="Y68" t="s">
        <v>3027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2026-039</v>
      </c>
      <c r="C69" t="str">
        <f ca="1"/>
        <v>Realizado</v>
      </c>
      <c r="D69" t="str">
        <f ca="1"/>
        <v>MROSC para os gestores das Organizações da Sociedade Civil – OSCs</v>
      </c>
      <c r="E69">
        <f ca="1"/>
        <v>12</v>
      </c>
      <c r="F69" t="str">
        <f ca="1"/>
        <v>Leonardo de Melo</v>
      </c>
      <c r="G69">
        <f ca="1"/>
        <v>2</v>
      </c>
      <c r="H69">
        <f ca="1"/>
        <v>0</v>
      </c>
      <c r="I69">
        <f ca="1"/>
        <v>0</v>
      </c>
      <c r="J69">
        <f ca="1"/>
        <v>0</v>
      </c>
      <c r="R69" t="str">
        <f ca="1"/>
        <v/>
      </c>
      <c r="S69" t="str">
        <f ca="1"/>
        <v/>
      </c>
      <c r="X69" t="s">
        <v>2790</v>
      </c>
      <c r="Y69" t="s">
        <v>2796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Reinaldo Alencar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2824</v>
      </c>
      <c r="Y70" s="18" t="s">
        <v>2833</v>
      </c>
      <c r="AA70">
        <v>2.4</v>
      </c>
    </row>
    <row r="71" spans="1:27" x14ac:dyDescent="0.25">
      <c r="A71">
        <f ca="1"/>
        <v>2026</v>
      </c>
      <c r="B71" t="str">
        <f ca="1"/>
        <v>2026-041</v>
      </c>
      <c r="C71" t="str">
        <f ca="1"/>
        <v>Realizado</v>
      </c>
      <c r="D71" t="str">
        <f ca="1"/>
        <v>O novo olhar sobre as políticas públicas para o Controle Externo</v>
      </c>
      <c r="E71">
        <f ca="1"/>
        <v>24</v>
      </c>
      <c r="F71" t="str">
        <f ca="1"/>
        <v>Rogério Ribeiro</v>
      </c>
      <c r="G71">
        <f ca="1"/>
        <v>2</v>
      </c>
      <c r="H71">
        <f ca="1"/>
        <v>24</v>
      </c>
      <c r="I71">
        <f ca="1"/>
        <v>3.5999999999999996</v>
      </c>
      <c r="J71">
        <f ca="1"/>
        <v>27.6</v>
      </c>
      <c r="R71" t="str">
        <f ca="1"/>
        <v/>
      </c>
      <c r="S71" t="str">
        <f ca="1"/>
        <v/>
      </c>
      <c r="X71" t="s">
        <v>2824</v>
      </c>
      <c r="Y71" s="18" t="s">
        <v>3011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A realizar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Douglas Vieira Silva Filho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2026-053</v>
      </c>
      <c r="C73" t="str">
        <f ca="1"/>
        <v>A realizar</v>
      </c>
      <c r="D73" t="str">
        <f ca="1"/>
        <v>Oficina Temática - SEMAT: Aditivos na Contratação Integrada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3016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A realizar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Silvia Lima Damasceno Carvalho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2915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2026-051</v>
      </c>
      <c r="C75" t="str">
        <f ca="1"/>
        <v>A realizar</v>
      </c>
      <c r="D75" t="str">
        <f ca="1"/>
        <v>Oficina Temática – SEMAT: Controle Tecnológico de obras e serviços de engenharia</v>
      </c>
      <c r="E75">
        <f ca="1"/>
        <v>4</v>
      </c>
      <c r="F75" t="str">
        <f ca="1"/>
        <v>Marcelo Silva Santana</v>
      </c>
      <c r="G75">
        <f ca="1"/>
        <v>2</v>
      </c>
      <c r="H75">
        <f ca="1"/>
        <v>4</v>
      </c>
      <c r="I75">
        <f ca="1"/>
        <v>1.2</v>
      </c>
      <c r="J75">
        <f ca="1"/>
        <v>5.2</v>
      </c>
      <c r="R75" t="str">
        <f ca="1"/>
        <v/>
      </c>
      <c r="S75" t="str">
        <f ca="1"/>
        <v/>
      </c>
      <c r="X75" t="s">
        <v>2800</v>
      </c>
      <c r="Y75" t="s">
        <v>2796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2026-046</v>
      </c>
      <c r="C76" t="str">
        <f ca="1"/>
        <v>A realizar</v>
      </c>
      <c r="D76" t="str">
        <f ca="1"/>
        <v>Oficina Temática – SEMAT: Falhas recorrentes em contratações de TI</v>
      </c>
      <c r="E76">
        <f ca="1"/>
        <v>8</v>
      </c>
      <c r="F76" t="str">
        <f ca="1"/>
        <v>Felipe da Costa Malaquias</v>
      </c>
      <c r="G76">
        <f ca="1"/>
        <v>1</v>
      </c>
      <c r="H76">
        <f ca="1"/>
        <v>8</v>
      </c>
      <c r="I76">
        <f ca="1"/>
        <v>2.4</v>
      </c>
      <c r="J76">
        <f ca="1"/>
        <v>10.4</v>
      </c>
      <c r="R76" t="str">
        <f ca="1"/>
        <v/>
      </c>
      <c r="S76" t="str">
        <f ca="1"/>
        <v/>
      </c>
      <c r="X76" t="s">
        <v>2902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A realizar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Silvia Lima Damasceno Carvalho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2902</v>
      </c>
      <c r="Y77" t="s">
        <v>3030</v>
      </c>
      <c r="AA77">
        <v>1.2</v>
      </c>
    </row>
    <row r="78" spans="1:27" x14ac:dyDescent="0.25">
      <c r="A78">
        <f ca="1"/>
        <v>2026</v>
      </c>
      <c r="B78" t="str">
        <f ca="1"/>
        <v>2026-068</v>
      </c>
      <c r="C78" t="str">
        <f ca="1"/>
        <v>A realizar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Renan Dias da Silva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A realizar</v>
      </c>
      <c r="D79" t="str">
        <f ca="1"/>
        <v>Oficina Temática - SEMAT: MROSC para servidores do GDF</v>
      </c>
      <c r="E79">
        <f ca="1"/>
        <v>4</v>
      </c>
      <c r="F79" t="str">
        <f ca="1"/>
        <v>Indio Artiaga do Brasil Rabelo</v>
      </c>
      <c r="G79">
        <f ca="1"/>
        <v>2</v>
      </c>
      <c r="H79">
        <f ca="1"/>
        <v>4</v>
      </c>
      <c r="I79">
        <f ca="1"/>
        <v>1.2</v>
      </c>
      <c r="J79">
        <f ca="1"/>
        <v>5.2</v>
      </c>
      <c r="R79" t="str">
        <f ca="1"/>
        <v/>
      </c>
      <c r="S79" t="str">
        <f ca="1"/>
        <v/>
      </c>
      <c r="X79" t="s">
        <v>2885</v>
      </c>
      <c r="Y79" t="s">
        <v>3034</v>
      </c>
      <c r="AA79">
        <v>1.2</v>
      </c>
    </row>
    <row r="80" spans="1:27" x14ac:dyDescent="0.25">
      <c r="A80">
        <f ca="1"/>
        <v>2026</v>
      </c>
      <c r="B80" t="str">
        <f ca="1"/>
        <v>2026-047</v>
      </c>
      <c r="C80" t="str">
        <f ca="1"/>
        <v>A realizar</v>
      </c>
      <c r="D80" t="str">
        <f ca="1"/>
        <v>Oficina Temática - SEMAT: MROSC para servidores do GDF</v>
      </c>
      <c r="E80">
        <f ca="1"/>
        <v>4</v>
      </c>
      <c r="F80" t="str">
        <f ca="1"/>
        <v>Leonardo de Melo</v>
      </c>
      <c r="G80">
        <f ca="1"/>
        <v>2</v>
      </c>
      <c r="H80">
        <f ca="1"/>
        <v>0</v>
      </c>
      <c r="I80">
        <f ca="1"/>
        <v>0</v>
      </c>
      <c r="J80">
        <f ca="1"/>
        <v>0</v>
      </c>
      <c r="R80" t="str">
        <f ca="1"/>
        <v/>
      </c>
      <c r="S80" t="str">
        <f ca="1"/>
        <v/>
      </c>
      <c r="X80" t="s">
        <v>2785</v>
      </c>
      <c r="Y80" t="s">
        <v>3031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A realizar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Silvia Lima Damasceno Carvalho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2026-049</v>
      </c>
      <c r="C82" t="str">
        <f ca="1"/>
        <v>A realizar</v>
      </c>
      <c r="D82" t="str">
        <f ca="1"/>
        <v>Oficina Temática - SEMAT: Pesquisa de Preços em contratos de obras e serviços de engenharia</v>
      </c>
      <c r="E82">
        <f ca="1"/>
        <v>4</v>
      </c>
      <c r="F82" t="str">
        <f ca="1"/>
        <v>Wibys Pereira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3035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A realizar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Thiago Magalhães de Oliveira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2026-048</v>
      </c>
      <c r="C84" t="str">
        <f ca="1"/>
        <v>A realizar</v>
      </c>
      <c r="D84" t="str">
        <f ca="1"/>
        <v>Oficina Temática - SEMAT: Reajuste de preços em contratos de obras e serviços de engenharia</v>
      </c>
      <c r="E84">
        <f ca="1"/>
        <v>4</v>
      </c>
      <c r="F84" t="str">
        <f ca="1"/>
        <v>Silvia Lima Damasceno Carvalho</v>
      </c>
      <c r="G84">
        <f ca="1"/>
        <v>2</v>
      </c>
      <c r="H84">
        <f ca="1"/>
        <v>4</v>
      </c>
      <c r="I84">
        <f ca="1"/>
        <v>1.2</v>
      </c>
      <c r="J84">
        <f ca="1"/>
        <v>5.2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2026-043</v>
      </c>
      <c r="C85" t="str">
        <f ca="1"/>
        <v>Realizado</v>
      </c>
      <c r="D85" t="str">
        <f ca="1"/>
        <v>Painel MROSC</v>
      </c>
      <c r="E85">
        <f ca="1"/>
        <v>4</v>
      </c>
      <c r="F85" t="str">
        <f ca="1"/>
        <v>Diversos</v>
      </c>
      <c r="G85">
        <f ca="1"/>
        <v>1</v>
      </c>
      <c r="H85">
        <f ca="1"/>
        <v>0</v>
      </c>
      <c r="I85">
        <f ca="1"/>
        <v>0</v>
      </c>
      <c r="J85">
        <f ca="1"/>
        <v>0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2026-007</v>
      </c>
      <c r="C86" t="str">
        <f ca="1"/>
        <v>Realizado</v>
      </c>
      <c r="D86" t="str">
        <f ca="1"/>
        <v>Planilhas de Terceirização de Mão de Obra, de acordo com a Lei nº 14.133/2021 - T1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2026-010</v>
      </c>
      <c r="C87" t="str">
        <f ca="1"/>
        <v>Realizado</v>
      </c>
      <c r="D87" t="str">
        <f ca="1"/>
        <v>Planilhas de Terceirização de Mão de Obra, de acordo com a Lei nº 14.133/2021 - T2</v>
      </c>
      <c r="E87">
        <f ca="1"/>
        <v>20</v>
      </c>
      <c r="F87" t="str">
        <f ca="1"/>
        <v>Leonardo José Alves Leal Neri</v>
      </c>
      <c r="G87">
        <f ca="1"/>
        <v>1</v>
      </c>
      <c r="H87">
        <f ca="1"/>
        <v>20</v>
      </c>
      <c r="I87">
        <f ca="1"/>
        <v>6</v>
      </c>
      <c r="J87">
        <f ca="1"/>
        <v>26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A realizar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2026-056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2026-059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2026-060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2026-061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2026-062</v>
      </c>
      <c r="C93" t="str">
        <f ca="1"/>
        <v>A realizar</v>
      </c>
      <c r="D93" t="str">
        <f ca="1"/>
        <v>TCendo o Futuro</v>
      </c>
      <c r="E93">
        <f ca="1"/>
        <v>4</v>
      </c>
      <c r="F93" t="str">
        <f ca="1"/>
        <v>0</v>
      </c>
      <c r="G93">
        <f ca="1"/>
        <v>1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Cinthia Thais de Carvalho Luz Thomazi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Adriana Cuoco Portugal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Fernanda Viana de Souza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Denise Duarte Guirra Kuhlmann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2026-002</v>
      </c>
      <c r="C98" t="str">
        <f ca="1"/>
        <v>Realizado</v>
      </c>
      <c r="D98" t="str">
        <f ca="1"/>
        <v>Tcendo o Futuro - Edição Especial Filhos</v>
      </c>
      <c r="E98">
        <f ca="1"/>
        <v>4</v>
      </c>
      <c r="F98" t="str">
        <f ca="1"/>
        <v>Priscila Nolasco de Oliveira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Cinthia Thais de Carvalho Luz Thomazi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Adriana Cuoco Portugal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Fernanda Viana de Souza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2026-018</v>
      </c>
      <c r="C103" t="str">
        <f ca="1"/>
        <v>Realizado</v>
      </c>
      <c r="D103" t="str">
        <f ca="1"/>
        <v>Tcendo o Futuro 1</v>
      </c>
      <c r="E103">
        <f ca="1"/>
        <v>4</v>
      </c>
      <c r="F103" t="str">
        <f ca="1"/>
        <v>Priscila Nolasco de Oliveira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Cinthia Thais de Carvalho Luz Thomazi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Adriana Cuoco Portugal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Fernanda Viana de Souza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Denise Duarte Guirra Kuhlmann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2026-023</v>
      </c>
      <c r="C108" t="str">
        <f ca="1"/>
        <v>Realizado</v>
      </c>
      <c r="D108" t="str">
        <f ca="1"/>
        <v>Tcendo o Futuro 2</v>
      </c>
      <c r="E108">
        <f ca="1"/>
        <v>4</v>
      </c>
      <c r="F108" t="str">
        <f ca="1"/>
        <v>Priscila Nolasco de Oliveira</v>
      </c>
      <c r="G108">
        <f ca="1"/>
        <v>5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Fernanda Viana de Souza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2026-022</v>
      </c>
      <c r="C110" t="str">
        <f ca="1"/>
        <v>Realizado</v>
      </c>
      <c r="D110" t="str">
        <f ca="1"/>
        <v>UniTCDF: Ciências Contábeis</v>
      </c>
      <c r="E110">
        <f ca="1"/>
        <v>3</v>
      </c>
      <c r="F110" t="str">
        <f ca="1"/>
        <v>Túllio Herbeth Teixeira Moraes</v>
      </c>
      <c r="G110">
        <f ca="1"/>
        <v>2</v>
      </c>
      <c r="H110">
        <f ca="1"/>
        <v>3</v>
      </c>
      <c r="I110">
        <f ca="1"/>
        <v>0.9</v>
      </c>
      <c r="J110">
        <f ca="1"/>
        <v>3.9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2026-029</v>
      </c>
      <c r="C111" t="str">
        <f ca="1"/>
        <v>Realizado</v>
      </c>
      <c r="D111" t="str">
        <f ca="1"/>
        <v>UniTCDF: TCDF e a Fiscalização de Obras</v>
      </c>
      <c r="E111">
        <f ca="1"/>
        <v>4</v>
      </c>
      <c r="F111" t="str">
        <f ca="1"/>
        <v>Adriana Cuoco Portugal</v>
      </c>
      <c r="G111">
        <f ca="1"/>
        <v>1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Fernanda Viana de Souza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2026-069</v>
      </c>
      <c r="C113" t="str">
        <f ca="1"/>
        <v>Realizado</v>
      </c>
      <c r="D113" t="str">
        <f ca="1"/>
        <v xml:space="preserve">UniTCDF: Gestão Pública </v>
      </c>
      <c r="E113">
        <f ca="1"/>
        <v>3</v>
      </c>
      <c r="F113" t="str">
        <f ca="1"/>
        <v>Túllio Herbeth Teixeira Moraes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2026-079</v>
      </c>
      <c r="C114" t="str">
        <f ca="1"/>
        <v>Realizado</v>
      </c>
      <c r="D114" t="str">
        <f ca="1"/>
        <v>Café e Tertúlia: Gincana dos Neurotransmissores</v>
      </c>
      <c r="E114">
        <f ca="1"/>
        <v>2</v>
      </c>
      <c r="F114" t="str">
        <f ca="1"/>
        <v>Isac Mendes Caixeta de Pamplona Araújo</v>
      </c>
      <c r="G114">
        <f ca="1"/>
        <v>3</v>
      </c>
      <c r="H114">
        <f ca="1"/>
        <v>2</v>
      </c>
      <c r="I114">
        <f ca="1"/>
        <v>0.6</v>
      </c>
      <c r="J114">
        <f ca="1"/>
        <v>2.6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2026-079</v>
      </c>
      <c r="C115" t="str">
        <f ca="1"/>
        <v>Realizado</v>
      </c>
      <c r="D115" t="str">
        <f ca="1"/>
        <v>Café e Tertúlia: Gincana dos Neurotransmissores</v>
      </c>
      <c r="E115">
        <f ca="1"/>
        <v>2</v>
      </c>
      <c r="F115" t="str">
        <f ca="1"/>
        <v>Valéria Feitoza</v>
      </c>
      <c r="G115">
        <f ca="1"/>
        <v>3</v>
      </c>
      <c r="H115">
        <f ca="1"/>
        <v>2</v>
      </c>
      <c r="I115">
        <f ca="1"/>
        <v>0.6</v>
      </c>
      <c r="J115">
        <f ca="1"/>
        <v>2.6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Cinthia Thais de Carvalho Luz Thomazi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 x14ac:dyDescent="0.25">
      <c r="R117" t="str">
        <f ca="1"/>
        <v/>
      </c>
      <c r="S117" t="str">
        <f ca="1"/>
        <v/>
      </c>
    </row>
    <row r="118" spans="1:19" x14ac:dyDescent="0.25">
      <c r="R118" t="str">
        <f ca="1"/>
        <v/>
      </c>
      <c r="S118" t="str">
        <f ca="1"/>
        <v/>
      </c>
    </row>
    <row r="119" spans="1:19" x14ac:dyDescent="0.25">
      <c r="R119" t="str">
        <f ca="1"/>
        <v/>
      </c>
      <c r="S119" t="str">
        <f ca="1"/>
        <v/>
      </c>
    </row>
    <row r="120" spans="1:19" x14ac:dyDescent="0.25">
      <c r="R120" t="str">
        <f ca="1"/>
        <v/>
      </c>
      <c r="S120" t="str">
        <f ca="1"/>
        <v/>
      </c>
    </row>
    <row r="121" spans="1:19" x14ac:dyDescent="0.25">
      <c r="R121" t="str">
        <f ca="1"/>
        <v/>
      </c>
      <c r="S121" t="str">
        <f ca="1"/>
        <v/>
      </c>
    </row>
    <row r="122" spans="1:19" x14ac:dyDescent="0.25">
      <c r="R122" t="str">
        <f ca="1"/>
        <v/>
      </c>
      <c r="S122" t="str">
        <f ca="1"/>
        <v/>
      </c>
    </row>
    <row r="123" spans="1:19" x14ac:dyDescent="0.25">
      <c r="R123" t="str">
        <f ca="1"/>
        <v/>
      </c>
      <c r="S123" t="str">
        <f ca="1"/>
        <v/>
      </c>
    </row>
    <row r="124" spans="1:19" x14ac:dyDescent="0.25">
      <c r="R124" t="str">
        <f ca="1"/>
        <v/>
      </c>
      <c r="S124" t="str">
        <f ca="1"/>
        <v/>
      </c>
    </row>
    <row r="125" spans="1:19" x14ac:dyDescent="0.25">
      <c r="R125" t="str">
        <f ca="1"/>
        <v/>
      </c>
      <c r="S125" t="str">
        <f ca="1"/>
        <v/>
      </c>
    </row>
    <row r="126" spans="1:19" x14ac:dyDescent="0.25">
      <c r="R126" t="str">
        <f ca="1"/>
        <v/>
      </c>
      <c r="S126" t="str">
        <f ca="1"/>
        <v/>
      </c>
    </row>
    <row r="127" spans="1:19" x14ac:dyDescent="0.25">
      <c r="R127" t="str">
        <f ca="1"/>
        <v/>
      </c>
      <c r="S127" t="str">
        <f ca="1"/>
        <v/>
      </c>
    </row>
    <row r="128" spans="1:19" x14ac:dyDescent="0.25">
      <c r="R128" t="str">
        <f ca="1"/>
        <v/>
      </c>
      <c r="S128" t="str">
        <f ca="1"/>
        <v/>
      </c>
    </row>
    <row r="129" spans="18:19" x14ac:dyDescent="0.25">
      <c r="R129" t="str">
        <f ca="1"/>
        <v/>
      </c>
      <c r="S129" t="str">
        <f ca="1"/>
        <v/>
      </c>
    </row>
    <row r="130" spans="18:19" x14ac:dyDescent="0.25">
      <c r="R130" t="str">
        <f ca="1"/>
        <v/>
      </c>
      <c r="S130" t="str">
        <f ca="1"/>
        <v/>
      </c>
    </row>
    <row r="131" spans="18:19" x14ac:dyDescent="0.25">
      <c r="R131" t="str">
        <f ca="1"/>
        <v/>
      </c>
      <c r="S131" t="str">
        <f ca="1"/>
        <v/>
      </c>
    </row>
    <row r="132" spans="18:19" x14ac:dyDescent="0.25">
      <c r="R132" t="str">
        <f ca="1"/>
        <v/>
      </c>
      <c r="S132" t="str">
        <f ca="1"/>
        <v/>
      </c>
    </row>
    <row r="133" spans="18:19" x14ac:dyDescent="0.25">
      <c r="R133" t="str">
        <f ca="1"/>
        <v/>
      </c>
      <c r="S133" t="str">
        <f ca="1"/>
        <v/>
      </c>
    </row>
    <row r="134" spans="18:19" x14ac:dyDescent="0.25">
      <c r="R134" t="str">
        <f ca="1"/>
        <v/>
      </c>
      <c r="S134" t="str">
        <f ca="1"/>
        <v/>
      </c>
    </row>
    <row r="135" spans="18:19" x14ac:dyDescent="0.25">
      <c r="R135" t="str">
        <f ca="1"/>
        <v/>
      </c>
      <c r="S135" t="str">
        <f ca="1"/>
        <v/>
      </c>
    </row>
    <row r="136" spans="18:19" x14ac:dyDescent="0.25">
      <c r="R136" t="str">
        <f ca="1"/>
        <v/>
      </c>
      <c r="S136" t="str">
        <f ca="1"/>
        <v/>
      </c>
    </row>
    <row r="137" spans="18:19" x14ac:dyDescent="0.25">
      <c r="R137" t="str">
        <f ca="1"/>
        <v/>
      </c>
      <c r="S137" t="str">
        <f ca="1"/>
        <v/>
      </c>
    </row>
    <row r="138" spans="18:19" x14ac:dyDescent="0.25">
      <c r="R138" t="str">
        <f ca="1"/>
        <v/>
      </c>
      <c r="S138" t="str">
        <f ca="1"/>
        <v/>
      </c>
    </row>
    <row r="139" spans="18:19" x14ac:dyDescent="0.25">
      <c r="R139" t="str">
        <f ca="1"/>
        <v/>
      </c>
      <c r="S139" t="str">
        <f ca="1"/>
        <v/>
      </c>
    </row>
    <row r="140" spans="18:19" x14ac:dyDescent="0.25">
      <c r="R140" t="str">
        <f ca="1"/>
        <v/>
      </c>
      <c r="S140" t="str">
        <f ca="1"/>
        <v/>
      </c>
    </row>
    <row r="141" spans="18:19" x14ac:dyDescent="0.25">
      <c r="R141" t="str">
        <f ca="1"/>
        <v/>
      </c>
      <c r="S141" t="str">
        <f ca="1"/>
        <v/>
      </c>
    </row>
    <row r="142" spans="18:19" x14ac:dyDescent="0.25">
      <c r="R142" t="str">
        <f ca="1"/>
        <v/>
      </c>
      <c r="S142" t="str">
        <f ca="1"/>
        <v/>
      </c>
    </row>
    <row r="143" spans="18:19" x14ac:dyDescent="0.25">
      <c r="R143" t="str">
        <f ca="1"/>
        <v/>
      </c>
      <c r="S143" t="str">
        <f ca="1"/>
        <v/>
      </c>
    </row>
    <row r="144" spans="18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9" t="s">
        <v>3077</v>
      </c>
      <c r="B1" s="229"/>
      <c r="C1" s="229"/>
      <c r="D1" s="229"/>
      <c r="E1" s="229"/>
      <c r="F1" s="229"/>
      <c r="G1" s="229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0" t="s">
        <v>3078</v>
      </c>
      <c r="B4" s="231"/>
      <c r="D4" s="232" t="s">
        <v>3079</v>
      </c>
      <c r="E4" s="233"/>
      <c r="G4" s="45" t="s">
        <v>3080</v>
      </c>
    </row>
    <row r="5" spans="1:7" ht="54.95" customHeight="1" thickBot="1" x14ac:dyDescent="0.75">
      <c r="A5" s="35">
        <f>COUNTIF('Ações InCompany'!B:B,2026)</f>
        <v>80</v>
      </c>
      <c r="B5" s="36" t="s">
        <v>3081</v>
      </c>
      <c r="D5" s="43">
        <f>COUNTIFS('Ações InCompany'!B:B,2026,'Ações InCompany'!C:C,"Realizado")</f>
        <v>40</v>
      </c>
      <c r="E5" s="44" t="s">
        <v>3081</v>
      </c>
      <c r="G5" s="46">
        <f>COUNTIFS('Ações InCompany'!B:B,2026,'Ações InCompany'!C:C,"A realizar")</f>
        <v>37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7" t="s">
        <v>3082</v>
      </c>
      <c r="B8" s="227"/>
      <c r="D8" s="227" t="s">
        <v>3083</v>
      </c>
      <c r="E8" s="227"/>
    </row>
    <row r="9" spans="1:7" ht="5.0999999999999996" customHeight="1" x14ac:dyDescent="0.25">
      <c r="A9" s="228"/>
      <c r="B9" s="228"/>
      <c r="D9" s="228"/>
      <c r="E9" s="228"/>
    </row>
    <row r="10" spans="1:7" ht="24.95" customHeight="1" x14ac:dyDescent="0.25">
      <c r="A10" s="28" t="s">
        <v>5</v>
      </c>
      <c r="B10" s="28" t="s">
        <v>3084</v>
      </c>
      <c r="D10" s="28" t="s">
        <v>3085</v>
      </c>
      <c r="E10" s="28" t="s">
        <v>3086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3087</v>
      </c>
      <c r="E11" s="30">
        <f>SUMIFS('Ações InCompany'!O:O,'Ações InCompany'!B:B,2026,'Ações InCompany'!C:C,"Realizado")</f>
        <v>550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13</v>
      </c>
      <c r="D12" s="31" t="s">
        <v>3088</v>
      </c>
      <c r="E12" s="32">
        <f>SUMIFS('Ações InCompany'!P:P,'Ações InCompany'!B:B,2026,'Ações InCompany'!C:C,"Realizado")</f>
        <v>808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3089</v>
      </c>
      <c r="E13" s="30">
        <f>SUMIFS('Ações InCompany'!Q:Q,'Ações InCompany'!B:B,2026,'Ações InCompany'!C:C,"Realizado")</f>
        <v>490</v>
      </c>
    </row>
    <row r="14" spans="1:7" ht="27.95" customHeight="1" x14ac:dyDescent="0.3">
      <c r="A14" s="33" t="s">
        <v>3090</v>
      </c>
      <c r="B14" s="34">
        <f>SUM(B11:B13)</f>
        <v>38</v>
      </c>
      <c r="D14" s="33" t="s">
        <v>3091</v>
      </c>
      <c r="E14" s="34">
        <f>SUM(E11:E13)</f>
        <v>1848</v>
      </c>
    </row>
    <row r="30" spans="1:5" ht="17.25" x14ac:dyDescent="0.3">
      <c r="A30" s="227" t="s">
        <v>3092</v>
      </c>
      <c r="B30" s="227"/>
      <c r="C30" s="227"/>
      <c r="D30" s="227"/>
      <c r="E30" s="227"/>
    </row>
    <row r="31" spans="1:5" ht="5.0999999999999996" customHeight="1" x14ac:dyDescent="0.25">
      <c r="A31" s="228"/>
      <c r="B31" s="228"/>
      <c r="C31" s="228"/>
      <c r="D31" s="228"/>
      <c r="E31" s="228"/>
    </row>
    <row r="32" spans="1:5" ht="24.95" customHeight="1" x14ac:dyDescent="0.25">
      <c r="A32" s="28" t="s">
        <v>6</v>
      </c>
      <c r="B32" s="28" t="s">
        <v>3093</v>
      </c>
      <c r="C32" s="28" t="s">
        <v>3094</v>
      </c>
      <c r="D32" s="28" t="s">
        <v>3095</v>
      </c>
      <c r="E32" s="28" t="s">
        <v>3096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7</v>
      </c>
      <c r="C33" s="47">
        <f>COUNTIFS('Ações InCompany'!B:B,2026,'Ações InCompany'!C:C,"A realizar",'Ações InCompany'!G:G,A33)</f>
        <v>14</v>
      </c>
      <c r="D33" s="37">
        <f t="shared" ref="D33:D44" si="0">B33+C33</f>
        <v>21</v>
      </c>
      <c r="E33" s="38">
        <f t="shared" ref="E33:E44" si="1">D33/$D$45</f>
        <v>0.27272727272727271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6.4935064935064929E-2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7.792207792207792E-2</v>
      </c>
    </row>
    <row r="36" spans="1:5" ht="24" customHeight="1" x14ac:dyDescent="0.25">
      <c r="A36" s="31" t="s">
        <v>2794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2.5974025974025976E-2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3</v>
      </c>
      <c r="C37" s="47">
        <f>COUNTIFS('Ações InCompany'!B:B,2026,'Ações InCompany'!C:C,"A realizar",'Ações InCompany'!G:G,A37)</f>
        <v>3</v>
      </c>
      <c r="D37" s="37">
        <f t="shared" si="0"/>
        <v>6</v>
      </c>
      <c r="E37" s="38">
        <f t="shared" si="1"/>
        <v>7.792207792207792E-2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8</v>
      </c>
      <c r="C38" s="48">
        <f>COUNTIFS('Ações InCompany'!B:B,2026,'Ações InCompany'!C:C,"A realizar",'Ações InCompany'!G:G,A38)</f>
        <v>14</v>
      </c>
      <c r="D38" s="39">
        <f t="shared" si="0"/>
        <v>22</v>
      </c>
      <c r="E38" s="40">
        <f t="shared" si="1"/>
        <v>0.2857142857142857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5.1948051948051951E-2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2.5974025974025976E-2</v>
      </c>
    </row>
    <row r="41" spans="1:5" ht="24" customHeight="1" x14ac:dyDescent="0.25">
      <c r="A41" s="74" t="s">
        <v>2695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9.0909090909090912E-2</v>
      </c>
    </row>
    <row r="42" spans="1:5" ht="24" customHeight="1" x14ac:dyDescent="0.25">
      <c r="A42" s="75" t="s">
        <v>3097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2.5974025974025976E-2</v>
      </c>
    </row>
    <row r="44" spans="1:5" ht="24" customHeight="1" x14ac:dyDescent="0.25">
      <c r="A44" s="67" t="s">
        <v>3098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3090</v>
      </c>
      <c r="B45" s="41">
        <f>SUM(B33:B44)</f>
        <v>40</v>
      </c>
      <c r="C45" s="41">
        <f>SUM(C33:C44)</f>
        <v>37</v>
      </c>
      <c r="D45" s="41">
        <f>SUM(D33:D44)</f>
        <v>77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3099</v>
      </c>
      <c r="B1" s="12" t="s">
        <v>3100</v>
      </c>
      <c r="C1" s="13" t="s">
        <v>3101</v>
      </c>
      <c r="D1" s="13" t="s">
        <v>3102</v>
      </c>
      <c r="E1" s="13" t="s">
        <v>3103</v>
      </c>
    </row>
    <row r="2" spans="1:5" ht="18" customHeight="1" x14ac:dyDescent="0.25">
      <c r="A2" s="12" t="s">
        <v>3104</v>
      </c>
      <c r="B2" s="12" t="s">
        <v>3105</v>
      </c>
      <c r="C2" s="12" t="s">
        <v>1736</v>
      </c>
      <c r="D2" s="12" t="s">
        <v>3106</v>
      </c>
      <c r="E2" s="12" t="s">
        <v>3107</v>
      </c>
    </row>
    <row r="3" spans="1:5" ht="18" customHeight="1" x14ac:dyDescent="0.25">
      <c r="A3" s="12" t="s">
        <v>3104</v>
      </c>
      <c r="B3" s="12" t="s">
        <v>3105</v>
      </c>
      <c r="C3" s="14" t="s">
        <v>25</v>
      </c>
      <c r="D3" s="12" t="s">
        <v>3108</v>
      </c>
      <c r="E3" s="12" t="s">
        <v>3109</v>
      </c>
    </row>
    <row r="4" spans="1:5" ht="18" customHeight="1" x14ac:dyDescent="0.25">
      <c r="A4" s="12" t="s">
        <v>3104</v>
      </c>
      <c r="B4" s="12" t="s">
        <v>3105</v>
      </c>
      <c r="C4" s="12" t="s">
        <v>75</v>
      </c>
      <c r="D4" s="12" t="s">
        <v>3106</v>
      </c>
      <c r="E4" s="12" t="s">
        <v>3110</v>
      </c>
    </row>
    <row r="5" spans="1:5" ht="18" customHeight="1" x14ac:dyDescent="0.25">
      <c r="A5" s="12" t="s">
        <v>3104</v>
      </c>
      <c r="B5" s="12" t="s">
        <v>3105</v>
      </c>
      <c r="C5" s="12" t="s">
        <v>79</v>
      </c>
      <c r="D5" s="12" t="s">
        <v>3111</v>
      </c>
      <c r="E5" s="12" t="s">
        <v>3112</v>
      </c>
    </row>
    <row r="6" spans="1:5" ht="18" customHeight="1" x14ac:dyDescent="0.25">
      <c r="A6" s="12" t="s">
        <v>3104</v>
      </c>
      <c r="B6" s="12" t="s">
        <v>3105</v>
      </c>
      <c r="C6" s="12" t="s">
        <v>2719</v>
      </c>
      <c r="D6" s="12" t="s">
        <v>3113</v>
      </c>
      <c r="E6" s="12" t="s">
        <v>3114</v>
      </c>
    </row>
    <row r="7" spans="1:5" ht="18" customHeight="1" x14ac:dyDescent="0.25">
      <c r="A7" s="12" t="s">
        <v>3104</v>
      </c>
      <c r="B7" s="12" t="s">
        <v>3115</v>
      </c>
      <c r="C7" s="12" t="s">
        <v>36</v>
      </c>
      <c r="D7" s="12" t="s">
        <v>3116</v>
      </c>
      <c r="E7" s="12" t="s">
        <v>3117</v>
      </c>
    </row>
    <row r="8" spans="1:5" ht="18" customHeight="1" x14ac:dyDescent="0.25">
      <c r="A8" s="12" t="s">
        <v>3104</v>
      </c>
      <c r="B8" s="12" t="s">
        <v>3115</v>
      </c>
      <c r="C8" s="12" t="s">
        <v>42</v>
      </c>
      <c r="D8" s="12" t="s">
        <v>3118</v>
      </c>
      <c r="E8" s="12" t="s">
        <v>3119</v>
      </c>
    </row>
    <row r="9" spans="1:5" ht="18" customHeight="1" x14ac:dyDescent="0.25">
      <c r="A9" s="12" t="s">
        <v>3104</v>
      </c>
      <c r="B9" s="12" t="s">
        <v>3120</v>
      </c>
      <c r="C9" s="12" t="s">
        <v>464</v>
      </c>
      <c r="D9" s="12" t="s">
        <v>3121</v>
      </c>
      <c r="E9" s="12" t="s">
        <v>3122</v>
      </c>
    </row>
    <row r="10" spans="1:5" ht="18" customHeight="1" x14ac:dyDescent="0.25">
      <c r="A10" s="12" t="s">
        <v>3104</v>
      </c>
      <c r="B10" s="12" t="s">
        <v>3120</v>
      </c>
      <c r="C10" s="12" t="s">
        <v>206</v>
      </c>
      <c r="D10" s="12" t="s">
        <v>24</v>
      </c>
      <c r="E10" s="12" t="s">
        <v>3123</v>
      </c>
    </row>
    <row r="11" spans="1:5" ht="18" customHeight="1" x14ac:dyDescent="0.25">
      <c r="A11" s="12" t="s">
        <v>3104</v>
      </c>
      <c r="B11" s="12" t="s">
        <v>3120</v>
      </c>
      <c r="C11" s="12" t="s">
        <v>371</v>
      </c>
      <c r="D11" s="12" t="s">
        <v>24</v>
      </c>
      <c r="E11" s="12" t="s">
        <v>3124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3125</v>
      </c>
      <c r="B1" s="5" t="s">
        <v>10</v>
      </c>
      <c r="C1" s="15" t="s">
        <v>3126</v>
      </c>
      <c r="D1" s="15" t="s">
        <v>3049</v>
      </c>
    </row>
    <row r="2" spans="1:4" ht="21" customHeight="1" x14ac:dyDescent="0.25">
      <c r="A2" s="103" t="s">
        <v>24</v>
      </c>
      <c r="B2" s="103" t="s">
        <v>38</v>
      </c>
      <c r="C2" s="12" t="s">
        <v>3127</v>
      </c>
      <c r="D2" s="12" t="s">
        <v>2687</v>
      </c>
    </row>
    <row r="3" spans="1:4" ht="21" customHeight="1" x14ac:dyDescent="0.25">
      <c r="A3" s="12" t="s">
        <v>69</v>
      </c>
      <c r="B3" s="103" t="s">
        <v>27</v>
      </c>
      <c r="C3" s="12" t="s">
        <v>3128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2791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3129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3099</v>
      </c>
      <c r="B1" s="12" t="s">
        <v>3100</v>
      </c>
      <c r="C1" s="13" t="s">
        <v>3101</v>
      </c>
      <c r="D1" s="13" t="s">
        <v>3102</v>
      </c>
      <c r="E1" s="13" t="s">
        <v>3103</v>
      </c>
    </row>
    <row r="2" spans="1:5" ht="18" customHeight="1" x14ac:dyDescent="0.25">
      <c r="A2" s="12" t="s">
        <v>3130</v>
      </c>
      <c r="B2" s="12" t="s">
        <v>3105</v>
      </c>
      <c r="C2" s="14" t="s">
        <v>25</v>
      </c>
      <c r="D2" s="12" t="s">
        <v>3106</v>
      </c>
      <c r="E2" s="17" t="s">
        <v>3131</v>
      </c>
    </row>
    <row r="3" spans="1:5" ht="18" customHeight="1" x14ac:dyDescent="0.25">
      <c r="A3" s="12" t="s">
        <v>3130</v>
      </c>
      <c r="B3" s="12" t="s">
        <v>3105</v>
      </c>
      <c r="C3" s="12" t="s">
        <v>75</v>
      </c>
      <c r="D3" s="12" t="s">
        <v>3108</v>
      </c>
      <c r="E3" s="12" t="s">
        <v>3132</v>
      </c>
    </row>
    <row r="4" spans="1:5" ht="18" customHeight="1" x14ac:dyDescent="0.25">
      <c r="A4" s="12" t="s">
        <v>3130</v>
      </c>
      <c r="B4" s="12" t="s">
        <v>3105</v>
      </c>
      <c r="C4" s="12" t="s">
        <v>79</v>
      </c>
      <c r="D4" s="12" t="s">
        <v>3111</v>
      </c>
      <c r="E4" s="12" t="s">
        <v>3133</v>
      </c>
    </row>
    <row r="5" spans="1:5" ht="27.75" customHeight="1" x14ac:dyDescent="0.25">
      <c r="A5" s="12" t="s">
        <v>3130</v>
      </c>
      <c r="B5" s="12" t="s">
        <v>3105</v>
      </c>
      <c r="C5" s="12" t="s">
        <v>2695</v>
      </c>
      <c r="D5" s="17" t="s">
        <v>3134</v>
      </c>
      <c r="E5" s="12" t="s">
        <v>3135</v>
      </c>
    </row>
    <row r="6" spans="1:5" ht="18" customHeight="1" x14ac:dyDescent="0.25">
      <c r="A6" s="12" t="s">
        <v>3130</v>
      </c>
      <c r="B6" s="12" t="s">
        <v>3105</v>
      </c>
      <c r="C6" s="12" t="s">
        <v>2719</v>
      </c>
      <c r="D6" s="12" t="s">
        <v>3113</v>
      </c>
      <c r="E6" s="12" t="s">
        <v>3114</v>
      </c>
    </row>
    <row r="7" spans="1:5" ht="18" customHeight="1" x14ac:dyDescent="0.25">
      <c r="A7" s="12" t="s">
        <v>3130</v>
      </c>
      <c r="B7" s="12" t="s">
        <v>3115</v>
      </c>
      <c r="C7" s="12" t="s">
        <v>2700</v>
      </c>
      <c r="D7" s="12" t="s">
        <v>3136</v>
      </c>
      <c r="E7" s="12" t="s">
        <v>3137</v>
      </c>
    </row>
    <row r="8" spans="1:5" ht="18" customHeight="1" x14ac:dyDescent="0.25">
      <c r="A8" s="12" t="s">
        <v>3130</v>
      </c>
      <c r="B8" s="12" t="s">
        <v>3115</v>
      </c>
      <c r="C8" s="12" t="s">
        <v>42</v>
      </c>
      <c r="D8" s="12" t="s">
        <v>3118</v>
      </c>
      <c r="E8" s="12" t="s">
        <v>3119</v>
      </c>
    </row>
    <row r="9" spans="1:5" ht="18" customHeight="1" x14ac:dyDescent="0.25">
      <c r="A9" s="12" t="s">
        <v>3130</v>
      </c>
      <c r="B9" s="12" t="s">
        <v>3115</v>
      </c>
      <c r="C9" s="12" t="s">
        <v>2794</v>
      </c>
      <c r="D9" s="12" t="s">
        <v>3138</v>
      </c>
      <c r="E9" s="17" t="s">
        <v>3139</v>
      </c>
    </row>
    <row r="10" spans="1:5" ht="18" customHeight="1" x14ac:dyDescent="0.25">
      <c r="A10" s="12" t="s">
        <v>3130</v>
      </c>
      <c r="B10" s="12" t="s">
        <v>3140</v>
      </c>
      <c r="C10" s="12" t="s">
        <v>3097</v>
      </c>
      <c r="D10" s="12" t="s">
        <v>3141</v>
      </c>
      <c r="E10" s="17" t="s">
        <v>3142</v>
      </c>
    </row>
    <row r="11" spans="1:5" ht="18" customHeight="1" x14ac:dyDescent="0.25">
      <c r="A11" s="12" t="s">
        <v>3130</v>
      </c>
      <c r="B11" s="12" t="s">
        <v>3140</v>
      </c>
      <c r="C11" s="12" t="s">
        <v>206</v>
      </c>
      <c r="D11" s="12" t="s">
        <v>24</v>
      </c>
      <c r="E11" s="12" t="s">
        <v>3123</v>
      </c>
    </row>
    <row r="12" spans="1:5" ht="18" customHeight="1" x14ac:dyDescent="0.25">
      <c r="A12" s="12" t="s">
        <v>3130</v>
      </c>
      <c r="B12" s="12" t="s">
        <v>3140</v>
      </c>
      <c r="C12" s="12" t="s">
        <v>371</v>
      </c>
      <c r="D12" s="12" t="s">
        <v>24</v>
      </c>
      <c r="E12" s="12" t="s">
        <v>3124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4" t="s">
        <v>3143</v>
      </c>
      <c r="B1" s="234"/>
      <c r="C1" s="234"/>
      <c r="D1" s="234"/>
      <c r="E1" s="234"/>
      <c r="F1" s="234"/>
      <c r="G1" s="234"/>
      <c r="H1" s="234"/>
    </row>
    <row r="2" spans="1:8" x14ac:dyDescent="0.25">
      <c r="A2" s="49" t="s">
        <v>3144</v>
      </c>
    </row>
    <row r="4" spans="1:8" ht="21.95" customHeight="1" x14ac:dyDescent="0.25">
      <c r="A4" s="235" t="s">
        <v>3145</v>
      </c>
      <c r="B4" s="236"/>
      <c r="D4" s="235" t="s">
        <v>3146</v>
      </c>
      <c r="E4" s="236"/>
      <c r="G4" s="235" t="s">
        <v>3147</v>
      </c>
      <c r="H4" s="236"/>
    </row>
    <row r="5" spans="1:8" ht="35.1" customHeight="1" x14ac:dyDescent="0.25">
      <c r="A5" s="239">
        <f>COUNTIF('Ações InCompany'!E:E,"*maratona*")</f>
        <v>13</v>
      </c>
      <c r="B5" s="238"/>
      <c r="D5" s="237">
        <f>SUM(H8:H100)</f>
        <v>1762</v>
      </c>
      <c r="E5" s="238"/>
      <c r="G5" s="237">
        <f>IFERROR(ROUND(D5/A5,0),"-")</f>
        <v>136</v>
      </c>
      <c r="H5" s="238"/>
    </row>
    <row r="6" spans="1:8" ht="9.9499999999999993" customHeight="1" x14ac:dyDescent="0.25"/>
    <row r="7" spans="1:8" ht="24.95" customHeight="1" thickBot="1" x14ac:dyDescent="0.3">
      <c r="A7" s="62" t="s">
        <v>3148</v>
      </c>
      <c r="B7" s="62" t="s">
        <v>3149</v>
      </c>
      <c r="C7" s="62" t="s">
        <v>1</v>
      </c>
      <c r="D7" s="62" t="s">
        <v>3150</v>
      </c>
      <c r="E7" s="62" t="s">
        <v>3151</v>
      </c>
      <c r="F7" s="62" t="s">
        <v>3049</v>
      </c>
      <c r="G7" s="62" t="s">
        <v>5</v>
      </c>
      <c r="H7" s="62" t="s">
        <v>3152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0" t="s">
        <v>3153</v>
      </c>
      <c r="B1" s="240"/>
      <c r="C1" s="240"/>
      <c r="D1" s="240"/>
      <c r="E1" s="240"/>
      <c r="F1" s="240"/>
    </row>
    <row r="2" spans="1:7" x14ac:dyDescent="0.25">
      <c r="A2" s="241" t="s">
        <v>3154</v>
      </c>
      <c r="B2" s="241"/>
      <c r="C2" s="241"/>
      <c r="D2" s="241"/>
      <c r="E2" s="241"/>
      <c r="F2" s="241"/>
    </row>
    <row r="4" spans="1:7" x14ac:dyDescent="0.25">
      <c r="A4" s="25" t="s">
        <v>19</v>
      </c>
      <c r="B4" s="25" t="s">
        <v>3052</v>
      </c>
      <c r="C4" s="25" t="s">
        <v>3053</v>
      </c>
      <c r="D4" s="25" t="s">
        <v>3155</v>
      </c>
      <c r="E4" s="25" t="s">
        <v>3054</v>
      </c>
      <c r="F4" s="25" t="s">
        <v>3156</v>
      </c>
    </row>
    <row r="5" spans="1:7" x14ac:dyDescent="0.25">
      <c r="A5" t="str" cm="1">
        <f t="array" aca="1" ref="A5:A55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41</v>
      </c>
      <c r="C9" s="26">
        <f ca="1">IF($A9="","",SUMIFS('GECC 2026'!I$2:I$200,'GECC 2026'!F$2:F$200,$A9))</f>
        <v>12.6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53.6</v>
      </c>
      <c r="F9" s="24">
        <f ca="1">IF($A9="","",COUNTIFS('GECC 2026'!F$2:F$200,$A9))</f>
        <v>6</v>
      </c>
    </row>
    <row r="10" spans="1:7" x14ac:dyDescent="0.25">
      <c r="A10" t="str">
        <f ca="1"/>
        <v>Carina de Souza Mariuba Herthel</v>
      </c>
      <c r="B10" s="26">
        <f ca="1">IF($A10="","",SUMIFS('GECC 2026'!H$2:H$200,'GECC 2026'!F$2:F$200,$A10))</f>
        <v>8</v>
      </c>
      <c r="C10" s="26">
        <f ca="1">IF($A10="","",SUMIFS('GECC 2026'!I$2:I$200,'GECC 2026'!F$2:F$200,$A10))</f>
        <v>2.4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10.4</v>
      </c>
      <c r="F10" s="24">
        <f ca="1">IF($A10="","",COUNTIFS('GECC 2026'!F$2:F$200,$A10))</f>
        <v>1</v>
      </c>
    </row>
    <row r="11" spans="1:7" x14ac:dyDescent="0.25">
      <c r="A11" t="str">
        <f ca="1"/>
        <v>Carlos Antônio</v>
      </c>
      <c r="B11" s="26">
        <f ca="1">IF($A11="","",SUMIFS('GECC 2026'!H$2:H$200,'GECC 2026'!F$2:F$200,$A11))</f>
        <v>4</v>
      </c>
      <c r="C11" s="26">
        <f ca="1">IF($A11="","",SUMIFS('GECC 2026'!I$2:I$200,'GECC 2026'!F$2:F$200,$A11))</f>
        <v>1.2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5.2</v>
      </c>
      <c r="F11" s="24">
        <f ca="1">IF($A11="","",COUNTIFS('GECC 2026'!F$2:F$200,$A11))</f>
        <v>1</v>
      </c>
    </row>
    <row r="12" spans="1:7" x14ac:dyDescent="0.25">
      <c r="A12" t="str">
        <f ca="1"/>
        <v>Carolina Pereira de Oliveira</v>
      </c>
      <c r="B12" s="26">
        <f ca="1">IF($A12="","",SUMIFS('GECC 2026'!H$2:H$200,'GECC 2026'!F$2:F$200,$A12))</f>
        <v>1</v>
      </c>
      <c r="C12" s="26">
        <f ca="1">IF($A12="","",SUMIFS('GECC 2026'!I$2:I$200,'GECC 2026'!F$2:F$200,$A12))</f>
        <v>0.3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1.3</v>
      </c>
      <c r="F12" s="24">
        <f ca="1">IF($A12="","",COUNTIFS('GECC 2026'!F$2:F$200,$A12))</f>
        <v>1</v>
      </c>
    </row>
    <row r="13" spans="1:7" x14ac:dyDescent="0.25">
      <c r="A13" t="str">
        <f ca="1"/>
        <v>Cássio Murilo Alves Costa Filho</v>
      </c>
      <c r="B13" s="26">
        <f ca="1">IF($A13="","",SUMIFS('GECC 2026'!H$2:H$200,'GECC 2026'!F$2:F$200,$A13))</f>
        <v>16</v>
      </c>
      <c r="C13" s="26">
        <f ca="1">IF($A13="","",SUMIFS('GECC 2026'!I$2:I$200,'GECC 2026'!F$2:F$200,$A13))</f>
        <v>4.8</v>
      </c>
      <c r="D13" s="101">
        <f ca="1">IF($A13="","",SUMIFS('GECC 2026'!$AE$3:$AE$32,'GECC 2026'!$AD$3:$AD$32,$A13))</f>
        <v>16</v>
      </c>
      <c r="E13" s="93">
        <f ca="1">IF($A13="","",SUMIFS('GECC 2026'!J$2:J$200,'GECC 2026'!F$2:F$200,$A13)+SUMIFS('GECC 2026'!$AE$3:$AE$32,'GECC 2026'!$AD$3:$AD$32,$A13))</f>
        <v>36.799999999999997</v>
      </c>
      <c r="F13" s="24">
        <f ca="1">IF($A13="","",COUNTIFS('GECC 2026'!F$2:F$200,$A13))</f>
        <v>1</v>
      </c>
    </row>
    <row r="14" spans="1:7" x14ac:dyDescent="0.25">
      <c r="A14" t="str">
        <f ca="1"/>
        <v>Cinthia Thais de Carvalho Luz Thomazi</v>
      </c>
      <c r="B14" s="26">
        <f ca="1">IF($A14="","",SUMIFS('GECC 2026'!H$2:H$200,'GECC 2026'!F$2:F$200,$A14))</f>
        <v>39</v>
      </c>
      <c r="C14" s="26">
        <f ca="1">IF($A14="","",SUMIFS('GECC 2026'!I$2:I$200,'GECC 2026'!F$2:F$200,$A14))</f>
        <v>8.1</v>
      </c>
      <c r="D14" s="101">
        <f ca="1">IF($A14="","",SUMIFS('GECC 2026'!$AE$3:$AE$32,'GECC 2026'!$AD$3:$AD$32,$A14))</f>
        <v>0</v>
      </c>
      <c r="E14" s="93">
        <f ca="1">IF($A14="","",SUMIFS('GECC 2026'!J$2:J$200,'GECC 2026'!F$2:F$200,$A14)+SUMIFS('GECC 2026'!$AE$3:$AE$32,'GECC 2026'!$AD$3:$AD$32,$A14))</f>
        <v>47.100000000000009</v>
      </c>
      <c r="F14" s="24">
        <f ca="1">IF($A14="","",COUNTIFS('GECC 2026'!F$2:F$200,$A14))</f>
        <v>8</v>
      </c>
    </row>
    <row r="15" spans="1:7" x14ac:dyDescent="0.25">
      <c r="A15" t="str">
        <f ca="1"/>
        <v>Davi Assunção Salvador Nery de Castro</v>
      </c>
      <c r="B15" s="26">
        <f ca="1">IF($A15="","",SUMIFS('GECC 2026'!H$2:H$200,'GECC 2026'!F$2:F$200,$A15))</f>
        <v>12</v>
      </c>
      <c r="C15" s="26">
        <f ca="1">IF($A15="","",SUMIFS('GECC 2026'!I$2:I$200,'GECC 2026'!F$2:F$200,$A15))</f>
        <v>1.2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13.2</v>
      </c>
      <c r="F15" s="24">
        <f ca="1">IF($A15="","",COUNTIFS('GECC 2026'!F$2:F$200,$A15))</f>
        <v>1</v>
      </c>
    </row>
    <row r="16" spans="1:7" x14ac:dyDescent="0.25">
      <c r="A16" t="str">
        <f ca="1"/>
        <v>David da Silva de Araújo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Denise Duarte Guirra Kuhlmann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3.5999999999999996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15.600000000000001</v>
      </c>
      <c r="F17" s="24">
        <f ca="1">IF($A17="","",COUNTIFS('GECC 2026'!F$2:F$200,$A17))</f>
        <v>3</v>
      </c>
    </row>
    <row r="18" spans="1:6" x14ac:dyDescent="0.25">
      <c r="A18" t="str">
        <f ca="1"/>
        <v>Diversos</v>
      </c>
      <c r="B18" s="26">
        <f ca="1">IF($A18="","",SUMIFS('GECC 2026'!H$2:H$200,'GECC 2026'!F$2:F$200,$A18))</f>
        <v>0</v>
      </c>
      <c r="C18" s="26">
        <f ca="1">IF($A18="","",SUMIFS('GECC 2026'!I$2:I$200,'GECC 2026'!F$2:F$200,$A18))</f>
        <v>0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0</v>
      </c>
      <c r="F18" s="24">
        <f ca="1">IF($A18="","",COUNTIFS('GECC 2026'!F$2:F$200,$A18))</f>
        <v>2</v>
      </c>
    </row>
    <row r="19" spans="1:6" x14ac:dyDescent="0.25">
      <c r="A19" t="str">
        <f ca="1"/>
        <v>Douglas Vieira Silva Filho</v>
      </c>
      <c r="B19" s="26">
        <f ca="1">IF($A19="","",SUMIFS('GECC 2026'!H$2:H$200,'GECC 2026'!F$2:F$200,$A19))</f>
        <v>4</v>
      </c>
      <c r="C19" s="26">
        <f ca="1">IF($A19="","",SUMIFS('GECC 2026'!I$2:I$200,'GECC 2026'!F$2:F$200,$A19))</f>
        <v>1.2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5.2</v>
      </c>
      <c r="F19" s="24">
        <f ca="1">IF($A19="","",COUNTIFS('GECC 2026'!F$2:F$200,$A19))</f>
        <v>1</v>
      </c>
    </row>
    <row r="20" spans="1:6" x14ac:dyDescent="0.25">
      <c r="A20" t="str">
        <f ca="1"/>
        <v>Elvis Aaron Teixeira dos Santos Lima</v>
      </c>
      <c r="B20" s="26">
        <f ca="1">IF($A20="","",SUMIFS('GECC 2026'!H$2:H$200,'GECC 2026'!F$2:F$200,$A20))</f>
        <v>0</v>
      </c>
      <c r="C20" s="26">
        <f ca="1">IF($A20="","",SUMIFS('GECC 2026'!I$2:I$200,'GECC 2026'!F$2:F$200,$A20))</f>
        <v>0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0</v>
      </c>
      <c r="F20" s="24">
        <f ca="1">IF($A20="","",COUNTIFS('GECC 2026'!F$2:F$200,$A20))</f>
        <v>1</v>
      </c>
    </row>
    <row r="21" spans="1:6" x14ac:dyDescent="0.25">
      <c r="A21" t="str">
        <f ca="1"/>
        <v>Eustáquio Rabelo de Souza</v>
      </c>
      <c r="B21" s="26">
        <f ca="1">IF($A21="","",SUMIFS('GECC 2026'!H$2:H$200,'GECC 2026'!F$2:F$200,$A21))</f>
        <v>1</v>
      </c>
      <c r="C21" s="26">
        <f ca="1">IF($A21="","",SUMIFS('GECC 2026'!I$2:I$200,'GECC 2026'!F$2:F$200,$A21))</f>
        <v>0.3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1.3</v>
      </c>
      <c r="F21" s="24">
        <f ca="1">IF($A21="","",COUNTIFS('GECC 2026'!F$2:F$200,$A21))</f>
        <v>1</v>
      </c>
    </row>
    <row r="22" spans="1:6" x14ac:dyDescent="0.25">
      <c r="A22" t="str">
        <f ca="1"/>
        <v>Felipe da Costa Malaquias</v>
      </c>
      <c r="B22" s="26">
        <f ca="1">IF($A22="","",SUMIFS('GECC 2026'!H$2:H$200,'GECC 2026'!F$2:F$200,$A22))</f>
        <v>8</v>
      </c>
      <c r="C22" s="26">
        <f ca="1">IF($A22="","",SUMIFS('GECC 2026'!I$2:I$200,'GECC 2026'!F$2:F$200,$A22))</f>
        <v>37.299999999999997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45.3</v>
      </c>
      <c r="F22" s="24">
        <f ca="1">IF($A22="","",COUNTIFS('GECC 2026'!F$2:F$200,$A22))</f>
        <v>2</v>
      </c>
    </row>
    <row r="23" spans="1:6" x14ac:dyDescent="0.25">
      <c r="A23" t="str">
        <f ca="1"/>
        <v>Felipe Ramos Barbosa</v>
      </c>
      <c r="B23" s="26">
        <f ca="1">IF($A23="","",SUMIFS('GECC 2026'!H$2:H$200,'GECC 2026'!F$2:F$200,$A23))</f>
        <v>1</v>
      </c>
      <c r="C23" s="26">
        <f ca="1">IF($A23="","",SUMIFS('GECC 2026'!I$2:I$200,'GECC 2026'!F$2:F$200,$A23))</f>
        <v>0.3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1.3</v>
      </c>
      <c r="F23" s="24">
        <f ca="1">IF($A23="","",COUNTIFS('GECC 2026'!F$2:F$200,$A23))</f>
        <v>1</v>
      </c>
    </row>
    <row r="24" spans="1:6" x14ac:dyDescent="0.25">
      <c r="A24" t="str">
        <f ca="1"/>
        <v>Fernanda Viana de Souza</v>
      </c>
      <c r="B24" s="26">
        <f ca="1">IF($A24="","",SUMIFS('GECC 2026'!H$2:H$200,'GECC 2026'!F$2:F$200,$A24))</f>
        <v>18</v>
      </c>
      <c r="C24" s="26">
        <f ca="1">IF($A24="","",SUMIFS('GECC 2026'!I$2:I$200,'GECC 2026'!F$2:F$200,$A24))</f>
        <v>5.4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23.4</v>
      </c>
      <c r="F24" s="24">
        <f ca="1">IF($A24="","",COUNTIFS('GECC 2026'!F$2:F$200,$A24))</f>
        <v>5</v>
      </c>
    </row>
    <row r="25" spans="1:6" x14ac:dyDescent="0.25">
      <c r="A25" t="str">
        <f ca="1"/>
        <v>Flávio José Fonseca de Souza</v>
      </c>
      <c r="B25" s="26">
        <f ca="1">IF($A25="","",SUMIFS('GECC 2026'!H$2:H$200,'GECC 2026'!F$2:F$200,$A25))</f>
        <v>8</v>
      </c>
      <c r="C25" s="26">
        <f ca="1">IF($A25="","",SUMIFS('GECC 2026'!I$2:I$200,'GECC 2026'!F$2:F$200,$A25))</f>
        <v>37.299999999999997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45.3</v>
      </c>
      <c r="F25" s="24">
        <f ca="1">IF($A25="","",COUNTIFS('GECC 2026'!F$2:F$200,$A25))</f>
        <v>2</v>
      </c>
    </row>
    <row r="26" spans="1:6" x14ac:dyDescent="0.25">
      <c r="A26" t="str">
        <f ca="1"/>
        <v>Gabriel Heller</v>
      </c>
      <c r="B26" s="26">
        <f ca="1">IF($A26="","",SUMIFS('GECC 2026'!H$2:H$200,'GECC 2026'!F$2:F$200,$A26))</f>
        <v>4</v>
      </c>
      <c r="C26" s="26">
        <f ca="1">IF($A26="","",SUMIFS('GECC 2026'!I$2:I$200,'GECC 2026'!F$2:F$200,$A26))</f>
        <v>33.200000000000003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37.200000000000003</v>
      </c>
      <c r="F26" s="24">
        <f ca="1">IF($A26="","",COUNTIFS('GECC 2026'!F$2:F$200,$A26))</f>
        <v>3</v>
      </c>
    </row>
    <row r="27" spans="1:6" x14ac:dyDescent="0.25">
      <c r="A27" t="str">
        <f ca="1"/>
        <v>Guilherme Bride Fernandes</v>
      </c>
      <c r="B27" s="26">
        <f ca="1">IF($A27="","",SUMIFS('GECC 2026'!H$2:H$200,'GECC 2026'!F$2:F$200,$A27))</f>
        <v>0</v>
      </c>
      <c r="C27" s="26">
        <f ca="1">IF($A27="","",SUMIFS('GECC 2026'!I$2:I$200,'GECC 2026'!F$2:F$200,$A27))</f>
        <v>0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0</v>
      </c>
      <c r="F27" s="24">
        <f ca="1">IF($A27="","",COUNTIFS('GECC 2026'!F$2:F$200,$A27))</f>
        <v>1</v>
      </c>
    </row>
    <row r="28" spans="1:6" x14ac:dyDescent="0.25">
      <c r="A28" t="str">
        <f ca="1"/>
        <v>Gustavo Takahashi</v>
      </c>
      <c r="B28" s="26">
        <f ca="1">IF($A28="","",SUMIFS('GECC 2026'!H$2:H$200,'GECC 2026'!F$2:F$200,$A28))</f>
        <v>33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33</v>
      </c>
      <c r="F28" s="24">
        <f ca="1">IF($A28="","",COUNTIFS('GECC 2026'!F$2:F$200,$A28))</f>
        <v>5</v>
      </c>
    </row>
    <row r="29" spans="1:6" x14ac:dyDescent="0.25">
      <c r="A29" t="str">
        <f ca="1"/>
        <v>Hamilton de Jesus Lopes Neto</v>
      </c>
      <c r="B29" s="26">
        <f ca="1">IF($A29="","",SUMIFS('GECC 2026'!H$2:H$200,'GECC 2026'!F$2:F$200,$A29))</f>
        <v>12</v>
      </c>
      <c r="C29" s="26">
        <f ca="1">IF($A29="","",SUMIFS('GECC 2026'!I$2:I$200,'GECC 2026'!F$2:F$200,$A29))</f>
        <v>1.2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13.2</v>
      </c>
      <c r="F29" s="24">
        <f ca="1">IF($A29="","",COUNTIFS('GECC 2026'!F$2:F$200,$A29))</f>
        <v>1</v>
      </c>
    </row>
    <row r="30" spans="1:6" x14ac:dyDescent="0.25">
      <c r="A30" t="str">
        <f ca="1"/>
        <v>Igor Queiroz</v>
      </c>
      <c r="B30" s="26">
        <f ca="1">IF($A30="","",SUMIFS('GECC 2026'!H$2:H$200,'GECC 2026'!F$2:F$200,$A30))</f>
        <v>1</v>
      </c>
      <c r="C30" s="26">
        <f ca="1">IF($A30="","",SUMIFS('GECC 2026'!I$2:I$200,'GECC 2026'!F$2:F$200,$A30))</f>
        <v>0.3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1.3</v>
      </c>
      <c r="F30" s="24">
        <f ca="1">IF($A30="","",COUNTIFS('GECC 2026'!F$2:F$200,$A30))</f>
        <v>1</v>
      </c>
    </row>
    <row r="31" spans="1:6" x14ac:dyDescent="0.25">
      <c r="A31" t="str">
        <f ca="1"/>
        <v>Indio Artiaga do Brasil Rabelo</v>
      </c>
      <c r="B31" s="26">
        <f ca="1">IF($A31="","",SUMIFS('GECC 2026'!H$2:H$200,'GECC 2026'!F$2:F$200,$A31))</f>
        <v>16</v>
      </c>
      <c r="C31" s="26">
        <f ca="1">IF($A31="","",SUMIFS('GECC 2026'!I$2:I$200,'GECC 2026'!F$2:F$200,$A31))</f>
        <v>4.8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20.8</v>
      </c>
      <c r="F31" s="24">
        <f ca="1">IF($A31="","",COUNTIFS('GECC 2026'!F$2:F$200,$A31))</f>
        <v>2</v>
      </c>
    </row>
    <row r="32" spans="1:6" x14ac:dyDescent="0.25">
      <c r="A32" t="str">
        <f ca="1"/>
        <v>Isac Mendes Caixeta de Pamplona Araújo</v>
      </c>
      <c r="B32" s="26">
        <f ca="1">IF($A32="","",SUMIFS('GECC 2026'!H$2:H$200,'GECC 2026'!F$2:F$200,$A32))</f>
        <v>2</v>
      </c>
      <c r="C32" s="26">
        <f ca="1">IF($A32="","",SUMIFS('GECC 2026'!I$2:I$200,'GECC 2026'!F$2:F$200,$A32))</f>
        <v>0.6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2.6</v>
      </c>
      <c r="F32" s="24">
        <f ca="1">IF($A32="","",COUNTIFS('GECC 2026'!F$2:F$200,$A32))</f>
        <v>2</v>
      </c>
    </row>
    <row r="33" spans="1:6" x14ac:dyDescent="0.25">
      <c r="A33" t="str">
        <f ca="1"/>
        <v>Jamile Medeiros Fon</v>
      </c>
      <c r="B33" s="26">
        <f ca="1">IF($A33="","",SUMIFS('GECC 2026'!H$2:H$200,'GECC 2026'!F$2:F$200,$A33))</f>
        <v>4</v>
      </c>
      <c r="C33" s="26">
        <f ca="1">IF($A33="","",SUMIFS('GECC 2026'!I$2:I$200,'GECC 2026'!F$2:F$200,$A33))</f>
        <v>1.2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5.2</v>
      </c>
      <c r="F33" s="24">
        <f ca="1">IF($A33="","",COUNTIFS('GECC 2026'!F$2:F$200,$A33))</f>
        <v>1</v>
      </c>
    </row>
    <row r="34" spans="1:6" x14ac:dyDescent="0.25">
      <c r="A34" t="str">
        <f ca="1"/>
        <v>José Roberto Alcuri Júnior</v>
      </c>
      <c r="B34" s="26">
        <f ca="1">IF($A34="","",SUMIFS('GECC 2026'!H$2:H$200,'GECC 2026'!F$2:F$200,$A34))</f>
        <v>1</v>
      </c>
      <c r="C34" s="26">
        <f ca="1">IF($A34="","",SUMIFS('GECC 2026'!I$2:I$200,'GECC 2026'!F$2:F$200,$A34))</f>
        <v>0.3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1.3</v>
      </c>
      <c r="F34" s="24">
        <f ca="1">IF($A34="","",COUNTIFS('GECC 2026'!F$2:F$200,$A34))</f>
        <v>2</v>
      </c>
    </row>
    <row r="35" spans="1:6" x14ac:dyDescent="0.25">
      <c r="A35" t="str">
        <f ca="1"/>
        <v>Leonardo de Melo</v>
      </c>
      <c r="B35" s="26">
        <f ca="1">IF($A35="","",SUMIFS('GECC 2026'!H$2:H$200,'GECC 2026'!F$2:F$200,$A35))</f>
        <v>0</v>
      </c>
      <c r="C35" s="26">
        <f ca="1">IF($A35="","",SUMIFS('GECC 2026'!I$2:I$200,'GECC 2026'!F$2:F$200,$A35))</f>
        <v>0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0</v>
      </c>
      <c r="F35" s="24">
        <f ca="1">IF($A35="","",COUNTIFS('GECC 2026'!F$2:F$200,$A35))</f>
        <v>2</v>
      </c>
    </row>
    <row r="36" spans="1:6" x14ac:dyDescent="0.25">
      <c r="A36" t="str">
        <f ca="1"/>
        <v>Leonardo José Alves Leal Neri</v>
      </c>
      <c r="B36" s="26">
        <f ca="1">IF($A36="","",SUMIFS('GECC 2026'!H$2:H$200,'GECC 2026'!F$2:F$200,$A36))</f>
        <v>40</v>
      </c>
      <c r="C36" s="26">
        <f ca="1">IF($A36="","",SUMIFS('GECC 2026'!I$2:I$200,'GECC 2026'!F$2:F$200,$A36))</f>
        <v>12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52</v>
      </c>
      <c r="F36" s="24">
        <f ca="1">IF($A36="","",COUNTIFS('GECC 2026'!F$2:F$200,$A36))</f>
        <v>2</v>
      </c>
    </row>
    <row r="37" spans="1:6" x14ac:dyDescent="0.25">
      <c r="A37" t="str">
        <f ca="1"/>
        <v>Luciana Alvim</v>
      </c>
      <c r="B37" s="26">
        <f ca="1">IF($A37="","",SUMIFS('GECC 2026'!H$2:H$200,'GECC 2026'!F$2:F$200,$A37))</f>
        <v>60</v>
      </c>
      <c r="C37" s="26">
        <f ca="1">IF($A37="","",SUMIFS('GECC 2026'!I$2:I$200,'GECC 2026'!F$2:F$200,$A37))</f>
        <v>74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134</v>
      </c>
      <c r="F37" s="24">
        <f ca="1">IF($A37="","",COUNTIFS('GECC 2026'!F$2:F$200,$A37))</f>
        <v>6</v>
      </c>
    </row>
    <row r="38" spans="1:6" x14ac:dyDescent="0.25">
      <c r="A38" t="str">
        <f ca="1"/>
        <v>Marcelo Bálbio Moraes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16</v>
      </c>
      <c r="E38" s="93">
        <f ca="1">IF($A38="","",SUMIFS('GECC 2026'!J$2:J$200,'GECC 2026'!F$2:F$200,$A38)+SUMIFS('GECC 2026'!$AE$3:$AE$32,'GECC 2026'!$AD$3:$AD$32,$A38))</f>
        <v>16</v>
      </c>
      <c r="F38" s="24">
        <f ca="1">IF($A38="","",COUNTIFS('GECC 2026'!F$2:F$200,$A38))</f>
        <v>0</v>
      </c>
    </row>
    <row r="39" spans="1:6" x14ac:dyDescent="0.25">
      <c r="A39" t="str">
        <f ca="1"/>
        <v>Marcelo Silva Santana</v>
      </c>
      <c r="B39" s="26">
        <f ca="1">IF($A39="","",SUMIFS('GECC 2026'!H$2:H$200,'GECC 2026'!F$2:F$200,$A39))</f>
        <v>12</v>
      </c>
      <c r="C39" s="26">
        <f ca="1">IF($A39="","",SUMIFS('GECC 2026'!I$2:I$200,'GECC 2026'!F$2:F$200,$A39))</f>
        <v>1.44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13.440000000000001</v>
      </c>
      <c r="F39" s="24">
        <f ca="1">IF($A39="","",COUNTIFS('GECC 2026'!F$2:F$200,$A39))</f>
        <v>2</v>
      </c>
    </row>
    <row r="40" spans="1:6" x14ac:dyDescent="0.25">
      <c r="A40" t="str">
        <f ca="1"/>
        <v>Mauri Siqueira Montessi</v>
      </c>
      <c r="B40" s="26">
        <f ca="1">IF($A40="","",SUMIFS('GECC 2026'!H$2:H$200,'GECC 2026'!F$2:F$200,$A40))</f>
        <v>0</v>
      </c>
      <c r="C40" s="26">
        <f ca="1">IF($A40="","",SUMIFS('GECC 2026'!I$2:I$200,'GECC 2026'!F$2:F$200,$A40))</f>
        <v>0</v>
      </c>
      <c r="D40" s="101">
        <f ca="1">IF($A40="","",SUMIFS('GECC 2026'!$AE$3:$AE$32,'GECC 2026'!$AD$3:$AD$32,$A40))</f>
        <v>16</v>
      </c>
      <c r="E40" s="93">
        <f ca="1">IF($A40="","",SUMIFS('GECC 2026'!J$2:J$200,'GECC 2026'!F$2:F$200,$A40)+SUMIFS('GECC 2026'!$AE$3:$AE$32,'GECC 2026'!$AD$3:$AD$32,$A40))</f>
        <v>16</v>
      </c>
      <c r="F40" s="24">
        <f ca="1">IF($A40="","",COUNTIFS('GECC 2026'!F$2:F$200,$A40))</f>
        <v>0</v>
      </c>
    </row>
    <row r="41" spans="1:6" x14ac:dyDescent="0.25">
      <c r="A41" t="str">
        <f ca="1"/>
        <v>Michel Martins de Morais</v>
      </c>
      <c r="B41" s="26">
        <f ca="1">IF($A41="","",SUMIFS('GECC 2026'!H$2:H$200,'GECC 2026'!F$2:F$200,$A41))</f>
        <v>0</v>
      </c>
      <c r="C41" s="26">
        <f ca="1">IF($A41="","",SUMIFS('GECC 2026'!I$2:I$200,'GECC 2026'!F$2:F$200,$A41))</f>
        <v>0</v>
      </c>
      <c r="D41" s="101">
        <f ca="1">IF($A41="","",SUMIFS('GECC 2026'!$AE$3:$AE$32,'GECC 2026'!$AD$3:$AD$32,$A41))</f>
        <v>16</v>
      </c>
      <c r="E41" s="93">
        <f ca="1">IF($A41="","",SUMIFS('GECC 2026'!J$2:J$200,'GECC 2026'!F$2:F$200,$A41)+SUMIFS('GECC 2026'!$AE$3:$AE$32,'GECC 2026'!$AD$3:$AD$32,$A41))</f>
        <v>16</v>
      </c>
      <c r="F41" s="24">
        <f ca="1">IF($A41="","",COUNTIFS('GECC 2026'!F$2:F$200,$A41))</f>
        <v>0</v>
      </c>
    </row>
    <row r="42" spans="1:6" x14ac:dyDescent="0.25">
      <c r="A42" t="str">
        <f ca="1"/>
        <v>Paulo José Góes Daltro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0</v>
      </c>
      <c r="E42" s="93">
        <f ca="1">IF($A42="","",SUMIFS('GECC 2026'!J$2:J$200,'GECC 2026'!F$2:F$200,$A42)+SUMIFS('GECC 2026'!$AE$3:$AE$32,'GECC 2026'!$AD$3:$AD$32,$A42))</f>
        <v>0</v>
      </c>
      <c r="F42" s="24">
        <f ca="1">IF($A42="","",COUNTIFS('GECC 2026'!F$2:F$200,$A42))</f>
        <v>2</v>
      </c>
    </row>
    <row r="43" spans="1:6" x14ac:dyDescent="0.25">
      <c r="A43" t="str">
        <f ca="1"/>
        <v>Priscila Nolasco de Oliveira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3.5999999999999996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15.600000000000001</v>
      </c>
      <c r="F43" s="24">
        <f ca="1">IF($A43="","",COUNTIFS('GECC 2026'!F$2:F$200,$A43))</f>
        <v>3</v>
      </c>
    </row>
    <row r="44" spans="1:6" x14ac:dyDescent="0.25">
      <c r="A44" t="str">
        <f ca="1"/>
        <v>Reinaldo Alencar</v>
      </c>
      <c r="B44" s="26">
        <f ca="1">IF($A44="","",SUMIFS('GECC 2026'!H$2:H$200,'GECC 2026'!F$2:F$200,$A44))</f>
        <v>48</v>
      </c>
      <c r="C44" s="26">
        <f ca="1">IF($A44="","",SUMIFS('GECC 2026'!I$2:I$200,'GECC 2026'!F$2:F$200,$A44))</f>
        <v>7.1999999999999993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55.2</v>
      </c>
      <c r="F44" s="24">
        <f ca="1">IF($A44="","",COUNTIFS('GECC 2026'!F$2:F$200,$A44))</f>
        <v>3</v>
      </c>
    </row>
    <row r="45" spans="1:6" x14ac:dyDescent="0.25">
      <c r="A45" t="str">
        <f ca="1"/>
        <v>Renan Dias da Silva</v>
      </c>
      <c r="B45" s="26">
        <f ca="1">IF($A45="","",SUMIFS('GECC 2026'!H$2:H$200,'GECC 2026'!F$2:F$200,$A45))</f>
        <v>4</v>
      </c>
      <c r="C45" s="26">
        <f ca="1">IF($A45="","",SUMIFS('GECC 2026'!I$2:I$200,'GECC 2026'!F$2:F$200,$A45))</f>
        <v>1.2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5.2</v>
      </c>
      <c r="F45" s="24">
        <f ca="1">IF($A45="","",COUNTIFS('GECC 2026'!F$2:F$200,$A45))</f>
        <v>1</v>
      </c>
    </row>
    <row r="46" spans="1:6" x14ac:dyDescent="0.25">
      <c r="A46" t="str">
        <f ca="1"/>
        <v>Rogério Ribeiro</v>
      </c>
      <c r="B46" s="26">
        <f ca="1">IF($A46="","",SUMIFS('GECC 2026'!H$2:H$200,'GECC 2026'!F$2:F$200,$A46))</f>
        <v>48</v>
      </c>
      <c r="C46" s="26">
        <f ca="1">IF($A46="","",SUMIFS('GECC 2026'!I$2:I$200,'GECC 2026'!F$2:F$200,$A46))</f>
        <v>7.1999999999999993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55.2</v>
      </c>
      <c r="F46" s="24">
        <f ca="1">IF($A46="","",COUNTIFS('GECC 2026'!F$2:F$200,$A46))</f>
        <v>3</v>
      </c>
    </row>
    <row r="47" spans="1:6" x14ac:dyDescent="0.25">
      <c r="A47" t="str">
        <f ca="1"/>
        <v>Rômulo Miranda Alvim</v>
      </c>
      <c r="B47" s="26">
        <f ca="1">IF($A47="","",SUMIFS('GECC 2026'!H$2:H$200,'GECC 2026'!F$2:F$200,$A47))</f>
        <v>24</v>
      </c>
      <c r="C47" s="26">
        <f ca="1">IF($A47="","",SUMIFS('GECC 2026'!I$2:I$200,'GECC 2026'!F$2:F$200,$A47))</f>
        <v>3.6</v>
      </c>
      <c r="D47" s="101">
        <f ca="1">IF($A47="","",SUMIFS('GECC 2026'!$AE$3:$AE$32,'GECC 2026'!$AD$3:$AD$32,$A47))</f>
        <v>16</v>
      </c>
      <c r="E47" s="93">
        <f ca="1">IF($A47="","",SUMIFS('GECC 2026'!J$2:J$200,'GECC 2026'!F$2:F$200,$A47)+SUMIFS('GECC 2026'!$AE$3:$AE$32,'GECC 2026'!$AD$3:$AD$32,$A47))</f>
        <v>43.6</v>
      </c>
      <c r="F47" s="24">
        <f ca="1">IF($A47="","",COUNTIFS('GECC 2026'!F$2:F$200,$A47))</f>
        <v>2</v>
      </c>
    </row>
    <row r="48" spans="1:6" x14ac:dyDescent="0.25">
      <c r="A48" t="str">
        <f ca="1"/>
        <v>Sara Cristina Lins Ramos</v>
      </c>
      <c r="B48" s="26">
        <f ca="1">IF($A48="","",SUMIFS('GECC 2026'!H$2:H$200,'GECC 2026'!F$2:F$200,$A48))</f>
        <v>8</v>
      </c>
      <c r="C48" s="26">
        <f ca="1">IF($A48="","",SUMIFS('GECC 2026'!I$2:I$200,'GECC 2026'!F$2:F$200,$A48))</f>
        <v>2.4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10.4</v>
      </c>
      <c r="F48" s="24">
        <f ca="1">IF($A48="","",COUNTIFS('GECC 2026'!F$2:F$200,$A48))</f>
        <v>1</v>
      </c>
    </row>
    <row r="49" spans="1:6" x14ac:dyDescent="0.25">
      <c r="A49" t="str">
        <f ca="1"/>
        <v>Servidores, colaboradores e estagiários do TCDF</v>
      </c>
      <c r="B49" s="26">
        <f ca="1">IF($A49="","",SUMIFS('GECC 2026'!H$2:H$200,'GECC 2026'!F$2:F$200,$A49))</f>
        <v>0</v>
      </c>
      <c r="C49" s="26">
        <f ca="1">IF($A49="","",SUMIFS('GECC 2026'!I$2:I$200,'GECC 2026'!F$2:F$200,$A49))</f>
        <v>0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0</v>
      </c>
      <c r="F49" s="24">
        <f ca="1">IF($A49="","",COUNTIFS('GECC 2026'!F$2:F$200,$A49))</f>
        <v>1</v>
      </c>
    </row>
    <row r="50" spans="1:6" x14ac:dyDescent="0.25">
      <c r="A50" t="str">
        <f ca="1"/>
        <v>Silvia Lima Damasceno Carvalho</v>
      </c>
      <c r="B50" s="26">
        <f ca="1">IF($A50="","",SUMIFS('GECC 2026'!H$2:H$200,'GECC 2026'!F$2:F$200,$A50))</f>
        <v>21</v>
      </c>
      <c r="C50" s="26">
        <f ca="1">IF($A50="","",SUMIFS('GECC 2026'!I$2:I$200,'GECC 2026'!F$2:F$200,$A50))</f>
        <v>6.3000000000000007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27.299999999999997</v>
      </c>
      <c r="F50" s="24">
        <f ca="1">IF($A50="","",COUNTIFS('GECC 2026'!F$2:F$200,$A50))</f>
        <v>6</v>
      </c>
    </row>
    <row r="51" spans="1:6" x14ac:dyDescent="0.25">
      <c r="A51" t="str">
        <f ca="1"/>
        <v>Tarsila Firmino Ely</v>
      </c>
      <c r="B51" s="26">
        <f ca="1">IF($A51="","",SUMIFS('GECC 2026'!H$2:H$200,'GECC 2026'!F$2:F$200,$A51))</f>
        <v>76</v>
      </c>
      <c r="C51" s="26">
        <f ca="1">IF($A51="","",SUMIFS('GECC 2026'!I$2:I$200,'GECC 2026'!F$2:F$200,$A51))</f>
        <v>80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156</v>
      </c>
      <c r="F51" s="24">
        <f ca="1">IF($A51="","",COUNTIFS('GECC 2026'!F$2:F$200,$A51))</f>
        <v>6</v>
      </c>
    </row>
    <row r="52" spans="1:6" x14ac:dyDescent="0.25">
      <c r="A52" t="str">
        <f ca="1"/>
        <v>Thiago Magalhães de Oliveira</v>
      </c>
      <c r="B52" s="26">
        <f ca="1">IF($A52="","",SUMIFS('GECC 2026'!H$2:H$200,'GECC 2026'!F$2:F$200,$A52))</f>
        <v>4</v>
      </c>
      <c r="C52" s="26">
        <f ca="1">IF($A52="","",SUMIFS('GECC 2026'!I$2:I$200,'GECC 2026'!F$2:F$200,$A52))</f>
        <v>1.2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5.2</v>
      </c>
      <c r="F52" s="24">
        <f ca="1">IF($A52="","",COUNTIFS('GECC 2026'!F$2:F$200,$A52))</f>
        <v>1</v>
      </c>
    </row>
    <row r="53" spans="1:6" x14ac:dyDescent="0.25">
      <c r="A53" t="str">
        <f ca="1"/>
        <v>Túllio Herbeth Teixeira Moraes</v>
      </c>
      <c r="B53" s="26">
        <f ca="1">IF($A53="","",SUMIFS('GECC 2026'!H$2:H$200,'GECC 2026'!F$2:F$200,$A53))</f>
        <v>6</v>
      </c>
      <c r="C53" s="26">
        <f ca="1">IF($A53="","",SUMIFS('GECC 2026'!I$2:I$200,'GECC 2026'!F$2:F$200,$A53))</f>
        <v>1.7999999999999998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7.8</v>
      </c>
      <c r="F53" s="24">
        <f ca="1">IF($A53="","",COUNTIFS('GECC 2026'!F$2:F$200,$A53))</f>
        <v>2</v>
      </c>
    </row>
    <row r="54" spans="1:6" x14ac:dyDescent="0.25">
      <c r="A54" t="str">
        <f ca="1"/>
        <v>Valéria Feitoza</v>
      </c>
      <c r="B54" s="26">
        <f ca="1">IF($A54="","",SUMIFS('GECC 2026'!H$2:H$200,'GECC 2026'!F$2:F$200,$A54))</f>
        <v>2</v>
      </c>
      <c r="C54" s="26">
        <f ca="1">IF($A54="","",SUMIFS('GECC 2026'!I$2:I$200,'GECC 2026'!F$2:F$200,$A54))</f>
        <v>0.6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2.6</v>
      </c>
      <c r="F54" s="24">
        <f ca="1">IF($A54="","",COUNTIFS('GECC 2026'!F$2:F$200,$A54))</f>
        <v>2</v>
      </c>
    </row>
    <row r="55" spans="1:6" x14ac:dyDescent="0.25">
      <c r="A55" t="str">
        <f ca="1"/>
        <v>Wibys Pereira</v>
      </c>
      <c r="B55" s="26">
        <f ca="1">IF($A55="","",SUMIFS('GECC 2026'!H$2:H$200,'GECC 2026'!F$2:F$200,$A55))</f>
        <v>4</v>
      </c>
      <c r="C55" s="26">
        <f ca="1">IF($A55="","",SUMIFS('GECC 2026'!I$2:I$200,'GECC 2026'!F$2:F$200,$A55))</f>
        <v>1.2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5.2</v>
      </c>
      <c r="F55" s="24">
        <f ca="1">IF($A55="","",COUNTIFS('GECC 2026'!F$2:F$200,$A55))</f>
        <v>1</v>
      </c>
    </row>
    <row r="56" spans="1:6" x14ac:dyDescent="0.25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3091</v>
      </c>
      <c r="B105" s="95">
        <f ca="1">SUM(B5:B100)</f>
        <v>691</v>
      </c>
      <c r="C105" s="95">
        <f ca="1">SUM(C5:C100)</f>
        <v>378.14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115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3157</v>
      </c>
      <c r="B1" s="123" t="s">
        <v>3158</v>
      </c>
      <c r="C1" s="123" t="s">
        <v>3159</v>
      </c>
      <c r="D1" s="123" t="s">
        <v>3160</v>
      </c>
      <c r="E1" s="123" t="s">
        <v>3161</v>
      </c>
      <c r="F1" s="123" t="s">
        <v>3162</v>
      </c>
      <c r="G1" s="123" t="s">
        <v>10</v>
      </c>
      <c r="H1" s="123" t="s">
        <v>3163</v>
      </c>
      <c r="I1" s="123" t="s">
        <v>3164</v>
      </c>
      <c r="J1" s="123" t="s">
        <v>3165</v>
      </c>
      <c r="K1" s="123" t="s">
        <v>3166</v>
      </c>
      <c r="L1" s="123" t="s">
        <v>3167</v>
      </c>
      <c r="N1" s="124" t="s">
        <v>3168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3169</v>
      </c>
      <c r="L2" t="str">
        <f>IF(K2="","",IFERROR(INDEX(Tabela2[Curso],MATCH(K2,Tabela2[ID],0)),""))</f>
        <v/>
      </c>
      <c r="N2" s="123" t="s">
        <v>3048</v>
      </c>
      <c r="O2" s="123" t="s">
        <v>4</v>
      </c>
      <c r="P2" s="123" t="s">
        <v>3170</v>
      </c>
      <c r="Q2" s="123" t="s">
        <v>3171</v>
      </c>
      <c r="R2" s="123" t="s">
        <v>3172</v>
      </c>
      <c r="S2" s="123" t="s">
        <v>3173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3169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3169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3169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3169</v>
      </c>
      <c r="L6" t="str">
        <f>IF(K6="","",IFERROR(INDEX(Tabela2[Curso],MATCH(K6,Tabela2[ID],0)),""))</f>
        <v/>
      </c>
      <c r="N6" t="s">
        <v>2837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3169</v>
      </c>
      <c r="L7" t="str">
        <f>IF(K7="","",IFERROR(INDEX(Tabela2[Curso],MATCH(K7,Tabela2[ID],0)),""))</f>
        <v/>
      </c>
      <c r="N7" t="s">
        <v>2841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3169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3169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3169</v>
      </c>
      <c r="L10" t="str">
        <f>IF(K10="","",IFERROR(INDEX(Tabela2[Curso],MATCH(K10,Tabela2[ID],0)),""))</f>
        <v/>
      </c>
      <c r="N10" s="122" t="s">
        <v>3174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3169</v>
      </c>
      <c r="L11" t="str">
        <f>IF(K11="","",IFERROR(INDEX(Tabela2[Curso],MATCH(K11,Tabela2[ID],0)),""))</f>
        <v/>
      </c>
      <c r="N11" s="125" t="s">
        <v>3175</v>
      </c>
      <c r="O11" s="125" t="s">
        <v>3176</v>
      </c>
      <c r="P11" s="125" t="s">
        <v>3177</v>
      </c>
      <c r="Q11" s="125" t="s">
        <v>3160</v>
      </c>
      <c r="R11" s="125" t="s">
        <v>3161</v>
      </c>
      <c r="S11" s="125" t="s">
        <v>3178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3169</v>
      </c>
      <c r="L12" t="str">
        <f>IF(K12="","",IFERROR(INDEX(Tabela2[Curso],MATCH(K12,Tabela2[ID],0)),""))</f>
        <v/>
      </c>
      <c r="N12" t="s">
        <v>3179</v>
      </c>
      <c r="O12" t="s">
        <v>2755</v>
      </c>
      <c r="P12" t="s">
        <v>3180</v>
      </c>
      <c r="Q12">
        <v>0</v>
      </c>
      <c r="R12">
        <v>0</v>
      </c>
      <c r="S12" t="s">
        <v>3181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3169</v>
      </c>
      <c r="L13" t="str">
        <f>IF(K13="","",IFERROR(INDEX(Tabela2[Curso],MATCH(K13,Tabela2[ID],0)),""))</f>
        <v/>
      </c>
      <c r="N13" t="s">
        <v>3182</v>
      </c>
      <c r="O13" t="s">
        <v>2686</v>
      </c>
      <c r="P13" t="s">
        <v>3183</v>
      </c>
      <c r="Q13">
        <v>0</v>
      </c>
      <c r="R13">
        <v>0</v>
      </c>
      <c r="S13" t="s">
        <v>3184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3169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3169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3169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3169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3169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3169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3169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3169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3169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3169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3169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3169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3169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3169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3169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3169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3169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3169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3169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3169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3169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3169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3169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3169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3169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3169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3169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3169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3169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3169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3169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3169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3169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3169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3169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3169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3169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3169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3169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3169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3169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3169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3169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3169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3169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3169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3169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3169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3169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3169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 t="shared" si="3"/>
        <v>sim</v>
      </c>
      <c r="J64" t="s">
        <v>3169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 t="shared" si="3"/>
        <v>sim</v>
      </c>
      <c r="J65" t="s">
        <v>3169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3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2026-08-05T18:01:58Z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