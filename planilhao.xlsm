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3" documentId="8_{454372C2-A99E-4E47-A759-72B38925853E}" xr6:coauthVersionLast="47" xr6:coauthVersionMax="47" xr10:uidLastSave="{B5D97EDA-497F-4742-B09D-AE0B648B5CCB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C35" i="23" l="1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<sst xmlns="http://schemas.openxmlformats.org/spreadsheetml/2006/main" count="6156" uniqueCount="2375">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</sst>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7">
      <filters>
        <dateGroupItem year="2026" month="4" dateTimeGrouping="month"/>
        <dateGroupItem year="2026" month="5" dateTimeGrouping="month"/>
        <dateGroupItem year="2026" month="6" dateTimeGrouping="month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69" activePane="bottomLeft" state="frozen"/>
      <selection pane="bottomLeft" activeCell="E677" sqref="E677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2161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56</v>
      </c>
      <c r="B5" s="116" t="s">
        <v>2297</v>
      </c>
      <c r="D5" s="123">
        <f>COUNTIFS('Ações InCompany'!B:B,2026,'Ações InCompany'!C:C,"Realizado")</f>
        <v>34</v>
      </c>
      <c r="E5" s="124" t="s">
        <v>2297</v>
      </c>
      <c r="G5" s="126">
        <f>COUNTIFS('Ações InCompany'!B:B,2026,'Ações InCompany'!C:C,"A realizar")</f>
        <v>18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34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1.9230769230769232E-2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34</v>
      </c>
      <c r="C45" s="121">
        <f>SUM(C33:C44)</f>
        <v>18</v>
      </c>
      <c r="D45" s="121">
        <f>SUM(D33:D44)</f>
        <v>52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fe686eaa-0658-4f15-b230-9e46c4d089fd"/>
    <ds:schemaRef ds:uri="91ce1707-6d34-452b-b217-9734c03e6729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2026-07-08T18:17:12Z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