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28" documentId="8_{454372C2-A99E-4E47-A759-72B38925853E}" xr6:coauthVersionLast="47" xr6:coauthVersionMax="47" xr10:uidLastSave="{144AC191-8906-4381-9E4B-619AE583026A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3" l="1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<sst xmlns="http://schemas.openxmlformats.org/spreadsheetml/2006/main" count="7030" uniqueCount="3131">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</sst>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5" dataDxfId="54" totalsRowDxfId="53" totalsRowBorderDxfId="52">
  <autoFilter ref="A1:T2001" xr:uid="{D1BD5F14-CD6F-4B62-85D2-128A9D3B5FF1}"/>
  <sortState xmlns:xlrd2="http://schemas.microsoft.com/office/spreadsheetml/2017/richdata2" ref="B2:T2001">
    <sortCondition ref="I1:I2001"/>
  </sortState>
  <tableColumns count="20">
    <tableColumn id="1" xr3:uid="{022FA08A-515E-453B-85A4-E200B40364EE}" name="ID" dataDxfId="13" totalsRowDxfId="12"/>
    <tableColumn id="2" xr3:uid="{19532738-24D5-4BD5-BE04-C19DCC5894A1}" name="Ano" dataDxfId="51" totalsRowDxfId="50"/>
    <tableColumn id="3" xr3:uid="{8DE0B36A-F0DC-47A1-A74E-F4BE63A4FB1D}" name="Status Evento" dataDxfId="49" totalsRowDxfId="48"/>
    <tableColumn id="4" xr3:uid="{C1159FBD-CCD0-4CA2-BB8C-598E3AB5DDD8}" name="Processo" dataDxfId="47" totalsRowDxfId="46"/>
    <tableColumn id="5" xr3:uid="{A32670A4-BE4F-480D-8DE9-8FF18024C829}" name="Curso" dataDxfId="45" totalsRowDxfId="44"/>
    <tableColumn id="8" xr3:uid="{905DEA0A-D099-47EA-972D-1012D71C7792}" name="Público-Alvo" dataDxfId="43" totalsRowDxfId="42"/>
    <tableColumn id="9" xr3:uid="{7DC0A0BE-8030-47CA-AF56-2C13C9FF7AE5}" name="Programa" dataDxfId="41" totalsRowDxfId="40"/>
    <tableColumn id="11" xr3:uid="{2B799ACD-69E4-46A5-9A4F-F7E3D7A47CE9}" name="Data TXT" dataDxfId="39" totalsRowDxfId="38"/>
    <tableColumn id="12" xr3:uid="{62016C67-3729-4C41-B72D-09D6616B7474}" name="Início" dataDxfId="37" totalsRowDxfId="36"/>
    <tableColumn id="13" xr3:uid="{E4F20518-0042-40C0-B590-B7616F2843A5}" name="Término" dataDxfId="35" totalsRowDxfId="34"/>
    <tableColumn id="14" xr3:uid="{4D6C4412-CFEE-4506-830E-F79FD008371B}" name="Modalidade" dataDxfId="33" totalsRowDxfId="32"/>
    <tableColumn id="15" xr3:uid="{12EC931A-E71B-4AEB-B20B-0F9EA63D0C71}" name="Valor instrutoria" dataDxfId="31" totalsRowDxfId="30" dataCellStyle="Moeda"/>
    <tableColumn id="17" xr3:uid="{8FCDFADA-4FA3-41E0-86FF-E623116BAFEB}" name="Nota Av. Reação" dataDxfId="29" totalsRowDxfId="28"/>
    <tableColumn id="19" xr3:uid="{316EB379-BB97-4F60-9566-576B25A26B0E}" name="Qtd Vagas" dataDxfId="27" totalsRowDxfId="26"/>
    <tableColumn id="20" xr3:uid="{59A9FB16-6726-411C-88B5-8165DD520DA3}" name="P. Servidores" dataDxfId="25" totalsRowDxfId="24"/>
    <tableColumn id="21" xr3:uid="{0246E091-ADCD-4F62-8F95-84B21E8A7BE1}" name="P. Jurisdicionados" dataDxfId="23" totalsRowDxfId="22"/>
    <tableColumn id="22" xr3:uid="{1B6DBD6D-C072-4600-81C1-69D6F4422D7D}" name="P. Sociedade" dataDxfId="21" totalsRowDxfId="20"/>
    <tableColumn id="23" xr3:uid="{109F7E4E-776C-4249-88BE-FEC3A375D7D9}" name="Total Part." dataDxfId="19" totalsRowDxfId="18"/>
    <tableColumn id="24" xr3:uid="{C67AA4C6-834C-4EBB-839B-EF0CDD50F649}" name="C.H." dataDxfId="17" totalsRowDxfId="16"/>
    <tableColumn id="26" xr3:uid="{973608F6-3E97-493C-AC61-980F73C13CD6}" name="Instrutor" dataDxfId="15" totalsRowDxfId="14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2" activePane="bottomLeft" state="frozen"/>
      <selection pane="bottomLeft" activeCell="A708" sqref="A708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31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35" t="s">
        <v>3125</v>
      </c>
    </row>
    <row r="2" spans="1:23" ht="22.5" customHeight="1" x14ac:dyDescent="0.25">
      <c r="A2" s="332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36">
        <v>2026</v>
      </c>
    </row>
    <row r="3" spans="1:23" ht="22.5" customHeight="1" x14ac:dyDescent="0.25">
      <c r="A3" s="333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37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34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33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34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33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3" ht="22.5" customHeight="1" x14ac:dyDescent="0.25">
      <c r="A8" s="334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33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34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33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34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33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34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33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34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33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34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33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34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33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34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33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34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33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34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33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34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33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34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33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34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33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34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33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34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33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34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33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34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33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34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33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34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33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34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33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34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33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34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33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34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33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34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33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34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33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34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33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34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33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34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33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34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33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34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33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34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33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34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33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34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33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34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33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34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33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34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33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34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33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34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33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34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33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34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33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34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33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34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33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34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33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34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33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34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33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34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33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34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33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34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33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34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33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34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33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34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33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34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33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34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33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34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33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34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33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34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33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34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33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34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33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34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33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34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33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34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33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34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33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34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33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34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33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34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33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34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33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34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33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34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33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34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33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34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33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34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33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34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33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34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33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34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33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34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33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34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33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34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33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34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33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34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33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34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33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34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33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34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33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34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33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34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33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34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33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34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33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34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33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34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33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34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33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34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33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34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33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34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33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34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33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34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33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34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33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34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33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34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33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34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33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34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33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34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33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34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33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34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33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34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33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34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33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34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33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34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33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34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33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34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33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34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33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34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33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34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33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34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33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34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33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34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33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34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33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34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33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34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33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34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33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34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33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34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33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34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33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34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33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34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33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34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33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34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33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34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33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34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33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34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33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34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33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34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33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34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33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34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33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34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33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34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33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34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33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34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33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34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33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34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33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34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33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34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33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34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33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34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33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34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33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34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33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34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33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34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33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34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33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34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33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34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33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34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33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34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33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34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33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34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33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34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33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34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33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34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33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34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33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34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33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34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33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34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33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34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33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34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33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34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33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34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33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34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33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34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33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34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33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34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33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34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33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34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33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34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33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34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33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34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33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34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33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34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33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34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33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34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33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34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33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34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33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34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33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34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33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34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33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34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33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34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33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34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33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34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33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34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33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34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33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34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33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34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33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34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33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34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33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34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33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34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33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34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33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34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33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34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33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34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33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34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33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34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33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34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33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34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33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34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33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34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33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34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33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34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33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34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33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34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33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34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33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34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33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34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33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34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33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34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33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34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33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34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33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34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33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34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33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34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33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34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33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34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33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34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33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34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33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34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33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34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33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34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33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34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33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34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33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34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33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34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33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34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33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34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33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34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33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34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33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34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33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34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33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34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33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34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33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34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33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34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33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34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33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34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33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34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33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34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33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34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33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34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33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34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33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34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33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34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33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34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33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34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33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34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33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34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33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34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33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34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33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34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33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34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33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34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33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34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33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34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33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34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33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34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33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34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33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34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33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34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33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34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33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34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33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34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33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34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33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34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33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34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33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34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33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34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33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34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33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34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33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34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33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34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33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34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33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34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33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34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33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34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33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34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33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34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33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34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33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34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33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34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33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34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33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34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33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34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33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34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33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34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33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34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33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34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33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34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33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34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33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34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33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34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33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34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33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34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33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34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33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34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33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34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33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34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33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34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33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34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33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34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33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34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33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34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33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34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33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34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33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34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33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34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33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34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33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34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33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34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33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34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33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34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33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34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33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34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33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34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33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34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33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34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33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34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33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34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33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34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33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34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33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34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33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34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33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34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33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34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33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34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33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34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33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34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33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34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33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34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33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34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33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34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33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34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33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34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33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11" priority="3">
      <formula>LEN(TRIM(L1))=0</formula>
    </cfRule>
  </conditionalFormatting>
  <conditionalFormatting sqref="L1:M2001">
    <cfRule type="containsBlanks" dxfId="10" priority="6">
      <formula>LEN(TRIM(L1))=0</formula>
    </cfRule>
  </conditionalFormatting>
  <conditionalFormatting sqref="L1:M2001">
    <cfRule type="containsBlanks" dxfId="9" priority="7">
      <formula>LEN(TRIM(L1))=0</formula>
    </cfRule>
  </conditionalFormatting>
  <conditionalFormatting sqref="L2001">
    <cfRule type="containsBlanks" dxfId="8" priority="1">
      <formula>LEN(TRIM(L2001))=0</formula>
    </cfRule>
    <cfRule type="containsBlanks" dxfId="7" priority="2">
      <formula>LEN(TRIM(L2001))=0</formula>
    </cfRule>
    <cfRule type="containsBlanks" dxfId="6" priority="5">
      <formula>LEN(TRIM(L2001))=0</formula>
    </cfRule>
  </conditionalFormatting>
  <conditionalFormatting sqref="C2:C2001">
    <cfRule type="expression" dxfId="5" priority="8">
      <formula>TRIM(C2)="Realizado"</formula>
    </cfRule>
    <cfRule type="expression" dxfId="4" priority="9">
      <formula>TRIM(C2)="Cancelado"</formula>
    </cfRule>
    <cfRule type="expression" dxfId="3" priority="10">
      <formula>TRIM(C2)="Adiado"</formula>
    </cfRule>
    <cfRule type="expression" dxfId="2" priority="11">
      <formula>AND(TRIM(C2)="A realizar",ISODD(ROW(C2)))</formula>
    </cfRule>
  </conditionalFormatting>
  <conditionalFormatting sqref="A2:A2001">
    <cfRule type="expression" dxfId="0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8" t="s">
        <v>2345</v>
      </c>
      <c r="B1" s="318"/>
      <c r="C1" s="318"/>
      <c r="D1" s="318"/>
      <c r="E1" s="318"/>
      <c r="F1" s="318"/>
      <c r="G1" s="318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19" t="s">
        <v>2346</v>
      </c>
      <c r="B4" s="320"/>
      <c r="D4" s="321" t="s">
        <v>2347</v>
      </c>
      <c r="E4" s="322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6" t="s">
        <v>2350</v>
      </c>
      <c r="B8" s="316"/>
      <c r="D8" s="316" t="s">
        <v>2351</v>
      </c>
      <c r="E8" s="316"/>
    </row>
    <row r="9" spans="1:7" ht="5.0999999999999996" customHeight="1" x14ac:dyDescent="0.25">
      <c r="A9" s="317"/>
      <c r="B9" s="317"/>
      <c r="D9" s="317"/>
      <c r="E9" s="317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6" t="s">
        <v>2360</v>
      </c>
      <c r="B30" s="316"/>
      <c r="C30" s="316"/>
      <c r="D30" s="316"/>
      <c r="E30" s="316"/>
    </row>
    <row r="31" spans="1:5" ht="5.0999999999999996" customHeight="1" x14ac:dyDescent="0.25">
      <c r="A31" s="317"/>
      <c r="B31" s="317"/>
      <c r="C31" s="317"/>
      <c r="D31" s="317"/>
      <c r="E31" s="317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3" t="s">
        <v>2411</v>
      </c>
      <c r="B1" s="323"/>
      <c r="C1" s="323"/>
      <c r="D1" s="323"/>
      <c r="E1" s="323"/>
      <c r="F1" s="323"/>
      <c r="G1" s="323"/>
      <c r="H1" s="323"/>
    </row>
    <row r="2" spans="1:8" x14ac:dyDescent="0.25">
      <c r="A2" s="123" t="s">
        <v>2412</v>
      </c>
    </row>
    <row r="4" spans="1:8" ht="21.95" customHeight="1" x14ac:dyDescent="0.25">
      <c r="A4" s="324" t="s">
        <v>2413</v>
      </c>
      <c r="B4" s="325"/>
      <c r="D4" s="324" t="s">
        <v>2414</v>
      </c>
      <c r="E4" s="325"/>
      <c r="G4" s="324" t="s">
        <v>2415</v>
      </c>
      <c r="H4" s="325"/>
    </row>
    <row r="5" spans="1:8" ht="35.1" customHeight="1" x14ac:dyDescent="0.25">
      <c r="A5" s="328">
        <f>COUNTIF('Ações InCompany'!E:E,"*maratona*")</f>
        <v>13</v>
      </c>
      <c r="B5" s="327"/>
      <c r="D5" s="326">
        <f>SUM(H8:H100)</f>
        <v>1762</v>
      </c>
      <c r="E5" s="327"/>
      <c r="G5" s="326">
        <f>IFERROR(ROUND(D5/A5,0),"-")</f>
        <v>136</v>
      </c>
      <c r="H5" s="327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29" t="s">
        <v>2421</v>
      </c>
      <c r="B1" s="329"/>
      <c r="C1" s="329"/>
      <c r="D1" s="329"/>
      <c r="E1" s="329"/>
      <c r="F1" s="329"/>
    </row>
    <row r="2" spans="1:7" x14ac:dyDescent="0.25">
      <c r="A2" s="330" t="s">
        <v>2422</v>
      </c>
      <c r="B2" s="330"/>
      <c r="C2" s="330"/>
      <c r="D2" s="330"/>
      <c r="E2" s="330"/>
      <c r="F2" s="330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2026-07-29T19:43:11Z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