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75" documentId="8_{454372C2-A99E-4E47-A759-72B38925853E}" xr6:coauthVersionLast="47" xr6:coauthVersionMax="47" xr10:uidLastSave="{8CCC137A-A549-48DF-9FA7-E206D89C950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E105" i="23" l="1"/>
  <c r="A5" i="23" a="1"/>
  <c r="A2" i="20"/>
  <c r="B54" i="23" l="1"/>
  <c r="E53" i="23"/>
  <c r="C54" i="23"/>
  <c r="D54" i="23"/>
  <c r="E54" i="23"/>
  <c r="B53" i="23"/>
  <c r="D53" i="23"/>
  <c r="F53" i="23"/>
  <c r="F54" i="23"/>
  <c r="C53" i="23"/>
  <c r="C52" i="23"/>
  <c r="B52" i="23"/>
  <c r="F52" i="23"/>
  <c r="D52" i="23"/>
  <c r="E52" i="23"/>
  <c r="D37" i="23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A5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<sst xmlns="http://schemas.openxmlformats.org/spreadsheetml/2006/main" count="6269" uniqueCount="2418">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</sst>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70" fontId="33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714" activePane="bottomLeft" state="frozen"/>
      <selection pane="bottomLeft" activeCell="A714" sqref="A714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1" si="10"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 t="shared" ref="R697:R713" si="13"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 t="shared" si="13"/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 t="shared" si="13"/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2102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2417</v>
      </c>
      <c r="I702" s="247">
        <v>46344</v>
      </c>
      <c r="J702" s="247">
        <v>46345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 t="shared" si="13"/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 t="shared" si="13"/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 t="shared" si="13"/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 t="shared" si="13"/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 t="shared" si="13"/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 t="shared" si="13"/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 t="shared" si="13"/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 t="shared" si="13"/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 t="shared" si="13"/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 t="shared" si="13"/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22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ref="R721:R748" si="14"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 t="shared" si="14"/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6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2026-056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107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112</v>
      </c>
      <c r="T51">
        <v>107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117</v>
      </c>
      <c r="T52">
        <v>112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122</v>
      </c>
      <c r="T53">
        <v>117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2026-061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127</v>
      </c>
      <c r="T54">
        <v>122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129</v>
      </c>
      <c r="T55">
        <v>127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131</v>
      </c>
      <c r="T56">
        <v>129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131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21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Tarsila Firmino Ely</v>
      </c>
      <c r="G105">
        <v>4</v>
      </c>
      <c r="H105">
        <v>20</v>
      </c>
      <c r="I105">
        <v>3.6</v>
      </c>
      <c r="J105">
        <v>23.6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Sara Cristina Lins Ramos</v>
      </c>
      <c r="G106">
        <v>4</v>
      </c>
      <c r="H106">
        <v>8</v>
      </c>
      <c r="I106">
        <v>2.4</v>
      </c>
      <c r="J106">
        <v>10.4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Carina de Souza Mariuba Herthel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Elvis Aaron Teixeira dos Santos Lima</v>
      </c>
      <c r="G108">
        <v>4</v>
      </c>
      <c r="H108">
        <v>0</v>
      </c>
      <c r="I108">
        <v>0</v>
      </c>
      <c r="J108">
        <v>0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2026-064</v>
      </c>
      <c r="C129" t="str">
        <v>A realizar</v>
      </c>
      <c r="D129" t="str">
        <v>Contratações de TIC com base na jurisprudência do TCDF - EAD</v>
      </c>
      <c r="E129">
        <v>17.45</v>
      </c>
      <c r="F129" t="str">
        <v>Flávio José Fonseca de Souza</v>
      </c>
      <c r="G129">
        <v>2</v>
      </c>
      <c r="H129">
        <v>17.45</v>
      </c>
      <c r="I129">
        <v>5.2349999999999994</v>
      </c>
      <c r="J129">
        <v>22.684999999999999</v>
      </c>
      <c r="R129" t="str">
        <v/>
      </c>
      <c r="S129" t="str">
        <v/>
      </c>
    </row>
    <row r="130" spans="1:19" x14ac:dyDescent="0.25">
      <c r="A130">
        <v>2026</v>
      </c>
      <c r="B130" t="str">
        <v>2026-064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Felipe da Costa Malaquias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Oficina Temática - SEMAT: Matriz de Riscos em contratos de obras e serviços de engenharia</v>
      </c>
      <c r="E131">
        <v>4</v>
      </c>
      <c r="F131" t="str">
        <v>Silvia Lima Damasceno Carvalho</v>
      </c>
      <c r="G131">
        <v>2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2026-065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Renan Dias da Silva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25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0.33870967741935482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4.8387096774193547E-2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9.6774193548387094E-2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3.2258064516129031E-2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3.2258064516129031E-2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0.22580645161290322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6.4516129032258063E-2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1.6129032258064516E-2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0.11290322580645161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3.2258064516129031E-2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25</v>
      </c>
      <c r="D45" s="119">
        <f>SUM(D33:D44)</f>
        <v>62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28</v>
      </c>
      <c r="C42" s="101">
        <f>IF($A42="","",SUMIFS('GECC 2026'!I$2:I$200,'GECC 2026'!F$2:F$200,$A42))</f>
        <v>8.3999999999999986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36.4</v>
      </c>
      <c r="F42" s="99">
        <f>IF($A42="","",COUNTIFS('GECC 2026'!F$2:F$200,$A42))</f>
        <v>3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1002.9</v>
      </c>
      <c r="C105" s="205">
        <f>SUM(C5:C100)</f>
        <v>310.45000000000005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2026-07-27T21:05:14Z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