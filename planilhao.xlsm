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27" documentId="13_ncr:1_{6A2CC3E2-FAFB-4D8F-B284-5E8FB5045DFE}" xr6:coauthVersionLast="47" xr6:coauthVersionMax="47" xr10:uidLastSave="{52F4DF49-D2F6-460C-989D-CA949A4F83D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D63" i="23" l="1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<sst xmlns="http://schemas.openxmlformats.org/spreadsheetml/2006/main" count="7404" uniqueCount="3257">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</sst>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H1" zoomScaleNormal="100" workbookViewId="0">
      <pane ySplit="1" topLeftCell="A710" activePane="bottomLeft" state="frozen"/>
      <selection pane="bottomLeft" activeCell="T716" sqref="T71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4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124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126</v>
      </c>
      <c r="T59">
        <f ca="1"/>
        <v>124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127</v>
      </c>
      <c r="T60">
        <f ca="1"/>
        <v>126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130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131</v>
      </c>
      <c r="T62">
        <f ca="1"/>
        <v>130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133</v>
      </c>
      <c r="T63">
        <f ca="1"/>
        <v>131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134</v>
      </c>
      <c r="T64">
        <f ca="1"/>
        <v>133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135</v>
      </c>
      <c r="T65">
        <f ca="1"/>
        <v>134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137</v>
      </c>
      <c r="T66">
        <f ca="1"/>
        <v>135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139</v>
      </c>
      <c r="T67">
        <f ca="1"/>
        <v>137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142</v>
      </c>
      <c r="T68">
        <f ca="1"/>
        <v>139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144</v>
      </c>
      <c r="T69">
        <f ca="1"/>
        <v>142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146</v>
      </c>
      <c r="T70">
        <f ca="1"/>
        <v>144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146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Caique Dutra Brito</v>
      </c>
      <c r="G123">
        <f ca="1"/>
        <v>3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2026-070</v>
      </c>
      <c r="C124" t="str">
        <f ca="1"/>
        <v>A realizar</v>
      </c>
      <c r="D124" t="str">
        <f ca="1"/>
        <v>UniTCDF: Obras Públicas</v>
      </c>
      <c r="E124">
        <f ca="1"/>
        <v>5</v>
      </c>
      <c r="F124" t="str">
        <f ca="1"/>
        <v>Douglas Vieira Silva Filho</v>
      </c>
      <c r="G124">
        <f ca="1"/>
        <v>3</v>
      </c>
      <c r="H124">
        <f ca="1"/>
        <v>5</v>
      </c>
      <c r="I124">
        <f ca="1"/>
        <v>1.5</v>
      </c>
      <c r="J124">
        <f ca="1"/>
        <v>6.5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2026-070</v>
      </c>
      <c r="C125" t="str">
        <f ca="1"/>
        <v>A realizar</v>
      </c>
      <c r="D125" t="str">
        <f ca="1"/>
        <v>UniTCDF: Obras Públicas</v>
      </c>
      <c r="E125">
        <f ca="1"/>
        <v>5</v>
      </c>
      <c r="F125" t="str">
        <f ca="1"/>
        <v>Rafael Nóbrega Campos</v>
      </c>
      <c r="G125">
        <f ca="1"/>
        <v>3</v>
      </c>
      <c r="H125">
        <f ca="1"/>
        <v>5</v>
      </c>
      <c r="I125">
        <f ca="1"/>
        <v>1.5</v>
      </c>
      <c r="J125">
        <f ca="1"/>
        <v>6.5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2026-072</v>
      </c>
      <c r="C126" t="str">
        <f ca="1"/>
        <v>Realizado</v>
      </c>
      <c r="D126" t="str">
        <f ca="1"/>
        <v>UniTCDF: Gestão Pública e Responsabilidade Fiscal (CEUB)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0.89999999999999991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2026-072</v>
      </c>
      <c r="C127" t="str">
        <f ca="1"/>
        <v>Realizado</v>
      </c>
      <c r="D127" t="str">
        <f ca="1"/>
        <v>UniTCDF: Gestão Pública e Responsabilidade Fiscal (CEUB)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0.89999999999999991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2026-077</v>
      </c>
      <c r="C128" t="str">
        <f ca="1"/>
        <v>A realizar</v>
      </c>
      <c r="D128" t="str">
        <f ca="1"/>
        <v>Exibição de filme: Consciência Negra</v>
      </c>
      <c r="E128">
        <f ca="1"/>
        <v>0</v>
      </c>
      <c r="F128" t="str">
        <f ca="1"/>
        <v>0</v>
      </c>
      <c r="G128">
        <f ca="1"/>
        <v>1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Isac Mendes Caixeta de Pamplona Araújo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2026-079</v>
      </c>
      <c r="C130" t="str">
        <f ca="1"/>
        <v>Realizado</v>
      </c>
      <c r="D130" t="str">
        <f ca="1"/>
        <v>Café e Tertúlia: Gincana dos Neurotransmissores</v>
      </c>
      <c r="E130">
        <f ca="1"/>
        <v>2</v>
      </c>
      <c r="F130" t="str">
        <f ca="1"/>
        <v>Valéria Feitoza</v>
      </c>
      <c r="G130">
        <f ca="1"/>
        <v>3</v>
      </c>
      <c r="H130">
        <f ca="1"/>
        <v>0</v>
      </c>
      <c r="I130">
        <f ca="1"/>
        <v>0</v>
      </c>
      <c r="J130">
        <f ca="1"/>
        <v>0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2026-079</v>
      </c>
      <c r="C131" t="str">
        <f ca="1"/>
        <v>Realizado</v>
      </c>
      <c r="D131" t="str">
        <f ca="1"/>
        <v>Café e Tertúlia: Gincana dos Neurotransmissores</v>
      </c>
      <c r="E131">
        <f ca="1"/>
        <v>2</v>
      </c>
      <c r="F131" t="str">
        <f ca="1"/>
        <v>Cinthia Thais de Carvalho Luz Thomazi</v>
      </c>
      <c r="G131">
        <f ca="1"/>
        <v>3</v>
      </c>
      <c r="H131">
        <f ca="1"/>
        <v>0</v>
      </c>
      <c r="I131">
        <f ca="1"/>
        <v>0</v>
      </c>
      <c r="J131">
        <f ca="1"/>
        <v>0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2026-081</v>
      </c>
      <c r="C132" t="str">
        <f ca="1"/>
        <v>Realizado</v>
      </c>
      <c r="D132" t="str">
        <f ca="1"/>
        <v>Contratações de TIC com base na jurisprudência do TCDF - SGDI</v>
      </c>
      <c r="E132">
        <f ca="1"/>
        <v>8</v>
      </c>
      <c r="F132" t="str">
        <f ca="1"/>
        <v>Felipe da Costa Malaquias</v>
      </c>
      <c r="G132">
        <f ca="1"/>
        <v>1</v>
      </c>
      <c r="H132">
        <f ca="1"/>
        <v>8</v>
      </c>
      <c r="I132">
        <f ca="1"/>
        <v>2.4</v>
      </c>
      <c r="J132">
        <f ca="1"/>
        <v>10.4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2026-082</v>
      </c>
      <c r="C133" t="str">
        <f ca="1"/>
        <v>Realizado</v>
      </c>
      <c r="D133" t="str">
        <f ca="1"/>
        <v>Curso de formação para gestores e fiscais de contrato nas unidades hospitalares – Turma 4</v>
      </c>
      <c r="E133">
        <f ca="1"/>
        <v>12</v>
      </c>
      <c r="F133" t="str">
        <f ca="1"/>
        <v>Luciana Alvim</v>
      </c>
      <c r="G133">
        <f ca="1"/>
        <v>2</v>
      </c>
      <c r="H133">
        <f ca="1"/>
        <v>12</v>
      </c>
      <c r="I133">
        <f ca="1"/>
        <v>3.5999999999999996</v>
      </c>
      <c r="J133">
        <f ca="1"/>
        <v>15.6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2026-082</v>
      </c>
      <c r="C134" t="str">
        <f ca="1"/>
        <v>Realizado</v>
      </c>
      <c r="D134" t="str">
        <f ca="1"/>
        <v>Curso de formação para gestores e fiscais de contrato nas unidades hospitalares – Turma 4</v>
      </c>
      <c r="E134">
        <f ca="1"/>
        <v>12</v>
      </c>
      <c r="F134" t="str">
        <f ca="1"/>
        <v>Tarsila Firmino Ely</v>
      </c>
      <c r="G134">
        <f ca="1"/>
        <v>2</v>
      </c>
      <c r="H134">
        <f ca="1"/>
        <v>12</v>
      </c>
      <c r="I134">
        <f ca="1"/>
        <v>3.5999999999999996</v>
      </c>
      <c r="J134">
        <f ca="1"/>
        <v>15.6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2026-083</v>
      </c>
      <c r="C135" t="str">
        <f ca="1"/>
        <v>Realizado</v>
      </c>
      <c r="D135" t="str">
        <f ca="1"/>
        <v>Oficina básica de Power Automate</v>
      </c>
      <c r="E135">
        <f ca="1"/>
        <v>9</v>
      </c>
      <c r="F135" t="str">
        <f ca="1"/>
        <v>Josdeyvi Magalhães Russi</v>
      </c>
      <c r="G135">
        <f ca="1"/>
        <v>1</v>
      </c>
      <c r="H135">
        <f ca="1"/>
        <v>9</v>
      </c>
      <c r="I135">
        <f ca="1"/>
        <v>2.6999999999999997</v>
      </c>
      <c r="J135">
        <f ca="1"/>
        <v>11.7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2026-084</v>
      </c>
      <c r="C136" t="str">
        <f ca="1"/>
        <v>A realizar</v>
      </c>
      <c r="D136" t="str">
        <f ca="1"/>
        <v>Oficina EmentAI: o seu assistente de IA na elaboração de ementas jurisprudenciais</v>
      </c>
      <c r="E136">
        <f ca="1"/>
        <v>4</v>
      </c>
      <c r="F136" t="str">
        <f ca="1"/>
        <v>Caio Filipe</v>
      </c>
      <c r="G136">
        <f ca="1"/>
        <v>1</v>
      </c>
      <c r="H136">
        <f ca="1"/>
        <v>4</v>
      </c>
      <c r="I136">
        <f ca="1"/>
        <v>1.2</v>
      </c>
      <c r="J136">
        <f ca="1"/>
        <v>5.2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2026-085</v>
      </c>
      <c r="C137" t="str">
        <f ca="1"/>
        <v>A realizar</v>
      </c>
      <c r="D137" t="str">
        <f ca="1"/>
        <v xml:space="preserve">Introdução à Engenharia de Prompt – T5 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2026-085</v>
      </c>
      <c r="C138" t="str">
        <f ca="1"/>
        <v>A realizar</v>
      </c>
      <c r="D138" t="str">
        <f ca="1"/>
        <v xml:space="preserve">Introdução à Engenharia de Prompt – T5 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2026-086</v>
      </c>
      <c r="C139" t="str">
        <f ca="1"/>
        <v>A realizar</v>
      </c>
      <c r="D139" t="str">
        <f ca="1"/>
        <v>Introdução à Engenharia de Prompt – T6</v>
      </c>
      <c r="E139">
        <f ca="1"/>
        <v>8</v>
      </c>
      <c r="F139" t="str">
        <f ca="1"/>
        <v>Arthur Wú</v>
      </c>
      <c r="G139">
        <f ca="1"/>
        <v>2</v>
      </c>
      <c r="H139">
        <f ca="1"/>
        <v>8</v>
      </c>
      <c r="I139">
        <f ca="1"/>
        <v>2.4</v>
      </c>
      <c r="J139">
        <f ca="1"/>
        <v>10.4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2026-086</v>
      </c>
      <c r="C140" t="str">
        <f ca="1"/>
        <v>A realizar</v>
      </c>
      <c r="D140" t="str">
        <f ca="1"/>
        <v>Introdução à Engenharia de Prompt – T6</v>
      </c>
      <c r="E140">
        <f ca="1"/>
        <v>8</v>
      </c>
      <c r="F140" t="str">
        <f ca="1"/>
        <v>Gustavo Takahashi</v>
      </c>
      <c r="G140">
        <f ca="1"/>
        <v>2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Isac Mendes Caixeta de Pamplona Araújo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2026-087</v>
      </c>
      <c r="C142" t="str">
        <f ca="1"/>
        <v>A realizar</v>
      </c>
      <c r="D142" t="str">
        <f ca="1"/>
        <v>Café e Tertúlia - Show de Talentos</v>
      </c>
      <c r="E142">
        <f ca="1"/>
        <v>2</v>
      </c>
      <c r="F142" t="str">
        <f ca="1"/>
        <v>Valéria Feitoza</v>
      </c>
      <c r="G142">
        <f ca="1"/>
        <v>3</v>
      </c>
      <c r="H142">
        <f ca="1"/>
        <v>2</v>
      </c>
      <c r="I142">
        <f ca="1"/>
        <v>0.6</v>
      </c>
      <c r="J142">
        <f ca="1"/>
        <v>2.6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2026-087</v>
      </c>
      <c r="C143" t="str">
        <f ca="1"/>
        <v>A realizar</v>
      </c>
      <c r="D143" t="str">
        <f ca="1"/>
        <v>Café e Tertúlia - Show de Talentos</v>
      </c>
      <c r="E143">
        <f ca="1"/>
        <v>2</v>
      </c>
      <c r="F143" t="str">
        <f ca="1"/>
        <v>Cinthia Thais de Carvalho Luz Thomazi</v>
      </c>
      <c r="G143">
        <f ca="1"/>
        <v>3</v>
      </c>
      <c r="H143">
        <f ca="1"/>
        <v>2</v>
      </c>
      <c r="I143">
        <f ca="1"/>
        <v>0.6</v>
      </c>
      <c r="J143">
        <f ca="1"/>
        <v>2.6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2026-092</v>
      </c>
      <c r="C144" t="str">
        <f ca="1"/>
        <v>A realizar</v>
      </c>
      <c r="D144" t="str">
        <f ca="1"/>
        <v>MROSC para servidores do GDF</v>
      </c>
      <c r="E144">
        <f ca="1"/>
        <v>12</v>
      </c>
      <c r="F144" t="str">
        <f ca="1"/>
        <v>Indio Artiaga do Brasil Rabelo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2026-092</v>
      </c>
      <c r="C145" t="str">
        <f ca="1"/>
        <v>A realizar</v>
      </c>
      <c r="D145" t="str">
        <f ca="1"/>
        <v>MROSC para servidores do GDF</v>
      </c>
      <c r="E145">
        <f ca="1"/>
        <v>12</v>
      </c>
      <c r="F145" t="str">
        <f ca="1"/>
        <v>Leonardo de Melo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2026-093</v>
      </c>
      <c r="C146" t="str">
        <f ca="1"/>
        <v>A realizar</v>
      </c>
      <c r="D146" t="str">
        <f ca="1"/>
        <v>Controle Tecnológico de Pavimentos Asfálticos, Auditoria e Análise de Superfaturamento</v>
      </c>
      <c r="E146">
        <f ca="1"/>
        <v>12</v>
      </c>
      <c r="F146" t="str">
        <f ca="1"/>
        <v>Marcelo Silva Santana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2026-093</v>
      </c>
      <c r="C147" t="str">
        <f ca="1"/>
        <v>A realizar</v>
      </c>
      <c r="D147" t="str">
        <f ca="1"/>
        <v>Controle Tecnológico de Pavimentos Asfálticos, Auditoria e Análise de Superfaturamento</v>
      </c>
      <c r="E147">
        <f ca="1"/>
        <v>12</v>
      </c>
      <c r="F147" t="str">
        <f ca="1"/>
        <v>Matheus Viana de Souza</v>
      </c>
      <c r="G147">
        <f ca="1"/>
        <v>2</v>
      </c>
      <c r="H147">
        <f ca="1"/>
        <v>0</v>
      </c>
      <c r="I147">
        <f ca="1"/>
        <v>0</v>
      </c>
      <c r="J147">
        <f ca="1"/>
        <v>0</v>
      </c>
      <c r="R147" t="str">
        <f ca="1"/>
        <v/>
      </c>
      <c r="S147" t="str">
        <f ca="1"/>
        <v/>
      </c>
    </row>
    <row r="148" spans="1:19" x14ac:dyDescent="0.25">
      <c r="R148" t="str">
        <f ca="1"/>
        <v/>
      </c>
      <c r="S148" t="str">
        <f ca="1"/>
        <v/>
      </c>
    </row>
    <row r="149" spans="1:19" x14ac:dyDescent="0.25">
      <c r="R149" t="str">
        <f ca="1"/>
        <v/>
      </c>
      <c r="S149" t="str">
        <f ca="1"/>
        <v/>
      </c>
    </row>
    <row r="150" spans="1:19" x14ac:dyDescent="0.25">
      <c r="R150" t="str">
        <f ca="1"/>
        <v/>
      </c>
      <c r="S150" t="str">
        <f ca="1"/>
        <v/>
      </c>
    </row>
    <row r="151" spans="1:19" x14ac:dyDescent="0.25">
      <c r="R151" t="str">
        <f ca="1"/>
        <v/>
      </c>
      <c r="S151" t="str">
        <f ca="1"/>
        <v/>
      </c>
    </row>
    <row r="152" spans="1:19" x14ac:dyDescent="0.25">
      <c r="R152" t="str">
        <f ca="1"/>
        <v/>
      </c>
      <c r="S152" t="str">
        <f ca="1"/>
        <v/>
      </c>
    </row>
    <row r="153" spans="1:19" x14ac:dyDescent="0.25"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Caique Dutra Brito</v>
      </c>
      <c r="B11" s="25">
        <f ca="1">IF($A11="","",SUMIFS('GECC 2026'!H$2:H$200,'GECC 2026'!F$2:F$200,$A11))</f>
        <v>5</v>
      </c>
      <c r="C11" s="25">
        <f ca="1">IF($A11="","",SUMIFS('GECC 2026'!I$2:I$200,'GECC 2026'!F$2:F$200,$A11))</f>
        <v>1.5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6.5</v>
      </c>
      <c r="F11" s="23">
        <f ca="1">IF($A11="","",COUNTIFS('GECC 2026'!F$2:F$200,$A11))</f>
        <v>1</v>
      </c>
    </row>
    <row r="12" spans="1:7" x14ac:dyDescent="0.25">
      <c r="A12" t="str">
        <f ca="1"/>
        <v>Carina de Souza Mariuba Herthel</v>
      </c>
      <c r="B12" s="25">
        <f ca="1">IF($A12="","",SUMIFS('GECC 2026'!H$2:H$200,'GECC 2026'!F$2:F$200,$A12))</f>
        <v>8</v>
      </c>
      <c r="C12" s="25">
        <f ca="1">IF($A12="","",SUMIFS('GECC 2026'!I$2:I$200,'GECC 2026'!F$2:F$200,$A12))</f>
        <v>2.4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10.4</v>
      </c>
      <c r="F12" s="23">
        <f ca="1">IF($A12="","",COUNTIFS('GECC 2026'!F$2:F$200,$A12))</f>
        <v>1</v>
      </c>
    </row>
    <row r="13" spans="1:7" x14ac:dyDescent="0.25">
      <c r="A13" t="str">
        <f ca="1"/>
        <v>Carlos Antônio</v>
      </c>
      <c r="B13" s="25">
        <f ca="1">IF($A13="","",SUMIFS('GECC 2026'!H$2:H$200,'GECC 2026'!F$2:F$200,$A13))</f>
        <v>4</v>
      </c>
      <c r="C13" s="25">
        <f ca="1">IF($A13="","",SUMIFS('GECC 2026'!I$2:I$200,'GECC 2026'!F$2:F$200,$A13))</f>
        <v>1.2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5.2</v>
      </c>
      <c r="F13" s="23">
        <f ca="1">IF($A13="","",COUNTIFS('GECC 2026'!F$2:F$200,$A13))</f>
        <v>1</v>
      </c>
    </row>
    <row r="14" spans="1:7" x14ac:dyDescent="0.25">
      <c r="A14" t="str">
        <f ca="1"/>
        <v>Carolina Pereira de Oliveira</v>
      </c>
      <c r="B14" s="25">
        <f ca="1">IF($A14="","",SUMIFS('GECC 2026'!H$2:H$200,'GECC 2026'!F$2:F$200,$A14))</f>
        <v>1</v>
      </c>
      <c r="C14" s="25">
        <f ca="1">IF($A14="","",SUMIFS('GECC 2026'!I$2:I$200,'GECC 2026'!F$2:F$200,$A14))</f>
        <v>0.3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1.3</v>
      </c>
      <c r="F14" s="23">
        <f ca="1">IF($A14="","",COUNTIFS('GECC 2026'!F$2:F$200,$A14))</f>
        <v>1</v>
      </c>
    </row>
    <row r="15" spans="1:7" x14ac:dyDescent="0.25">
      <c r="A15" t="str">
        <f ca="1"/>
        <v>Cássio Murilo Alves Costa Filho</v>
      </c>
      <c r="B15" s="25">
        <f ca="1">IF($A15="","",SUMIFS('GECC 2026'!H$2:H$200,'GECC 2026'!F$2:F$200,$A15))</f>
        <v>16</v>
      </c>
      <c r="C15" s="25">
        <f ca="1">IF($A15="","",SUMIFS('GECC 2026'!I$2:I$200,'GECC 2026'!F$2:F$200,$A15))</f>
        <v>4.8</v>
      </c>
      <c r="D15" s="100">
        <f ca="1">IF($A15="","",SUMIFS('GECC 2026'!$AE$3:$AE$32,'GECC 2026'!$AD$3:$AD$32,$A15))</f>
        <v>16</v>
      </c>
      <c r="E15" s="92">
        <f ca="1">IF($A15="","",SUMIFS('GECC 2026'!J$2:J$200,'GECC 2026'!F$2:F$200,$A15)+SUMIFS('GECC 2026'!$AE$3:$AE$32,'GECC 2026'!$AD$3:$AD$32,$A15))</f>
        <v>36.799999999999997</v>
      </c>
      <c r="F15" s="23">
        <f ca="1">IF($A15="","",COUNTIFS('GECC 2026'!F$2:F$200,$A15))</f>
        <v>1</v>
      </c>
    </row>
    <row r="16" spans="1:7" x14ac:dyDescent="0.25">
      <c r="A16" t="str">
        <f ca="1"/>
        <v>Cinthia Thais de Carvalho Luz Thomazi</v>
      </c>
      <c r="B16" s="25">
        <f ca="1">IF($A16="","",SUMIFS('GECC 2026'!H$2:H$200,'GECC 2026'!F$2:F$200,$A16))</f>
        <v>39</v>
      </c>
      <c r="C16" s="25">
        <f ca="1">IF($A16="","",SUMIFS('GECC 2026'!I$2:I$200,'GECC 2026'!F$2:F$200,$A16))</f>
        <v>8.1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47.100000000000009</v>
      </c>
      <c r="F16" s="23">
        <f ca="1">IF($A16="","",COUNTIFS('GECC 2026'!F$2:F$200,$A16))</f>
        <v>9</v>
      </c>
    </row>
    <row r="17" spans="1:6" x14ac:dyDescent="0.25">
      <c r="A17" t="str">
        <f ca="1"/>
        <v>Davi Assunção Salvador Nery de Castro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David da Silva de Araújo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Denise Duarte Guirra Kuhlmann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3.5999999999999996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15.600000000000001</v>
      </c>
      <c r="F19" s="23">
        <f ca="1">IF($A19="","",COUNTIFS('GECC 2026'!F$2:F$200,$A19))</f>
        <v>3</v>
      </c>
    </row>
    <row r="20" spans="1:6" x14ac:dyDescent="0.25">
      <c r="A20" t="str">
        <f ca="1"/>
        <v>Diversos</v>
      </c>
      <c r="B20" s="25">
        <f ca="1">IF($A20="","",SUMIFS('GECC 2026'!H$2:H$200,'GECC 2026'!F$2:F$200,$A20))</f>
        <v>0</v>
      </c>
      <c r="C20" s="25">
        <f ca="1">IF($A20="","",SUMIFS('GECC 2026'!I$2:I$200,'GECC 2026'!F$2:F$200,$A20))</f>
        <v>0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0</v>
      </c>
      <c r="F20" s="23">
        <f ca="1">IF($A20="","",COUNTIFS('GECC 2026'!F$2:F$200,$A20))</f>
        <v>2</v>
      </c>
    </row>
    <row r="21" spans="1:6" x14ac:dyDescent="0.25">
      <c r="A21" t="str">
        <f ca="1"/>
        <v>Douglas Vieira Silva Filho</v>
      </c>
      <c r="B21" s="25">
        <f ca="1">IF($A21="","",SUMIFS('GECC 2026'!H$2:H$200,'GECC 2026'!F$2:F$200,$A21))</f>
        <v>9</v>
      </c>
      <c r="C21" s="25">
        <f ca="1">IF($A21="","",SUMIFS('GECC 2026'!I$2:I$200,'GECC 2026'!F$2:F$200,$A21))</f>
        <v>2.7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11.7</v>
      </c>
      <c r="F21" s="23">
        <f ca="1">IF($A21="","",COUNTIFS('GECC 2026'!F$2:F$200,$A21))</f>
        <v>2</v>
      </c>
    </row>
    <row r="22" spans="1:6" x14ac:dyDescent="0.25">
      <c r="A22" t="str">
        <f ca="1"/>
        <v>Elvis Aaron Teixeira dos Santos Lima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Eustáquio Rabelo de Souza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Felipe da Costa Malaquias</v>
      </c>
      <c r="B24" s="25">
        <f ca="1">IF($A24="","",SUMIFS('GECC 2026'!H$2:H$200,'GECC 2026'!F$2:F$200,$A24))</f>
        <v>16</v>
      </c>
      <c r="C24" s="25">
        <f ca="1">IF($A24="","",SUMIFS('GECC 2026'!I$2:I$200,'GECC 2026'!F$2:F$200,$A24))</f>
        <v>24.099999999999998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40.1</v>
      </c>
      <c r="F24" s="23">
        <f ca="1">IF($A24="","",COUNTIFS('GECC 2026'!F$2:F$200,$A24))</f>
        <v>3</v>
      </c>
    </row>
    <row r="25" spans="1:6" x14ac:dyDescent="0.25">
      <c r="A25" t="str">
        <f ca="1"/>
        <v>Felipe Ramos Barbosa</v>
      </c>
      <c r="B25" s="25">
        <f ca="1">IF($A25="","",SUMIFS('GECC 2026'!H$2:H$200,'GECC 2026'!F$2:F$200,$A25))</f>
        <v>1</v>
      </c>
      <c r="C25" s="25">
        <f ca="1">IF($A25="","",SUMIFS('GECC 2026'!I$2:I$200,'GECC 2026'!F$2:F$200,$A25))</f>
        <v>0.3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1.3</v>
      </c>
      <c r="F25" s="23">
        <f ca="1">IF($A25="","",COUNTIFS('GECC 2026'!F$2:F$200,$A25))</f>
        <v>1</v>
      </c>
    </row>
    <row r="26" spans="1:6" x14ac:dyDescent="0.25">
      <c r="A26" t="str">
        <f ca="1"/>
        <v>Fernanda Viana de Souza</v>
      </c>
      <c r="B26" s="25">
        <f ca="1">IF($A26="","",SUMIFS('GECC 2026'!H$2:H$200,'GECC 2026'!F$2:F$200,$A26))</f>
        <v>29</v>
      </c>
      <c r="C26" s="25">
        <f ca="1">IF($A26="","",SUMIFS('GECC 2026'!I$2:I$200,'GECC 2026'!F$2:F$200,$A26))</f>
        <v>8.7000000000000011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37.699999999999996</v>
      </c>
      <c r="F26" s="23">
        <f ca="1">IF($A26="","",COUNTIFS('GECC 2026'!F$2:F$200,$A26))</f>
        <v>8</v>
      </c>
    </row>
    <row r="27" spans="1:6" x14ac:dyDescent="0.25">
      <c r="A27" t="str">
        <f ca="1"/>
        <v>Flávio José Fonseca de Souza</v>
      </c>
      <c r="B27" s="25">
        <f ca="1">IF($A27="","",SUMIFS('GECC 2026'!H$2:H$200,'GECC 2026'!F$2:F$200,$A27))</f>
        <v>8</v>
      </c>
      <c r="C27" s="25">
        <f ca="1">IF($A27="","",SUMIFS('GECC 2026'!I$2:I$200,'GECC 2026'!F$2:F$200,$A27))</f>
        <v>2.4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10.4</v>
      </c>
      <c r="F27" s="23">
        <f ca="1">IF($A27="","",COUNTIFS('GECC 2026'!F$2:F$200,$A27))</f>
        <v>1</v>
      </c>
    </row>
    <row r="28" spans="1:6" x14ac:dyDescent="0.25">
      <c r="A28" t="str">
        <f ca="1"/>
        <v>Gabriel Heller</v>
      </c>
      <c r="B28" s="25">
        <f ca="1">IF($A28="","",SUMIFS('GECC 2026'!H$2:H$200,'GECC 2026'!F$2:F$200,$A28))</f>
        <v>4</v>
      </c>
      <c r="C28" s="25">
        <f ca="1">IF($A28="","",SUMIFS('GECC 2026'!I$2:I$200,'GECC 2026'!F$2:F$200,$A28))</f>
        <v>41.2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45.2</v>
      </c>
      <c r="F28" s="23">
        <f ca="1">IF($A28="","",COUNTIFS('GECC 2026'!F$2:F$200,$A28))</f>
        <v>3</v>
      </c>
    </row>
    <row r="29" spans="1:6" x14ac:dyDescent="0.25">
      <c r="A29" t="str">
        <f ca="1"/>
        <v>Guilherme Bride Fernandes</v>
      </c>
      <c r="B29" s="25">
        <f ca="1">IF($A29="","",SUMIFS('GECC 2026'!H$2:H$200,'GECC 2026'!F$2:F$200,$A29))</f>
        <v>0</v>
      </c>
      <c r="C29" s="25">
        <f ca="1">IF($A29="","",SUMIFS('GECC 2026'!I$2:I$200,'GECC 2026'!F$2:F$200,$A29))</f>
        <v>0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0</v>
      </c>
      <c r="F29" s="23">
        <f ca="1">IF($A29="","",COUNTIFS('GECC 2026'!F$2:F$200,$A29))</f>
        <v>1</v>
      </c>
    </row>
    <row r="30" spans="1:6" x14ac:dyDescent="0.25">
      <c r="A30" t="str">
        <f ca="1"/>
        <v>Gustavo Takahashi</v>
      </c>
      <c r="B30" s="25">
        <f ca="1">IF($A30="","",SUMIFS('GECC 2026'!H$2:H$200,'GECC 2026'!F$2:F$200,$A30))</f>
        <v>49</v>
      </c>
      <c r="C30" s="25">
        <f ca="1">IF($A30="","",SUMIFS('GECC 2026'!I$2:I$200,'GECC 2026'!F$2:F$200,$A30))</f>
        <v>4.8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53.8</v>
      </c>
      <c r="F30" s="23">
        <f ca="1">IF($A30="","",COUNTIFS('GECC 2026'!F$2:F$200,$A30))</f>
        <v>7</v>
      </c>
    </row>
    <row r="31" spans="1:6" x14ac:dyDescent="0.25">
      <c r="A31" t="str">
        <f ca="1"/>
        <v>Hamilton de Jesus Lopes Neto</v>
      </c>
      <c r="B31" s="25">
        <f ca="1">IF($A31="","",SUMIFS('GECC 2026'!H$2:H$200,'GECC 2026'!F$2:F$200,$A31))</f>
        <v>12</v>
      </c>
      <c r="C31" s="25">
        <f ca="1">IF($A31="","",SUMIFS('GECC 2026'!I$2:I$200,'GECC 2026'!F$2:F$200,$A31))</f>
        <v>1.2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13.2</v>
      </c>
      <c r="F31" s="23">
        <f ca="1">IF($A31="","",COUNTIFS('GECC 2026'!F$2:F$200,$A31))</f>
        <v>1</v>
      </c>
    </row>
    <row r="32" spans="1:6" x14ac:dyDescent="0.25">
      <c r="A32" t="str">
        <f ca="1"/>
        <v>Igor Queiroz</v>
      </c>
      <c r="B32" s="25">
        <f ca="1">IF($A32="","",SUMIFS('GECC 2026'!H$2:H$200,'GECC 2026'!F$2:F$200,$A32))</f>
        <v>1</v>
      </c>
      <c r="C32" s="25">
        <f ca="1">IF($A32="","",SUMIFS('GECC 2026'!I$2:I$200,'GECC 2026'!F$2:F$200,$A32))</f>
        <v>0.3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1.3</v>
      </c>
      <c r="F32" s="23">
        <f ca="1">IF($A32="","",COUNTIFS('GECC 2026'!F$2:F$200,$A32))</f>
        <v>1</v>
      </c>
    </row>
    <row r="33" spans="1:6" x14ac:dyDescent="0.25">
      <c r="A33" t="str">
        <f ca="1"/>
        <v>Indio Artiaga do Brasil Rabelo</v>
      </c>
      <c r="B33" s="25">
        <f ca="1">IF($A33="","",SUMIFS('GECC 2026'!H$2:H$200,'GECC 2026'!F$2:F$200,$A33))</f>
        <v>28</v>
      </c>
      <c r="C33" s="25">
        <f ca="1">IF($A33="","",SUMIFS('GECC 2026'!I$2:I$200,'GECC 2026'!F$2:F$200,$A33))</f>
        <v>8.3999999999999986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36.4</v>
      </c>
      <c r="F33" s="23">
        <f ca="1">IF($A33="","",COUNTIFS('GECC 2026'!F$2:F$200,$A33))</f>
        <v>3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</v>
      </c>
      <c r="C34" s="25">
        <f ca="1">IF($A34="","",SUMIFS('GECC 2026'!I$2:I$200,'GECC 2026'!F$2:F$200,$A34))</f>
        <v>0.6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2.6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3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24</v>
      </c>
      <c r="C44" s="25">
        <f ca="1">IF($A44="","",SUMIFS('GECC 2026'!I$2:I$200,'GECC 2026'!F$2:F$200,$A44))</f>
        <v>5.0399999999999991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29.04</v>
      </c>
      <c r="F44" s="23">
        <f ca="1">IF($A44="","",COUNTIFS('GECC 2026'!F$2:F$200,$A44))</f>
        <v>3</v>
      </c>
    </row>
    <row r="45" spans="1:6" x14ac:dyDescent="0.25">
      <c r="A45" t="str">
        <f ca="1"/>
        <v>Matheus Viana de Souza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0</v>
      </c>
      <c r="F45" s="23">
        <f ca="1">IF($A45="","",COUNTIFS('GECC 2026'!F$2:F$200,$A45))</f>
        <v>1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8</v>
      </c>
      <c r="C63" s="25">
        <f ca="1">IF($A63="","",SUMIFS('GECC 2026'!I$2:I$200,'GECC 2026'!F$2:F$200,$A63))</f>
        <v>2.4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10.4</v>
      </c>
      <c r="F63" s="23">
        <f ca="1">IF($A63="","",COUNTIFS('GECC 2026'!F$2:F$200,$A63))</f>
        <v>2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852</v>
      </c>
      <c r="C105" s="94">
        <f ca="1">SUM(C5:C100)</f>
        <v>383.94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2026-09-18T17:41:46Z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