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48" documentId="13_ncr:1_{6A2CC3E2-FAFB-4D8F-B284-5E8FB5045DFE}" xr6:coauthVersionLast="47" xr6:coauthVersionMax="47" xr10:uidLastSave="{0413D111-F983-4B4A-A06D-110100D2DBA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<sst xmlns="http://schemas.openxmlformats.org/spreadsheetml/2006/main" count="7427" uniqueCount="3271">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</sst>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34" activePane="bottomLeft" state="frozen"/>
      <selection pane="bottomLeft" activeCell="T758" sqref="T7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20</v>
      </c>
      <c r="I156">
        <f ca="1"/>
        <v>6</v>
      </c>
      <c r="J156">
        <f ca="1"/>
        <v>26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6</v>
      </c>
      <c r="J157">
        <f ca="1"/>
        <v>26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20</v>
      </c>
      <c r="I158">
        <f ca="1"/>
        <v>6</v>
      </c>
      <c r="J158">
        <f ca="1"/>
        <v>26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6</v>
      </c>
      <c r="J159">
        <f ca="1"/>
        <v>26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40</v>
      </c>
      <c r="C6" s="25">
        <f ca="1">IF($A6="","",SUMIFS('GECC 2026'!I$2:I$200,'GECC 2026'!F$2:F$200,$A6))</f>
        <v>12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52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95.6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223.6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968</v>
      </c>
      <c r="C105" s="94">
        <f ca="1">SUM(C5:C100)</f>
        <v>418.73999999999995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2026-10-08T19:22:08Z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