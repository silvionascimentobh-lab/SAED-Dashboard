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8" documentId="13_ncr:1_{6A2CC3E2-FAFB-4D8F-B284-5E8FB5045DFE}" xr6:coauthVersionLast="47" xr6:coauthVersionMax="47" xr10:uidLastSave="{28954B56-26D7-4716-B98E-3D700386A60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<sst xmlns="http://schemas.openxmlformats.org/spreadsheetml/2006/main" count="7410" uniqueCount="3261">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</sst>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8" activePane="bottomLeft" state="frozen"/>
      <selection pane="bottomLeft" activeCell="C748" sqref="C657:C74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22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22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22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22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3204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67</v>
      </c>
      <c r="E5" s="43" t="s">
        <v>3156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27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15</v>
      </c>
      <c r="D13" s="28" t="s">
        <v>3164</v>
      </c>
      <c r="E13" s="29">
        <f>SUMIFS('Ações InCompany'!Q:Q,'Ações InCompany'!B:B,2026,'Ações InCompany'!C:C,"Realizado")</f>
        <v>677</v>
      </c>
    </row>
    <row r="14" spans="1:7" ht="27.95" customHeight="1" x14ac:dyDescent="0.3">
      <c r="A14" s="32" t="s">
        <v>3165</v>
      </c>
      <c r="B14" s="33">
        <f>SUM(B11:B13)</f>
        <v>67</v>
      </c>
      <c r="D14" s="32" t="s">
        <v>3166</v>
      </c>
      <c r="E14" s="33">
        <f>SUM(E11:E13)</f>
        <v>3342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2026-10-02T18:26:35Z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