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56" documentId="13_ncr:1_{6A2CC3E2-FAFB-4D8F-B284-5E8FB5045DFE}" xr6:coauthVersionLast="47" xr6:coauthVersionMax="47" xr10:uidLastSave="{1C4C0704-85DF-43B2-932E-3EC4D6B97C87}"/>
  <bookViews>
    <workbookView xWindow="-120" yWindow="-120" windowWidth="29040" windowHeight="15720" firstSheet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E108" i="28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AE33" i="20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0" i="23" l="1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<sst xmlns="http://schemas.openxmlformats.org/spreadsheetml/2006/main" count="7313" uniqueCount="3218">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</sst>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9" fillId="0" borderId="0" xfId="0" applyFont="1" applyAlignment="1">
      <alignment wrapText="1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714" activePane="bottomLeft" state="frozen"/>
      <selection pane="bottomLeft" activeCell="E2010" sqref="E2010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29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40" t="s">
        <v>2933</v>
      </c>
    </row>
    <row r="715" spans="1:21" ht="29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40" t="s">
        <v>2933</v>
      </c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.7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.7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.7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>
      <c r="A739" s="191" t="s">
        <v>3007</v>
      </c>
      <c r="B739" s="183">
        <v>2026</v>
      </c>
      <c r="C739" s="183" t="s">
        <v>2697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75" t="s">
        <v>3010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5" workbookViewId="0">
      <selection activeCell="A58" sqref="A58:XFD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3022</v>
      </c>
      <c r="H1" s="213" t="s">
        <v>3023</v>
      </c>
    </row>
    <row r="2" spans="1:8">
      <c r="H2" s="212" t="s">
        <v>3024</v>
      </c>
    </row>
    <row r="3" spans="1:8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3064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3110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3111</v>
      </c>
      <c r="B4" s="231"/>
      <c r="D4" s="232" t="s">
        <v>3112</v>
      </c>
      <c r="E4" s="233"/>
      <c r="G4" s="45" t="s">
        <v>3113</v>
      </c>
    </row>
    <row r="5" spans="1:7" ht="54.95" customHeight="1" thickBot="1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53</v>
      </c>
      <c r="E5" s="44" t="s">
        <v>3114</v>
      </c>
      <c r="G5" s="46">
        <f>COUNTIFS('Ações InCompany'!B:B,2026,'Ações InCompany'!C:C,"A realizar")</f>
        <v>28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3115</v>
      </c>
      <c r="B8" s="228"/>
      <c r="D8" s="228" t="s">
        <v>3116</v>
      </c>
      <c r="E8" s="228"/>
    </row>
    <row r="9" spans="1:7" ht="5.0999999999999996" customHeight="1">
      <c r="A9" s="241"/>
      <c r="B9" s="241"/>
      <c r="D9" s="241"/>
      <c r="E9" s="241"/>
    </row>
    <row r="10" spans="1:7" ht="24.95" customHeight="1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3123</v>
      </c>
      <c r="B14" s="34">
        <f>SUM(B11:B13)</f>
        <v>51</v>
      </c>
      <c r="D14" s="33" t="s">
        <v>3124</v>
      </c>
      <c r="E14" s="34">
        <f>SUM(E11:E13)</f>
        <v>2814</v>
      </c>
    </row>
    <row r="30" spans="1:5" ht="17.25">
      <c r="A30" s="228" t="s">
        <v>3125</v>
      </c>
      <c r="B30" s="228"/>
      <c r="C30" s="228"/>
      <c r="D30" s="228"/>
      <c r="E30" s="228"/>
    </row>
    <row r="31" spans="1:5" ht="5.0999999999999996" customHeight="1">
      <c r="A31" s="241"/>
      <c r="B31" s="241"/>
      <c r="C31" s="241"/>
      <c r="D31" s="241"/>
      <c r="E31" s="241"/>
    </row>
    <row r="32" spans="1:5" ht="24.95" customHeight="1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3123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3176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3177</v>
      </c>
    </row>
    <row r="4" spans="1:8" ht="21.95" customHeight="1">
      <c r="A4" s="235" t="s">
        <v>3178</v>
      </c>
      <c r="B4" s="236"/>
      <c r="D4" s="235" t="s">
        <v>3179</v>
      </c>
      <c r="E4" s="236"/>
      <c r="G4" s="235" t="s">
        <v>3180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2" t="s">
        <v>3186</v>
      </c>
      <c r="B1" s="242"/>
      <c r="C1" s="242"/>
      <c r="D1" s="242"/>
      <c r="E1" s="242"/>
      <c r="F1" s="242"/>
    </row>
    <row r="2" spans="1:7">
      <c r="A2" s="243" t="s">
        <v>3187</v>
      </c>
      <c r="B2" s="243"/>
      <c r="C2" s="243"/>
      <c r="D2" s="243"/>
      <c r="E2" s="243"/>
      <c r="F2" s="243"/>
    </row>
    <row r="4" spans="1:7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2026-08-28T18:44:35Z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