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71" documentId="13_ncr:1_{6A2CC3E2-FAFB-4D8F-B284-5E8FB5045DFE}" xr6:coauthVersionLast="47" xr6:coauthVersionMax="47" xr10:uidLastSave="{F5425FC1-92DB-4B0C-A548-FEC3AA7CD95E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R4" i="20" s="1"/>
  <c r="S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<sst xmlns="http://schemas.openxmlformats.org/spreadsheetml/2006/main" count="7409" uniqueCount="3263">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</sst>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G722" activePane="bottomLeft" state="frozen"/>
      <selection pane="bottomLeft" activeCell="O724" sqref="O72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7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99" t="s">
        <v>2988</v>
      </c>
      <c r="F729" s="169" t="s">
        <v>89</v>
      </c>
      <c r="G729" s="154" t="s">
        <v>2718</v>
      </c>
      <c r="H729" s="155" t="s">
        <v>2989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4.45">
      <c r="A730" s="155" t="s">
        <v>2990</v>
      </c>
      <c r="B730" s="153">
        <v>2026</v>
      </c>
      <c r="C730" s="153" t="s">
        <v>2711</v>
      </c>
      <c r="D730" s="153" t="s">
        <v>2991</v>
      </c>
      <c r="E730" s="158" t="s">
        <v>2992</v>
      </c>
      <c r="F730" s="169" t="s">
        <v>25</v>
      </c>
      <c r="G730" s="154" t="s">
        <v>207</v>
      </c>
      <c r="H730" s="155" t="s">
        <v>2993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4.45">
      <c r="A731" s="155" t="s">
        <v>2994</v>
      </c>
      <c r="B731" s="153">
        <v>2026</v>
      </c>
      <c r="C731" s="153" t="s">
        <v>2711</v>
      </c>
      <c r="D731" s="153"/>
      <c r="E731" s="199" t="s">
        <v>2995</v>
      </c>
      <c r="F731" s="169" t="s">
        <v>25</v>
      </c>
      <c r="G731" s="154" t="s">
        <v>2718</v>
      </c>
      <c r="H731" s="155" t="s">
        <v>2996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4.45">
      <c r="A732" s="155" t="s">
        <v>2997</v>
      </c>
      <c r="B732" s="153">
        <v>2026</v>
      </c>
      <c r="C732" s="153" t="s">
        <v>2711</v>
      </c>
      <c r="D732" s="153" t="s">
        <v>2998</v>
      </c>
      <c r="E732" s="158" t="s">
        <v>2999</v>
      </c>
      <c r="F732" s="169" t="s">
        <v>89</v>
      </c>
      <c r="G732" s="154" t="s">
        <v>43</v>
      </c>
      <c r="H732" s="155" t="s">
        <v>3000</v>
      </c>
      <c r="I732" s="189">
        <v>46321</v>
      </c>
      <c r="J732" s="189">
        <v>46367</v>
      </c>
      <c r="K732" s="153"/>
      <c r="L732" s="159"/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4.45">
      <c r="A733" s="155" t="s">
        <v>3001</v>
      </c>
      <c r="B733" s="153">
        <v>2026</v>
      </c>
      <c r="C733" s="153" t="s">
        <v>23</v>
      </c>
      <c r="D733" s="153" t="s">
        <v>3002</v>
      </c>
      <c r="E733" s="158" t="s">
        <v>3003</v>
      </c>
      <c r="F733" s="169" t="s">
        <v>25</v>
      </c>
      <c r="G733" s="154" t="s">
        <v>207</v>
      </c>
      <c r="H733" s="155" t="s">
        <v>3004</v>
      </c>
      <c r="I733" s="189">
        <v>46122</v>
      </c>
      <c r="J733" s="189">
        <v>46122</v>
      </c>
      <c r="K733" s="153" t="s">
        <v>39</v>
      </c>
      <c r="L733" s="159"/>
      <c r="M733" s="181"/>
      <c r="N733" s="157">
        <v>170</v>
      </c>
      <c r="O733" s="157"/>
      <c r="P733" s="157">
        <v>0</v>
      </c>
      <c r="Q733" s="157">
        <v>0</v>
      </c>
      <c r="R733" s="157">
        <f t="shared" si="15"/>
        <v>0</v>
      </c>
      <c r="S733" s="153">
        <v>2</v>
      </c>
      <c r="T733" s="154" t="s">
        <v>3005</v>
      </c>
      <c r="U733" s="210"/>
    </row>
    <row r="734" spans="1:21" ht="14.45" hidden="1">
      <c r="A734" s="155" t="s">
        <v>3006</v>
      </c>
      <c r="B734" s="153">
        <v>2026</v>
      </c>
      <c r="C734" s="153" t="s">
        <v>2790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2714</v>
      </c>
      <c r="U735" s="210"/>
    </row>
    <row r="736" spans="1:21" ht="14.4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4.4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4.45">
      <c r="A738" s="155" t="s">
        <v>3022</v>
      </c>
      <c r="B738" s="153">
        <v>2026</v>
      </c>
      <c r="C738" s="153" t="s">
        <v>2711</v>
      </c>
      <c r="D738" s="153" t="s">
        <v>3023</v>
      </c>
      <c r="E738" s="158" t="s">
        <v>3024</v>
      </c>
      <c r="F738" s="169" t="s">
        <v>25</v>
      </c>
      <c r="G738" s="154" t="s">
        <v>2700</v>
      </c>
      <c r="H738" s="155" t="s">
        <v>3025</v>
      </c>
      <c r="I738" s="155" t="s">
        <v>3025</v>
      </c>
      <c r="J738" s="155" t="s">
        <v>3025</v>
      </c>
      <c r="K738" s="153" t="s">
        <v>39</v>
      </c>
      <c r="L738" s="159">
        <v>2652.31</v>
      </c>
      <c r="M738" s="181"/>
      <c r="N738" s="157">
        <v>20</v>
      </c>
      <c r="O738" s="157"/>
      <c r="P738" s="157"/>
      <c r="Q738" s="157"/>
      <c r="R738" s="157">
        <f t="shared" si="15"/>
        <v>0</v>
      </c>
      <c r="S738" s="153">
        <v>4</v>
      </c>
      <c r="T738" s="154" t="s">
        <v>1910</v>
      </c>
      <c r="U738" s="210"/>
    </row>
    <row r="739" spans="1:21" ht="14.45">
      <c r="A739" s="155" t="s">
        <v>3026</v>
      </c>
      <c r="B739" s="153">
        <v>2026</v>
      </c>
      <c r="C739" s="153" t="s">
        <v>23</v>
      </c>
      <c r="D739" s="153" t="s">
        <v>3027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2827</v>
      </c>
      <c r="U739" s="210"/>
    </row>
    <row r="740" spans="1:21" ht="14.45">
      <c r="A740" s="155" t="s">
        <v>3030</v>
      </c>
      <c r="B740" s="153">
        <v>2026</v>
      </c>
      <c r="C740" s="153" t="s">
        <v>2711</v>
      </c>
      <c r="D740" s="153" t="s">
        <v>3027</v>
      </c>
      <c r="E740" s="158" t="s">
        <v>3031</v>
      </c>
      <c r="F740" s="169" t="s">
        <v>25</v>
      </c>
      <c r="G740" s="154" t="s">
        <v>2700</v>
      </c>
      <c r="H740" s="155" t="s">
        <v>3032</v>
      </c>
      <c r="I740" s="189">
        <v>46322</v>
      </c>
      <c r="J740" s="189">
        <v>46324</v>
      </c>
      <c r="K740" s="153" t="s">
        <v>39</v>
      </c>
      <c r="L740" s="159">
        <v>7038.8307599999998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8</v>
      </c>
      <c r="T740" s="154" t="s">
        <v>2827</v>
      </c>
      <c r="U740" s="210"/>
    </row>
    <row r="741" spans="1:21" ht="15">
      <c r="A741" s="155" t="s">
        <v>3033</v>
      </c>
      <c r="B741" s="153">
        <v>2026</v>
      </c>
      <c r="C741" s="153" t="s">
        <v>23</v>
      </c>
      <c r="D741" s="153" t="s">
        <v>3034</v>
      </c>
      <c r="E741" s="158" t="s">
        <v>3035</v>
      </c>
      <c r="F741" s="169" t="s">
        <v>25</v>
      </c>
      <c r="G741" s="154" t="s">
        <v>207</v>
      </c>
      <c r="H741" s="155" t="s">
        <v>3036</v>
      </c>
      <c r="I741" s="189">
        <v>46283</v>
      </c>
      <c r="J741" s="189">
        <v>46283</v>
      </c>
      <c r="K741" s="153" t="s">
        <v>39</v>
      </c>
      <c r="L741" s="159">
        <v>0</v>
      </c>
      <c r="M741" s="181"/>
      <c r="N741" s="157">
        <v>170</v>
      </c>
      <c r="O741" s="157"/>
      <c r="P741" s="157">
        <v>0</v>
      </c>
      <c r="Q741" s="157">
        <v>0</v>
      </c>
      <c r="R741" s="157">
        <f t="shared" si="15"/>
        <v>0</v>
      </c>
      <c r="S741" s="153">
        <v>2</v>
      </c>
      <c r="T741" s="154" t="s">
        <v>3005</v>
      </c>
      <c r="U741" s="210"/>
    </row>
    <row r="742" spans="1:21" ht="14.45">
      <c r="A742" s="155" t="s">
        <v>3037</v>
      </c>
      <c r="B742" s="153">
        <v>2026</v>
      </c>
      <c r="C742" s="153" t="s">
        <v>2711</v>
      </c>
      <c r="D742" s="153" t="s">
        <v>3038</v>
      </c>
      <c r="E742" s="165" t="s">
        <v>3039</v>
      </c>
      <c r="F742" s="169" t="s">
        <v>25</v>
      </c>
      <c r="G742" s="154" t="s">
        <v>207</v>
      </c>
      <c r="H742" s="155" t="s">
        <v>3040</v>
      </c>
      <c r="I742" s="189">
        <v>46314</v>
      </c>
      <c r="J742" s="189">
        <v>46318</v>
      </c>
      <c r="K742" s="153" t="s">
        <v>28</v>
      </c>
      <c r="L742" s="159">
        <v>19900</v>
      </c>
      <c r="M742" s="181"/>
      <c r="N742" s="157"/>
      <c r="O742" s="157"/>
      <c r="P742" s="157"/>
      <c r="Q742" s="157"/>
      <c r="R742" s="157">
        <f t="shared" si="15"/>
        <v>0</v>
      </c>
      <c r="S742" s="153">
        <v>16</v>
      </c>
      <c r="T742" s="154" t="s">
        <v>804</v>
      </c>
      <c r="U742" s="210"/>
    </row>
    <row r="743" spans="1:21" ht="14.45">
      <c r="A743" s="155" t="s">
        <v>3041</v>
      </c>
      <c r="B743" s="153">
        <v>2026</v>
      </c>
      <c r="C743" s="153" t="s">
        <v>2711</v>
      </c>
      <c r="D743" s="153" t="s">
        <v>3038</v>
      </c>
      <c r="E743" s="165" t="s">
        <v>3042</v>
      </c>
      <c r="F743" s="169" t="s">
        <v>25</v>
      </c>
      <c r="G743" s="154" t="s">
        <v>207</v>
      </c>
      <c r="H743" s="155" t="s">
        <v>3043</v>
      </c>
      <c r="I743" s="189">
        <v>46349</v>
      </c>
      <c r="J743" s="189">
        <v>46352</v>
      </c>
      <c r="K743" s="153" t="s">
        <v>28</v>
      </c>
      <c r="L743" s="159">
        <v>18900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hidden="1">
      <c r="A744" s="155" t="s">
        <v>3044</v>
      </c>
      <c r="B744" s="153">
        <v>2026</v>
      </c>
      <c r="C744" s="153" t="s">
        <v>2790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si="15"/>
        <v>0</v>
      </c>
      <c r="S744" s="153">
        <v>20</v>
      </c>
      <c r="T744" s="154" t="s">
        <v>3048</v>
      </c>
      <c r="U744" s="210"/>
    </row>
    <row r="745" spans="1:21" ht="14.4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6">IF(B745="","",SUM(O745:Q745))</f>
        <v>80</v>
      </c>
      <c r="S745" s="153">
        <v>2</v>
      </c>
      <c r="T745" s="154"/>
      <c r="U745" s="210"/>
    </row>
    <row r="746" spans="1:21" ht="14.4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5"/>
        <v>67</v>
      </c>
      <c r="S746" s="153">
        <v>12</v>
      </c>
      <c r="T746" s="154" t="s">
        <v>2453</v>
      </c>
      <c r="U746" s="210"/>
    </row>
    <row r="747" spans="1:21" ht="28.9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5"/>
        <v>0</v>
      </c>
      <c r="S747" s="153">
        <v>12</v>
      </c>
      <c r="T747" s="154" t="s">
        <v>3061</v>
      </c>
      <c r="U747" s="210"/>
    </row>
    <row r="748" spans="1:21" ht="14.4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4.4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4.4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137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2026-074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140</v>
      </c>
      <c r="T62">
        <f ca="1"/>
        <v>137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141</v>
      </c>
      <c r="T63">
        <f ca="1"/>
        <v>140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143</v>
      </c>
      <c r="T64">
        <f ca="1"/>
        <v>141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144</v>
      </c>
      <c r="T65">
        <f ca="1"/>
        <v>143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145</v>
      </c>
      <c r="T66">
        <f ca="1"/>
        <v>144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149</v>
      </c>
      <c r="T68">
        <f ca="1"/>
        <v>147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152</v>
      </c>
      <c r="T69">
        <f ca="1"/>
        <v>149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2026-075</v>
      </c>
      <c r="C137" t="str">
        <f ca="1"/>
        <v>A realizar</v>
      </c>
      <c r="D137" t="str">
        <f ca="1"/>
        <v>UniTCDF: Visita da FGV</v>
      </c>
      <c r="E137">
        <f ca="1"/>
        <v>3</v>
      </c>
      <c r="F137" t="str">
        <f ca="1"/>
        <v>Fernanda Viana de Souza</v>
      </c>
      <c r="G137">
        <f ca="1"/>
        <v>2</v>
      </c>
      <c r="H137">
        <f ca="1"/>
        <v>3</v>
      </c>
      <c r="I137">
        <f ca="1"/>
        <v>0.89999999999999991</v>
      </c>
      <c r="J137">
        <f ca="1"/>
        <v>3.9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2026-075</v>
      </c>
      <c r="C138" t="str">
        <f ca="1"/>
        <v>A realizar</v>
      </c>
      <c r="D138" t="str">
        <f ca="1"/>
        <v>UniTCDF: Visita da FGV</v>
      </c>
      <c r="E138">
        <f ca="1"/>
        <v>3</v>
      </c>
      <c r="F138" t="str">
        <f ca="1"/>
        <v>Túllio Herbeth Teixeira Moraes</v>
      </c>
      <c r="G138">
        <f ca="1"/>
        <v>2</v>
      </c>
      <c r="H138">
        <f ca="1"/>
        <v>3</v>
      </c>
      <c r="I138">
        <f ca="1"/>
        <v>0.89999999999999991</v>
      </c>
      <c r="J138">
        <f ca="1"/>
        <v>3.9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2026-074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2026-074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2026-074</v>
      </c>
      <c r="C141" t="str">
        <f ca="1"/>
        <v>Realizado</v>
      </c>
      <c r="D141" t="str">
        <f ca="1"/>
        <v>Café e Tertúlia: Gincana dos Neurotransmissores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2026-081</v>
      </c>
      <c r="C142" t="str">
        <f ca="1"/>
        <v>Realizado</v>
      </c>
      <c r="D142" t="str">
        <f ca="1"/>
        <v>Contratações de TIC com base na jurisprudência do TCDF - SGDI</v>
      </c>
      <c r="E142">
        <f ca="1"/>
        <v>8</v>
      </c>
      <c r="F142" t="str">
        <f ca="1"/>
        <v>Felipe da Costa Malaquias</v>
      </c>
      <c r="G142">
        <f ca="1"/>
        <v>1</v>
      </c>
      <c r="H142">
        <f ca="1"/>
        <v>8</v>
      </c>
      <c r="I142">
        <f ca="1"/>
        <v>2.4</v>
      </c>
      <c r="J142">
        <f ca="1"/>
        <v>10.4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Luciana Alvim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2026-082</v>
      </c>
      <c r="C144" t="str">
        <f ca="1"/>
        <v>Realizado</v>
      </c>
      <c r="D144" t="str">
        <f ca="1"/>
        <v>Curso de formação para gestores e fiscais de contrato nas unidades hospitalares – Turma 4</v>
      </c>
      <c r="E144">
        <f ca="1"/>
        <v>12</v>
      </c>
      <c r="F144" t="str">
        <f ca="1"/>
        <v>Tarsila Firmino Ely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2026-083</v>
      </c>
      <c r="C145" t="str">
        <f ca="1"/>
        <v>Realizado</v>
      </c>
      <c r="D145" t="str">
        <f ca="1"/>
        <v>Oficina básica de Power Automate</v>
      </c>
      <c r="E145">
        <f ca="1"/>
        <v>9</v>
      </c>
      <c r="F145" t="str">
        <f ca="1"/>
        <v>Josdeyvi Magalhães Russi</v>
      </c>
      <c r="G145">
        <f ca="1"/>
        <v>1</v>
      </c>
      <c r="H145">
        <f ca="1"/>
        <v>9</v>
      </c>
      <c r="I145">
        <f ca="1"/>
        <v>2.6999999999999997</v>
      </c>
      <c r="J145">
        <f ca="1"/>
        <v>11.7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2026-084</v>
      </c>
      <c r="C146" t="str">
        <f ca="1"/>
        <v>A realizar</v>
      </c>
      <c r="D146" t="str">
        <f ca="1"/>
        <v>Oficina EmentAI: o seu assistente de IA na elaboração de ementas jurisprudenciais</v>
      </c>
      <c r="E146">
        <f ca="1"/>
        <v>4</v>
      </c>
      <c r="F146" t="str">
        <f ca="1"/>
        <v>Caio Filipe</v>
      </c>
      <c r="G146">
        <f ca="1"/>
        <v>1</v>
      </c>
      <c r="H146">
        <f ca="1"/>
        <v>4</v>
      </c>
      <c r="I146">
        <f ca="1"/>
        <v>1.2</v>
      </c>
      <c r="J146">
        <f ca="1"/>
        <v>5.2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2026-085</v>
      </c>
      <c r="C148" t="str">
        <f ca="1"/>
        <v>Realizado</v>
      </c>
      <c r="D148" t="str">
        <f ca="1"/>
        <v xml:space="preserve">Introdução à Engenharia de Prompt – T5 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2026-086</v>
      </c>
      <c r="C150" t="str">
        <f ca="1"/>
        <v>A realizar</v>
      </c>
      <c r="D150" t="str">
        <f ca="1"/>
        <v>Introdução à Engenharia de Prompt – T6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Isac Mendes Caixeta de Pamplona Araújo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Valéria Feitoza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2026-087</v>
      </c>
      <c r="C153" t="str">
        <f ca="1"/>
        <v>Realizado</v>
      </c>
      <c r="D153" t="str">
        <f ca="1"/>
        <v>Café e Tertúlia - Show de Talentos</v>
      </c>
      <c r="E153">
        <f ca="1"/>
        <v>2</v>
      </c>
      <c r="F153" t="str">
        <f ca="1"/>
        <v>Cinthia Thais de Carvalho Luz Thomazi</v>
      </c>
      <c r="G153">
        <f ca="1"/>
        <v>3</v>
      </c>
      <c r="H153">
        <f ca="1"/>
        <v>2</v>
      </c>
      <c r="I153">
        <f ca="1"/>
        <v>0.6</v>
      </c>
      <c r="J153">
        <f ca="1"/>
        <v>2.6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3155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8" t="s">
        <v>3156</v>
      </c>
      <c r="B4" s="219"/>
      <c r="D4" s="220" t="s">
        <v>3157</v>
      </c>
      <c r="E4" s="221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6" t="s">
        <v>3160</v>
      </c>
      <c r="B8" s="216"/>
      <c r="D8" s="216" t="s">
        <v>3161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>
      <c r="A30" s="216" t="s">
        <v>3170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3221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3222</v>
      </c>
    </row>
    <row r="4" spans="1:8" ht="21.95" customHeight="1">
      <c r="A4" s="223" t="s">
        <v>3223</v>
      </c>
      <c r="B4" s="224"/>
      <c r="D4" s="223" t="s">
        <v>3224</v>
      </c>
      <c r="E4" s="224"/>
      <c r="G4" s="223" t="s">
        <v>3225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9" t="s">
        <v>3231</v>
      </c>
      <c r="B1" s="229"/>
      <c r="C1" s="229"/>
      <c r="D1" s="229"/>
      <c r="E1" s="229"/>
      <c r="F1" s="229"/>
    </row>
    <row r="2" spans="1:7">
      <c r="A2" s="230" t="s">
        <v>3232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2026-10-07T11:34:55Z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