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151" documentId="13_ncr:1_{6A2CC3E2-FAFB-4D8F-B284-5E8FB5045DFE}" xr6:coauthVersionLast="47" xr6:coauthVersionMax="47" xr10:uidLastSave="{B333C0F2-5E30-44B9-B8CE-5B393DCF8A28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48" i="3" l="1"/>
  <c r="R749" i="3"/>
  <c r="R750" i="3"/>
  <c r="R751" i="3"/>
  <c r="E113" i="28" a="1"/>
  <c r="E112" i="28" a="1"/>
  <c r="E111" i="28" a="1"/>
  <c r="E110" i="28" a="1"/>
  <c r="L645" i="3"/>
  <c r="R745" i="3"/>
  <c r="E109" i="28" a="1"/>
  <c r="E108" i="28" a="1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L4" i="20"/>
  <c r="R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l="1"/>
  <c r="T4" i="20" l="1" a="1"/>
  <c r="T4" i="20" s="1"/>
  <c r="A2" i="20" l="1" a="1"/>
  <c r="A5" i="23" l="1" a="1"/>
  <c r="E105" i="23"/>
  <c r="A2" i="20"/>
  <c r="F12" i="23" l="1"/>
  <c r="C24" i="23"/>
  <c r="F40" i="23"/>
  <c r="C9" i="23"/>
  <c r="E62" i="23"/>
  <c r="C47" i="23"/>
  <c r="B61" i="23"/>
  <c r="F36" i="23"/>
  <c r="F38" i="23"/>
  <c r="F13" i="23"/>
  <c r="B13" i="23"/>
  <c r="B15" i="23"/>
  <c r="B38" i="23"/>
  <c r="F9" i="23"/>
  <c r="B40" i="23"/>
  <c r="E48" i="23"/>
  <c r="E64" i="23"/>
  <c r="C43" i="23"/>
  <c r="E10" i="23"/>
  <c r="B35" i="23"/>
  <c r="F62" i="23"/>
  <c r="B60" i="23"/>
  <c r="F25" i="23"/>
  <c r="F30" i="23"/>
  <c r="C64" i="23"/>
  <c r="B45" i="23"/>
  <c r="F44" i="23"/>
  <c r="B27" i="23"/>
  <c r="E7" i="23"/>
  <c r="E36" i="23"/>
  <c r="B55" i="23"/>
  <c r="C56" i="23"/>
  <c r="B17" i="23"/>
  <c r="F46" i="23"/>
  <c r="C63" i="23"/>
  <c r="E59" i="23"/>
  <c r="D34" i="23"/>
  <c r="C37" i="23"/>
  <c r="F56" i="23"/>
  <c r="B11" i="23"/>
  <c r="F7" i="23"/>
  <c r="D51" i="23"/>
  <c r="E43" i="23"/>
  <c r="C42" i="23"/>
  <c r="C35" i="23"/>
  <c r="F8" i="23"/>
  <c r="F22" i="23"/>
  <c r="C57" i="23"/>
  <c r="E26" i="23"/>
  <c r="F37" i="23"/>
  <c r="F49" i="23"/>
  <c r="F29" i="23"/>
  <c r="D33" i="23"/>
  <c r="E31" i="23"/>
  <c r="D48" i="23"/>
  <c r="C59" i="23"/>
  <c r="E37" i="23"/>
  <c r="C14" i="23"/>
  <c r="E8" i="23"/>
  <c r="E6" i="23"/>
  <c r="B47" i="23"/>
  <c r="E29" i="23"/>
  <c r="F21" i="23"/>
  <c r="B19" i="23"/>
  <c r="B34" i="23"/>
  <c r="F45" i="23"/>
  <c r="C25" i="23"/>
  <c r="D23" i="23"/>
  <c r="C60" i="23"/>
  <c r="F17" i="23"/>
  <c r="F16" i="23"/>
  <c r="F14" i="23"/>
  <c r="D27" i="23"/>
  <c r="B25" i="23"/>
  <c r="C52" i="23"/>
  <c r="D21" i="23"/>
  <c r="E44" i="23"/>
  <c r="F35" i="23"/>
  <c r="E53" i="23"/>
  <c r="C40" i="23"/>
  <c r="C51" i="23"/>
  <c r="B51" i="23"/>
  <c r="F28" i="23"/>
  <c r="E41" i="23"/>
  <c r="C41" i="23"/>
  <c r="B62" i="23"/>
  <c r="E18" i="23"/>
  <c r="B37" i="23"/>
  <c r="C54" i="23"/>
  <c r="E40" i="23"/>
  <c r="C31" i="23"/>
  <c r="C36" i="23"/>
  <c r="F18" i="23"/>
  <c r="D45" i="23"/>
  <c r="E21" i="23"/>
  <c r="B29" i="23"/>
  <c r="D60" i="23"/>
  <c r="E16" i="23"/>
  <c r="C12" i="23"/>
  <c r="B21" i="23"/>
  <c r="F54" i="23"/>
  <c r="F58" i="23"/>
  <c r="E24" i="23"/>
  <c r="D55" i="23"/>
  <c r="E60" i="23"/>
  <c r="D30" i="23"/>
  <c r="F27" i="23"/>
  <c r="C50" i="23"/>
  <c r="C38" i="23"/>
  <c r="E47" i="23"/>
  <c r="B23" i="23"/>
  <c r="F60" i="23"/>
  <c r="D63" i="23"/>
  <c r="E46" i="23"/>
  <c r="B44" i="23"/>
  <c r="D24" i="23"/>
  <c r="B59" i="23"/>
  <c r="C22" i="23"/>
  <c r="D15" i="23"/>
  <c r="B42" i="23"/>
  <c r="B56" i="23"/>
  <c r="D10" i="23"/>
  <c r="C34" i="23"/>
  <c r="B41" i="23"/>
  <c r="F55" i="23"/>
  <c r="F61" i="23"/>
  <c r="E22" i="23"/>
  <c r="D42" i="23"/>
  <c r="C21" i="23"/>
  <c r="E50" i="23"/>
  <c r="D47" i="23"/>
  <c r="E58" i="23"/>
  <c r="E49" i="23"/>
  <c r="F47" i="23"/>
  <c r="E57" i="23"/>
  <c r="F33" i="23"/>
  <c r="B31" i="23"/>
  <c r="D29" i="23"/>
  <c r="D36" i="23"/>
  <c r="E28" i="23"/>
  <c r="D26" i="23"/>
  <c r="D37" i="23"/>
  <c r="C29" i="23"/>
  <c r="D6" i="23"/>
  <c r="F34" i="23"/>
  <c r="F6" i="23"/>
  <c r="D50" i="23"/>
  <c r="C18" i="23"/>
  <c r="E51" i="23"/>
  <c r="F48" i="23"/>
  <c r="D52" i="23"/>
  <c r="D39" i="23"/>
  <c r="C20" i="23"/>
  <c r="C17" i="23"/>
  <c r="B24" i="23"/>
  <c r="D64" i="23"/>
  <c r="D59" i="23"/>
  <c r="F20" i="23"/>
  <c r="B18" i="23"/>
  <c r="B58" i="23"/>
  <c r="B36" i="23"/>
  <c r="B7" i="23"/>
  <c r="E63" i="23"/>
  <c r="F64" i="23"/>
  <c r="E54" i="23"/>
  <c r="F39" i="23"/>
  <c r="F26" i="23"/>
  <c r="B12" i="23"/>
  <c r="E12" i="23"/>
  <c r="D31" i="23"/>
  <c r="F63" i="23"/>
  <c r="C48" i="23"/>
  <c r="B6" i="23"/>
  <c r="C33" i="23"/>
  <c r="B52" i="23"/>
  <c r="F50" i="23"/>
  <c r="B33" i="23"/>
  <c r="C23" i="23"/>
  <c r="D25" i="23"/>
  <c r="C8" i="23"/>
  <c r="E20" i="23"/>
  <c r="F59" i="23"/>
  <c r="C49" i="23"/>
  <c r="D35" i="23"/>
  <c r="D38" i="23"/>
  <c r="E19" i="23"/>
  <c r="B16" i="23"/>
  <c r="E32" i="23"/>
  <c r="F52" i="23"/>
  <c r="C7" i="23"/>
  <c r="B63" i="23"/>
  <c r="D13" i="23"/>
  <c r="C28" i="23"/>
  <c r="F10" i="23"/>
  <c r="F41" i="23"/>
  <c r="E55" i="23"/>
  <c r="D61" i="23"/>
  <c r="E25" i="23"/>
  <c r="D28" i="23"/>
  <c r="B57" i="23"/>
  <c r="C61" i="23"/>
  <c r="C11" i="23"/>
  <c r="C44" i="23"/>
  <c r="D12" i="23"/>
  <c r="B26" i="23"/>
  <c r="C26" i="23"/>
  <c r="C55" i="23"/>
  <c r="C58" i="23"/>
  <c r="E14" i="23"/>
  <c r="E52" i="23"/>
  <c r="F19" i="23"/>
  <c r="E34" i="23"/>
  <c r="E42" i="23"/>
  <c r="F51" i="23"/>
  <c r="B32" i="23"/>
  <c r="D20" i="23"/>
  <c r="D54" i="23"/>
  <c r="B20" i="23"/>
  <c r="D32" i="23"/>
  <c r="B43" i="23"/>
  <c r="F24" i="23"/>
  <c r="B39" i="23"/>
  <c r="D43" i="23"/>
  <c r="E45" i="23"/>
  <c r="E9" i="23"/>
  <c r="D57" i="23"/>
  <c r="C15" i="23"/>
  <c r="E56" i="23"/>
  <c r="D58" i="23"/>
  <c r="D49" i="23"/>
  <c r="E30" i="23"/>
  <c r="B22" i="23"/>
  <c r="E39" i="23"/>
  <c r="B48" i="23"/>
  <c r="B30" i="23"/>
  <c r="C13" i="23"/>
  <c r="D14" i="23"/>
  <c r="B10" i="23"/>
  <c r="B49" i="23"/>
  <c r="D22" i="23"/>
  <c r="E61" i="23"/>
  <c r="B54" i="23"/>
  <c r="D11" i="23"/>
  <c r="C53" i="23"/>
  <c r="C16" i="23"/>
  <c r="E11" i="23"/>
  <c r="C62" i="23"/>
  <c r="F53" i="23"/>
  <c r="F23" i="23"/>
  <c r="B28" i="23"/>
  <c r="C10" i="23"/>
  <c r="C30" i="23"/>
  <c r="D62" i="23"/>
  <c r="C27" i="23"/>
  <c r="C39" i="23"/>
  <c r="D8" i="23"/>
  <c r="D40" i="23"/>
  <c r="D46" i="23"/>
  <c r="C32" i="23"/>
  <c r="B14" i="23"/>
  <c r="C6" i="23"/>
  <c r="D17" i="23"/>
  <c r="C46" i="23"/>
  <c r="D44" i="23"/>
  <c r="C45" i="23"/>
  <c r="B9" i="23"/>
  <c r="D56" i="23"/>
  <c r="B53" i="23"/>
  <c r="B50" i="23"/>
  <c r="F11" i="23"/>
  <c r="E38" i="23"/>
  <c r="D41" i="23"/>
  <c r="E23" i="23"/>
  <c r="B8" i="23"/>
  <c r="D18" i="23"/>
  <c r="F32" i="23"/>
  <c r="E13" i="23"/>
  <c r="F31" i="23"/>
  <c r="F43" i="23"/>
  <c r="D7" i="23"/>
  <c r="D16" i="23"/>
  <c r="D19" i="23"/>
  <c r="E35" i="23"/>
  <c r="F57" i="23"/>
  <c r="D53" i="23"/>
  <c r="E15" i="23"/>
  <c r="F42" i="23"/>
  <c r="E27" i="23"/>
  <c r="C19" i="23"/>
  <c r="B64" i="23"/>
  <c r="E33" i="23"/>
  <c r="E17" i="23"/>
  <c r="F15" i="23"/>
  <c r="D9" i="23"/>
  <c r="B46" i="23"/>
  <c r="A5" i="23"/>
  <c r="D5" i="23" l="1"/>
  <c r="G5" i="23"/>
  <c r="E5" i="23"/>
  <c r="F5" i="23"/>
  <c r="F105" i="23" s="1"/>
  <c r="B5" i="23"/>
  <c r="B105" i="23" s="1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<sst xmlns="http://schemas.openxmlformats.org/spreadsheetml/2006/main" count="7457" uniqueCount="3278">
  <si>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</si>
  <si>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</si>
  <si>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</si>
  <si>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</si>
  <si>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</si>
  <si>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</si>
  <si>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</si>
  <si>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</si>
  <si>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</si>
  <si>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</si>
  <si>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</si>
  <si>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</si>
  <si>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</si>
  <si>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</si>
  <si>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</si>
  <si>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</si>
  <si>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</si>
  <si>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</si>
  <si>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</si>
  <si>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</si>
  <si>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</si>
  <si>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</si>
  <si>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</si>
  <si>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</si>
  <si>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</si>
  <si>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</si>
  <si>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</si>
  <si>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</si>
  <si>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</si>
  <si>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</si>
  <si>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</si>
  <si>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</si>
  <si>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</si>
  <si>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</si>
  <si>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</si>
  <si>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</si>
  <si>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</si>
  <si>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</si>
  <si>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</si>
  <si>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</si>
  <si>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</si>
  <si>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</si>
  <si>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</si>
  <si>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</si>
  <si>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</si>
  <si>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</si>
  <si>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</si>
  <si>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</si>
  <si>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</si>
  <si>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</si>
  <si>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</si>
  <si>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</si>
  <si>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</si>
  <si>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</si>
  <si>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</si>
  <si>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</si>
  <si>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</si>
  <si>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</si>
  <si>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</si>
  <si>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</si>
  <si>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</si>
  <si>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</si>
  <si>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</si>
  <si>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</si>
  <si>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</si>
  <si>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</si>
  <si>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</si>
  <si>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</si>
  <si>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</si>
  <si>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</si>
  <si>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</si>
  <si>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</si>
  <si>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</si>
  <si>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</si>
  <si>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</si>
  <si>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</si>
  <si>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</si>
  <si>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</si>
  <si>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</si>
  <si>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</si>
  <si>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</si>
  <si>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</si>
  <si>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</si>
  <si>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</si>
  <si>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</si>
  <si>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</si>
  <si>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</si>
  <si>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</si>
  <si>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</si>
  <si>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</si>
  <si>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</si>
  <si>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</si>
  <si>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</si>
  <si>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</si>
  <si>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</si>
  <si>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</si>
  <si>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</si>
  <si>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</si>
  <si>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</si>
  <si>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</si>
  <si>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</si>
  <si>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</si>
  <si>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</si>
  <si>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</si>
  <si>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</si>
  <si>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</si>
  <si>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</si>
  <si>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</si>
  <si>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</si>
  <si>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</si>
  <si>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</si>
  <si>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</si>
  <si>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</si>
  <si>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</si>
  <si>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</si>
  <si>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</si>
  <si>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</si>
  <si>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</si>
  <si>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</si>
  <si>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</si>
  <si>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</si>
  <si>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</si>
  <si>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</si>
  <si>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</si>
  <si>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</si>
  <si>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</si>
  <si>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</si>
  <si>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</si>
  <si>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</si>
  <si>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</si>
  <si>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</si>
  <si>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</si>
  <si>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</si>
  <si>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</si>
  <si>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</si>
  <si>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</si>
  <si>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</si>
  <si>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</si>
  <si>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</si>
  <si>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</si>
  <si>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</si>
  <si>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</si>
  <si>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</si>
  <si>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</si>
  <si>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</si>
  <si>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</si>
  <si>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</si>
  <si>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</si>
  <si>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</si>
  <si>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</si>
  <si>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</si>
  <si>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</si>
  <si>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</si>
  <si>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</si>
  <si>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</si>
  <si>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</si>
  <si>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</si>
  <si>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</si>
  <si>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</si>
  <si>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</si>
  <si>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</si>
  <si>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</si>
  <si>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</si>
  <si>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</si>
  <si>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</si>
  <si>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</si>
  <si>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</si>
  <si>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</si>
  <si>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</si>
  <si>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</si>
  <si>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</si>
  <si>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</si>
  <si>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</si>
  <si>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</si>
  <si>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</si>
  <si>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</si>
  <si>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</si>
  <si>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</si>
  <si>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</si>
  <si>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</si>
  <si>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</si>
  <si>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</si>
  <si>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</si>
  <si>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</si>
  <si>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</si>
  <si>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</si>
  <si>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</si>
  <si>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</si>
  <si>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</si>
  <si>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</si>
  <si>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</si>
  <si>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</si>
  <si>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</si>
  <si>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</si>
  <si>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</si>
  <si>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</si>
  <si>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</si>
  <si>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</si>
  <si>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</si>
  <si>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</si>
  <si>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</si>
  <si>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</si>
  <si>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</si>
  <si>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</si>
  <si>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</si>
  <si>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</si>
  <si>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</si>
  <si>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</si>
  <si>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</si>
  <si>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</si>
  <si>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</si>
  <si>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</si>
  <si>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</si>
  <si>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</si>
  <si>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</si>
  <si>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</si>
  <si>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</si>
  <si>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</si>
  <si>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</si>
  <si>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</si>
  <si>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</si>
  <si>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</si>
  <si>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</si>
  <si>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</si>
  <si>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</si>
  <si>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</si>
  <si>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</si>
  <si>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</si>
  <si>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</si>
  <si>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</si>
  <si>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</si>
  <si>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</si>
  <si>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</si>
  <si>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</si>
  <si>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</si>
  <si>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</si>
  <si>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</si>
  <si>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</si>
  <si>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</si>
  <si>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</si>
  <si>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</si>
  <si>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</si>
  <si>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</si>
  <si>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</si>
  <si>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</si>
  <si>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</si>
  <si>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</si>
  <si>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</si>
  <si>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</si>
  <si>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</si>
  <si>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</si>
  <si>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</si>
  <si>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</si>
  <si>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</si>
  <si>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</si>
  <si>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</si>
  <si>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</si>
  <si>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</si>
  <si>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</si>
  <si>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</si>
  <si>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</si>
  <si>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</si>
  <si>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</si>
  <si>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</si>
  <si>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</si>
  <si>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</si>
  <si>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</si>
  <si>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</si>
  <si>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</si>
  <si>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</si>
  <si>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</si>
  <si>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</si>
  <si>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</si>
  <si>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</si>
  <si>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</si>
  <si>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</si>
  <si>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</si>
  <si>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</si>
  <si>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</si>
  <si>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</si>
  <si>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</si>
  <si>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</si>
  <si>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</si>
  <si>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</si>
  <si>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</si>
  <si>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</si>
  <si>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</si>
  <si>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</si>
  <si>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</si>
  <si>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</si>
  <si>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</si>
  <si>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</si>
  <si>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</si>
  <si>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</si>
  <si>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</si>
  <si>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</si>
  <si>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</si>
  <si>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</si>
  <si>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</si>
  <si>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</si>
  <si>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</si>
  <si>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</si>
  <si>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</si>
  <si>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</si>
  <si>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</si>
  <si>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</si>
  <si>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</si>
  <si>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</si>
  <si>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</si>
  <si>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</si>
  <si>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</si>
  <si>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</si>
  <si>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</si>
  <si>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</si>
  <si>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</si>
  <si>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</si>
  <si>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</si>
  <si>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</si>
  <si>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</si>
  <si>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</si>
  <si>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</si>
  <si>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</si>
  <si>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</si>
  <si>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</si>
  <si>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</si>
  <si>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</si>
  <si>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</si>
  <si>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</si>
  <si>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</si>
  <si>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</si>
  <si>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</si>
  <si>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</si>
  <si>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</si>
  <si>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</si>
  <si>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</si>
  <si>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</si>
  <si>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</si>
  <si>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</si>
  <si>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</si>
  <si>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</si>
  <si>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</si>
  <si>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</si>
  <si>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</si>
  <si>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</si>
  <si>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</si>
  <si>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</si>
  <si>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</si>
  <si>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</si>
  <si>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</si>
  <si>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</si>
  <si>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</si>
  <si>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</si>
  <si>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</si>
  <si>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</si>
  <si>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</si>
  <si>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</si>
  <si>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</si>
  <si>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</si>
  <si>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</si>
  <si>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</si>
  <si>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</si>
  <si>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</si>
  <si>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</si>
  <si>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</si>
  <si>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</si>
  <si>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</si>
  <si>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</si>
  <si>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</si>
  <si>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</si>
  <si>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</si>
  <si>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</si>
  <si>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</si>
  <si>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</si>
  <si>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</si>
  <si>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</si>
  <si>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</si>
  <si>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</si>
  <si>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</si>
  <si>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</si>
  <si>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</si>
  <si>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</si>
  <si>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</si>
  <si>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</si>
  <si>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</si>
  <si>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</si>
  <si>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</si>
  <si>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</si>
  <si>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</si>
  <si>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</si>
  <si>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</si>
  <si>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</si>
  <si>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</si>
  <si>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</si>
  <si>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</si>
  <si>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</si>
  <si>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</si>
  <si>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</si>
  <si>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</si>
  <si>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</si>
  <si>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</si>
  <si>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</si>
  <si>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</si>
  <si>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</si>
  <si>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</si>
  <si>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</si>
  <si>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</si>
  <si>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</si>
  <si>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</si>
  <si>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</si>
  <si>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</si>
  <si>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</si>
  <si>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</si>
  <si>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</si>
  <si>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</si>
  <si>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</si>
  <si>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</si>
  <si>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</si>
  <si>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</si>
  <si>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</si>
  <si>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</si>
  <si>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</si>
  <si>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</si>
  <si>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</si>
  <si>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</si>
  <si>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</si>
  <si>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</si>
  <si>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</si>
  <si>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</si>
  <si>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</si>
  <si>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</si>
  <si>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</si>
  <si>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</si>
  <si>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</si>
  <si>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</si>
  <si>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</si>
  <si>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</si>
  <si>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</si>
  <si>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</si>
  <si>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</si>
  <si>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</si>
  <si>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</si>
  <si>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</si>
  <si>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</si>
  <si>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</si>
  <si>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</si>
  <si>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</si>
  <si>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</si>
  <si>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</si>
  <si>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</si>
  <si>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</si>
  <si>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</si>
  <si>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</si>
  <si>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</si>
  <si>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</si>
  <si>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</si>
  <si>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</si>
  <si>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</si>
  <si>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</si>
  <si>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</si>
  <si>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</si>
  <si>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</si>
  <si>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</si>
  <si>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</si>
  <si>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</si>
  <si>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</si>
  <si>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</si>
  <si>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</si>
  <si>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</si>
  <si>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</si>
  <si>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</si>
  <si>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</si>
  <si>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</si>
  <si>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</si>
  <si>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</si>
  <si>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</si>
  <si>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</si>
  <si>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</si>
  <si>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</si>
  <si>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</si>
  <si>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</si>
  <si>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</si>
  <si>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</si>
  <si>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</si>
  <si>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</si>
  <si>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</si>
  <si>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</si>
  <si>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</si>
  <si>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</si>
  <si>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</si>
  <si>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</si>
  <si>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</si>
  <si>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</si>
  <si>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</si>
  <si>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</si>
  <si>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</si>
  <si>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</si>
  <si>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</si>
  <si>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</si>
  <si>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</si>
  <si>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</si>
  <si>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</si>
  <si>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</si>
  <si>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</si>
  <si>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</si>
  <si>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</si>
  <si>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</si>
  <si>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</si>
  <si>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</si>
  <si>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</si>
  <si>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</si>
  <si>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</si>
  <si>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</si>
  <si>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</si>
  <si>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</si>
  <si>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</si>
  <si>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</si>
  <si>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</si>
  <si>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</si>
  <si>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</si>
  <si>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</si>
  <si>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</si>
  <si>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</si>
  <si>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</si>
  <si>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</si>
  <si>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</si>
  <si>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</si>
  <si>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</si>
  <si>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</si>
  <si>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</si>
  <si>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</si>
  <si>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</si>
  <si>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</si>
  <si>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</si>
  <si>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</si>
  <si>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</si>
  <si>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</si>
  <si>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</si>
  <si>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</si>
  <si>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</si>
  <si>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</si>
  <si>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</si>
  <si>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</si>
  <si>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</si>
  <si>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</si>
  <si>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</si>
  <si>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</si>
  <si>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</si>
  <si>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</si>
  <si>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</si>
  <si>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</si>
  <si>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</si>
  <si>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</si>
  <si>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</si>
  <si>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</si>
  <si>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</si>
  <si>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</si>
  <si>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</si>
  <si>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</si>
  <si>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</si>
  <si>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</si>
  <si>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</si>
  <si>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</si>
  <si>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</si>
  <si>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</si>
  <si>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</si>
  <si>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</si>
  <si>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</si>
  <si>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</si>
  <si>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</si>
  <si>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</si>
  <si>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</si>
  <si>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</si>
  <si>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</si>
  <si>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</si>
  <si>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</si>
  <si>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</si>
  <si>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</si>
  <si>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</si>
  <si>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</si>
  <si>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</si>
  <si>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</si>
  <si>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</si>
  <si>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</si>
  <si>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</si>
  <si>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</si>
  <si>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</si>
  <si>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</si>
  <si>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</si>
  <si>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</si>
  <si>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</si>
  <si>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</si>
  <si>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</si>
  <si>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</si>
  <si>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</si>
  <si>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</si>
  <si>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</si>
  <si>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</si>
  <si>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</si>
  <si>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</si>
  <si>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</si>
  <si>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</si>
  <si>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</si>
  <si>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</si>
  <si>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</si>
  <si>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</si>
  <si>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</si>
  <si>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</si>
  <si>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</si>
  <si>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</si>
  <si>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</si>
  <si>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</si>
  <si>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</si>
  <si>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</si>
  <si>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</si>
  <si>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</si>
  <si>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</si>
  <si>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</si>
  <si>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</si>
  <si>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</si>
  <si>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</si>
  <si>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</si>
  <si>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</si>
  <si>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</si>
  <si>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</si>
  <si>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</si>
  <si>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</si>
  <si>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</si>
  <si>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</si>
  <si>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</si>
  <si>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</si>
  <si>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</si>
  <si>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</si>
  <si>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</si>
  <si>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</si>
  <si>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</si>
  <si>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</si>
  <si>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</si>
  <si>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</si>
  <si>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</si>
  <si>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</si>
  <si>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</si>
  <si>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</si>
  <si>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</si>
  <si>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</si>
  <si>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</si>
  <si>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</si>
  <si>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</si>
  <si>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</si>
  <si>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</si>
  <si>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</si>
  <si>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</si>
  <si>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</si>
  <si>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</si>
  <si>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</si>
  <si>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</si>
  <si>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</si>
  <si>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</si>
  <si>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</si>
  <si>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</si>
  <si>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</si>
  <si>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</si>
  <si>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</si>
  <si>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</si>
  <si>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</si>
  <si>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</si>
  <si>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</si>
  <si>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</si>
  <si>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</si>
  <si>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</si>
  <si>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</si>
  <si>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</si>
  <si>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</si>
  <si>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</si>
  <si>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</si>
  <si>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</si>
  <si>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</si>
  <si>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</si>
  <si>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</si>
  <si>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</si>
  <si>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</si>
  <si>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</si>
  <si>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</si>
  <si>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</si>
  <si>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</si>
  <si>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</si>
  <si>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</si>
  <si>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</si>
  <si>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</si>
  <si>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</si>
  <si>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</si>
  <si>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</si>
  <si>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</si>
  <si>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</si>
  <si>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</si>
  <si>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</si>
  <si>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</si>
  <si>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</si>
  <si>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</si>
  <si>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</si>
  <si>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</si>
  <si>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</si>
  <si>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</si>
  <si>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</si>
  <si>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</si>
  <si>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</si>
  <si>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</si>
  <si>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</si>
  <si>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</si>
  <si>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</si>
  <si>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</si>
  <si>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</si>
  <si>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</si>
  <si>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</si>
  <si>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</si>
  <si>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</si>
  <si>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</si>
  <si>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</si>
  <si>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</si>
  <si>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</si>
  <si>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</si>
  <si>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</si>
  <si>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</si>
  <si>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</si>
  <si>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</si>
  <si>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</si>
  <si>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</si>
  <si>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</si>
  <si>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</si>
  <si>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</si>
  <si>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</si>
  <si>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</si>
  <si>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</si>
  <si>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</si>
  <si>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</si>
  <si>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</si>
  <si>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</si>
  <si>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</si>
  <si>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</si>
  <si>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</si>
  <si>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</si>
  <si>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</si>
  <si>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</si>
  <si>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</si>
  <si>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</si>
  <si>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</si>
  <si>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</si>
  <si>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</si>
  <si>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</si>
  <si>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</si>
  <si>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</si>
  <si>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</si>
  <si>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</si>
  <si>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</si>
  <si>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</si>
  <si>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</si>
  <si>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</si>
  <si>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</si>
  <si>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</si>
  <si>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</si>
  <si>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</si>
  <si>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</si>
  <si>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</si>
  <si>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</si>
  <si>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</si>
  <si>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</si>
  <si>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</si>
  <si>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</si>
  <si>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</si>
  <si>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</si>
  <si>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</si>
  <si>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</si>
  <si>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</si>
  <si>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</si>
  <si>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</si>
  <si>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</si>
  <si>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</si>
  <si>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</si>
  <si>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</si>
  <si>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</si>
  <si>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</si>
  <si>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</si>
  <si>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</si>
  <si>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</si>
  <si>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</si>
  <si>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</si>
  <si>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</si>
  <si>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</si>
  <si>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</si>
  <si>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</si>
  <si>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</si>
  <si>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</si>
  <si>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</si>
  <si>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</si>
  <si>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</si>
  <si>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</si>
  <si>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</si>
  <si>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</si>
  <si>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</si>
  <si>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</si>
  <si>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</si>
  <si>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</si>
  <si>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</si>
  <si>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</si>
  <si>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</si>
  <si>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</si>
  <si>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</si>
  <si>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</si>
  <si>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</si>
  <si>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</si>
  <si>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</si>
  <si>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</si>
  <si>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</si>
  <si>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</si>
  <si>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</si>
  <si>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</si>
  <si>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</si>
  <si>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</si>
  <si>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</si>
  <si>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</si>
  <si>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</si>
  <si>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</si>
  <si>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</si>
  <si>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</si>
  <si>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</si>
  <si>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</si>
  <si>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</si>
  <si>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</si>
  <si>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</si>
  <si>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</si>
  <si>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</si>
  <si>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</si>
  <si>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</si>
  <si>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</si>
  <si>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</si>
  <si>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</si>
  <si>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</si>
  <si>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</si>
  <si>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</si>
  <si>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</si>
  <si>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</si>
  <si>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</si>
  <si>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</si>
  <si>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</si>
  <si>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</si>
  <si>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</si>
  <si>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</si>
  <si>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</si>
  <si>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</si>
  <si>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</si>
  <si>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</si>
  <si>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</si>
  <si>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</si>
  <si>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</si>
  <si>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</si>
  <si>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</si>
  <si>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</si>
  <si>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</si>
  <si>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</si>
  <si>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</si>
  <si>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</si>
  <si>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</si>
  <si>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</si>
  <si>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</si>
  <si>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</si>
  <si>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</si>
  <si>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</si>
  <si>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</si>
  <si>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</si>
  <si>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</si>
  <si>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</si>
  <si>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</si>
  <si>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</si>
  <si>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</si>
  <si>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</si>
  <si>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</si>
  <si>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</si>
  <si>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</si>
  <si>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</si>
  <si>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</si>
  <si>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</si>
  <si>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</si>
  <si>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</si>
  <si>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</si>
  <si>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</si>
  <si>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</si>
  <si>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</si>
  <si>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</si>
  <si>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</si>
  <si>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</si>
  <si>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</si>
  <si>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</si>
  <si>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</si>
  <si>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</si>
  <si>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</si>
  <si>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</si>
  <si>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</si>
  <si>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</si>
  <si>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</si>
  <si>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</si>
  <si>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</si>
  <si>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</si>
  <si>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</si>
  <si>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</si>
  <si>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</si>
  <si>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</si>
  <si>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</si>
  <si>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</si>
  <si>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</si>
  <si>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</si>
  <si>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</si>
  <si>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</si>
  <si>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</si>
  <si>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</si>
  <si>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</si>
  <si>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</si>
  <si>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</si>
  <si>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</si>
  <si>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</si>
  <si>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</si>
  <si>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</si>
  <si>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</si>
  <si>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</si>
  <si>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</si>
  <si>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</si>
  <si>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</si>
  <si>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</si>
  <si>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</si>
  <si>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</si>
  <si>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</si>
  <si>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</si>
  <si>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</si>
  <si>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</si>
  <si>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</si>
  <si>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</si>
  <si>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</si>
  <si>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</si>
  <si>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</si>
  <si>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</si>
  <si>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</si>
  <si>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</si>
  <si>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</si>
  <si>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</si>
  <si>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</si>
  <si>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</si>
  <si>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</si>
  <si>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</si>
  <si>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</si>
  <si>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</si>
  <si>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</si>
  <si>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</si>
  <si>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</si>
  <si>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</si>
  <si>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</si>
  <si>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</si>
  <si>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</si>
  <si>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</si>
  <si>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</si>
  <si>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</si>
  <si>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</si>
  <si>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</si>
  <si>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</si>
  <si>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</si>
  <si>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</si>
  <si>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</si>
  <si>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</si>
  <si>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</si>
  <si>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</si>
  <si>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</si>
  <si>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</si>
  <si>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</si>
  <si>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</si>
  <si>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</si>
  <si>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</si>
  <si>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</si>
  <si>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</si>
  <si>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</si>
  <si>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</si>
  <si>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</si>
  <si>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</si>
  <si>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</si>
  <si>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</si>
  <si>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</si>
  <si>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</si>
  <si>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</si>
  <si>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</si>
  <si>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</si>
  <si>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</si>
  <si>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</si>
  <si>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</si>
  <si>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</si>
  <si>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</si>
  <si>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</si>
  <si>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</si>
  <si>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</si>
  <si>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</si>
  <si>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</si>
  <si>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</si>
  <si>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</si>
  <si>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</si>
  <si>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</si>
  <si>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</si>
  <si>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</si>
  <si>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</si>
  <si>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</si>
  <si>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</si>
  <si>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</si>
  <si>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</si>
  <si>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</si>
  <si>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</si>
  <si>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</si>
  <si>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</si>
  <si>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</si>
  <si>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</si>
  <si>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</si>
  <si>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</si>
  <si>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</si>
  <si>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</si>
  <si>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</si>
  <si>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</si>
  <si>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</si>
  <si>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</si>
  <si>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</si>
  <si>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</si>
  <si>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</si>
  <si>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</si>
  <si>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</si>
  <si>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</si>
  <si>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</si>
  <si>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</si>
  <si>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</si>
  <si>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</si>
  <si>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</si>
  <si>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</si>
  <si>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</si>
  <si>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</si>
  <si>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</si>
  <si>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</si>
  <si>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</si>
  <si>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</si>
  <si>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</si>
  <si>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</si>
  <si>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</si>
  <si>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</si>
  <si>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</si>
  <si>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</si>
  <si>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</si>
  <si>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</si>
  <si>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</si>
  <si>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</si>
  <si>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</si>
  <si>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</si>
  <si>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</si>
  <si>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</si>
  <si>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</si>
  <si>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</si>
  <si>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</si>
  <si>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</si>
  <si>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</si>
  <si>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</si>
  <si>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</si>
  <si>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</si>
  <si>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</si>
  <si>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</si>
  <si>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</si>
  <si>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</si>
  <si>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</si>
  <si>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</si>
  <si>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</si>
  <si>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</si>
  <si>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</si>
  <si>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</si>
  <si>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</si>
  <si>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</si>
  <si>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</si>
  <si>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</si>
  <si>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</si>
  <si>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</si>
  <si>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</si>
  <si>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</si>
  <si>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</si>
  <si>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</si>
  <si>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</si>
  <si>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</si>
  <si>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</si>
  <si>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</si>
  <si>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</si>
  <si>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</si>
  <si>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</si>
  <si>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</si>
  <si>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</si>
  <si>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</si>
  <si>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</si>
  <si>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</si>
  <si>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</si>
  <si>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</si>
  <si>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</si>
  <si>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</si>
  <si>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</si>
  <si>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</si>
  <si>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</si>
  <si>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</si>
  <si>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</si>
  <si>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</si>
  <si>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</si>
  <si>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</si>
  <si>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</si>
  <si>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</si>
  <si>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</si>
  <si>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</si>
  <si>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</si>
  <si>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</si>
  <si>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</si>
  <si>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</si>
  <si>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</si>
  <si>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</si>
  <si>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</si>
  <si>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</si>
  <si>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</si>
  <si>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</si>
  <si>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</si>
  <si>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</si>
  <si>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</si>
  <si>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</si>
  <si>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</si>
  <si>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</si>
  <si>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</si>
  <si>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</si>
  <si>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</si>
  <si>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</si>
  <si>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</si>
  <si>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</si>
  <si>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</si>
  <si>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</si>
  <si>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</si>
  <si>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</si>
  <si>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</si>
  <si>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</si>
  <si>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</si>
  <si>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</si>
  <si>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</si>
  <si>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</si>
  <si>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</si>
  <si>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</si>
  <si>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</si>
  <si>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</si>
  <si>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</si>
  <si>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</si>
  <si>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</si>
  <si>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</si>
  <si>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</si>
  <si>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</si>
  <si>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</si>
  <si>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</si>
  <si>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</si>
  <si>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</si>
  <si>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</si>
  <si>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</si>
  <si>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</si>
  <si>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</si>
  <si>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</si>
  <si>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</si>
  <si>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</si>
  <si>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</si>
  <si>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</si>
  <si>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</si>
  <si>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</si>
  <si>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</si>
  <si>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</si>
  <si>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</si>
  <si>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</si>
  <si>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</si>
  <si>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</si>
  <si>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</si>
  <si>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</si>
  <si>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</si>
  <si>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</si>
  <si>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</si>
  <si>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</si>
  <si>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</si>
  <si>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</si>
  <si>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</si>
  <si>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</si>
  <si>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</si>
  <si>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</si>
  <si>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</si>
  <si>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</si>
  <si>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</si>
  <si>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</si>
  <si>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</si>
  <si>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</si>
  <si>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</si>
  <si>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</si>
  <si>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</si>
  <si>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</si>
  <si>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</si>
  <si>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</si>
  <si>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</si>
  <si>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</si>
  <si>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</si>
  <si>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</si>
  <si>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</si>
  <si>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</si>
  <si>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</si>
  <si>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</si>
  <si>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</si>
  <si>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</si>
  <si>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</si>
  <si>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</si>
  <si>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</si>
  <si>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</si>
  <si>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</si>
  <si>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</si>
  <si>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</si>
  <si>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</si>
  <si>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</si>
  <si>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</si>
  <si>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</si>
  <si>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</si>
  <si>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</si>
  <si>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</si>
  <si>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</si>
  <si>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</si>
  <si>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</si>
  <si>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</si>
  <si>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</si>
  <si>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</si>
  <si>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</si>
  <si>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</si>
  <si>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</si>
  <si>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</si>
  <si>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</si>
  <si>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</si>
  <si>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</si>
  <si>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</si>
  <si>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</si>
  <si>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</si>
  <si>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</si>
  <si>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</si>
  <si>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</si>
  <si>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</si>
  <si>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</si>
  <si>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</si>
  <si>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</si>
  <si>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</si>
  <si>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</si>
  <si>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</si>
  <si>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</si>
  <si>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</si>
  <si>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</si>
  <si>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</si>
  <si>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</si>
  <si>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</si>
  <si>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</si>
  <si>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</si>
  <si>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</si>
  <si>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</si>
  <si>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</si>
  <si>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</si>
  <si>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</si>
  <si>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</si>
  <si>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</si>
  <si>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</si>
  <si>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</si>
  <si>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</si>
  <si>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</si>
  <si>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</si>
  <si>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</si>
  <si>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</si>
  <si>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</si>
  <si>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</si>
  <si>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</si>
  <si>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</si>
  <si>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</si>
  <si>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</si>
  <si>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</si>
  <si>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</si>
  <si>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</si>
  <si>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</si>
  <si>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</si>
  <si>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</si>
  <si>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</si>
  <si>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</si>
  <si>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</si>
  <si>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</si>
  <si>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</si>
  <si>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</si>
  <si>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</si>
  <si>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</si>
  <si>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</si>
  <si>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</si>
  <si>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</si>
  <si>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</si>
  <si>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</si>
  <si>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</si>
  <si>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</si>
  <si>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</si>
  <si>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</si>
  <si>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</si>
  <si>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</si>
  <si>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</si>
  <si>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</si>
  <si>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</si>
  <si>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</si>
  <si>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</si>
  <si>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</si>
  <si>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</si>
  <si>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</si>
  <si>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</si>
  <si>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</si>
  <si>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</si>
  <si>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</si>
  <si>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</si>
  <si>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</si>
  <si>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</si>
  <si>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</si>
  <si>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</si>
  <si>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</si>
  <si>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</si>
  <si>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</si>
  <si>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</si>
  <si>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</si>
  <si>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</si>
  <si>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</si>
  <si>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</si>
  <si>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</si>
  <si>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</si>
  <si>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</si>
  <si>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</si>
  <si>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</si>
  <si>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</si>
  <si>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</si>
  <si>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</si>
  <si>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</si>
  <si>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</si>
  <si>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</si>
  <si>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</si>
  <si>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</si>
  <si>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</si>
  <si>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</si>
  <si>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</si>
  <si>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</si>
  <si>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</si>
  <si>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</si>
  <si>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</si>
  <si>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</si>
  <si>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</si>
  <si>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</si>
  <si>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</si>
  <si>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</si>
  <si>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</si>
  <si>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</si>
  <si>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</si>
  <si>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</si>
  <si>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</si>
  <si>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</si>
  <si>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</si>
  <si>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</si>
  <si>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</si>
  <si>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</si>
  <si>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</si>
  <si>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</si>
  <si>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</si>
  <si>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</si>
  <si>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</si>
  <si>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</si>
  <si>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</si>
  <si>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</si>
  <si>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</si>
  <si>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</si>
  <si>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</si>
  <si>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</si>
  <si>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</si>
  <si>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</si>
  <si>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</si>
  <si>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</si>
  <si>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</si>
  <si>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</si>
  <si>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</si>
  <si>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</si>
  <si>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</si>
  <si>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</si>
  <si>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</si>
  <si>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</si>
  <si>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</si>
  <si>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</si>
  <si>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</si>
  <si>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</si>
  <si>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</si>
  <si>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</si>
  <si>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</si>
  <si>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</si>
  <si>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</si>
  <si>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</si>
  <si>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</si>
  <si>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</si>
  <si>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</si>
  <si>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</si>
  <si>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</si>
  <si>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</si>
  <si>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</si>
  <si>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</si>
  <si>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</si>
  <si>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</si>
  <si>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</si>
  <si>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</si>
  <si>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</si>
  <si>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</si>
  <si>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</si>
  <si>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</si>
  <si>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</si>
  <si>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</si>
  <si>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</si>
  <si>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</si>
  <si>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</si>
  <si>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</si>
  <si>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</si>
  <si>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</si>
  <si>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</si>
  <si>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</si>
  <si>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</si>
  <si>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</si>
  <si>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</si>
  <si>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</si>
  <si>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</si>
  <si>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</si>
  <si>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</si>
  <si>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</si>
  <si>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</si>
  <si>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</si>
  <si>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</si>
  <si>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</si>
  <si>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</si>
  <si>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</si>
  <si>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</si>
  <si>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</si>
  <si>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</si>
  <si>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</si>
  <si>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</si>
  <si>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</si>
  <si>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</si>
  <si>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</si>
  <si>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</si>
  <si>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</si>
  <si>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</si>
  <si>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</si>
  <si>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</si>
  <si>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</si>
  <si>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</si>
  <si>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</si>
  <si>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</si>
  <si>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</si>
  <si>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</si>
  <si>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</si>
  <si>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</si>
  <si>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</si>
  <si>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</si>
  <si>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</si>
  <si>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</si>
  <si>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</si>
  <si>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</si>
  <si>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</si>
  <si>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</si>
  <si>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</si>
  <si>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</si>
  <si>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</si>
  <si>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</si>
  <si>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</si>
  <si>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</si>
  <si>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</si>
  <si>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</si>
  <si>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</si>
  <si>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</si>
  <si>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</si>
  <si>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</si>
  <si>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</si>
  <si>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</si>
  <si>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</si>
  <si>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</si>
  <si>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</si>
  <si>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</si>
  <si>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</si>
  <si>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</si>
  <si>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</si>
  <si>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</si>
  <si>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</si>
  <si>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</si>
  <si>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</si>
  <si>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</si>
  <si>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</si>
  <si>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</si>
  <si>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</si>
  <si>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</si>
  <si>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</si>
  <si>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</si>
  <si>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</si>
  <si>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</si>
  <si>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</si>
  <si>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</si>
  <si>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</si>
  <si>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</si>
  <si>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</si>
  <si>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</si>
  <si>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</si>
  <si>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</si>
  <si>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</si>
  <si>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</si>
  <si>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</si>
  <si>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</si>
  <si>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</si>
  <si>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</si>
  <si>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</si>
  <si>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</si>
  <si>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</si>
  <si>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</si>
  <si>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</si>
  <si>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</si>
  <si>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</si>
  <si>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</si>
  <si>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</si>
  <si>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</si>
  <si>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</si>
  <si>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</si>
  <si>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</si>
  <si>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</si>
  <si>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</si>
  <si>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</si>
  <si>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</si>
  <si>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</si>
  <si>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</si>
  <si>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</si>
  <si>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</si>
  <si>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</si>
  <si>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</si>
  <si>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</si>
  <si>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</si>
  <si>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</si>
  <si>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</si>
  <si>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</si>
  <si>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</si>
  <si>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</si>
  <si>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</si>
  <si>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</si>
  <si>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</si>
  <si>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</si>
  <si>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</si>
  <si>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</si>
  <si>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</si>
  <si>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</si>
  <si>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</si>
  <si>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</si>
  <si>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</si>
  <si>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</si>
  <si>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</si>
  <si>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</si>
  <si>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</si>
  <si>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</si>
  <si>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</si>
  <si>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</si>
  <si>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</si>
  <si>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</si>
  <si>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</si>
  <si>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</si>
  <si>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</si>
  <si>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</si>
  <si>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</si>
  <si>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</si>
  <si>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</si>
  <si>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</si>
  <si>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</si>
  <si>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</si>
  <si>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</si>
  <si>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</si>
  <si>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</si>
  <si>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</si>
  <si>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</si>
  <si>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</si>
  <si>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</si>
  <si>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</si>
  <si>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</si>
  <si>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</si>
  <si>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</si>
  <si>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</si>
  <si>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</si>
  <si>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</si>
  <si>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</si>
  <si>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</si>
  <si>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</si>
  <si>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</si>
  <si>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</si>
  <si>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</si>
  <si>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</si>
  <si>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</si>
  <si>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</si>
  <si>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</si>
  <si>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</si>
  <si>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</si>
  <si>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</si>
  <si>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</si>
  <si>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</si>
  <si>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</si>
  <si>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</si>
  <si>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</si>
  <si>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</si>
  <si>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</si>
  <si>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</si>
  <si>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</si>
  <si>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</si>
  <si>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</si>
  <si>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</si>
  <si>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</si>
  <si>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</si>
  <si>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</si>
  <si>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</si>
  <si>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</si>
  <si>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</si>
  <si>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</si>
  <si>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</si>
  <si>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</si>
  <si>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</si>
  <si>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</si>
  <si>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</si>
  <si>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</si>
  <si>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</si>
  <si>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</si>
  <si>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</si>
  <si>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</si>
  <si>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</si>
  <si>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</si>
  <si>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</si>
  <si>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</si>
  <si>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</si>
  <si>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</si>
  <si>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</si>
  <si>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</si>
  <si>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</si>
  <si>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</si>
  <si>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</si>
  <si>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</si>
  <si>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</si>
  <si>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</si>
  <si>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</si>
  <si>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</si>
  <si>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</si>
  <si>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</si>
  <si>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</si>
  <si>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</si>
  <si>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</si>
  <si>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</si>
  <si>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</si>
  <si>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</si>
  <si>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</si>
  <si>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</si>
  <si>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</si>
  <si>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</si>
  <si>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</si>
  <si>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</si>
  <si>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</si>
  <si>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</si>
  <si>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</si>
  <si>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</si>
  <si>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</si>
  <si>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</si>
  <si>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</si>
  <si>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</si>
  <si>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</si>
  <si>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</si>
  <si>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</si>
  <si>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</si>
  <si>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</si>
  <si>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</si>
  <si>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</si>
  <si>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</si>
  <si>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</si>
  <si>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</si>
  <si>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</si>
  <si>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</si>
  <si>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</si>
  <si>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</si>
  <si>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</si>
  <si>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</si>
  <si>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</si>
  <si>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</si>
  <si>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</si>
  <si>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</si>
  <si>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</si>
  <si>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</si>
  <si>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</si>
  <si>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</si>
  <si>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</si>
  <si>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</si>
  <si>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</si>
  <si>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</si>
  <si>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</si>
  <si>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</si>
  <si>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</si>
  <si>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</si>
  <si>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</si>
  <si>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</si>
  <si>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</si>
  <si>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</si>
  <si>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</si>
  <si>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</si>
  <si>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</si>
  <si>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</si>
  <si>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</si>
  <si>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</si>
  <si>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</si>
  <si>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</si>
  <si>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</si>
  <si>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</si>
  <si>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</si>
  <si>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</si>
  <si>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</si>
  <si>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</si>
  <si>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</si>
  <si>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</si>
  <si>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</si>
  <si>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</si>
  <si>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</si>
  <si>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</si>
  <si>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</si>
  <si>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</si>
  <si>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</si>
  <si>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</si>
  <si>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</si>
  <si>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</si>
  <si>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</si>
  <si>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</si>
  <si>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</si>
  <si>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</si>
  <si>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</si>
  <si>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</si>
  <si>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</si>
  <si>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</si>
  <si>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</si>
  <si>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</si>
  <si>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</si>
  <si>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</si>
  <si>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</si>
  <si>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</si>
  <si>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</si>
  <si>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</si>
  <si>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</si>
  <si>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</si>
  <si>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</si>
  <si>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</si>
  <si>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</si>
  <si>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</si>
  <si>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</si>
  <si>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</si>
  <si>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</si>
  <si>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</si>
  <si>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</si>
  <si>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</si>
  <si>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</si>
  <si>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</si>
  <si>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</si>
  <si>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</si>
  <si>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</si>
  <si>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</si>
  <si>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</si>
  <si>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</si>
  <si>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</si>
  <si>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</si>
  <si>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</si>
  <si>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</si>
  <si>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</si>
  <si>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</si>
  <si>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</si>
  <si>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</si>
  <si>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</si>
  <si>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</si>
  <si>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</si>
  <si>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</si>
  <si>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</si>
  <si>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</si>
  <si>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</si>
  <si>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</si>
  <si>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</si>
  <si>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</si>
  <si>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</si>
  <si>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</si>
  <si>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</si>
  <si>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</si>
  <si>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</si>
  <si>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</si>
  <si>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</si>
  <si>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</si>
  <si>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</si>
  <si>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</si>
  <si>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</si>
  <si>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</si>
  <si>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</si>
  <si>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</si>
  <si>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</si>
  <si>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</si>
  <si>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</si>
  <si>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</si>
  <si>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</si>
  <si>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</si>
  <si>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</si>
  <si>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</si>
  <si>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</si>
  <si>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</si>
  <si>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</si>
  <si>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</si>
  <si>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</si>
  <si>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</si>
  <si>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</si>
  <si>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</si>
  <si>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</si>
  <si>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</si>
  <si>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</si>
  <si>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</si>
  <si>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</si>
  <si>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</si>
  <si>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</si>
  <si>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</si>
  <si>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</si>
  <si>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</si>
  <si>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</si>
  <si>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</si>
  <si>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</si>
  <si>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</si>
  <si>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</si>
  <si>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</si>
  <si>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</si>
  <si>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</si>
  <si>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</si>
  <si>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</si>
  <si>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</si>
  <si>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</si>
  <si>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</si>
  <si>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</si>
  <si>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</si>
  <si>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</si>
  <si>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</si>
  <si>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</si>
  <si>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</si>
  <si>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</si>
  <si>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</si>
  <si>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</si>
  <si>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</si>
  <si>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</si>
  <si>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</si>
  <si>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</si>
  <si>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</si>
  <si>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</si>
  <si>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</si>
  <si>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</si>
  <si>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</si>
  <si>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</si>
  <si>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</si>
  <si>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</si>
  <si>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</si>
  <si>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</si>
  <si>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</si>
  <si>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</si>
  <si>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</si>
  <si>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</si>
  <si>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</si>
  <si>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</si>
  <si>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</si>
  <si>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</si>
  <si>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</si>
  <si>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</si>
  <si>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</si>
  <si>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</si>
  <si>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</si>
  <si>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</si>
  <si>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</si>
  <si>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</si>
  <si>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</si>
  <si>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</si>
  <si>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</si>
  <si>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</si>
  <si>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</si>
  <si>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</si>
  <si>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</si>
  <si>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</si>
  <si>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</si>
  <si>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</si>
  <si>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</si>
  <si>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</si>
  <si>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</si>
  <si>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</si>
  <si>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</si>
  <si>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</si>
  <si>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</si>
  <si>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</si>
  <si>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</si>
  <si>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</si>
  <si>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</si>
  <si>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</si>
  <si>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</si>
  <si>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</si>
  <si>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</si>
  <si>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</si>
  <si>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</si>
  <si>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</si>
  <si>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</si>
  <si>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</si>
  <si>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</si>
  <si>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</si>
  <si>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</si>
  <si>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</si>
  <si>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</si>
  <si>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</si>
  <si>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</si>
  <si>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</si>
  <si>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</si>
  <si>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</si>
  <si>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</si>
  <si>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</si>
  <si>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</si>
  <si>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</si>
  <si>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</si>
  <si>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</si>
  <si>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</si>
  <si>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</si>
  <si>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</si>
  <si>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</si>
  <si>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</si>
  <si>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</si>
  <si>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</si>
  <si>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</si>
  <si>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</si>
  <si>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</si>
  <si>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</si>
  <si>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</si>
  <si>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</si>
  <si>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</si>
  <si>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</si>
  <si>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</si>
  <si>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</si>
  <si>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</si>
  <si>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</si>
  <si>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</si>
  <si>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</si>
  <si>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</si>
  <si>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</si>
  <si>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</si>
  <si>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</si>
  <si>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</si>
  <si>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</si>
  <si>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</si>
  <si>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</si>
  <si>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</si>
  <si>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</si>
  <si>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</si>
  <si>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</si>
  <si>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</si>
  <si>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</si>
  <si>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</si>
  <si>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</si>
  <si>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</si>
  <si>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</si>
  <si>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</si>
  <si>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</si>
  <si>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</si>
  <si>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</si>
  <si>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</si>
  <si>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</si>
  <si>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</si>
  <si>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</si>
  <si>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</si>
  <si>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</si>
  <si>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</si>
  <si>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</si>
  <si>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</si>
  <si>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</si>
  <si>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</si>
  <si>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</si>
  <si>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</si>
  <si>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</si>
  <si>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</si>
  <si>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</si>
  <si>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</si>
  <si>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</si>
  <si>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</si>
  <si>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</si>
  <si>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</si>
  <si>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</si>
  <si>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</si>
  <si>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</si>
  <si>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</si>
  <si>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</si>
  <si>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</si>
  <si>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</si>
  <si>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</si>
  <si>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</si>
  <si>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</si>
  <si>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</si>
  <si>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</si>
  <si>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</si>
  <si>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</si>
  <si>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</si>
  <si>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</si>
  <si>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</si>
  <si>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</si>
  <si>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</si>
  <si>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</si>
  <si>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</si>
  <si>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</si>
  <si>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</si>
  <si>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</si>
  <si>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</si>
  <si>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</si>
  <si>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</si>
  <si>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</si>
  <si>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</si>
  <si>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</si>
  <si>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</si>
  <si>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</si>
  <si>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</si>
  <si>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</si>
  <si>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</si>
  <si>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</si>
  <si>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</si>
  <si>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</si>
  <si>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</si>
  <si>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</si>
  <si>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</si>
  <si>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</si>
  <si>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</si>
  <si>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</si>
  <si>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</si>
  <si>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</si>
  <si>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</si>
  <si>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</si>
  <si>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</si>
  <si>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</si>
  <si>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</si>
  <si>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</si>
  <si>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</si>
  <si>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</si>
  <si>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</si>
  <si>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</si>
  <si>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</si>
  <si>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</si>
  <si>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</si>
  <si>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</si>
  <si>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</si>
  <si>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</si>
  <si>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</si>
  <si>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</si>
  <si>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</si>
  <si>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</si>
  <si>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</si>
  <si>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</si>
  <si>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</si>
  <si>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</si>
  <si>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</si>
  <si>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</si>
  <si>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</si>
  <si>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</si>
  <si>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</si>
  <si>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</si>
  <si>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</si>
  <si>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</si>
  <si>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</si>
  <si>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</si>
  <si>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</si>
  <si>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</si>
  <si>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</si>
  <si>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</si>
  <si>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</si>
  <si>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</si>
  <si>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</si>
  <si>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</si>
  <si>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</si>
  <si>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</si>
  <si>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</si>
  <si>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</si>
  <si>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</si>
  <si>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</si>
  <si>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</si>
  <si>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</si>
  <si>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</si>
  <si>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</si>
  <si>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</si>
  <si>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</si>
  <si>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</si>
  <si>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</si>
  <si>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</si>
  <si>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</si>
  <si>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</si>
  <si>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</si>
  <si>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</si>
  <si>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</si>
  <si>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</si>
  <si>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</si>
  <si>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</si>
  <si>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</si>
  <si>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</si>
  <si>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</si>
  <si>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</si>
  <si>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</si>
  <si>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</si>
  <si>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</si>
  <si>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</si>
  <si>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</si>
  <si>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</si>
  <si>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</si>
  <si>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</si>
  <si>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</si>
  <si>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</si>
  <si>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</si>
  <si>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</si>
  <si>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</si>
  <si>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</si>
  <si>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</si>
  <si>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</si>
  <si>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</si>
  <si>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</si>
  <si>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</si>
  <si>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</si>
  <si>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</si>
  <si>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</si>
  <si>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</si>
  <si>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</si>
  <si>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</si>
  <si>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</si>
  <si>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</si>
  <si>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</si>
  <si>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</si>
  <si>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</si>
  <si>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</si>
  <si>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</si>
  <si>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</si>
  <si>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</si>
  <si>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</si>
  <si>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</si>
  <si>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</si>
  <si>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</si>
  <si>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</si>
  <si>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</si>
  <si>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</si>
  <si>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</si>
  <si>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</si>
  <si>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</si>
  <si>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</si>
  <si>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</si>
  <si>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</si>
  <si>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</si>
  <si>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</si>
  <si>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</si>
  <si>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</si>
  <si>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</si>
  <si>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</si>
  <si>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</si>
  <si>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</si>
  <si>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</si>
  <si>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</si>
  <si>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</si>
  <si>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</si>
  <si>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</si>
  <si>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</si>
  <si>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</si>
  <si>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</si>
  <si>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</si>
  <si>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</si>
  <si>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</si>
  <si>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</si>
  <si>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</si>
  <si>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</si>
  <si>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</si>
  <si>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</si>
  <si>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</si>
  <si>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</si>
  <si>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</si>
  <si>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</si>
  <si>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</si>
  <si>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</si>
  <si>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</si>
  <si>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</si>
  <si>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</si>
  <si>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</si>
  <si>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</si>
  <si>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</si>
  <si>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</si>
  <si>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</si>
  <si>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</si>
  <si>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</si>
  <si>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</si>
  <si>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</si>
  <si>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</si>
  <si>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</si>
  <si>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</si>
  <si>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</si>
  <si>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</si>
  <si>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</si>
  <si>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</si>
  <si>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</si>
  <si>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</si>
  <si>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</si>
  <si>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</si>
  <si>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</si>
  <si>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</si>
  <si>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</si>
  <si>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</si>
  <si>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</si>
  <si>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</si>
  <si>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</si>
  <si>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</si>
  <si>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</si>
  <si>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</si>
  <si>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</si>
  <si>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</si>
  <si>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</si>
  <si>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</si>
  <si>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</si>
  <si>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</si>
  <si>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</si>
  <si>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</si>
  <si>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</si>
  <si>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</si>
  <si>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</si>
  <si>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</si>
  <si>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</si>
  <si>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</si>
  <si>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</si>
  <si>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</si>
  <si>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</si>
  <si>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</si>
  <si>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</si>
  <si>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</si>
  <si>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</si>
  <si>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</si>
  <si>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</si>
  <si>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</si>
  <si>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</si>
  <si>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</si>
  <si>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</si>
  <si>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</si>
  <si>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</si>
  <si>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</si>
  <si>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</si>
  <si>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</si>
  <si>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</si>
  <si>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</si>
  <si>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</si>
  <si>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</si>
  <si>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</si>
  <si>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</si>
  <si>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</si>
  <si>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</si>
  <si>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</si>
  <si>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</si>
  <si>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</si>
  <si>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</si>
  <si>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</si>
  <si>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</si>
  <si>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</si>
  <si>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</si>
  <si>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</si>
  <si>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</si>
  <si>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</si>
  <si>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</si>
  <si>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</si>
  <si>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</si>
  <si>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</si>
  <si>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</si>
  <si>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</si>
  <si>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</si>
  <si>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</si>
  <si>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</si>
  <si>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</si>
  <si>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</si>
  <si>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</si>
  <si>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</si>
  <si>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</si>
  <si>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</si>
  <si>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</si>
  <si>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</si>
  <si>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</si>
  <si>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</si>
  <si>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</si>
  <si>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</si>
  <si>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</si>
  <si>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</si>
  <si>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</si>
  <si>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</si>
  <si>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</si>
  <si>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</si>
  <si>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</si>
  <si>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</si>
  <si>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</si>
  <si>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</si>
  <si>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</si>
  <si>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</si>
  <si>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</si>
  <si>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</si>
  <si>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</si>
  <si>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</si>
  <si>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</si>
  <si>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</si>
  <si>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</si>
  <si>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</si>
  <si>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</si>
  <si>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</si>
  <si>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</si>
  <si>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</si>
  <si>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</si>
  <si>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</si>
  <si>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</si>
  <si>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</si>
  <si>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</si>
  <si>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</si>
  <si>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</si>
  <si>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</si>
  <si>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</si>
  <si>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</si>
  <si>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</si>
  <si>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</si>
  <si>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</si>
  <si>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</si>
  <si>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</si>
  <si>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</si>
  <si>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</si>
  <si>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</si>
  <si>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</si>
  <si>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</si>
  <si>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</si>
  <si>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</si>
  <si>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</si>
  <si>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</si>
  <si>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</si>
  <si>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</si>
  <si>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</si>
  <si>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</si>
  <si>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</si>
  <si>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</si>
  <si>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</si>
  <si>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</si>
  <si>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</si>
  <si>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</si>
  <si>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</si>
  <si>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</si>
  <si>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</si>
  <si>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</si>
  <si>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</si>
  <si>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</si>
  <si>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</si>
  <si>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</si>
  <si>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</si>
  <si>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</si>
  <si>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</si>
  <si>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</si>
  <si>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</si>
  <si>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</si>
  <si>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</si>
  <si>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</si>
  <si>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</si>
  <si>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</si>
  <si>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</si>
  <si>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</si>
  <si>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</si>
  <si>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</si>
  <si>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</si>
  <si>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</si>
  <si>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</si>
  <si>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</si>
  <si>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</si>
  <si>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</si>
  <si>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</si>
  <si>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</si>
  <si>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</si>
  <si>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</si>
  <si>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</si>
  <si>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</si>
  <si>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</si>
  <si>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</si>
  <si>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</si>
  <si>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</si>
  <si>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</si>
  <si>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</si>
  <si>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</si>
  <si>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</si>
  <si>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</si>
  <si>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</si>
  <si>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</si>
  <si>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</si>
  <si>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</si>
  <si>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</si>
  <si>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</si>
  <si>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</si>
  <si>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</si>
  <si>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</si>
  <si>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</si>
  <si>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</si>
  <si>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</si>
  <si>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</si>
  <si>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</si>
  <si>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</si>
  <si>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</si>
  <si>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</si>
  <si>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</si>
  <si>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</si>
  <si>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</si>
  <si>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</si>
  <si>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</si>
  <si>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</si>
  <si>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</si>
  <si>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</si>
  <si>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</si>
  <si>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</si>
  <si>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</si>
  <si>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</si>
  <si>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</si>
  <si>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</si>
  <si>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</si>
  <si>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</si>
  <si>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</si>
  <si>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</si>
  <si>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</si>
  <si>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</si>
  <si>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</si>
  <si>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</si>
  <si>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</si>
  <si>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</si>
  <si>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</si>
  <si>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</si>
  <si>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</si>
  <si>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</si>
  <si>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</si>
  <si>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</si>
  <si>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</si>
  <si>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</si>
  <si>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</si>
  <si>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</si>
  <si>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</si>
  <si>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</si>
  <si>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</si>
  <si>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</si>
  <si>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</si>
  <si>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</si>
  <si>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</si>
  <si>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</si>
  <si>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</si>
  <si>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</si>
  <si>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</si>
  <si>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</si>
  <si>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</si>
  <si>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</si>
  <si>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</si>
  <si>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</si>
  <si>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</si>
  <si>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</si>
  <si>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</si>
  <si>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</si>
  <si>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</si>
  <si>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</si>
  <si>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</si>
  <si>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</si>
  <si>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</si>
  <si>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</si>
  <si>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</si>
  <si>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</si>
  <si>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</si>
  <si>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</si>
  <si>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</si>
  <si>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</si>
  <si>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</si>
  <si>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</si>
  <si>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</si>
  <si>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</si>
  <si>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</si>
  <si>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</si>
  <si>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</si>
  <si>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</si>
  <si>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</si>
  <si>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</si>
  <si>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</si>
  <si>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</si>
  <si>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</si>
  <si>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</si>
  <si>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</si>
  <si>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</si>
  <si>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</si>
  <si>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</si>
  <si>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</si>
  <si>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</si>
  <si>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</si>
  <si>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</si>
  <si>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</si>
  <si>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</si>
  <si>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</si>
  <si>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</si>
  <si>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</si>
  <si>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</si>
  <si>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</si>
  <si>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</si>
  <si>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</si>
  <si>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</si>
  <si>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</si>
  <si>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</si>
  <si>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</si>
  <si>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</si>
  <si>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</si>
  <si>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</si>
  <si>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</si>
  <si>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</si>
  <si>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</si>
  <si>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</si>
  <si>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</si>
  <si>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</si>
  <si>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</si>
  <si>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</si>
  <si>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</si>
  <si>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</si>
  <si>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</si>
  <si>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</si>
  <si>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</si>
  <si>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</si>
  <si>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</si>
  <si>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</si>
  <si>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</si>
  <si>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</si>
  <si>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</si>
  <si>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</si>
  <si>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</si>
  <si>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</si>
  <si>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</si>
  <si>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</si>
  <si>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</si>
  <si>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</si>
  <si>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</si>
  <si>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</si>
  <si>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</si>
  <si>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</si>
  <si>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</si>
  <si>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</si>
  <si>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</si>
  <si>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</si>
  <si>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</si>
  <si>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</si>
  <si>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</si>
  <si>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</si>
  <si>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</si>
  <si>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</si>
  <si>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</si>
  <si>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</si>
  <si>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</si>
  <si>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</si>
  <si>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</si>
  <si>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</si>
  <si>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</si>
  <si>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</si>
  <si>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</si>
  <si>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</si>
  <si>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</si>
  <si>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</si>
  <si>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</si>
  <si>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</si>
  <si>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</si>
  <si>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</si>
  <si>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</si>
  <si>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</si>
  <si>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</si>
  <si>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</si>
  <si>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</si>
  <si>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</si>
  <si>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</si>
  <si>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</si>
  <si>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</si>
  <si>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</si>
  <si>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</si>
  <si>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</si>
  <si>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</si>
  <si>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</si>
  <si>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</si>
  <si>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</si>
  <si>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</si>
  <si>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</si>
  <si>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</si>
  <si>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</si>
  <si>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</si>
  <si>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</si>
  <si>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</si>
  <si>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</si>
  <si>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</si>
  <si>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</si>
  <si>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</si>
  <si>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</si>
  <si>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</si>
  <si>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</si>
  <si>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</si>
  <si>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</si>
  <si>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</si>
  <si>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</si>
  <si>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</si>
  <si>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</si>
  <si>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</si>
  <si>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</si>
  <si>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</si>
  <si>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</si>
  <si>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</si>
  <si>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</si>
  <si>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</si>
  <si>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</si>
  <si>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</si>
  <si>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</si>
  <si>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</si>
  <si>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</si>
  <si>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</si>
  <si>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</si>
  <si>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</si>
  <si>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</si>
  <si>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</si>
  <si>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</si>
  <si>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</si>
  <si>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</si>
  <si>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</si>
  <si>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</si>
  <si>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</si>
  <si>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</si>
  <si>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</si>
  <si>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</si>
  <si>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</si>
  <si>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</si>
  <si>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</si>
  <si>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</si>
  <si>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</si>
  <si>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</si>
  <si>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</si>
  <si>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</si>
  <si>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</si>
  <si>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</si>
  <si>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</si>
  <si>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</si>
  <si>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</si>
  <si>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</si>
  <si>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</si>
  <si>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</si>
  <si>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</si>
  <si>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</si>
  <si>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</si>
  <si>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</si>
  <si>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</si>
  <si>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</si>
  <si>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</si>
  <si>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</si>
  <si>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</si>
  <si>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</si>
  <si>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</si>
  <si>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</si>
  <si>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</si>
  <si>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</si>
  <si>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</si>
  <si>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</si>
  <si>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</si>
  <si>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</si>
  <si>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</si>
  <si>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</si>
  <si>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</si>
  <si>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</si>
  <si>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</si>
  <si>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</si>
  <si>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</si>
  <si>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</si>
  <si>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</si>
  <si>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</si>
  <si>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</si>
  <si>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</si>
  <si>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</si>
  <si>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</si>
  <si>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</si>
  <si>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</si>
  <si>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</si>
  <si>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</si>
  <si>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</si>
  <si>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</si>
  <si>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</si>
  <si>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</si>
  <si>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</si>
  <si>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</si>
  <si>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</si>
  <si>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</si>
  <si>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</si>
  <si>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</si>
  <si>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</si>
  <si>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</si>
  <si>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</si>
  <si>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</si>
  <si>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</si>
  <si>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</si>
  <si>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</si>
  <si>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</si>
  <si>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</si>
  <si>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</si>
  <si>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</si>
  <si>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</si>
  <si>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</si>
  <si>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</si>
  <si>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</si>
  <si>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</si>
  <si>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</si>
  <si>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</si>
  <si>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</si>
  <si>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</si>
  <si>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</si>
  <si>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</si>
  <si>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</si>
  <si>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</si>
  <si>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</si>
  <si>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</si>
  <si>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</si>
  <si>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</si>
  <si>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</si>
  <si>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</si>
  <si>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</si>
  <si>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</si>
  <si>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</si>
  <si>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</si>
  <si>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</si>
  <si>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</si>
  <si>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</si>
  <si>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</si>
  <si>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</si>
  <si>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</si>
  <si>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</si>
  <si>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</si>
  <si>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</si>
  <si>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</si>
  <si>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</si>
  <si>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</si>
  <si>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</si>
  <si>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</si>
  <si>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</si>
  <si>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</si>
  <si>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</si>
  <si>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</si>
  <si>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</si>
  <si>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</si>
  <si>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</si>
  <si>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</si>
  <si>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</si>
  <si>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</si>
  <si>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</si>
  <si>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</si>
  <si>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</si>
  <si>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</si>
  <si>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</si>
  <si>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</si>
  <si>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</si>
  <si>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</si>
  <si>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</si>
  <si>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</si>
  <si>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</si>
  <si>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</si>
  <si>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</si>
  <si>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</si>
  <si>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</si>
  <si>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</si>
  <si>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</si>
  <si>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</si>
  <si>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</si>
  <si>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</si>
  <si>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</si>
  <si>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</si>
  <si>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</si>
  <si>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</si>
  <si>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</si>
  <si>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</si>
  <si>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</si>
  <si>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</si>
  <si>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</si>
  <si>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</si>
  <si>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</si>
  <si>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</si>
  <si>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</si>
  <si>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</si>
  <si>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</si>
  <si>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</si>
  <si>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</si>
  <si>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</si>
  <si>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</si>
  <si>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</si>
  <si>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</si>
  <si>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</si>
  <si>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</si>
  <si>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</si>
  <si>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</si>
  <si>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</si>
  <si>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</si>
  <si>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</si>
  <si>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</si>
  <si>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</si>
  <si>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</si>
  <si>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</si>
  <si>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</si>
  <si>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</si>
  <si>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</si>
  <si>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</si>
  <si>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</si>
  <si>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</si>
  <si>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</si>
  <si>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</si>
  <si>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</si>
  <si>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</si>
  <si>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</si>
  <si>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</si>
  <si>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</si>
  <si>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</si>
  <si>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</si>
  <si>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</si>
  <si>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</si>
  <si>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</si>
  <si>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</si>
  <si>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</si>
  <si>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</si>
  <si>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</si>
  <si>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</si>
  <si>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</si>
  <si>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</si>
  <si>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</si>
  <si>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</si>
  <si>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</si>
  <si>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</si>
  <si>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</si>
  <si>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</si>
  <si>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</si>
  <si>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</si>
  <si>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</si>
  <si>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</si>
  <si>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</si>
  <si>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</si>
  <si>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</si>
  <si>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</si>
  <si>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</si>
  <si>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</si>
  <si>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</si>
  <si>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</si>
  <si>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</si>
  <si>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</si>
  <si>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</si>
  <si>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</si>
  <si>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</si>
  <si>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</si>
  <si>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</si>
  <si>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</si>
  <si>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</si>
  <si>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</si>
  <si>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</si>
  <si>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</si>
  <si>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</si>
  <si>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</si>
  <si>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</si>
  <si>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</si>
  <si>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</si>
  <si>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</si>
  <si>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</si>
  <si>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</si>
  <si>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</si>
  <si>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</si>
  <si>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</si>
  <si>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</si>
  <si>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</si>
  <si>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</si>
  <si>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</si>
  <si>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</si>
  <si>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</si>
  <si>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</si>
  <si>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</si>
  <si>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</si>
  <si>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</si>
  <si>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</si>
  <si>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</si>
  <si>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</si>
  <si>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A realizar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</si>
  <si>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</si>
  <si>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</si>
  <si>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</si>
  <si>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</si>
  <si>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</si>
  <si>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</si>
  <si>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</si>
  <si>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</si>
  <si>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</si>
  <si>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</si>
  <si>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</si>
  <si>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</si>
  <si>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</si>
  <si>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</si>
  <si>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</si>
  <si>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</si>
  <si>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</si>
  <si>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</si>
  <si>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</si>
  <si>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</si>
  <si>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</si>
  <si>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</si>
  <si>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</si>
  <si>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</si>
  <si>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</si>
  <si>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</si>
  <si>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</si>
  <si>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</si>
  <si>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</si>
  <si>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</si>
  <si>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</si>
  <si>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</si>
  <si>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</si>
  <si>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</si>
  <si>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</si>
  <si>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</si>
  <si>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</si>
  <si>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</si>
  <si>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</si>
  <si>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</si>
  <si>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</si>
  <si>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</si>
  <si>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</si>
  <si>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</si>
  <si>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</si>
  <si>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</si>
  <si>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</si>
  <si>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</si>
  <si>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</si>
  <si>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</si>
  <si>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</si>
  <si>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</si>
  <si>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</si>
  <si>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</si>
  <si>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</si>
  <si>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</si>
  <si>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</si>
  <si>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</si>
  <si>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</si>
  <si>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</si>
  <si>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</si>
  <si>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</si>
  <si>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</si>
  <si>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</si>
  <si>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</si>
  <si>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</si>
  <si>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</si>
  <si>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</si>
  <si>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</si>
  <si>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</si>
  <si>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</si>
  <si>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</si>
  <si>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</si>
  <si>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</si>
  <si>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</si>
  <si>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</si>
  <si>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</si>
  <si>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</si>
  <si>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</si>
  <si>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</si>
  <si>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</si>
  <si>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</si>
  <si>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</si>
  <si>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</si>
  <si>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</si>
  <si>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</si>
  <si>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</si>
  <si>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</si>
  <si>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</si>
  <si>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</si>
  <si>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</si>
  <si>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</si>
  <si>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</si>
  <si>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</si>
  <si>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</si>
  <si>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</si>
  <si>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</si>
  <si>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</si>
  <si>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</si>
  <si>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</si>
  <si>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</si>
  <si>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</si>
  <si>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</si>
  <si>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</si>
  <si>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</si>
  <si>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</si>
  <si>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</si>
  <si>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</si>
  <si>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</si>
  <si>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</si>
  <si>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</si>
  <si>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</si>
  <si>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</si>
  <si>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</si>
  <si>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</si>
  <si>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</si>
  <si>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</si>
  <si>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</si>
  <si>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</si>
  <si>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</si>
  <si>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</si>
  <si>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</si>
  <si>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</si>
  <si>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</si>
  <si>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</si>
  <si>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</si>
  <si>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</si>
  <si>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</si>
  <si>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</si>
  <si>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</si>
  <si>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</si>
  <si>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</si>
  <si>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</si>
  <si>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</si>
  <si>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</si>
  <si>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</si>
  <si>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</si>
  <si>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</si>
  <si>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</si>
  <si>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</si>
  <si>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</si>
  <si>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</si>
  <si>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</si>
  <si>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</si>
  <si>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</si>
  <si>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</si>
  <si>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</si>
  <si>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</si>
  <si>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</si>
  <si>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</si>
  <si>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</si>
  <si>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</si>
  <si>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</si>
  <si>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</si>
  <si>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</si>
  <si>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</si>
  <si>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</si>
  <si>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</si>
  <si>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</si>
  <si>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</si>
  <si>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</si>
  <si>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</si>
  <si>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</si>
  <si>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</si>
  <si>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</si>
  <si>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</si>
  <si>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</si>
  <si>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</si>
  <si>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</si>
  <si>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</si>
  <si>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</si>
  <si>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</si>
  <si>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</si>
  <si>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</si>
  <si>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</si>
  <si>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</si>
  <si>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</si>
  <si>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</si>
  <si>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</si>
  <si>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</si>
  <si>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</si>
  <si>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</si>
  <si>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</si>
  <si>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</si>
  <si>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</si>
  <si>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</si>
  <si>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</si>
  <si>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</si>
  <si>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</si>
  <si>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</si>
  <si>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</si>
  <si>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</si>
  <si>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</si>
  <si>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</si>
  <si>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</si>
  <si>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</si>
  <si>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</si>
  <si>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</si>
  <si>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</si>
  <si>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</si>
  <si>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</si>
  <si>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</si>
  <si>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</si>
  <si>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</si>
  <si>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</si>
  <si>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</si>
  <si>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</si>
  <si>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</si>
  <si>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</si>
  <si>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</si>
  <si>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</si>
  <si>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</si>
  <si>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</si>
  <si>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</si>
  <si>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</si>
  <si>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</si>
  <si>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</si>
  <si>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</si>
  <si>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</si>
  <si>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</si>
  <si>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</si>
  <si>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</si>
  <si>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</si>
  <si>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</si>
  <si>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</si>
  <si>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</si>
  <si>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</si>
  <si>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</si>
  <si>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</si>
  <si>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</si>
  <si>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</si>
  <si>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</si>
  <si>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</si>
  <si>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</si>
  <si>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</si>
  <si>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</si>
  <si>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</si>
  <si>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</si>
  <si>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</si>
  <si>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</si>
  <si>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</si>
  <si>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</si>
  <si>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</si>
  <si>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</si>
  <si>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</si>
  <si>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</si>
  <si>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</si>
  <si>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</si>
  <si>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</si>
  <si>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</si>
  <si>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</si>
  <si>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</si>
  <si>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</si>
  <si>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</si>
  <si>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</si>
  <si>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</si>
  <si>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</si>
  <si>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</si>
  <si>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</si>
  <si>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</si>
  <si>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</si>
  <si>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</si>
  <si>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</si>
  <si>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</si>
  <si>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</si>
  <si>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</si>
  <si>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</si>
  <si>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</si>
  <si>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</si>
  <si>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</si>
  <si>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</si>
  <si>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</si>
  <si>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</si>
  <si>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</si>
  <si>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</si>
  <si>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</si>
  <si>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</si>
  <si>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</si>
  <si>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</si>
  <si>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</si>
  <si>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</si>
  <si>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</si>
  <si>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</si>
  <si>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</si>
  <si>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</si>
  <si>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</si>
  <si>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</si>
  <si>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</si>
  <si>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</si>
  <si>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</si>
  <si>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</si>
  <si>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</si>
  <si>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</si>
  <si>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</si>
  <si>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</si>
  <si>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</si>
  <si>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</si>
  <si>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</si>
  <si>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</si>
  <si>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</si>
  <si>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</si>
  <si>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</si>
  <si>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</si>
  <si>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</si>
  <si>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</si>
  <si>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</si>
  <si>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</si>
  <si>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</si>
  <si>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</si>
  <si>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</si>
  <si>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</si>
  <si>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</si>
  <si>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</si>
  <si>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</si>
  <si>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</si>
  <si>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</si>
  <si>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</si>
  <si>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</si>
  <si>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</si>
  <si>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</si>
  <si>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</si>
  <si>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</si>
  <si>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</si>
  <si>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</si>
  <si>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</si>
  <si>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</si>
  <si>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</si>
  <si>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</si>
  <si>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</si>
  <si>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</si>
  <si>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</si>
  <si>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</si>
  <si>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</si>
  <si>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</si>
  <si>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</si>
  <si>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</si>
  <si>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</si>
  <si>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</si>
  <si>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</si>
  <si>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</si>
  <si>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</si>
  <si>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</si>
  <si>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</si>
  <si>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</si>
  <si>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</si>
  <si>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</si>
  <si>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</si>
  <si>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</si>
  <si>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</si>
  <si>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</si>
  <si>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</si>
  <si>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</si>
  <si>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</si>
  <si>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</si>
  <si>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</si>
  <si>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</si>
  <si>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</si>
  <si>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</si>
  <si>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</si>
  <si>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</si>
  <si>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</si>
  <si>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</si>
  <si>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</si>
  <si>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</si>
  <si>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</si>
  <si>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</si>
  <si>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</si>
  <si>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</si>
  <si>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</si>
  <si>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</si>
  <si>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</si>
  <si>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</si>
  <si>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</si>
  <si>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</si>
  <si>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</si>
  <si>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</si>
  <si>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</si>
  <si>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</si>
  <si>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</si>
  <si>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</si>
  <si>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</si>
  <si>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</si>
  <si>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</si>
  <si>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</si>
  <si>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</si>
  <si>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</si>
  <si>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</si>
  <si>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</si>
  <si>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</si>
  <si>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</si>
  <si>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</si>
  <si>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</si>
  <si>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2026-094</t>
  </si>
  <si>
    <t>2026-095</t>
  </si>
  <si>
    <t>12914/2026</t>
  </si>
  <si>
    <t>Curso de formação para Conselheiros de Saúde (CRST)</t>
  </si>
  <si>
    <t>Curso de formação para Conselheiros de Saúde (CRSB)</t>
  </si>
  <si>
    <t>19 a 23/10/2026</t>
  </si>
  <si>
    <t>09 a 13/11/2026</t>
  </si>
  <si>
    <t>Abdiel Andrade; Tarsila Firmino Ely</t>
  </si>
  <si>
    <t>2026-096</t>
  </si>
  <si>
    <t>13246/2026</t>
  </si>
  <si>
    <t>Pesquisa de Preços em Compras Públicas à luz do Decreto Distrital nº 44.330/2023</t>
  </si>
  <si>
    <t>10 e 12/11/2026</t>
  </si>
  <si>
    <t>2026-097</t>
  </si>
  <si>
    <t>14556/2026</t>
  </si>
  <si>
    <t>Oficina de Avaliação em T&amp;D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</si>
</sst>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7" fillId="0" borderId="0" applyNumberFormat="0" applyFill="0" applyBorder="0" applyAlignment="0" applyProtection="0"/>
    <xf numFmtId="44" fontId="9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23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49" fontId="6" fillId="2" borderId="1" xfId="0" applyNumberFormat="1" applyFont="1" applyFill="1" applyBorder="1" applyAlignment="1">
      <alignment horizontal="center" vertical="center"/>
    </xf>
    <xf numFmtId="14" fontId="6" fillId="2" borderId="1" xfId="0" applyNumberFormat="1" applyFont="1" applyFill="1" applyBorder="1" applyAlignment="1">
      <alignment horizontal="center" vertical="center"/>
    </xf>
    <xf numFmtId="1" fontId="5" fillId="2" borderId="1" xfId="0" applyNumberFormat="1" applyFont="1" applyFill="1" applyBorder="1" applyAlignment="1">
      <alignment horizontal="center" vertical="center"/>
    </xf>
    <xf numFmtId="1" fontId="6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center" vertical="center"/>
    </xf>
    <xf numFmtId="1" fontId="6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2" fillId="0" borderId="0" xfId="0" applyFont="1"/>
    <xf numFmtId="0" fontId="13" fillId="4" borderId="0" xfId="0" applyFont="1" applyFill="1" applyAlignment="1">
      <alignment horizontal="center"/>
    </xf>
    <xf numFmtId="1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166" fontId="12" fillId="0" borderId="0" xfId="0" applyNumberFormat="1" applyFont="1" applyAlignment="1">
      <alignment horizontal="center"/>
    </xf>
    <xf numFmtId="0" fontId="14" fillId="0" borderId="0" xfId="0" applyFont="1"/>
    <xf numFmtId="1" fontId="0" fillId="0" borderId="0" xfId="0" applyNumberFormat="1"/>
    <xf numFmtId="0" fontId="17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7" fillId="7" borderId="4" xfId="0" applyFont="1" applyFill="1" applyBorder="1" applyAlignment="1">
      <alignment horizontal="center"/>
    </xf>
    <xf numFmtId="0" fontId="19" fillId="8" borderId="4" xfId="0" applyFont="1" applyFill="1" applyBorder="1"/>
    <xf numFmtId="3" fontId="22" fillId="8" borderId="4" xfId="0" applyNumberFormat="1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7" fillId="7" borderId="4" xfId="0" applyFont="1" applyFill="1" applyBorder="1"/>
    <xf numFmtId="3" fontId="23" fillId="7" borderId="4" xfId="0" applyNumberFormat="1" applyFont="1" applyFill="1" applyBorder="1" applyAlignment="1">
      <alignment horizontal="center"/>
    </xf>
    <xf numFmtId="3" fontId="20" fillId="8" borderId="6" xfId="0" applyNumberFormat="1" applyFont="1" applyFill="1" applyBorder="1" applyAlignment="1">
      <alignment horizontal="center"/>
    </xf>
    <xf numFmtId="0" fontId="19" fillId="8" borderId="8" xfId="0" applyFont="1" applyFill="1" applyBorder="1" applyAlignment="1">
      <alignment horizontal="left"/>
    </xf>
    <xf numFmtId="3" fontId="24" fillId="8" borderId="4" xfId="0" applyNumberFormat="1" applyFont="1" applyFill="1" applyBorder="1" applyAlignment="1">
      <alignment horizontal="center"/>
    </xf>
    <xf numFmtId="167" fontId="19" fillId="8" borderId="4" xfId="0" applyNumberFormat="1" applyFont="1" applyFill="1" applyBorder="1" applyAlignment="1">
      <alignment horizontal="center"/>
    </xf>
    <xf numFmtId="3" fontId="24" fillId="9" borderId="4" xfId="0" applyNumberFormat="1" applyFont="1" applyFill="1" applyBorder="1" applyAlignment="1">
      <alignment horizontal="center"/>
    </xf>
    <xf numFmtId="167" fontId="19" fillId="9" borderId="4" xfId="0" applyNumberFormat="1" applyFont="1" applyFill="1" applyBorder="1" applyAlignment="1">
      <alignment horizontal="center"/>
    </xf>
    <xf numFmtId="3" fontId="25" fillId="7" borderId="4" xfId="0" applyNumberFormat="1" applyFont="1" applyFill="1" applyBorder="1" applyAlignment="1">
      <alignment horizontal="center"/>
    </xf>
    <xf numFmtId="167" fontId="17" fillId="7" borderId="4" xfId="0" applyNumberFormat="1" applyFont="1" applyFill="1" applyBorder="1" applyAlignment="1">
      <alignment horizontal="center"/>
    </xf>
    <xf numFmtId="3" fontId="28" fillId="11" borderId="6" xfId="0" applyNumberFormat="1" applyFont="1" applyFill="1" applyBorder="1" applyAlignment="1">
      <alignment horizontal="center"/>
    </xf>
    <xf numFmtId="0" fontId="27" fillId="11" borderId="8" xfId="0" applyFont="1" applyFill="1" applyBorder="1" applyAlignment="1">
      <alignment horizontal="left"/>
    </xf>
    <xf numFmtId="0" fontId="17" fillId="12" borderId="9" xfId="0" applyFont="1" applyFill="1" applyBorder="1" applyAlignment="1">
      <alignment horizontal="center"/>
    </xf>
    <xf numFmtId="3" fontId="29" fillId="13" borderId="10" xfId="0" applyNumberFormat="1" applyFont="1" applyFill="1" applyBorder="1" applyAlignment="1">
      <alignment horizontal="center"/>
    </xf>
    <xf numFmtId="3" fontId="30" fillId="8" borderId="4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0" fontId="35" fillId="0" borderId="0" xfId="0" applyFont="1"/>
    <xf numFmtId="0" fontId="39" fillId="14" borderId="11" xfId="0" applyFont="1" applyFill="1" applyBorder="1" applyAlignment="1">
      <alignment horizontal="center" vertical="center"/>
    </xf>
    <xf numFmtId="0" fontId="40" fillId="14" borderId="11" xfId="0" applyFont="1" applyFill="1" applyBorder="1" applyAlignment="1">
      <alignment horizontal="center" vertical="center"/>
    </xf>
    <xf numFmtId="3" fontId="40" fillId="14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4" borderId="13" xfId="0" applyFont="1" applyFill="1" applyBorder="1" applyAlignment="1">
      <alignment horizontal="center" vertical="center"/>
    </xf>
    <xf numFmtId="0" fontId="40" fillId="14" borderId="13" xfId="0" applyFont="1" applyFill="1" applyBorder="1" applyAlignment="1">
      <alignment horizontal="center" vertical="center"/>
    </xf>
    <xf numFmtId="3" fontId="40" fillId="14" borderId="13" xfId="0" applyNumberFormat="1" applyFont="1" applyFill="1" applyBorder="1" applyAlignment="1">
      <alignment horizontal="center" vertical="center"/>
    </xf>
    <xf numFmtId="0" fontId="40" fillId="14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4" borderId="13" xfId="0" applyFont="1" applyFill="1" applyBorder="1" applyAlignment="1">
      <alignment vertical="center" wrapText="1"/>
    </xf>
    <xf numFmtId="0" fontId="38" fillId="7" borderId="0" xfId="0" applyFont="1" applyFill="1" applyAlignment="1">
      <alignment horizontal="center" vertical="center"/>
    </xf>
    <xf numFmtId="0" fontId="19" fillId="8" borderId="18" xfId="0" applyFont="1" applyFill="1" applyBorder="1"/>
    <xf numFmtId="3" fontId="24" fillId="8" borderId="18" xfId="0" applyNumberFormat="1" applyFont="1" applyFill="1" applyBorder="1" applyAlignment="1">
      <alignment horizontal="center"/>
    </xf>
    <xf numFmtId="3" fontId="30" fillId="8" borderId="18" xfId="0" applyNumberFormat="1" applyFont="1" applyFill="1" applyBorder="1" applyAlignment="1">
      <alignment horizontal="center"/>
    </xf>
    <xf numFmtId="167" fontId="19" fillId="8" borderId="18" xfId="0" applyNumberFormat="1" applyFont="1" applyFill="1" applyBorder="1" applyAlignment="1">
      <alignment horizontal="center"/>
    </xf>
    <xf numFmtId="0" fontId="32" fillId="9" borderId="19" xfId="0" applyFont="1" applyFill="1" applyBorder="1"/>
    <xf numFmtId="3" fontId="26" fillId="9" borderId="19" xfId="0" applyNumberFormat="1" applyFont="1" applyFill="1" applyBorder="1" applyAlignment="1">
      <alignment horizontal="center"/>
    </xf>
    <xf numFmtId="167" fontId="31" fillId="9" borderId="19" xfId="0" applyNumberFormat="1" applyFont="1" applyFill="1" applyBorder="1" applyAlignment="1">
      <alignment horizontal="center"/>
    </xf>
    <xf numFmtId="3" fontId="24" fillId="8" borderId="20" xfId="0" applyNumberFormat="1" applyFont="1" applyFill="1" applyBorder="1" applyAlignment="1">
      <alignment horizontal="center"/>
    </xf>
    <xf numFmtId="3" fontId="30" fillId="8" borderId="20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0" fontId="19" fillId="8" borderId="20" xfId="0" applyFont="1" applyFill="1" applyBorder="1"/>
    <xf numFmtId="0" fontId="19" fillId="9" borderId="20" xfId="0" applyFont="1" applyFill="1" applyBorder="1"/>
    <xf numFmtId="167" fontId="19" fillId="8" borderId="20" xfId="0" applyNumberFormat="1" applyFont="1" applyFill="1" applyBorder="1" applyAlignment="1">
      <alignment horizontal="center"/>
    </xf>
    <xf numFmtId="167" fontId="19" fillId="9" borderId="20" xfId="0" applyNumberFormat="1" applyFont="1" applyFill="1" applyBorder="1" applyAlignment="1">
      <alignment horizontal="center"/>
    </xf>
    <xf numFmtId="0" fontId="25" fillId="7" borderId="0" xfId="0" applyFont="1" applyFill="1"/>
    <xf numFmtId="0" fontId="41" fillId="4" borderId="0" xfId="0" applyFont="1" applyFill="1" applyAlignment="1">
      <alignment horizontal="center"/>
    </xf>
    <xf numFmtId="0" fontId="4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40" fillId="14" borderId="11" xfId="0" applyNumberFormat="1" applyFont="1" applyFill="1" applyBorder="1" applyAlignment="1">
      <alignment horizontal="center" vertical="center"/>
    </xf>
    <xf numFmtId="165" fontId="40" fillId="3" borderId="13" xfId="0" applyNumberFormat="1" applyFont="1" applyFill="1" applyBorder="1" applyAlignment="1">
      <alignment horizontal="center" vertical="center"/>
    </xf>
    <xf numFmtId="165" fontId="40" fillId="14" borderId="13" xfId="0" applyNumberFormat="1" applyFont="1" applyFill="1" applyBorder="1" applyAlignment="1">
      <alignment horizontal="center" vertical="center"/>
    </xf>
    <xf numFmtId="0" fontId="43" fillId="13" borderId="13" xfId="0" applyFont="1" applyFill="1" applyBorder="1" applyAlignment="1">
      <alignment horizontal="center"/>
    </xf>
    <xf numFmtId="165" fontId="43" fillId="13" borderId="13" xfId="0" applyNumberFormat="1" applyFont="1" applyFill="1" applyBorder="1" applyAlignment="1">
      <alignment horizontal="center"/>
    </xf>
    <xf numFmtId="0" fontId="43" fillId="13" borderId="13" xfId="0" applyFont="1" applyFill="1" applyBorder="1"/>
    <xf numFmtId="3" fontId="43" fillId="13" borderId="13" xfId="0" applyNumberFormat="1" applyFont="1" applyFill="1" applyBorder="1" applyAlignment="1">
      <alignment horizontal="center"/>
    </xf>
    <xf numFmtId="0" fontId="43" fillId="13" borderId="12" xfId="0" applyFont="1" applyFill="1" applyBorder="1" applyAlignment="1">
      <alignment horizontal="center"/>
    </xf>
    <xf numFmtId="165" fontId="43" fillId="13" borderId="12" xfId="0" applyNumberFormat="1" applyFont="1" applyFill="1" applyBorder="1" applyAlignment="1">
      <alignment horizontal="center"/>
    </xf>
    <xf numFmtId="0" fontId="43" fillId="13" borderId="12" xfId="0" applyFont="1" applyFill="1" applyBorder="1"/>
    <xf numFmtId="3" fontId="43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4" fillId="0" borderId="22" xfId="0" applyFont="1" applyBorder="1" applyAlignment="1">
      <alignment horizontal="center"/>
    </xf>
    <xf numFmtId="166" fontId="44" fillId="0" borderId="22" xfId="0" applyNumberFormat="1" applyFont="1" applyBorder="1" applyAlignment="1">
      <alignment horizontal="center"/>
    </xf>
    <xf numFmtId="0" fontId="0" fillId="0" borderId="22" xfId="0" applyBorder="1"/>
    <xf numFmtId="0" fontId="25" fillId="7" borderId="0" xfId="0" applyFont="1" applyFill="1" applyAlignment="1">
      <alignment horizontal="center"/>
    </xf>
    <xf numFmtId="2" fontId="0" fillId="3" borderId="0" xfId="0" applyNumberFormat="1" applyFill="1"/>
    <xf numFmtId="0" fontId="3" fillId="0" borderId="0" xfId="0" applyFont="1"/>
    <xf numFmtId="0" fontId="3" fillId="0" borderId="0" xfId="0" applyFont="1" applyAlignment="1">
      <alignment vertical="center"/>
    </xf>
    <xf numFmtId="0" fontId="47" fillId="0" borderId="0" xfId="0" applyFont="1"/>
    <xf numFmtId="0" fontId="48" fillId="0" borderId="0" xfId="0" applyFont="1"/>
    <xf numFmtId="49" fontId="14" fillId="0" borderId="0" xfId="0" applyNumberFormat="1" applyFont="1"/>
    <xf numFmtId="168" fontId="6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" fillId="4" borderId="0" xfId="0" applyFont="1" applyFill="1" applyAlignment="1">
      <alignment horizontal="center"/>
    </xf>
    <xf numFmtId="0" fontId="5" fillId="0" borderId="0" xfId="0" applyFont="1"/>
    <xf numFmtId="0" fontId="5" fillId="8" borderId="0" xfId="0" applyFont="1" applyFill="1"/>
    <xf numFmtId="0" fontId="5" fillId="8" borderId="22" xfId="0" applyFont="1" applyFill="1" applyBorder="1" applyAlignment="1">
      <alignment horizontal="center"/>
    </xf>
    <xf numFmtId="0" fontId="5" fillId="16" borderId="22" xfId="0" applyFont="1" applyFill="1" applyBorder="1" applyAlignment="1">
      <alignment horizontal="right"/>
    </xf>
    <xf numFmtId="166" fontId="5" fillId="16" borderId="22" xfId="0" applyNumberFormat="1" applyFont="1" applyFill="1" applyBorder="1" applyAlignment="1">
      <alignment horizontal="center"/>
    </xf>
    <xf numFmtId="49" fontId="6" fillId="2" borderId="23" xfId="0" applyNumberFormat="1" applyFont="1" applyFill="1" applyBorder="1" applyAlignment="1">
      <alignment horizontal="center" vertical="center"/>
    </xf>
    <xf numFmtId="0" fontId="17" fillId="7" borderId="0" xfId="0" applyFont="1" applyFill="1"/>
    <xf numFmtId="0" fontId="10" fillId="0" borderId="1" xfId="0" applyFont="1" applyBorder="1" applyAlignment="1">
      <alignment horizontal="center" vertical="center"/>
    </xf>
    <xf numFmtId="49" fontId="11" fillId="0" borderId="1" xfId="0" applyNumberFormat="1" applyFont="1" applyBorder="1" applyAlignment="1">
      <alignment vertical="center"/>
    </xf>
    <xf numFmtId="0" fontId="11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center"/>
    </xf>
    <xf numFmtId="49" fontId="10" fillId="0" borderId="1" xfId="0" applyNumberFormat="1" applyFont="1" applyBorder="1" applyAlignment="1">
      <alignment horizontal="center" vertical="center"/>
    </xf>
    <xf numFmtId="165" fontId="10" fillId="0" borderId="1" xfId="0" applyNumberFormat="1" applyFont="1" applyBorder="1" applyAlignment="1">
      <alignment horizontal="center" vertical="center"/>
    </xf>
    <xf numFmtId="164" fontId="10" fillId="0" borderId="1" xfId="2" applyNumberFormat="1" applyFont="1" applyFill="1" applyBorder="1" applyAlignment="1">
      <alignment vertical="center"/>
    </xf>
    <xf numFmtId="1" fontId="10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left" vertical="center"/>
    </xf>
    <xf numFmtId="0" fontId="11" fillId="0" borderId="1" xfId="0" applyFont="1" applyBorder="1" applyAlignment="1">
      <alignment vertical="center"/>
    </xf>
    <xf numFmtId="1" fontId="10" fillId="0" borderId="1" xfId="0" applyNumberFormat="1" applyFont="1" applyBorder="1" applyAlignment="1">
      <alignment vertical="center"/>
    </xf>
    <xf numFmtId="14" fontId="10" fillId="0" borderId="1" xfId="0" applyNumberFormat="1" applyFont="1" applyBorder="1" applyAlignment="1">
      <alignment horizontal="center" vertical="center"/>
    </xf>
    <xf numFmtId="164" fontId="10" fillId="0" borderId="1" xfId="2" applyNumberFormat="1" applyFont="1" applyFill="1" applyBorder="1" applyAlignment="1">
      <alignment horizontal="right" vertical="center"/>
    </xf>
    <xf numFmtId="22" fontId="10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vertical="center" wrapText="1"/>
    </xf>
    <xf numFmtId="49" fontId="11" fillId="0" borderId="1" xfId="0" applyNumberFormat="1" applyFont="1" applyBorder="1" applyAlignment="1">
      <alignment horizontal="left" vertical="center"/>
    </xf>
    <xf numFmtId="14" fontId="10" fillId="0" borderId="1" xfId="0" applyNumberFormat="1" applyFont="1" applyBorder="1"/>
    <xf numFmtId="0" fontId="10" fillId="0" borderId="1" xfId="0" applyFont="1" applyBorder="1"/>
    <xf numFmtId="49" fontId="11" fillId="0" borderId="1" xfId="0" applyNumberFormat="1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49" fontId="11" fillId="0" borderId="2" xfId="0" applyNumberFormat="1" applyFont="1" applyBorder="1" applyAlignment="1">
      <alignment vertical="center"/>
    </xf>
    <xf numFmtId="0" fontId="10" fillId="0" borderId="2" xfId="0" applyFont="1" applyBorder="1" applyAlignment="1">
      <alignment vertical="center"/>
    </xf>
    <xf numFmtId="49" fontId="10" fillId="0" borderId="2" xfId="0" applyNumberFormat="1" applyFont="1" applyBorder="1" applyAlignment="1">
      <alignment horizontal="center" vertical="center"/>
    </xf>
    <xf numFmtId="165" fontId="10" fillId="0" borderId="2" xfId="0" applyNumberFormat="1" applyFont="1" applyBorder="1" applyAlignment="1">
      <alignment horizontal="center" vertical="center"/>
    </xf>
    <xf numFmtId="164" fontId="10" fillId="0" borderId="2" xfId="2" applyNumberFormat="1" applyFont="1" applyFill="1" applyBorder="1" applyAlignment="1">
      <alignment vertical="center"/>
    </xf>
    <xf numFmtId="1" fontId="10" fillId="0" borderId="2" xfId="0" applyNumberFormat="1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49" fontId="11" fillId="0" borderId="1" xfId="0" applyNumberFormat="1" applyFont="1" applyBorder="1" applyAlignment="1">
      <alignment vertical="center" wrapText="1"/>
    </xf>
    <xf numFmtId="0" fontId="10" fillId="0" borderId="1" xfId="0" applyFont="1" applyBorder="1" applyAlignment="1">
      <alignment horizontal="center" vertical="center" wrapText="1"/>
    </xf>
    <xf numFmtId="49" fontId="10" fillId="0" borderId="1" xfId="0" applyNumberFormat="1" applyFont="1" applyBorder="1" applyAlignment="1">
      <alignment horizontal="center" vertical="center" wrapText="1"/>
    </xf>
    <xf numFmtId="0" fontId="10" fillId="0" borderId="1" xfId="0" applyFont="1" applyBorder="1" applyAlignment="1">
      <alignment wrapText="1"/>
    </xf>
    <xf numFmtId="0" fontId="10" fillId="0" borderId="2" xfId="0" applyFont="1" applyBorder="1" applyAlignment="1">
      <alignment vertical="center" wrapText="1"/>
    </xf>
    <xf numFmtId="0" fontId="10" fillId="0" borderId="2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168" fontId="10" fillId="0" borderId="1" xfId="2" applyNumberFormat="1" applyFont="1" applyFill="1" applyBorder="1" applyAlignment="1">
      <alignment vertical="center"/>
    </xf>
    <xf numFmtId="49" fontId="10" fillId="0" borderId="1" xfId="0" quotePrefix="1" applyNumberFormat="1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vertical="center"/>
    </xf>
    <xf numFmtId="49" fontId="33" fillId="0" borderId="1" xfId="0" applyNumberFormat="1" applyFont="1" applyBorder="1" applyAlignment="1">
      <alignment horizontal="center" vertical="center"/>
    </xf>
    <xf numFmtId="165" fontId="33" fillId="0" borderId="1" xfId="0" applyNumberFormat="1" applyFont="1" applyBorder="1" applyAlignment="1">
      <alignment horizontal="center" vertical="center"/>
    </xf>
    <xf numFmtId="1" fontId="33" fillId="0" borderId="1" xfId="0" applyNumberFormat="1" applyFont="1" applyBorder="1" applyAlignment="1">
      <alignment horizontal="center" vertical="center"/>
    </xf>
    <xf numFmtId="49" fontId="6" fillId="0" borderId="1" xfId="0" applyNumberFormat="1" applyFont="1" applyBorder="1" applyAlignment="1">
      <alignment vertical="center"/>
    </xf>
    <xf numFmtId="168" fontId="33" fillId="0" borderId="1" xfId="2" applyNumberFormat="1" applyFont="1" applyFill="1" applyBorder="1" applyAlignment="1">
      <alignment vertical="center"/>
    </xf>
    <xf numFmtId="168" fontId="10" fillId="0" borderId="1" xfId="0" applyNumberFormat="1" applyFont="1" applyBorder="1" applyAlignment="1">
      <alignment vertical="center"/>
    </xf>
    <xf numFmtId="168" fontId="10" fillId="0" borderId="2" xfId="0" applyNumberFormat="1" applyFont="1" applyBorder="1" applyAlignment="1">
      <alignment vertical="center"/>
    </xf>
    <xf numFmtId="0" fontId="10" fillId="0" borderId="2" xfId="0" applyFont="1" applyBorder="1" applyAlignment="1">
      <alignment wrapText="1"/>
    </xf>
    <xf numFmtId="168" fontId="10" fillId="0" borderId="2" xfId="2" applyNumberFormat="1" applyFont="1" applyFill="1" applyBorder="1" applyAlignment="1">
      <alignment vertical="center"/>
    </xf>
    <xf numFmtId="49" fontId="33" fillId="0" borderId="2" xfId="0" applyNumberFormat="1" applyFont="1" applyBorder="1" applyAlignment="1">
      <alignment horizontal="center" vertical="center"/>
    </xf>
    <xf numFmtId="49" fontId="6" fillId="0" borderId="1" xfId="0" applyNumberFormat="1" applyFont="1" applyBorder="1" applyAlignment="1">
      <alignment vertical="center" wrapText="1"/>
    </xf>
    <xf numFmtId="0" fontId="49" fillId="0" borderId="0" xfId="0" applyFont="1"/>
    <xf numFmtId="0" fontId="50" fillId="0" borderId="0" xfId="0" applyFont="1"/>
    <xf numFmtId="0" fontId="0" fillId="0" borderId="0" xfId="0" applyAlignment="1">
      <alignment horizontal="left"/>
    </xf>
    <xf numFmtId="0" fontId="6" fillId="0" borderId="1" xfId="0" applyFont="1" applyBorder="1" applyAlignment="1">
      <alignment horizontal="center" vertical="center"/>
    </xf>
    <xf numFmtId="49" fontId="10" fillId="0" borderId="2" xfId="0" applyNumberFormat="1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vertical="center"/>
    </xf>
    <xf numFmtId="49" fontId="33" fillId="0" borderId="0" xfId="0" applyNumberFormat="1" applyFont="1" applyAlignment="1">
      <alignment horizontal="center" vertical="center"/>
    </xf>
    <xf numFmtId="49" fontId="10" fillId="0" borderId="0" xfId="0" applyNumberFormat="1" applyFont="1" applyAlignment="1">
      <alignment horizontal="center" vertical="center" wrapText="1"/>
    </xf>
    <xf numFmtId="165" fontId="33" fillId="0" borderId="0" xfId="0" applyNumberFormat="1" applyFont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166" fontId="10" fillId="0" borderId="1" xfId="0" applyNumberFormat="1" applyFont="1" applyBorder="1" applyAlignment="1">
      <alignment horizontal="center" vertical="center"/>
    </xf>
    <xf numFmtId="166" fontId="10" fillId="0" borderId="2" xfId="0" applyNumberFormat="1" applyFont="1" applyBorder="1" applyAlignment="1">
      <alignment horizontal="center" vertical="center"/>
    </xf>
    <xf numFmtId="166" fontId="33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10" fillId="0" borderId="2" xfId="0" applyNumberFormat="1" applyFont="1" applyBorder="1" applyAlignment="1">
      <alignment horizontal="center" vertical="center" wrapText="1"/>
    </xf>
    <xf numFmtId="1" fontId="10" fillId="0" borderId="1" xfId="0" applyNumberFormat="1" applyFont="1" applyBorder="1" applyAlignment="1">
      <alignment horizontal="center" vertical="center" wrapText="1"/>
    </xf>
    <xf numFmtId="0" fontId="5" fillId="4" borderId="1" xfId="0" applyFont="1" applyFill="1" applyBorder="1" applyAlignment="1">
      <alignment vertical="center"/>
    </xf>
    <xf numFmtId="49" fontId="10" fillId="0" borderId="21" xfId="0" applyNumberFormat="1" applyFont="1" applyBorder="1" applyAlignment="1">
      <alignment horizontal="center" vertical="center"/>
    </xf>
    <xf numFmtId="1" fontId="44" fillId="0" borderId="1" xfId="0" applyNumberFormat="1" applyFont="1" applyBorder="1" applyAlignment="1">
      <alignment horizontal="center" vertical="center"/>
    </xf>
    <xf numFmtId="49" fontId="5" fillId="17" borderId="1" xfId="0" applyNumberFormat="1" applyFont="1" applyFill="1" applyBorder="1" applyAlignment="1">
      <alignment horizontal="center" vertical="center"/>
    </xf>
    <xf numFmtId="14" fontId="33" fillId="0" borderId="1" xfId="0" applyNumberFormat="1" applyFont="1" applyBorder="1" applyAlignment="1">
      <alignment horizontal="center" vertical="center"/>
    </xf>
    <xf numFmtId="44" fontId="33" fillId="0" borderId="1" xfId="2" applyFont="1" applyFill="1" applyBorder="1" applyAlignment="1">
      <alignment vertical="center"/>
    </xf>
    <xf numFmtId="0" fontId="33" fillId="0" borderId="0" xfId="0" applyFont="1" applyAlignment="1">
      <alignment horizontal="center" vertical="center"/>
    </xf>
    <xf numFmtId="49" fontId="33" fillId="0" borderId="1" xfId="0" applyNumberFormat="1" applyFont="1" applyBorder="1" applyAlignment="1">
      <alignment horizontal="center" vertical="center" wrapText="1"/>
    </xf>
    <xf numFmtId="0" fontId="33" fillId="0" borderId="2" xfId="0" applyFont="1" applyBorder="1" applyAlignment="1">
      <alignment horizontal="center" vertical="center"/>
    </xf>
    <xf numFmtId="0" fontId="33" fillId="0" borderId="2" xfId="0" applyFont="1" applyBorder="1" applyAlignment="1">
      <alignment vertical="center"/>
    </xf>
    <xf numFmtId="14" fontId="33" fillId="0" borderId="2" xfId="0" applyNumberFormat="1" applyFont="1" applyBorder="1" applyAlignment="1">
      <alignment horizontal="center" vertical="center"/>
    </xf>
    <xf numFmtId="168" fontId="33" fillId="0" borderId="2" xfId="2" applyNumberFormat="1" applyFont="1" applyFill="1" applyBorder="1" applyAlignment="1">
      <alignment vertical="center"/>
    </xf>
    <xf numFmtId="166" fontId="33" fillId="0" borderId="2" xfId="0" applyNumberFormat="1" applyFont="1" applyBorder="1" applyAlignment="1">
      <alignment horizontal="center" vertical="center"/>
    </xf>
    <xf numFmtId="1" fontId="33" fillId="0" borderId="2" xfId="0" applyNumberFormat="1" applyFont="1" applyBorder="1" applyAlignment="1">
      <alignment horizontal="center" vertical="center"/>
    </xf>
    <xf numFmtId="49" fontId="6" fillId="0" borderId="2" xfId="0" applyNumberFormat="1" applyFont="1" applyBorder="1" applyAlignment="1">
      <alignment vertical="center"/>
    </xf>
    <xf numFmtId="1" fontId="33" fillId="0" borderId="1" xfId="0" quotePrefix="1" applyNumberFormat="1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169" fontId="33" fillId="0" borderId="2" xfId="0" applyNumberFormat="1" applyFont="1" applyBorder="1" applyAlignment="1">
      <alignment horizontal="center" vertical="center"/>
    </xf>
    <xf numFmtId="168" fontId="33" fillId="0" borderId="2" xfId="2" applyNumberFormat="1" applyFont="1" applyFill="1" applyBorder="1" applyAlignment="1">
      <alignment horizontal="center" vertical="center"/>
    </xf>
    <xf numFmtId="164" fontId="33" fillId="0" borderId="2" xfId="2" applyNumberFormat="1" applyFont="1" applyFill="1" applyBorder="1" applyAlignment="1">
      <alignment vertical="center"/>
    </xf>
    <xf numFmtId="169" fontId="33" fillId="0" borderId="1" xfId="0" applyNumberFormat="1" applyFont="1" applyBorder="1" applyAlignment="1">
      <alignment horizontal="center" vertical="center"/>
    </xf>
    <xf numFmtId="168" fontId="33" fillId="0" borderId="1" xfId="2" applyNumberFormat="1" applyFont="1" applyFill="1" applyBorder="1" applyAlignment="1">
      <alignment horizontal="center" vertical="center"/>
    </xf>
    <xf numFmtId="164" fontId="33" fillId="0" borderId="1" xfId="2" applyNumberFormat="1" applyFont="1" applyFill="1" applyBorder="1" applyAlignment="1">
      <alignment vertical="center"/>
    </xf>
    <xf numFmtId="0" fontId="17" fillId="18" borderId="0" xfId="0" applyFont="1" applyFill="1"/>
    <xf numFmtId="49" fontId="10" fillId="17" borderId="1" xfId="0" applyNumberFormat="1" applyFont="1" applyFill="1" applyBorder="1" applyAlignment="1">
      <alignment horizontal="center" vertical="center"/>
    </xf>
    <xf numFmtId="1" fontId="52" fillId="0" borderId="1" xfId="0" applyNumberFormat="1" applyFont="1" applyBorder="1" applyAlignment="1">
      <alignment horizontal="center" vertical="center"/>
    </xf>
    <xf numFmtId="1" fontId="53" fillId="0" borderId="1" xfId="0" applyNumberFormat="1" applyFont="1" applyBorder="1" applyAlignment="1">
      <alignment horizontal="center" vertical="center"/>
    </xf>
    <xf numFmtId="1" fontId="52" fillId="0" borderId="21" xfId="0" applyNumberFormat="1" applyFont="1" applyBorder="1" applyAlignment="1">
      <alignment horizontal="center" vertical="center"/>
    </xf>
    <xf numFmtId="1" fontId="52" fillId="0" borderId="2" xfId="0" applyNumberFormat="1" applyFont="1" applyBorder="1" applyAlignment="1">
      <alignment horizontal="center" vertical="center"/>
    </xf>
    <xf numFmtId="0" fontId="51" fillId="0" borderId="23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1" fontId="55" fillId="17" borderId="1" xfId="0" applyNumberFormat="1" applyFont="1" applyFill="1" applyBorder="1" applyAlignment="1">
      <alignment horizontal="center" vertical="center"/>
    </xf>
    <xf numFmtId="1" fontId="56" fillId="17" borderId="2" xfId="0" applyNumberFormat="1" applyFont="1" applyFill="1" applyBorder="1" applyAlignment="1">
      <alignment horizontal="center" vertical="center"/>
    </xf>
    <xf numFmtId="1" fontId="57" fillId="17" borderId="1" xfId="0" applyNumberFormat="1" applyFont="1" applyFill="1" applyBorder="1" applyAlignment="1">
      <alignment horizontal="center" vertical="center"/>
    </xf>
    <xf numFmtId="0" fontId="2" fillId="0" borderId="0" xfId="0" applyFont="1"/>
    <xf numFmtId="0" fontId="1" fillId="0" borderId="0" xfId="0" applyFont="1"/>
    <xf numFmtId="0" fontId="21" fillId="5" borderId="0" xfId="0" applyFont="1" applyFill="1" applyAlignment="1">
      <alignment horizontal="center"/>
    </xf>
    <xf numFmtId="0" fontId="0" fillId="0" borderId="0" xfId="0"/>
    <xf numFmtId="0" fontId="18" fillId="7" borderId="0" xfId="0" applyFont="1" applyFill="1" applyAlignment="1">
      <alignment horizontal="center"/>
    </xf>
    <xf numFmtId="0" fontId="17" fillId="5" borderId="5" xfId="0" applyFont="1" applyFill="1" applyBorder="1" applyAlignment="1">
      <alignment horizontal="center"/>
    </xf>
    <xf numFmtId="0" fontId="17" fillId="5" borderId="7" xfId="0" applyFont="1" applyFill="1" applyBorder="1" applyAlignment="1">
      <alignment horizontal="center"/>
    </xf>
    <xf numFmtId="0" fontId="17" fillId="10" borderId="5" xfId="0" applyFont="1" applyFill="1" applyBorder="1" applyAlignment="1">
      <alignment horizontal="center"/>
    </xf>
    <xf numFmtId="0" fontId="17" fillId="10" borderId="7" xfId="0" applyFont="1" applyFill="1" applyBorder="1" applyAlignment="1">
      <alignment horizontal="center"/>
    </xf>
    <xf numFmtId="0" fontId="34" fillId="7" borderId="0" xfId="0" applyFont="1" applyFill="1" applyAlignment="1">
      <alignment horizontal="left"/>
    </xf>
    <xf numFmtId="0" fontId="36" fillId="8" borderId="14" xfId="0" applyFont="1" applyFill="1" applyBorder="1" applyAlignment="1">
      <alignment horizontal="center" vertical="center"/>
    </xf>
    <xf numFmtId="0" fontId="36" fillId="8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5" fillId="0" borderId="0" xfId="0" applyFont="1"/>
    <xf numFmtId="0" fontId="16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1107</c:v>
                </c:pt>
                <c:pt idx="1">
                  <c:v>1719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18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/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23" activePane="bottomLeft" state="frozen"/>
      <selection pane="bottomLeft" activeCell="E737" sqref="E737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2026-098</v>
      </c>
    </row>
    <row r="4" spans="1:23" ht="15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5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 x14ac:dyDescent="0.25">
      <c r="A662" s="155" t="s">
        <v>2710</v>
      </c>
      <c r="B662" s="153">
        <v>2026</v>
      </c>
      <c r="C662" s="153" t="s">
        <v>23</v>
      </c>
      <c r="D662" s="153" t="s">
        <v>2711</v>
      </c>
      <c r="E662" s="158" t="s">
        <v>2712</v>
      </c>
      <c r="F662" s="169" t="s">
        <v>25</v>
      </c>
      <c r="G662" s="154" t="s">
        <v>207</v>
      </c>
      <c r="H662" s="155" t="s">
        <v>2713</v>
      </c>
      <c r="I662" s="189">
        <v>46122</v>
      </c>
      <c r="J662" s="189">
        <v>46122</v>
      </c>
      <c r="K662" s="153" t="s">
        <v>39</v>
      </c>
      <c r="L662" s="159">
        <v>0</v>
      </c>
      <c r="M662" s="181"/>
      <c r="N662" s="157">
        <v>170</v>
      </c>
      <c r="O662" s="157"/>
      <c r="P662" s="157">
        <v>0</v>
      </c>
      <c r="Q662" s="157">
        <v>0</v>
      </c>
      <c r="R662" s="216">
        <f>IF(B662="","",SUM(O662:Q662))</f>
        <v>0</v>
      </c>
      <c r="S662" s="153">
        <v>2</v>
      </c>
      <c r="T662" s="154" t="s">
        <v>2714</v>
      </c>
      <c r="U662" s="210"/>
    </row>
    <row r="663" spans="1:21" ht="30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 x14ac:dyDescent="0.25">
      <c r="A677" s="121" t="s">
        <v>2777</v>
      </c>
      <c r="B677" s="117">
        <v>2026</v>
      </c>
      <c r="C677" s="136" t="s">
        <v>23</v>
      </c>
      <c r="D677" s="136" t="s">
        <v>2778</v>
      </c>
      <c r="E677" s="118" t="s">
        <v>2779</v>
      </c>
      <c r="F677" s="119" t="s">
        <v>25</v>
      </c>
      <c r="G677" s="138" t="s">
        <v>207</v>
      </c>
      <c r="H677" s="139" t="s">
        <v>2780</v>
      </c>
      <c r="I677" s="140">
        <v>46132</v>
      </c>
      <c r="J677" s="140">
        <v>46142</v>
      </c>
      <c r="K677" s="117" t="s">
        <v>39</v>
      </c>
      <c r="L677" s="163"/>
      <c r="M677" s="180"/>
      <c r="N677" s="142"/>
      <c r="O677" s="142"/>
      <c r="P677" s="142"/>
      <c r="Q677" s="142"/>
      <c r="R677" s="217">
        <f>SUM(O677:Q677)</f>
        <v>0</v>
      </c>
      <c r="S677" s="136"/>
      <c r="T677" s="131" t="s">
        <v>2781</v>
      </c>
      <c r="U677" s="210"/>
    </row>
    <row r="678" spans="1:21" ht="15" x14ac:dyDescent="0.25">
      <c r="A678" s="155" t="s">
        <v>2782</v>
      </c>
      <c r="B678" s="117">
        <v>2026</v>
      </c>
      <c r="C678" s="193" t="s">
        <v>23</v>
      </c>
      <c r="D678" s="193" t="s">
        <v>2783</v>
      </c>
      <c r="E678" s="158" t="s">
        <v>2784</v>
      </c>
      <c r="F678" s="169" t="s">
        <v>70</v>
      </c>
      <c r="G678" s="194" t="s">
        <v>80</v>
      </c>
      <c r="H678" s="164" t="s">
        <v>2785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 x14ac:dyDescent="0.25">
      <c r="A679" s="155" t="s">
        <v>2786</v>
      </c>
      <c r="B679" s="117">
        <v>2026</v>
      </c>
      <c r="C679" s="193" t="s">
        <v>23</v>
      </c>
      <c r="D679" s="193" t="s">
        <v>2787</v>
      </c>
      <c r="E679" s="199" t="s">
        <v>2788</v>
      </c>
      <c r="F679" s="169" t="s">
        <v>70</v>
      </c>
      <c r="G679" s="154" t="s">
        <v>80</v>
      </c>
      <c r="H679" s="164" t="s">
        <v>2789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2790</v>
      </c>
      <c r="U679" s="210"/>
    </row>
    <row r="680" spans="1:21" ht="15" x14ac:dyDescent="0.25">
      <c r="A680" s="121" t="s">
        <v>2791</v>
      </c>
      <c r="B680" s="117">
        <v>2026</v>
      </c>
      <c r="C680" s="149" t="s">
        <v>2792</v>
      </c>
      <c r="D680" s="136" t="s">
        <v>2793</v>
      </c>
      <c r="E680" s="137" t="s">
        <v>2794</v>
      </c>
      <c r="F680" s="119" t="s">
        <v>25</v>
      </c>
      <c r="G680" s="120" t="s">
        <v>2795</v>
      </c>
      <c r="H680" s="139" t="s">
        <v>2796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2797</v>
      </c>
      <c r="U680" s="210"/>
    </row>
    <row r="681" spans="1:21" ht="15" x14ac:dyDescent="0.25">
      <c r="A681" s="155" t="s">
        <v>2798</v>
      </c>
      <c r="B681" s="117">
        <v>2026</v>
      </c>
      <c r="C681" s="149" t="s">
        <v>23</v>
      </c>
      <c r="D681" s="136" t="s">
        <v>2793</v>
      </c>
      <c r="E681" s="137" t="s">
        <v>2799</v>
      </c>
      <c r="F681" s="119" t="s">
        <v>25</v>
      </c>
      <c r="G681" s="138" t="s">
        <v>2795</v>
      </c>
      <c r="H681" s="139" t="s">
        <v>2800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2797</v>
      </c>
      <c r="U681" s="210"/>
    </row>
    <row r="682" spans="1:21" ht="15" x14ac:dyDescent="0.25">
      <c r="A682" s="155" t="s">
        <v>2801</v>
      </c>
      <c r="B682" s="117">
        <v>2026</v>
      </c>
      <c r="C682" s="193" t="s">
        <v>2792</v>
      </c>
      <c r="D682" s="136" t="s">
        <v>2793</v>
      </c>
      <c r="E682" s="137" t="s">
        <v>2799</v>
      </c>
      <c r="F682" s="169" t="s">
        <v>25</v>
      </c>
      <c r="G682" s="194" t="s">
        <v>2795</v>
      </c>
      <c r="H682" s="164" t="s">
        <v>2802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2797</v>
      </c>
      <c r="U682" s="210"/>
    </row>
    <row r="683" spans="1:21" ht="15" x14ac:dyDescent="0.25">
      <c r="A683" s="121" t="s">
        <v>2803</v>
      </c>
      <c r="B683" s="117">
        <v>2026</v>
      </c>
      <c r="C683" s="136" t="s">
        <v>23</v>
      </c>
      <c r="D683" s="136" t="s">
        <v>2804</v>
      </c>
      <c r="E683" s="137" t="s">
        <v>2805</v>
      </c>
      <c r="F683" s="119" t="s">
        <v>25</v>
      </c>
      <c r="G683" s="120" t="s">
        <v>43</v>
      </c>
      <c r="H683" s="170" t="s">
        <v>2806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2807</v>
      </c>
      <c r="U683" s="210"/>
    </row>
    <row r="684" spans="1:21" ht="15" x14ac:dyDescent="0.25">
      <c r="A684" s="155" t="s">
        <v>2808</v>
      </c>
      <c r="B684" s="136">
        <v>2026</v>
      </c>
      <c r="C684" s="149" t="s">
        <v>23</v>
      </c>
      <c r="D684" s="136" t="s">
        <v>2809</v>
      </c>
      <c r="E684" s="137" t="s">
        <v>2810</v>
      </c>
      <c r="F684" s="143" t="s">
        <v>25</v>
      </c>
      <c r="G684" s="138" t="s">
        <v>26</v>
      </c>
      <c r="H684" s="164" t="s">
        <v>2811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2812</v>
      </c>
      <c r="U684" s="210"/>
    </row>
    <row r="685" spans="1:21" ht="15" x14ac:dyDescent="0.25">
      <c r="A685" s="121" t="s">
        <v>2813</v>
      </c>
      <c r="B685" s="136">
        <v>2026</v>
      </c>
      <c r="C685" s="117" t="s">
        <v>23</v>
      </c>
      <c r="D685" s="121" t="s">
        <v>2814</v>
      </c>
      <c r="E685" s="118" t="s">
        <v>2815</v>
      </c>
      <c r="F685" s="119" t="s">
        <v>25</v>
      </c>
      <c r="G685" s="131" t="s">
        <v>2795</v>
      </c>
      <c r="H685" s="121" t="s">
        <v>2816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2797</v>
      </c>
      <c r="U685" s="210"/>
    </row>
    <row r="686" spans="1:21" ht="15" x14ac:dyDescent="0.25">
      <c r="A686" s="121" t="s">
        <v>2817</v>
      </c>
      <c r="B686" s="136">
        <v>2026</v>
      </c>
      <c r="C686" s="117" t="s">
        <v>23</v>
      </c>
      <c r="D686" s="117" t="s">
        <v>2818</v>
      </c>
      <c r="E686" s="118" t="s">
        <v>2819</v>
      </c>
      <c r="F686" s="119" t="s">
        <v>70</v>
      </c>
      <c r="G686" s="120" t="s">
        <v>2694</v>
      </c>
      <c r="H686" s="121" t="s">
        <v>2820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 x14ac:dyDescent="0.25">
      <c r="A687" s="155" t="s">
        <v>2821</v>
      </c>
      <c r="B687" s="136">
        <v>2026</v>
      </c>
      <c r="C687" s="117" t="s">
        <v>23</v>
      </c>
      <c r="D687" s="153" t="s">
        <v>2822</v>
      </c>
      <c r="E687" s="158" t="s">
        <v>2823</v>
      </c>
      <c r="F687" s="169" t="s">
        <v>25</v>
      </c>
      <c r="G687" s="154" t="s">
        <v>43</v>
      </c>
      <c r="H687" s="155" t="s">
        <v>2824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 x14ac:dyDescent="0.25">
      <c r="A688" s="155" t="s">
        <v>2825</v>
      </c>
      <c r="B688" s="136">
        <v>2026</v>
      </c>
      <c r="C688" s="153" t="s">
        <v>23</v>
      </c>
      <c r="D688" s="153" t="s">
        <v>2826</v>
      </c>
      <c r="E688" s="158" t="s">
        <v>2827</v>
      </c>
      <c r="F688" s="169" t="s">
        <v>70</v>
      </c>
      <c r="G688" s="154" t="s">
        <v>80</v>
      </c>
      <c r="H688" s="155" t="s">
        <v>2828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2829</v>
      </c>
      <c r="U688" s="210"/>
    </row>
    <row r="689" spans="1:21" ht="15" x14ac:dyDescent="0.25">
      <c r="A689" s="121" t="s">
        <v>2830</v>
      </c>
      <c r="B689" s="136">
        <v>2026</v>
      </c>
      <c r="C689" s="117" t="s">
        <v>23</v>
      </c>
      <c r="D689" s="117" t="s">
        <v>2831</v>
      </c>
      <c r="E689" s="118" t="s">
        <v>2832</v>
      </c>
      <c r="F689" s="119" t="s">
        <v>25</v>
      </c>
      <c r="G689" s="131" t="s">
        <v>2700</v>
      </c>
      <c r="H689" s="121" t="s">
        <v>2833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2834</v>
      </c>
      <c r="U689" s="210"/>
    </row>
    <row r="690" spans="1:21" ht="15" x14ac:dyDescent="0.25">
      <c r="A690" s="121" t="s">
        <v>2835</v>
      </c>
      <c r="B690" s="136">
        <v>2026</v>
      </c>
      <c r="C690" s="117" t="s">
        <v>23</v>
      </c>
      <c r="D690" s="117" t="s">
        <v>2831</v>
      </c>
      <c r="E690" s="118" t="s">
        <v>2836</v>
      </c>
      <c r="F690" s="119" t="s">
        <v>25</v>
      </c>
      <c r="G690" s="131" t="s">
        <v>2700</v>
      </c>
      <c r="H690" s="121" t="s">
        <v>2837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2829</v>
      </c>
      <c r="U690" s="210"/>
    </row>
    <row r="691" spans="1:21" ht="15" x14ac:dyDescent="0.25">
      <c r="A691" s="121" t="s">
        <v>2838</v>
      </c>
      <c r="B691" s="136">
        <v>2026</v>
      </c>
      <c r="C691" s="153" t="s">
        <v>23</v>
      </c>
      <c r="D691" s="153" t="s">
        <v>2839</v>
      </c>
      <c r="E691" s="158" t="s">
        <v>2840</v>
      </c>
      <c r="F691" s="169" t="s">
        <v>25</v>
      </c>
      <c r="G691" s="154" t="s">
        <v>2700</v>
      </c>
      <c r="H691" s="155" t="s">
        <v>2841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2829</v>
      </c>
      <c r="U691" s="210"/>
    </row>
    <row r="692" spans="1:21" ht="15" x14ac:dyDescent="0.25">
      <c r="A692" s="155" t="s">
        <v>2842</v>
      </c>
      <c r="B692" s="136">
        <v>2026</v>
      </c>
      <c r="C692" s="153" t="s">
        <v>23</v>
      </c>
      <c r="D692" s="153" t="s">
        <v>2839</v>
      </c>
      <c r="E692" s="158" t="s">
        <v>2843</v>
      </c>
      <c r="F692" s="169" t="s">
        <v>25</v>
      </c>
      <c r="G692" s="154" t="s">
        <v>2700</v>
      </c>
      <c r="H692" s="155" t="s">
        <v>2844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2829</v>
      </c>
      <c r="U692" s="210"/>
    </row>
    <row r="693" spans="1:21" ht="15" x14ac:dyDescent="0.25">
      <c r="A693" s="121" t="s">
        <v>2845</v>
      </c>
      <c r="B693" s="136">
        <v>2026</v>
      </c>
      <c r="C693" s="153" t="s">
        <v>2697</v>
      </c>
      <c r="D693" s="153" t="s">
        <v>2846</v>
      </c>
      <c r="E693" s="158" t="s">
        <v>2847</v>
      </c>
      <c r="F693" s="169" t="s">
        <v>70</v>
      </c>
      <c r="G693" s="154" t="s">
        <v>2694</v>
      </c>
      <c r="H693" s="155" t="s">
        <v>2701</v>
      </c>
      <c r="I693" s="189">
        <v>46157</v>
      </c>
      <c r="J693" s="189">
        <v>46387</v>
      </c>
      <c r="K693" s="153" t="s">
        <v>39</v>
      </c>
      <c r="L693" s="159">
        <v>45905.42</v>
      </c>
      <c r="M693" s="181"/>
      <c r="N693" s="157"/>
      <c r="O693" s="157">
        <v>0</v>
      </c>
      <c r="P693" s="157">
        <v>0</v>
      </c>
      <c r="Q693" s="157">
        <v>0</v>
      </c>
      <c r="R693" s="216">
        <f>IF(B693="","",SUM(O693:Q693))</f>
        <v>0</v>
      </c>
      <c r="S693" s="153">
        <v>65</v>
      </c>
      <c r="T693" s="154" t="s">
        <v>2745</v>
      </c>
      <c r="U693" s="210"/>
    </row>
    <row r="694" spans="1:21" ht="15" x14ac:dyDescent="0.25">
      <c r="A694" s="155" t="s">
        <v>2848</v>
      </c>
      <c r="B694" s="136">
        <v>2026</v>
      </c>
      <c r="C694" s="117" t="s">
        <v>2792</v>
      </c>
      <c r="D694" s="153" t="s">
        <v>2849</v>
      </c>
      <c r="E694" s="158" t="s">
        <v>2850</v>
      </c>
      <c r="F694" s="119" t="s">
        <v>70</v>
      </c>
      <c r="G694" s="120" t="s">
        <v>80</v>
      </c>
      <c r="H694" s="155" t="s">
        <v>2851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 x14ac:dyDescent="0.25">
      <c r="A695" s="155" t="s">
        <v>2852</v>
      </c>
      <c r="B695" s="193">
        <v>2026</v>
      </c>
      <c r="C695" s="153" t="s">
        <v>23</v>
      </c>
      <c r="D695" s="153" t="s">
        <v>2853</v>
      </c>
      <c r="E695" s="158" t="s">
        <v>2854</v>
      </c>
      <c r="F695" s="169" t="s">
        <v>25</v>
      </c>
      <c r="G695" s="154" t="s">
        <v>207</v>
      </c>
      <c r="H695" s="155" t="s">
        <v>2855</v>
      </c>
      <c r="I695" s="189">
        <v>46283</v>
      </c>
      <c r="J695" s="189">
        <v>46283</v>
      </c>
      <c r="K695" s="153" t="s">
        <v>39</v>
      </c>
      <c r="L695" s="159">
        <v>0</v>
      </c>
      <c r="M695" s="181"/>
      <c r="N695" s="157">
        <v>170</v>
      </c>
      <c r="O695" s="157">
        <v>60</v>
      </c>
      <c r="P695" s="157">
        <v>0</v>
      </c>
      <c r="Q695" s="157">
        <v>0</v>
      </c>
      <c r="R695" s="218">
        <f>IF(B695="","",SUM(O695:Q695))</f>
        <v>60</v>
      </c>
      <c r="S695" s="153">
        <v>2</v>
      </c>
      <c r="T695" s="154" t="s">
        <v>2714</v>
      </c>
      <c r="U695" s="210"/>
    </row>
    <row r="696" spans="1:21" ht="15" x14ac:dyDescent="0.25">
      <c r="A696" s="121" t="s">
        <v>2856</v>
      </c>
      <c r="B696" s="136">
        <v>2026</v>
      </c>
      <c r="C696" s="117" t="s">
        <v>23</v>
      </c>
      <c r="D696" s="117" t="s">
        <v>2857</v>
      </c>
      <c r="E696" s="118" t="s">
        <v>2858</v>
      </c>
      <c r="F696" s="119" t="s">
        <v>70</v>
      </c>
      <c r="G696" s="120" t="s">
        <v>80</v>
      </c>
      <c r="H696" s="121" t="s">
        <v>2859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 x14ac:dyDescent="0.25">
      <c r="A697" s="121" t="s">
        <v>2860</v>
      </c>
      <c r="B697" s="136">
        <v>2026</v>
      </c>
      <c r="C697" s="117" t="s">
        <v>23</v>
      </c>
      <c r="D697" s="153" t="s">
        <v>2861</v>
      </c>
      <c r="E697" s="158" t="s">
        <v>2862</v>
      </c>
      <c r="F697" s="119" t="s">
        <v>25</v>
      </c>
      <c r="G697" s="131" t="s">
        <v>2700</v>
      </c>
      <c r="H697" s="155" t="s">
        <v>2863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2829</v>
      </c>
      <c r="U697" s="210"/>
    </row>
    <row r="698" spans="1:21" ht="15" x14ac:dyDescent="0.25">
      <c r="A698" s="155" t="s">
        <v>2864</v>
      </c>
      <c r="B698" s="136">
        <v>2026</v>
      </c>
      <c r="C698" s="153" t="s">
        <v>2792</v>
      </c>
      <c r="D698" s="153" t="s">
        <v>2865</v>
      </c>
      <c r="E698" s="158" t="s">
        <v>2866</v>
      </c>
      <c r="F698" s="169" t="s">
        <v>25</v>
      </c>
      <c r="G698" s="154" t="s">
        <v>76</v>
      </c>
      <c r="H698" s="155" t="s">
        <v>2867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 t="shared" ref="R698:R711" si="13">IF(B698="","",SUM(O698:Q698))</f>
        <v>0</v>
      </c>
      <c r="S698" s="153">
        <v>25</v>
      </c>
      <c r="T698" s="154" t="s">
        <v>2868</v>
      </c>
      <c r="U698" s="210"/>
    </row>
    <row r="699" spans="1:21" ht="15" x14ac:dyDescent="0.25">
      <c r="A699" s="155" t="s">
        <v>2869</v>
      </c>
      <c r="B699" s="136">
        <v>2026</v>
      </c>
      <c r="C699" s="153" t="s">
        <v>23</v>
      </c>
      <c r="D699" s="153" t="s">
        <v>2871</v>
      </c>
      <c r="E699" s="158" t="s">
        <v>2872</v>
      </c>
      <c r="F699" s="169" t="s">
        <v>89</v>
      </c>
      <c r="G699" s="154" t="s">
        <v>2718</v>
      </c>
      <c r="H699" s="155" t="s">
        <v>2873</v>
      </c>
      <c r="I699" s="189">
        <v>46303</v>
      </c>
      <c r="J699" s="189">
        <v>46303</v>
      </c>
      <c r="K699" s="153" t="s">
        <v>39</v>
      </c>
      <c r="L699" s="159"/>
      <c r="M699" s="181"/>
      <c r="N699" s="157">
        <v>80</v>
      </c>
      <c r="O699" s="157">
        <v>0</v>
      </c>
      <c r="P699" s="157">
        <v>0</v>
      </c>
      <c r="Q699" s="157"/>
      <c r="R699" s="216">
        <f t="shared" si="13"/>
        <v>0</v>
      </c>
      <c r="S699" s="153">
        <v>4</v>
      </c>
      <c r="T699" s="120"/>
      <c r="U699" s="210"/>
    </row>
    <row r="700" spans="1:21" ht="15" x14ac:dyDescent="0.25">
      <c r="A700" s="155" t="s">
        <v>2874</v>
      </c>
      <c r="B700" s="136">
        <v>2026</v>
      </c>
      <c r="C700" s="153" t="s">
        <v>23</v>
      </c>
      <c r="D700" s="153" t="s">
        <v>2875</v>
      </c>
      <c r="E700" s="158" t="s">
        <v>2876</v>
      </c>
      <c r="F700" s="169" t="s">
        <v>89</v>
      </c>
      <c r="G700" s="154" t="s">
        <v>2718</v>
      </c>
      <c r="H700" s="155" t="s">
        <v>2877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si="13"/>
        <v>42</v>
      </c>
      <c r="S700" s="153">
        <v>12</v>
      </c>
      <c r="T700" s="154" t="s">
        <v>2453</v>
      </c>
      <c r="U700" s="210"/>
    </row>
    <row r="701" spans="1:21" ht="15" x14ac:dyDescent="0.25">
      <c r="A701" s="155" t="s">
        <v>2878</v>
      </c>
      <c r="B701" s="136">
        <v>2026</v>
      </c>
      <c r="C701" s="153" t="s">
        <v>23</v>
      </c>
      <c r="D701" s="153" t="s">
        <v>2879</v>
      </c>
      <c r="E701" s="158" t="s">
        <v>2880</v>
      </c>
      <c r="F701" s="169" t="s">
        <v>25</v>
      </c>
      <c r="G701" s="154" t="s">
        <v>76</v>
      </c>
      <c r="H701" s="155" t="s">
        <v>2881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2812</v>
      </c>
      <c r="U701" s="210"/>
    </row>
    <row r="702" spans="1:21" ht="15" x14ac:dyDescent="0.25">
      <c r="A702" s="155" t="s">
        <v>2882</v>
      </c>
      <c r="B702" s="136">
        <v>2026</v>
      </c>
      <c r="C702" s="153" t="s">
        <v>23</v>
      </c>
      <c r="D702" s="153" t="s">
        <v>2883</v>
      </c>
      <c r="E702" s="158" t="s">
        <v>2884</v>
      </c>
      <c r="F702" s="169" t="s">
        <v>70</v>
      </c>
      <c r="G702" s="154" t="s">
        <v>80</v>
      </c>
      <c r="H702" s="155" t="s">
        <v>2789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2885</v>
      </c>
      <c r="U702" s="210"/>
    </row>
    <row r="703" spans="1:21" ht="15" x14ac:dyDescent="0.25">
      <c r="A703" s="155" t="s">
        <v>2886</v>
      </c>
      <c r="B703" s="136">
        <v>2026</v>
      </c>
      <c r="C703" s="153" t="s">
        <v>23</v>
      </c>
      <c r="D703" s="153" t="s">
        <v>2887</v>
      </c>
      <c r="E703" s="158" t="s">
        <v>2888</v>
      </c>
      <c r="F703" s="169" t="s">
        <v>70</v>
      </c>
      <c r="G703" s="154" t="s">
        <v>80</v>
      </c>
      <c r="H703" s="155" t="s">
        <v>2785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2889</v>
      </c>
      <c r="U703" s="210"/>
    </row>
    <row r="704" spans="1:21" ht="15" x14ac:dyDescent="0.25">
      <c r="A704" s="155" t="s">
        <v>2890</v>
      </c>
      <c r="B704" s="136">
        <v>2026</v>
      </c>
      <c r="C704" s="153" t="s">
        <v>23</v>
      </c>
      <c r="D704" s="153" t="s">
        <v>2891</v>
      </c>
      <c r="E704" s="158" t="s">
        <v>2892</v>
      </c>
      <c r="F704" s="169" t="s">
        <v>70</v>
      </c>
      <c r="G704" s="154" t="s">
        <v>80</v>
      </c>
      <c r="H704" s="155" t="s">
        <v>2893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2894</v>
      </c>
      <c r="U704" s="210"/>
    </row>
    <row r="705" spans="1:21" ht="15" x14ac:dyDescent="0.25">
      <c r="A705" s="155" t="s">
        <v>2895</v>
      </c>
      <c r="B705" s="136">
        <v>2026</v>
      </c>
      <c r="C705" s="153" t="s">
        <v>23</v>
      </c>
      <c r="D705" s="153" t="s">
        <v>2896</v>
      </c>
      <c r="E705" s="158" t="s">
        <v>2897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2898</v>
      </c>
      <c r="U705" s="210"/>
    </row>
    <row r="706" spans="1:21" ht="15" x14ac:dyDescent="0.25">
      <c r="A706" s="155" t="s">
        <v>2899</v>
      </c>
      <c r="B706" s="136">
        <v>2026</v>
      </c>
      <c r="C706" s="153" t="s">
        <v>23</v>
      </c>
      <c r="D706" s="153" t="s">
        <v>2900</v>
      </c>
      <c r="E706" s="158" t="s">
        <v>2901</v>
      </c>
      <c r="F706" s="169" t="s">
        <v>70</v>
      </c>
      <c r="G706" s="154" t="s">
        <v>80</v>
      </c>
      <c r="H706" s="155" t="s">
        <v>2902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5" x14ac:dyDescent="0.25">
      <c r="A707" s="155" t="s">
        <v>2903</v>
      </c>
      <c r="B707" s="136">
        <v>2026</v>
      </c>
      <c r="C707" s="153" t="s">
        <v>23</v>
      </c>
      <c r="D707" s="153" t="s">
        <v>2904</v>
      </c>
      <c r="E707" s="158" t="s">
        <v>2905</v>
      </c>
      <c r="F707" s="169" t="s">
        <v>70</v>
      </c>
      <c r="G707" s="154" t="s">
        <v>80</v>
      </c>
      <c r="H707" s="155" t="s">
        <v>2906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5" x14ac:dyDescent="0.25">
      <c r="A708" s="155" t="s">
        <v>2907</v>
      </c>
      <c r="B708" s="136">
        <v>2026</v>
      </c>
      <c r="C708" s="153" t="s">
        <v>23</v>
      </c>
      <c r="D708" s="153" t="s">
        <v>2908</v>
      </c>
      <c r="E708" s="158" t="s">
        <v>2909</v>
      </c>
      <c r="F708" s="169" t="s">
        <v>70</v>
      </c>
      <c r="G708" s="154" t="s">
        <v>80</v>
      </c>
      <c r="H708" s="155" t="s">
        <v>2902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2910</v>
      </c>
      <c r="U708" s="210"/>
    </row>
    <row r="709" spans="1:21" ht="15" x14ac:dyDescent="0.25">
      <c r="A709" s="155" t="s">
        <v>2911</v>
      </c>
      <c r="B709" s="136">
        <v>2026</v>
      </c>
      <c r="C709" s="153" t="s">
        <v>23</v>
      </c>
      <c r="D709" s="153" t="s">
        <v>2871</v>
      </c>
      <c r="E709" s="158" t="s">
        <v>2912</v>
      </c>
      <c r="F709" s="169" t="s">
        <v>89</v>
      </c>
      <c r="G709" s="154" t="s">
        <v>2718</v>
      </c>
      <c r="H709" s="155" t="s">
        <v>2913</v>
      </c>
      <c r="I709" s="189">
        <v>46304</v>
      </c>
      <c r="J709" s="189">
        <v>46304</v>
      </c>
      <c r="K709" s="153" t="s">
        <v>39</v>
      </c>
      <c r="L709" s="159"/>
      <c r="M709" s="181"/>
      <c r="N709" s="157">
        <v>40</v>
      </c>
      <c r="O709" s="157">
        <v>0</v>
      </c>
      <c r="P709" s="157">
        <v>0</v>
      </c>
      <c r="Q709" s="157"/>
      <c r="R709" s="157">
        <f t="shared" si="13"/>
        <v>0</v>
      </c>
      <c r="S709" s="153">
        <v>4</v>
      </c>
      <c r="T709" s="120"/>
      <c r="U709" s="210"/>
    </row>
    <row r="710" spans="1:21" ht="15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5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2902</v>
      </c>
      <c r="I711" s="155" t="s">
        <v>2902</v>
      </c>
      <c r="J711" s="155" t="s">
        <v>2902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5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 x14ac:dyDescent="0.25">
      <c r="A714" s="155" t="s">
        <v>2929</v>
      </c>
      <c r="B714" s="136">
        <v>2026</v>
      </c>
      <c r="C714" s="153" t="s">
        <v>23</v>
      </c>
      <c r="D714" s="153" t="s">
        <v>2871</v>
      </c>
      <c r="E714" s="158" t="s">
        <v>2930</v>
      </c>
      <c r="F714" s="169" t="s">
        <v>89</v>
      </c>
      <c r="G714" s="154" t="s">
        <v>2718</v>
      </c>
      <c r="H714" s="155" t="s">
        <v>2931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2932</v>
      </c>
      <c r="U714" s="210"/>
    </row>
    <row r="715" spans="1:21" ht="30" x14ac:dyDescent="0.25">
      <c r="A715" s="155" t="s">
        <v>2933</v>
      </c>
      <c r="B715" s="136">
        <v>2026</v>
      </c>
      <c r="C715" s="153" t="s">
        <v>23</v>
      </c>
      <c r="D715" s="153" t="s">
        <v>2871</v>
      </c>
      <c r="E715" s="158" t="s">
        <v>2934</v>
      </c>
      <c r="F715" s="169" t="s">
        <v>89</v>
      </c>
      <c r="G715" s="154" t="s">
        <v>2718</v>
      </c>
      <c r="H715" s="155" t="s">
        <v>2935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2932</v>
      </c>
      <c r="U715" s="210"/>
    </row>
    <row r="716" spans="1:21" ht="30" x14ac:dyDescent="0.25">
      <c r="A716" s="155" t="s">
        <v>2936</v>
      </c>
      <c r="B716" s="136">
        <v>2026</v>
      </c>
      <c r="C716" s="153" t="s">
        <v>23</v>
      </c>
      <c r="D716" s="153" t="s">
        <v>2871</v>
      </c>
      <c r="E716" s="158" t="s">
        <v>2937</v>
      </c>
      <c r="F716" s="169" t="s">
        <v>89</v>
      </c>
      <c r="G716" s="154" t="s">
        <v>2718</v>
      </c>
      <c r="H716" s="155" t="s">
        <v>2938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2939</v>
      </c>
      <c r="U716" s="210" t="s">
        <v>2940</v>
      </c>
    </row>
    <row r="717" spans="1:21" ht="30" x14ac:dyDescent="0.25">
      <c r="A717" s="155" t="s">
        <v>2941</v>
      </c>
      <c r="B717" s="136">
        <v>2026</v>
      </c>
      <c r="C717" s="153" t="s">
        <v>23</v>
      </c>
      <c r="D717" s="153" t="s">
        <v>2871</v>
      </c>
      <c r="E717" s="158" t="s">
        <v>2942</v>
      </c>
      <c r="F717" s="169" t="s">
        <v>89</v>
      </c>
      <c r="G717" s="154" t="s">
        <v>2718</v>
      </c>
      <c r="H717" s="155" t="s">
        <v>2943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2944</v>
      </c>
      <c r="U717" s="210" t="s">
        <v>2940</v>
      </c>
    </row>
    <row r="718" spans="1:21" ht="15" x14ac:dyDescent="0.25">
      <c r="A718" s="155" t="s">
        <v>2945</v>
      </c>
      <c r="B718" s="193">
        <v>2026</v>
      </c>
      <c r="C718" s="153" t="s">
        <v>2697</v>
      </c>
      <c r="D718" s="153" t="s">
        <v>2946</v>
      </c>
      <c r="E718" s="165" t="s">
        <v>2947</v>
      </c>
      <c r="F718" s="169" t="s">
        <v>25</v>
      </c>
      <c r="G718" s="154" t="s">
        <v>207</v>
      </c>
      <c r="H718" s="155" t="s">
        <v>2948</v>
      </c>
      <c r="I718" s="189">
        <v>46314</v>
      </c>
      <c r="J718" s="189">
        <v>46318</v>
      </c>
      <c r="K718" s="153" t="s">
        <v>28</v>
      </c>
      <c r="L718" s="159">
        <v>19900</v>
      </c>
      <c r="M718" s="181"/>
      <c r="N718" s="157"/>
      <c r="O718" s="157"/>
      <c r="P718" s="157"/>
      <c r="Q718" s="157"/>
      <c r="R718" s="157">
        <f t="shared" si="14"/>
        <v>0</v>
      </c>
      <c r="S718" s="153">
        <v>16</v>
      </c>
      <c r="T718" s="154" t="s">
        <v>804</v>
      </c>
      <c r="U718" s="210"/>
    </row>
    <row r="719" spans="1:21" ht="15" x14ac:dyDescent="0.25">
      <c r="A719" s="155" t="s">
        <v>2949</v>
      </c>
      <c r="B719" s="136">
        <v>2026</v>
      </c>
      <c r="C719" s="153" t="s">
        <v>2870</v>
      </c>
      <c r="D719" s="153" t="s">
        <v>2950</v>
      </c>
      <c r="E719" s="158" t="s">
        <v>2951</v>
      </c>
      <c r="F719" s="169" t="s">
        <v>70</v>
      </c>
      <c r="G719" s="154" t="s">
        <v>80</v>
      </c>
      <c r="H719" s="155" t="s">
        <v>2952</v>
      </c>
      <c r="I719" s="189">
        <v>46321</v>
      </c>
      <c r="J719" s="189">
        <v>46322</v>
      </c>
      <c r="K719" s="117" t="s">
        <v>28</v>
      </c>
      <c r="L719" s="159"/>
      <c r="M719" s="181"/>
      <c r="N719" s="157">
        <v>170</v>
      </c>
      <c r="O719" s="157"/>
      <c r="P719" s="157"/>
      <c r="Q719" s="157"/>
      <c r="R719" s="157">
        <f t="shared" si="14"/>
        <v>0</v>
      </c>
      <c r="S719" s="153">
        <v>14</v>
      </c>
      <c r="T719" s="120" t="s">
        <v>480</v>
      </c>
      <c r="U719" s="210"/>
    </row>
    <row r="720" spans="1:21" ht="30" x14ac:dyDescent="0.25">
      <c r="A720" s="121" t="s">
        <v>2953</v>
      </c>
      <c r="B720" s="136">
        <v>2026</v>
      </c>
      <c r="C720" s="117" t="s">
        <v>23</v>
      </c>
      <c r="D720" s="117" t="s">
        <v>2954</v>
      </c>
      <c r="E720" s="118" t="s">
        <v>2955</v>
      </c>
      <c r="F720" s="119" t="s">
        <v>25</v>
      </c>
      <c r="G720" s="120" t="s">
        <v>207</v>
      </c>
      <c r="H720" s="121" t="s">
        <v>2956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2957</v>
      </c>
      <c r="U720" s="210"/>
    </row>
    <row r="721" spans="1:21" ht="21.75" customHeight="1" x14ac:dyDescent="0.25">
      <c r="A721" s="121" t="s">
        <v>2958</v>
      </c>
      <c r="B721" s="136">
        <v>2026</v>
      </c>
      <c r="C721" s="136" t="s">
        <v>23</v>
      </c>
      <c r="D721" s="136" t="s">
        <v>2871</v>
      </c>
      <c r="E721" s="137" t="s">
        <v>2959</v>
      </c>
      <c r="F721" s="143" t="s">
        <v>89</v>
      </c>
      <c r="G721" s="149" t="s">
        <v>2718</v>
      </c>
      <c r="H721" s="139" t="s">
        <v>2960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2961</v>
      </c>
      <c r="U721" s="210"/>
    </row>
    <row r="722" spans="1:21" ht="25.5" customHeight="1" x14ac:dyDescent="0.25">
      <c r="A722" s="121" t="s">
        <v>2962</v>
      </c>
      <c r="B722" s="117">
        <v>2026</v>
      </c>
      <c r="C722" s="117" t="s">
        <v>23</v>
      </c>
      <c r="D722" s="117" t="s">
        <v>2871</v>
      </c>
      <c r="E722" s="118" t="s">
        <v>2963</v>
      </c>
      <c r="F722" s="119" t="s">
        <v>89</v>
      </c>
      <c r="G722" s="145" t="s">
        <v>2718</v>
      </c>
      <c r="H722" s="121" t="s">
        <v>2964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2965</v>
      </c>
      <c r="U722" s="210"/>
    </row>
    <row r="723" spans="1:21" ht="15" x14ac:dyDescent="0.25">
      <c r="A723" s="121" t="s">
        <v>2966</v>
      </c>
      <c r="B723" s="136">
        <v>2026</v>
      </c>
      <c r="C723" s="153" t="s">
        <v>23</v>
      </c>
      <c r="D723" s="153" t="s">
        <v>2967</v>
      </c>
      <c r="E723" s="158" t="s">
        <v>2968</v>
      </c>
      <c r="F723" s="169" t="s">
        <v>89</v>
      </c>
      <c r="G723" s="154" t="s">
        <v>2718</v>
      </c>
      <c r="H723" s="155" t="s">
        <v>2969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 x14ac:dyDescent="0.25">
      <c r="A724" s="155" t="s">
        <v>2970</v>
      </c>
      <c r="B724" s="171">
        <v>2026</v>
      </c>
      <c r="C724" s="153" t="s">
        <v>23</v>
      </c>
      <c r="D724" s="153" t="s">
        <v>2971</v>
      </c>
      <c r="E724" s="158" t="s">
        <v>2972</v>
      </c>
      <c r="F724" s="169" t="s">
        <v>89</v>
      </c>
      <c r="G724" s="154" t="s">
        <v>2718</v>
      </c>
      <c r="H724" s="155" t="s">
        <v>2973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 x14ac:dyDescent="0.25">
      <c r="A725" s="155" t="s">
        <v>2974</v>
      </c>
      <c r="B725" s="153">
        <v>2026</v>
      </c>
      <c r="C725" s="153" t="s">
        <v>23</v>
      </c>
      <c r="D725" s="153" t="s">
        <v>2967</v>
      </c>
      <c r="E725" s="158" t="s">
        <v>2975</v>
      </c>
      <c r="F725" s="169" t="s">
        <v>89</v>
      </c>
      <c r="G725" s="154" t="s">
        <v>2718</v>
      </c>
      <c r="H725" s="155" t="s">
        <v>2976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 x14ac:dyDescent="0.25">
      <c r="A726" s="155" t="s">
        <v>2977</v>
      </c>
      <c r="B726" s="153">
        <v>2026</v>
      </c>
      <c r="C726" s="153" t="s">
        <v>23</v>
      </c>
      <c r="D726" s="153" t="s">
        <v>2978</v>
      </c>
      <c r="E726" s="158" t="s">
        <v>2979</v>
      </c>
      <c r="F726" s="169" t="s">
        <v>89</v>
      </c>
      <c r="G726" s="154" t="s">
        <v>2718</v>
      </c>
      <c r="H726" s="155" t="s">
        <v>2980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>
        <v>4.87</v>
      </c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3" si="15">IF(B726="","",SUM(O726:Q726))</f>
        <v>40</v>
      </c>
      <c r="S726" s="153">
        <v>5</v>
      </c>
      <c r="T726" s="154" t="s">
        <v>2981</v>
      </c>
      <c r="U726" s="210"/>
    </row>
    <row r="727" spans="1:21" ht="15" x14ac:dyDescent="0.25">
      <c r="A727" s="155" t="s">
        <v>2982</v>
      </c>
      <c r="B727" s="153">
        <v>2026</v>
      </c>
      <c r="C727" s="153" t="s">
        <v>2870</v>
      </c>
      <c r="D727" s="153" t="s">
        <v>2971</v>
      </c>
      <c r="E727" s="158" t="s">
        <v>2983</v>
      </c>
      <c r="F727" s="169" t="s">
        <v>89</v>
      </c>
      <c r="G727" s="154" t="s">
        <v>2718</v>
      </c>
      <c r="H727" s="155" t="s">
        <v>2984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5" x14ac:dyDescent="0.25">
      <c r="A728" s="155" t="s">
        <v>2985</v>
      </c>
      <c r="B728" s="153">
        <v>2026</v>
      </c>
      <c r="C728" s="153" t="s">
        <v>23</v>
      </c>
      <c r="D728" s="153" t="s">
        <v>2967</v>
      </c>
      <c r="E728" s="158" t="s">
        <v>2986</v>
      </c>
      <c r="F728" s="169" t="s">
        <v>89</v>
      </c>
      <c r="G728" s="154" t="s">
        <v>2718</v>
      </c>
      <c r="H728" s="155" t="s">
        <v>2987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5" x14ac:dyDescent="0.25">
      <c r="A729" s="155" t="s">
        <v>2988</v>
      </c>
      <c r="B729" s="153">
        <v>2026</v>
      </c>
      <c r="C729" s="153" t="s">
        <v>2870</v>
      </c>
      <c r="D729" s="153" t="s">
        <v>2967</v>
      </c>
      <c r="E729" s="199" t="s">
        <v>2989</v>
      </c>
      <c r="F729" s="169" t="s">
        <v>89</v>
      </c>
      <c r="G729" s="154" t="s">
        <v>2718</v>
      </c>
      <c r="H729" s="155" t="s">
        <v>2990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5" x14ac:dyDescent="0.25">
      <c r="A730" s="155" t="s">
        <v>2991</v>
      </c>
      <c r="B730" s="153">
        <v>2026</v>
      </c>
      <c r="C730" s="153" t="s">
        <v>2870</v>
      </c>
      <c r="D730" s="153" t="s">
        <v>2992</v>
      </c>
      <c r="E730" s="158" t="s">
        <v>2993</v>
      </c>
      <c r="F730" s="169" t="s">
        <v>25</v>
      </c>
      <c r="G730" s="154" t="s">
        <v>207</v>
      </c>
      <c r="H730" s="155" t="s">
        <v>2994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5" x14ac:dyDescent="0.25">
      <c r="A731" s="155" t="s">
        <v>2995</v>
      </c>
      <c r="B731" s="153">
        <v>2026</v>
      </c>
      <c r="C731" s="153" t="s">
        <v>2870</v>
      </c>
      <c r="D731" s="153"/>
      <c r="E731" s="199" t="s">
        <v>2996</v>
      </c>
      <c r="F731" s="169" t="s">
        <v>25</v>
      </c>
      <c r="G731" s="154" t="s">
        <v>2718</v>
      </c>
      <c r="H731" s="155" t="s">
        <v>2997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5" x14ac:dyDescent="0.25">
      <c r="A732" s="155" t="s">
        <v>2998</v>
      </c>
      <c r="B732" s="153">
        <v>2026</v>
      </c>
      <c r="C732" s="153" t="s">
        <v>2870</v>
      </c>
      <c r="D732" s="153" t="s">
        <v>2999</v>
      </c>
      <c r="E732" s="158" t="s">
        <v>3000</v>
      </c>
      <c r="F732" s="169" t="s">
        <v>89</v>
      </c>
      <c r="G732" s="154" t="s">
        <v>43</v>
      </c>
      <c r="H732" s="155" t="s">
        <v>3001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5" x14ac:dyDescent="0.25">
      <c r="A733" s="155" t="s">
        <v>3002</v>
      </c>
      <c r="B733" s="153">
        <v>2026</v>
      </c>
      <c r="C733" s="153" t="s">
        <v>2870</v>
      </c>
      <c r="D733" s="153" t="s">
        <v>3003</v>
      </c>
      <c r="E733" s="158" t="s">
        <v>3004</v>
      </c>
      <c r="F733" s="169" t="s">
        <v>25</v>
      </c>
      <c r="G733" s="154" t="s">
        <v>2700</v>
      </c>
      <c r="H733" s="155" t="s">
        <v>3005</v>
      </c>
      <c r="I733" s="189">
        <v>46322</v>
      </c>
      <c r="J733" s="189">
        <v>46324</v>
      </c>
      <c r="K733" s="153" t="s">
        <v>39</v>
      </c>
      <c r="L733" s="159">
        <v>7038.8307599999998</v>
      </c>
      <c r="M733" s="181"/>
      <c r="N733" s="157">
        <v>20</v>
      </c>
      <c r="O733" s="157"/>
      <c r="P733" s="157"/>
      <c r="Q733" s="157"/>
      <c r="R733" s="157">
        <f t="shared" si="15"/>
        <v>0</v>
      </c>
      <c r="S733" s="153">
        <v>8</v>
      </c>
      <c r="T733" s="154" t="s">
        <v>2829</v>
      </c>
      <c r="U733" s="210"/>
    </row>
    <row r="734" spans="1:21" ht="15" x14ac:dyDescent="0.25">
      <c r="A734" s="155" t="s">
        <v>3006</v>
      </c>
      <c r="B734" s="153">
        <v>2026</v>
      </c>
      <c r="C734" s="153" t="s">
        <v>2792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5" x14ac:dyDescent="0.2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2894</v>
      </c>
      <c r="U735" s="210"/>
    </row>
    <row r="736" spans="1:21" ht="15" x14ac:dyDescent="0.2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5" x14ac:dyDescent="0.2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5" x14ac:dyDescent="0.25">
      <c r="A738" s="155" t="s">
        <v>3022</v>
      </c>
      <c r="B738" s="117">
        <v>2026</v>
      </c>
      <c r="C738" s="153" t="s">
        <v>2870</v>
      </c>
      <c r="D738" s="153" t="s">
        <v>3023</v>
      </c>
      <c r="E738" s="158" t="s">
        <v>3024</v>
      </c>
      <c r="F738" s="169" t="s">
        <v>25</v>
      </c>
      <c r="G738" s="154" t="s">
        <v>76</v>
      </c>
      <c r="H738" s="155" t="s">
        <v>3025</v>
      </c>
      <c r="I738" s="189">
        <v>46344</v>
      </c>
      <c r="J738" s="189">
        <v>46345</v>
      </c>
      <c r="K738" s="153" t="s">
        <v>28</v>
      </c>
      <c r="L738" s="159">
        <v>13000</v>
      </c>
      <c r="M738" s="181"/>
      <c r="N738" s="157"/>
      <c r="O738" s="157"/>
      <c r="P738" s="157"/>
      <c r="Q738" s="157"/>
      <c r="R738" s="157">
        <f t="shared" si="15"/>
        <v>0</v>
      </c>
      <c r="S738" s="153">
        <v>10</v>
      </c>
      <c r="T738" s="154" t="s">
        <v>3026</v>
      </c>
      <c r="U738" s="211"/>
    </row>
    <row r="739" spans="1:21" ht="15" x14ac:dyDescent="0.25">
      <c r="A739" s="155" t="s">
        <v>3027</v>
      </c>
      <c r="B739" s="153">
        <v>2026</v>
      </c>
      <c r="C739" s="153" t="s">
        <v>23</v>
      </c>
      <c r="D739" s="153" t="s">
        <v>3003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2829</v>
      </c>
      <c r="U739" s="210"/>
    </row>
    <row r="740" spans="1:21" ht="15" x14ac:dyDescent="0.25">
      <c r="A740" s="155" t="s">
        <v>3030</v>
      </c>
      <c r="B740" s="153">
        <v>2026</v>
      </c>
      <c r="C740" s="153" t="s">
        <v>2870</v>
      </c>
      <c r="D740" s="153" t="s">
        <v>2946</v>
      </c>
      <c r="E740" s="165" t="s">
        <v>3031</v>
      </c>
      <c r="F740" s="169" t="s">
        <v>25</v>
      </c>
      <c r="G740" s="154" t="s">
        <v>207</v>
      </c>
      <c r="H740" s="155" t="s">
        <v>3032</v>
      </c>
      <c r="I740" s="189">
        <v>46349</v>
      </c>
      <c r="J740" s="189">
        <v>46352</v>
      </c>
      <c r="K740" s="153" t="s">
        <v>28</v>
      </c>
      <c r="L740" s="159">
        <v>18900</v>
      </c>
      <c r="M740" s="181"/>
      <c r="N740" s="157"/>
      <c r="O740" s="157"/>
      <c r="P740" s="157"/>
      <c r="Q740" s="157"/>
      <c r="R740" s="157">
        <f t="shared" si="15"/>
        <v>0</v>
      </c>
      <c r="S740" s="153">
        <v>16</v>
      </c>
      <c r="T740" s="154" t="s">
        <v>804</v>
      </c>
      <c r="U740" s="210"/>
    </row>
    <row r="741" spans="1:21" ht="15" x14ac:dyDescent="0.25">
      <c r="A741" s="155" t="s">
        <v>3033</v>
      </c>
      <c r="B741" s="153">
        <v>2026</v>
      </c>
      <c r="C741" s="153" t="s">
        <v>2870</v>
      </c>
      <c r="D741" s="153" t="s">
        <v>3034</v>
      </c>
      <c r="E741" s="158" t="s">
        <v>3035</v>
      </c>
      <c r="F741" s="169" t="s">
        <v>25</v>
      </c>
      <c r="G741" s="154" t="s">
        <v>2700</v>
      </c>
      <c r="H741" s="155" t="s">
        <v>3036</v>
      </c>
      <c r="I741" s="189" t="s">
        <v>3036</v>
      </c>
      <c r="J741" s="189" t="s">
        <v>3036</v>
      </c>
      <c r="K741" s="153" t="s">
        <v>39</v>
      </c>
      <c r="L741" s="159">
        <v>2652.31</v>
      </c>
      <c r="M741" s="181"/>
      <c r="N741" s="157">
        <v>20</v>
      </c>
      <c r="O741" s="157"/>
      <c r="P741" s="157"/>
      <c r="Q741" s="157"/>
      <c r="R741" s="157">
        <f t="shared" si="15"/>
        <v>0</v>
      </c>
      <c r="S741" s="153">
        <v>4</v>
      </c>
      <c r="T741" s="154" t="s">
        <v>1910</v>
      </c>
      <c r="U741" s="210"/>
    </row>
    <row r="742" spans="1:21" ht="15" x14ac:dyDescent="0.25">
      <c r="A742" s="155" t="s">
        <v>3037</v>
      </c>
      <c r="B742" s="117">
        <v>2026</v>
      </c>
      <c r="C742" s="153" t="s">
        <v>2870</v>
      </c>
      <c r="D742" s="153" t="s">
        <v>3038</v>
      </c>
      <c r="E742" s="158" t="s">
        <v>3039</v>
      </c>
      <c r="F742" s="169" t="s">
        <v>70</v>
      </c>
      <c r="G742" s="154" t="s">
        <v>80</v>
      </c>
      <c r="H742" s="155"/>
      <c r="I742" s="189"/>
      <c r="J742" s="189"/>
      <c r="K742" s="153" t="s">
        <v>39</v>
      </c>
      <c r="L742" s="159"/>
      <c r="M742" s="181"/>
      <c r="N742" s="157"/>
      <c r="O742" s="157"/>
      <c r="P742" s="157"/>
      <c r="Q742" s="157"/>
      <c r="R742" s="157">
        <f t="shared" si="15"/>
        <v>0</v>
      </c>
      <c r="S742" s="153">
        <v>9.66</v>
      </c>
      <c r="T742" s="154" t="s">
        <v>2894</v>
      </c>
      <c r="U742" s="210"/>
    </row>
    <row r="743" spans="1:21" ht="15" x14ac:dyDescent="0.25">
      <c r="A743" s="155" t="s">
        <v>3040</v>
      </c>
      <c r="B743" s="117">
        <v>2026</v>
      </c>
      <c r="C743" s="153" t="s">
        <v>2870</v>
      </c>
      <c r="D743" s="153" t="s">
        <v>3041</v>
      </c>
      <c r="E743" s="158" t="s">
        <v>3042</v>
      </c>
      <c r="F743" s="169" t="s">
        <v>25</v>
      </c>
      <c r="G743" s="154" t="s">
        <v>26</v>
      </c>
      <c r="H743" s="155" t="s">
        <v>3043</v>
      </c>
      <c r="I743" s="189"/>
      <c r="J743" s="189"/>
      <c r="K743" s="153" t="s">
        <v>39</v>
      </c>
      <c r="L743" s="159"/>
      <c r="M743" s="181"/>
      <c r="N743" s="157"/>
      <c r="O743" s="157"/>
      <c r="P743" s="157"/>
      <c r="Q743" s="157"/>
      <c r="R743" s="157">
        <f t="shared" si="15"/>
        <v>0</v>
      </c>
      <c r="S743" s="153">
        <v>20</v>
      </c>
      <c r="T743" s="154" t="s">
        <v>557</v>
      </c>
      <c r="U743" s="210"/>
    </row>
    <row r="744" spans="1:21" ht="15" x14ac:dyDescent="0.25">
      <c r="A744" s="155" t="s">
        <v>3044</v>
      </c>
      <c r="B744" s="153">
        <v>2026</v>
      </c>
      <c r="C744" s="153" t="s">
        <v>2792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ref="R744:R751" si="16">IF(B744="","",SUM(O744:Q744))</f>
        <v>0</v>
      </c>
      <c r="S744" s="153">
        <v>20</v>
      </c>
      <c r="T744" s="154" t="s">
        <v>3048</v>
      </c>
      <c r="U744" s="210"/>
    </row>
    <row r="745" spans="1:21" ht="15" x14ac:dyDescent="0.2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7">IF(B745="","",SUM(O745:Q745))</f>
        <v>80</v>
      </c>
      <c r="S745" s="153">
        <v>2</v>
      </c>
      <c r="T745" s="154"/>
      <c r="U745" s="210"/>
    </row>
    <row r="746" spans="1:21" ht="15" x14ac:dyDescent="0.2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6"/>
        <v>67</v>
      </c>
      <c r="S746" s="153">
        <v>12</v>
      </c>
      <c r="T746" s="154" t="s">
        <v>2453</v>
      </c>
      <c r="U746" s="210"/>
    </row>
    <row r="747" spans="1:21" ht="30" x14ac:dyDescent="0.25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6"/>
        <v>0</v>
      </c>
      <c r="S747" s="153">
        <v>12</v>
      </c>
      <c r="T747" s="154" t="s">
        <v>3061</v>
      </c>
      <c r="U747" s="210"/>
    </row>
    <row r="748" spans="1:21" ht="15" x14ac:dyDescent="0.25">
      <c r="A748" s="155" t="s">
        <v>3263</v>
      </c>
      <c r="B748" s="153">
        <v>2026</v>
      </c>
      <c r="C748" s="153" t="s">
        <v>23</v>
      </c>
      <c r="D748" s="153" t="s">
        <v>3265</v>
      </c>
      <c r="E748" s="158" t="s">
        <v>3266</v>
      </c>
      <c r="F748" s="169" t="s">
        <v>89</v>
      </c>
      <c r="G748" s="154" t="s">
        <v>2718</v>
      </c>
      <c r="H748" s="155" t="s">
        <v>3268</v>
      </c>
      <c r="I748" s="189">
        <v>46314</v>
      </c>
      <c r="J748" s="189">
        <v>46318</v>
      </c>
      <c r="K748" s="153" t="s">
        <v>39</v>
      </c>
      <c r="L748" s="159"/>
      <c r="M748" s="181"/>
      <c r="N748" s="157">
        <v>40</v>
      </c>
      <c r="O748" s="157">
        <v>0</v>
      </c>
      <c r="P748" s="157">
        <v>34</v>
      </c>
      <c r="Q748" s="157">
        <v>0</v>
      </c>
      <c r="R748" s="157">
        <f t="shared" si="16"/>
        <v>34</v>
      </c>
      <c r="S748" s="153">
        <v>20</v>
      </c>
      <c r="T748" s="154" t="s">
        <v>3270</v>
      </c>
      <c r="U748" s="210"/>
    </row>
    <row r="749" spans="1:21" ht="15" x14ac:dyDescent="0.25">
      <c r="A749" s="155" t="s">
        <v>3264</v>
      </c>
      <c r="B749" s="153">
        <v>2026</v>
      </c>
      <c r="C749" s="153" t="s">
        <v>2870</v>
      </c>
      <c r="D749" s="153" t="s">
        <v>3265</v>
      </c>
      <c r="E749" s="158" t="s">
        <v>3267</v>
      </c>
      <c r="F749" s="169" t="s">
        <v>89</v>
      </c>
      <c r="G749" s="154" t="s">
        <v>2718</v>
      </c>
      <c r="H749" s="155" t="s">
        <v>3269</v>
      </c>
      <c r="I749" s="189">
        <v>46335</v>
      </c>
      <c r="J749" s="189">
        <v>46339</v>
      </c>
      <c r="K749" s="153" t="s">
        <v>39</v>
      </c>
      <c r="L749" s="159"/>
      <c r="M749" s="181"/>
      <c r="N749" s="157">
        <v>40</v>
      </c>
      <c r="O749" s="157"/>
      <c r="P749" s="157"/>
      <c r="Q749" s="157"/>
      <c r="R749" s="157">
        <f t="shared" si="16"/>
        <v>0</v>
      </c>
      <c r="S749" s="153">
        <v>20</v>
      </c>
      <c r="T749" s="154" t="s">
        <v>3270</v>
      </c>
      <c r="U749" s="210"/>
    </row>
    <row r="750" spans="1:21" ht="15" x14ac:dyDescent="0.25">
      <c r="A750" s="155" t="s">
        <v>3271</v>
      </c>
      <c r="B750" s="153">
        <v>2026</v>
      </c>
      <c r="C750" s="153" t="s">
        <v>2870</v>
      </c>
      <c r="D750" s="153" t="s">
        <v>3272</v>
      </c>
      <c r="E750" s="158" t="s">
        <v>3273</v>
      </c>
      <c r="F750" s="169" t="s">
        <v>70</v>
      </c>
      <c r="G750" s="154" t="s">
        <v>80</v>
      </c>
      <c r="H750" s="155" t="s">
        <v>3274</v>
      </c>
      <c r="I750" s="189">
        <v>46336</v>
      </c>
      <c r="J750" s="189">
        <v>46338</v>
      </c>
      <c r="K750" s="153" t="s">
        <v>39</v>
      </c>
      <c r="L750" s="159">
        <v>0</v>
      </c>
      <c r="M750" s="181"/>
      <c r="N750" s="157">
        <v>20</v>
      </c>
      <c r="O750" s="157"/>
      <c r="P750" s="157"/>
      <c r="Q750" s="157"/>
      <c r="R750" s="157">
        <f t="shared" si="16"/>
        <v>0</v>
      </c>
      <c r="S750" s="153">
        <v>8</v>
      </c>
      <c r="T750" s="154" t="s">
        <v>3111</v>
      </c>
      <c r="U750" s="210"/>
    </row>
    <row r="751" spans="1:21" ht="15" x14ac:dyDescent="0.25">
      <c r="A751" s="155" t="s">
        <v>3275</v>
      </c>
      <c r="B751" s="153">
        <v>2026</v>
      </c>
      <c r="C751" s="153" t="s">
        <v>2870</v>
      </c>
      <c r="D751" s="153" t="s">
        <v>3276</v>
      </c>
      <c r="E751" s="158" t="s">
        <v>3277</v>
      </c>
      <c r="F751" s="169" t="s">
        <v>25</v>
      </c>
      <c r="G751" s="154" t="s">
        <v>2795</v>
      </c>
      <c r="H751" s="155" t="s">
        <v>2990</v>
      </c>
      <c r="I751" s="189">
        <v>46316</v>
      </c>
      <c r="J751" s="189">
        <v>46316</v>
      </c>
      <c r="K751" s="153" t="s">
        <v>39</v>
      </c>
      <c r="L751" s="159">
        <v>0</v>
      </c>
      <c r="M751" s="181"/>
      <c r="N751" s="157">
        <v>20</v>
      </c>
      <c r="O751" s="157"/>
      <c r="P751" s="157"/>
      <c r="Q751" s="157"/>
      <c r="R751" s="157">
        <f t="shared" si="16"/>
        <v>0</v>
      </c>
      <c r="S751" s="153">
        <v>5</v>
      </c>
      <c r="T751" s="154" t="s">
        <v>2797</v>
      </c>
      <c r="U751" s="210"/>
    </row>
    <row r="752" spans="1:21" ht="15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x14ac:dyDescent="0.25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x14ac:dyDescent="0.25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x14ac:dyDescent="0.25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5" x14ac:dyDescent="0.25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5" x14ac:dyDescent="0.25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customHeight="1" x14ac:dyDescent="0.25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customHeight="1" x14ac:dyDescent="0.25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customHeight="1" x14ac:dyDescent="0.25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customHeight="1" x14ac:dyDescent="0.25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8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3062</v>
      </c>
      <c r="H1" s="167" t="s">
        <v>3063</v>
      </c>
    </row>
    <row r="2" spans="1:8" x14ac:dyDescent="0.25">
      <c r="H2" s="166" t="s">
        <v>3064</v>
      </c>
    </row>
    <row r="3" spans="1:8" x14ac:dyDescent="0.25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 x14ac:dyDescent="0.25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 x14ac:dyDescent="0.25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 x14ac:dyDescent="0.25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 x14ac:dyDescent="0.25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5" activePane="bottomLeft" state="frozen"/>
      <selection pane="bottomLeft" activeCell="AA97" sqref="AA97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 x14ac:dyDescent="0.25">
      <c r="A2" s="20" cm="1">
        <f t="array" aca="1" ref="A2:J16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2838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4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5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3077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3095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3077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3095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3077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3095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3083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3083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1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101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Realizado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101" t="s">
        <v>2754</v>
      </c>
      <c r="Y34" t="s">
        <v>3097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2899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2899</v>
      </c>
      <c r="Y42" t="s">
        <v>3088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2907</v>
      </c>
      <c r="Y43" s="17" t="s">
        <v>3105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Realizado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2907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3104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3116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3115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3112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3119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3117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3104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2936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8" t="s">
        <v>3111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3110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3109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3101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3099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Realizado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Realizado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3083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2874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L73">
        <f ca="1"/>
        <v>2026</v>
      </c>
      <c r="M73" t="str">
        <f ca="1"/>
        <v>2026-096</v>
      </c>
      <c r="N73" t="str">
        <f ca="1"/>
        <v>A realizar</v>
      </c>
      <c r="O73" t="str">
        <f ca="1"/>
        <v>Pesquisa de Preços em Compras Públicas à luz do Decreto Distrital nº 44.330/2023</v>
      </c>
      <c r="P73">
        <f ca="1"/>
        <v>8</v>
      </c>
      <c r="Q73" t="str">
        <f ca="1"/>
        <v>Elvis Aaron Teixeira dos Santos Lima</v>
      </c>
      <c r="R73">
        <f ca="1"/>
        <v>1</v>
      </c>
      <c r="S73">
        <f ca="1"/>
        <v>159</v>
      </c>
      <c r="T73">
        <f ca="1"/>
        <v>158</v>
      </c>
      <c r="X73" t="s">
        <v>2874</v>
      </c>
      <c r="Y73" t="s">
        <v>3088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L74">
        <f ca="1"/>
        <v>2026</v>
      </c>
      <c r="M74" t="str">
        <f ca="1"/>
        <v>2026-097</v>
      </c>
      <c r="N74" t="str">
        <f ca="1"/>
        <v>A realizar</v>
      </c>
      <c r="O74" t="str">
        <f ca="1"/>
        <v>Oficina de Avaliação em T&amp;D</v>
      </c>
      <c r="P74">
        <f ca="1"/>
        <v>5</v>
      </c>
      <c r="Q74" t="str">
        <f ca="1"/>
        <v>Paulo José Góes Daltro</v>
      </c>
      <c r="R74">
        <f ca="1"/>
        <v>1</v>
      </c>
      <c r="S74">
        <f ca="1"/>
        <v>160</v>
      </c>
      <c r="T74">
        <f ca="1"/>
        <v>159</v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T75">
        <f ca="1"/>
        <v>160</v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2903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2903</v>
      </c>
      <c r="Y77" t="s">
        <v>3102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2886</v>
      </c>
      <c r="Y79" t="s">
        <v>3106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3103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3107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3089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3089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3089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Realizado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3263</v>
      </c>
      <c r="Y91" t="s">
        <v>3069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3264</v>
      </c>
      <c r="Y92" t="s">
        <v>3069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3263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3264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  <c r="X95" s="219" t="s">
        <v>3271</v>
      </c>
      <c r="Y95" s="219" t="s">
        <v>3111</v>
      </c>
      <c r="Z95">
        <v>0</v>
      </c>
      <c r="AA95">
        <v>0</v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  <c r="X96" s="220" t="s">
        <v>3275</v>
      </c>
      <c r="Y96" s="220" t="s">
        <v>2797</v>
      </c>
      <c r="Z96">
        <v>0</v>
      </c>
      <c r="AA96">
        <v>0</v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Realizado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Realizado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A160">
        <f ca="1"/>
        <v>2026</v>
      </c>
      <c r="B160" t="str">
        <f ca="1"/>
        <v>2026-096</v>
      </c>
      <c r="C160" t="str">
        <f ca="1"/>
        <v>A realizar</v>
      </c>
      <c r="D160" t="str">
        <f ca="1"/>
        <v>Pesquisa de Preços em Compras Públicas à luz do Decreto Distrital nº 44.330/2023</v>
      </c>
      <c r="E160">
        <f ca="1"/>
        <v>8</v>
      </c>
      <c r="F160" t="str">
        <f ca="1"/>
        <v>Elvis Aaron Teixeira dos Santos Lima</v>
      </c>
      <c r="G160">
        <f ca="1"/>
        <v>1</v>
      </c>
      <c r="H160">
        <f ca="1"/>
        <v>0</v>
      </c>
      <c r="I160">
        <f ca="1"/>
        <v>0</v>
      </c>
      <c r="J160">
        <f ca="1"/>
        <v>0</v>
      </c>
      <c r="R160" t="str">
        <f ca="1"/>
        <v/>
      </c>
      <c r="S160" t="str">
        <f ca="1"/>
        <v/>
      </c>
    </row>
    <row r="161" spans="1:19" x14ac:dyDescent="0.25">
      <c r="A161">
        <f ca="1"/>
        <v>2026</v>
      </c>
      <c r="B161" t="str">
        <f ca="1"/>
        <v>2026-097</v>
      </c>
      <c r="C161" t="str">
        <f ca="1"/>
        <v>A realizar</v>
      </c>
      <c r="D161" t="str">
        <f ca="1"/>
        <v>Oficina de Avaliação em T&amp;D</v>
      </c>
      <c r="E161">
        <f ca="1"/>
        <v>5</v>
      </c>
      <c r="F161" t="str">
        <f ca="1"/>
        <v>Paulo José Góes Daltro</v>
      </c>
      <c r="G161">
        <f ca="1"/>
        <v>1</v>
      </c>
      <c r="H161">
        <f ca="1"/>
        <v>0</v>
      </c>
      <c r="I161">
        <f ca="1"/>
        <v>0</v>
      </c>
      <c r="J161">
        <f ca="1"/>
        <v>0</v>
      </c>
      <c r="R161" t="str">
        <f ca="1"/>
        <v/>
      </c>
      <c r="S161" t="str">
        <f ca="1"/>
        <v/>
      </c>
    </row>
    <row r="162" spans="1:19" x14ac:dyDescent="0.25">
      <c r="R162" t="str">
        <f ca="1"/>
        <v/>
      </c>
      <c r="S162" t="str">
        <f ca="1"/>
        <v/>
      </c>
    </row>
    <row r="163" spans="1:19" x14ac:dyDescent="0.25">
      <c r="R163" t="str">
        <f ca="1"/>
        <v/>
      </c>
      <c r="S163" t="str">
        <f ca="1"/>
        <v/>
      </c>
    </row>
    <row r="164" spans="1:19" x14ac:dyDescent="0.25">
      <c r="R164" t="str">
        <f ca="1"/>
        <v/>
      </c>
      <c r="S164" t="str">
        <f ca="1"/>
        <v/>
      </c>
    </row>
    <row r="165" spans="1:19" x14ac:dyDescent="0.25">
      <c r="R165" t="str">
        <f ca="1"/>
        <v/>
      </c>
      <c r="S165" t="str">
        <f ca="1"/>
        <v/>
      </c>
    </row>
    <row r="166" spans="1:19" x14ac:dyDescent="0.25">
      <c r="R166" t="str">
        <f ca="1"/>
        <v/>
      </c>
      <c r="S166" t="str">
        <f ca="1"/>
        <v/>
      </c>
    </row>
    <row r="167" spans="1:19" x14ac:dyDescent="0.25">
      <c r="R167" t="str">
        <f ca="1"/>
        <v/>
      </c>
      <c r="S167" t="str">
        <f ca="1"/>
        <v/>
      </c>
    </row>
    <row r="168" spans="1:19" x14ac:dyDescent="0.25">
      <c r="R168" t="str">
        <f ca="1"/>
        <v/>
      </c>
      <c r="S168" t="str">
        <f ca="1"/>
        <v/>
      </c>
    </row>
    <row r="169" spans="1:19" x14ac:dyDescent="0.25">
      <c r="R169" t="str">
        <f ca="1"/>
        <v/>
      </c>
      <c r="S169" t="str">
        <f ca="1"/>
        <v/>
      </c>
    </row>
    <row r="170" spans="1:19" x14ac:dyDescent="0.25">
      <c r="R170" t="str">
        <f ca="1"/>
        <v/>
      </c>
      <c r="S170" t="str">
        <f ca="1"/>
        <v/>
      </c>
    </row>
    <row r="171" spans="1:19" x14ac:dyDescent="0.25">
      <c r="R171" t="str">
        <f ca="1"/>
        <v/>
      </c>
      <c r="S171" t="str">
        <f ca="1"/>
        <v/>
      </c>
    </row>
    <row r="172" spans="1:19" x14ac:dyDescent="0.25">
      <c r="R172" t="str">
        <f ca="1"/>
        <v/>
      </c>
      <c r="S172" t="str">
        <f ca="1"/>
        <v/>
      </c>
    </row>
    <row r="173" spans="1:19" x14ac:dyDescent="0.25">
      <c r="R173" t="str">
        <f ca="1"/>
        <v/>
      </c>
      <c r="S173" t="str">
        <f ca="1"/>
        <v/>
      </c>
    </row>
    <row r="174" spans="1:19" x14ac:dyDescent="0.25">
      <c r="R174" t="str">
        <f ca="1"/>
        <v/>
      </c>
      <c r="S174" t="str">
        <f ca="1"/>
        <v/>
      </c>
    </row>
    <row r="175" spans="1:19" x14ac:dyDescent="0.25">
      <c r="R175" t="str">
        <f ca="1"/>
        <v/>
      </c>
      <c r="S175" t="str">
        <f ca="1"/>
        <v/>
      </c>
    </row>
    <row r="176" spans="1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3" t="s">
        <v>3155</v>
      </c>
      <c r="B1" s="223"/>
      <c r="C1" s="223"/>
      <c r="D1" s="223"/>
      <c r="E1" s="223"/>
      <c r="F1" s="223"/>
      <c r="G1" s="223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4" t="s">
        <v>3156</v>
      </c>
      <c r="B4" s="225"/>
      <c r="D4" s="226" t="s">
        <v>3157</v>
      </c>
      <c r="E4" s="227"/>
      <c r="G4" s="44" t="s">
        <v>3158</v>
      </c>
    </row>
    <row r="5" spans="1:7" ht="54.95" customHeight="1" thickBot="1" x14ac:dyDescent="0.75">
      <c r="A5" s="34">
        <f>COUNTIF('Ações InCompany'!B:B,2026)</f>
        <v>95</v>
      </c>
      <c r="B5" s="35" t="s">
        <v>3159</v>
      </c>
      <c r="D5" s="42">
        <f>COUNTIFS('Ações InCompany'!B:B,2026,'Ações InCompany'!C:C,"Realizado")</f>
        <v>70</v>
      </c>
      <c r="E5" s="43" t="s">
        <v>3159</v>
      </c>
      <c r="G5" s="45">
        <f>COUNTIFS('Ações InCompany'!B:B,2026,'Ações InCompany'!C:C,"A realizar")</f>
        <v>15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21" t="s">
        <v>3160</v>
      </c>
      <c r="B8" s="221"/>
      <c r="D8" s="221" t="s">
        <v>3161</v>
      </c>
      <c r="E8" s="221"/>
    </row>
    <row r="9" spans="1:7" ht="5.0999999999999996" customHeight="1" x14ac:dyDescent="0.25">
      <c r="A9" s="222"/>
      <c r="B9" s="222"/>
      <c r="D9" s="222"/>
      <c r="E9" s="222"/>
    </row>
    <row r="10" spans="1:7" ht="24.95" customHeight="1" x14ac:dyDescent="0.25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1107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1719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18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3168</v>
      </c>
      <c r="B14" s="33">
        <f>SUM(B11:B13)</f>
        <v>70</v>
      </c>
      <c r="D14" s="32" t="s">
        <v>3169</v>
      </c>
      <c r="E14" s="33">
        <f>SUM(E11:E13)</f>
        <v>3633</v>
      </c>
    </row>
    <row r="30" spans="1:5" ht="17.25" x14ac:dyDescent="0.3">
      <c r="A30" s="221" t="s">
        <v>3170</v>
      </c>
      <c r="B30" s="221"/>
      <c r="C30" s="221"/>
      <c r="D30" s="221"/>
      <c r="E30" s="221"/>
    </row>
    <row r="31" spans="1:5" ht="5.0999999999999996" customHeight="1" x14ac:dyDescent="0.25">
      <c r="A31" s="222"/>
      <c r="B31" s="222"/>
      <c r="C31" s="222"/>
      <c r="D31" s="222"/>
      <c r="E31" s="222"/>
    </row>
    <row r="32" spans="1:5" ht="24.95" customHeight="1" x14ac:dyDescent="0.25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23</v>
      </c>
      <c r="E33" s="37">
        <f t="shared" ref="E33:E44" si="1">D33/$D$45</f>
        <v>0.27058823529411763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4.7058823529411764E-2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0.10588235294117647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1</v>
      </c>
      <c r="D36" s="38">
        <f t="shared" si="0"/>
        <v>3</v>
      </c>
      <c r="E36" s="39">
        <f t="shared" si="1"/>
        <v>3.5294117647058823E-2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2</v>
      </c>
      <c r="D37" s="36">
        <f t="shared" si="0"/>
        <v>9</v>
      </c>
      <c r="E37" s="37">
        <f t="shared" si="1"/>
        <v>0.10588235294117647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18</v>
      </c>
      <c r="C38" s="47">
        <f>COUNTIFS('Ações InCompany'!B:B,2026,'Ações InCompany'!C:C,"A realizar",'Ações InCompany'!G:G,A38)</f>
        <v>4</v>
      </c>
      <c r="D38" s="38">
        <f t="shared" si="0"/>
        <v>22</v>
      </c>
      <c r="E38" s="39">
        <f t="shared" si="1"/>
        <v>0.25882352941176473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4.7058823529411764E-2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2.3529411764705882E-2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8.2352941176470587E-2</v>
      </c>
    </row>
    <row r="42" spans="1:5" ht="24" customHeight="1" x14ac:dyDescent="0.25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2.3529411764705882E-2</v>
      </c>
    </row>
    <row r="44" spans="1:5" ht="24" customHeight="1" x14ac:dyDescent="0.25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3168</v>
      </c>
      <c r="B45" s="40">
        <f>SUM(B33:B44)</f>
        <v>70</v>
      </c>
      <c r="C45" s="40">
        <f>SUM(C33:C44)</f>
        <v>15</v>
      </c>
      <c r="D45" s="40">
        <f>SUM(D33:D44)</f>
        <v>85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25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25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25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25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25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25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25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 x14ac:dyDescent="0.25">
      <c r="A2" s="102" t="s">
        <v>25</v>
      </c>
      <c r="B2" s="102" t="s">
        <v>39</v>
      </c>
      <c r="C2" s="11" t="s">
        <v>3205</v>
      </c>
      <c r="D2" s="11" t="s">
        <v>2870</v>
      </c>
    </row>
    <row r="3" spans="1:4" ht="21" customHeight="1" x14ac:dyDescent="0.25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25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25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25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25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25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3208</v>
      </c>
      <c r="B9" s="11" t="s">
        <v>3193</v>
      </c>
      <c r="C9" s="11" t="s">
        <v>2795</v>
      </c>
      <c r="D9" s="11" t="s">
        <v>3216</v>
      </c>
      <c r="E9" s="16" t="s">
        <v>3217</v>
      </c>
    </row>
    <row r="10" spans="1:5" ht="18" customHeight="1" x14ac:dyDescent="0.25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25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25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8" t="s">
        <v>3221</v>
      </c>
      <c r="B1" s="228"/>
      <c r="C1" s="228"/>
      <c r="D1" s="228"/>
      <c r="E1" s="228"/>
      <c r="F1" s="228"/>
      <c r="G1" s="228"/>
      <c r="H1" s="228"/>
    </row>
    <row r="2" spans="1:8" x14ac:dyDescent="0.25">
      <c r="A2" s="48" t="s">
        <v>3222</v>
      </c>
    </row>
    <row r="4" spans="1:8" ht="21.95" customHeight="1" x14ac:dyDescent="0.25">
      <c r="A4" s="229" t="s">
        <v>3223</v>
      </c>
      <c r="B4" s="230"/>
      <c r="D4" s="229" t="s">
        <v>3224</v>
      </c>
      <c r="E4" s="230"/>
      <c r="G4" s="229" t="s">
        <v>3225</v>
      </c>
      <c r="H4" s="230"/>
    </row>
    <row r="5" spans="1:8" ht="35.1" customHeight="1" x14ac:dyDescent="0.25">
      <c r="A5" s="233">
        <f>COUNTIF('Ações InCompany'!E:E,"*maratona*")</f>
        <v>13</v>
      </c>
      <c r="B5" s="232"/>
      <c r="D5" s="231">
        <f>SUM(H8:H100)</f>
        <v>1762</v>
      </c>
      <c r="E5" s="232"/>
      <c r="G5" s="231">
        <f>IFERROR(ROUND(D5/A5,0),"-")</f>
        <v>136</v>
      </c>
      <c r="H5" s="232"/>
    </row>
    <row r="6" spans="1:8" ht="9.9499999999999993" customHeight="1" x14ac:dyDescent="0.25"/>
    <row r="7" spans="1:8" ht="24.95" customHeight="1" thickBot="1" x14ac:dyDescent="0.3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4" t="s">
        <v>3231</v>
      </c>
      <c r="B1" s="234"/>
      <c r="C1" s="234"/>
      <c r="D1" s="234"/>
      <c r="E1" s="234"/>
      <c r="F1" s="234"/>
    </row>
    <row r="2" spans="1:7" x14ac:dyDescent="0.25">
      <c r="A2" s="235" t="s">
        <v>3232</v>
      </c>
      <c r="B2" s="235"/>
      <c r="C2" s="235"/>
      <c r="D2" s="235"/>
      <c r="E2" s="235"/>
      <c r="F2" s="235"/>
    </row>
    <row r="4" spans="1:7" x14ac:dyDescent="0.25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2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3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3169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160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www.w3.org/XML/1998/namespace"/>
    <ds:schemaRef ds:uri="http://purl.org/dc/elements/1.1/"/>
    <ds:schemaRef ds:uri="http://purl.org/dc/terms/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fe686eaa-0658-4f15-b230-9e46c4d089fd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2026-10-23T19:51:34Z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