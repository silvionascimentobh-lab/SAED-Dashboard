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1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99" documentId="13_ncr:1_{6A2CC3E2-FAFB-4D8F-B284-5E8FB5045DFE}" xr6:coauthVersionLast="47" xr6:coauthVersionMax="47" xr10:uidLastSave="{BC7FD898-D742-4647-918F-20B92D8B093D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<sst xmlns="http://schemas.openxmlformats.org/spreadsheetml/2006/main" count="7356" uniqueCount="3231">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</sst>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  <xf numFmtId="0" fontId="15" fillId="18" borderId="0" xfId="0" applyFont="1" applyFill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25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1551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87" activePane="bottomLeft" state="frozen"/>
      <selection pane="bottomLeft" activeCell="A715" sqref="A715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99" t="s">
        <v>20</v>
      </c>
    </row>
    <row r="2" spans="1:23" ht="15">
      <c r="A2" s="200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201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202" t="str" cm="1">
        <f t="array" aca="1" ref="W3" ca="1">TEXT(W2,"0")&amp;"-"&amp;TEXT(MAX(IFERROR((LEFT(Tabela2[ID],4)=TEXT(W2,"0"))*VALUE(RIGHT(Tabela2[ID],3)),0))+1,"000")</f>
        <v>2026-090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122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122" t="s">
        <v>2639</v>
      </c>
      <c r="B645" s="118">
        <v>2025</v>
      </c>
      <c r="C645" s="118" t="s">
        <v>22</v>
      </c>
      <c r="D645" s="118" t="s">
        <v>2640</v>
      </c>
      <c r="E645" s="119" t="s">
        <v>2558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203">
        <v>46240</v>
      </c>
      <c r="J657" s="203">
        <v>46241</v>
      </c>
      <c r="K657" s="154" t="s">
        <v>38</v>
      </c>
      <c r="L657" s="204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2697</v>
      </c>
      <c r="D659" s="154" t="s">
        <v>2698</v>
      </c>
      <c r="E659" s="159" t="s">
        <v>2699</v>
      </c>
      <c r="F659" s="170" t="s">
        <v>24</v>
      </c>
      <c r="G659" s="155" t="s">
        <v>2700</v>
      </c>
      <c r="H659" s="156" t="s">
        <v>2701</v>
      </c>
      <c r="I659" s="203">
        <v>46143</v>
      </c>
      <c r="J659" s="203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2702</v>
      </c>
      <c r="B660" s="118">
        <v>2026</v>
      </c>
      <c r="C660" s="154" t="s">
        <v>22</v>
      </c>
      <c r="D660" s="154" t="s">
        <v>2703</v>
      </c>
      <c r="E660" s="159" t="s">
        <v>2704</v>
      </c>
      <c r="F660" s="170" t="s">
        <v>24</v>
      </c>
      <c r="G660" s="155" t="s">
        <v>206</v>
      </c>
      <c r="H660" s="156" t="s">
        <v>2705</v>
      </c>
      <c r="I660" s="203">
        <v>46248</v>
      </c>
      <c r="J660" s="203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2706</v>
      </c>
    </row>
    <row r="661" spans="1:20" ht="15">
      <c r="A661" s="122" t="s">
        <v>2707</v>
      </c>
      <c r="B661" s="118">
        <v>2026</v>
      </c>
      <c r="C661" s="118" t="s">
        <v>22</v>
      </c>
      <c r="D661" s="118" t="s">
        <v>2708</v>
      </c>
      <c r="E661" s="119" t="s">
        <v>2138</v>
      </c>
      <c r="F661" s="120" t="s">
        <v>69</v>
      </c>
      <c r="G661" s="121" t="s">
        <v>79</v>
      </c>
      <c r="H661" s="122" t="s">
        <v>2709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2710</v>
      </c>
      <c r="B662" s="118">
        <v>2026</v>
      </c>
      <c r="C662" s="154" t="s">
        <v>2697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203"/>
      <c r="J662" s="203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203">
        <v>46189</v>
      </c>
      <c r="J664" s="203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203">
        <v>46160</v>
      </c>
      <c r="J665" s="203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203">
        <v>46140</v>
      </c>
      <c r="J666" s="203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205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203">
        <v>46223</v>
      </c>
      <c r="J668" s="203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206" t="s">
        <v>2751</v>
      </c>
      <c r="I671" s="203">
        <v>46259</v>
      </c>
      <c r="J671" s="203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203">
        <v>46148</v>
      </c>
      <c r="J672" s="203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207" t="s">
        <v>2566</v>
      </c>
      <c r="D677" s="207" t="s">
        <v>2777</v>
      </c>
      <c r="E677" s="159" t="s">
        <v>2778</v>
      </c>
      <c r="F677" s="170" t="s">
        <v>69</v>
      </c>
      <c r="G677" s="208" t="s">
        <v>2694</v>
      </c>
      <c r="H677" s="165" t="s">
        <v>2701</v>
      </c>
      <c r="I677" s="209">
        <v>46157</v>
      </c>
      <c r="J677" s="209">
        <v>46387</v>
      </c>
      <c r="K677" s="154" t="s">
        <v>38</v>
      </c>
      <c r="L677" s="210">
        <v>45905.42</v>
      </c>
      <c r="M677" s="211"/>
      <c r="N677" s="212"/>
      <c r="O677" s="212">
        <v>0</v>
      </c>
      <c r="P677" s="212">
        <v>0</v>
      </c>
      <c r="Q677" s="212">
        <v>0</v>
      </c>
      <c r="R677" s="212">
        <f>IF(B677="","",SUM(O677:Q677))</f>
        <v>0</v>
      </c>
      <c r="S677" s="207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207" t="s">
        <v>22</v>
      </c>
      <c r="D678" s="207" t="s">
        <v>2780</v>
      </c>
      <c r="E678" s="159" t="s">
        <v>2781</v>
      </c>
      <c r="F678" s="170" t="s">
        <v>69</v>
      </c>
      <c r="G678" s="208" t="s">
        <v>79</v>
      </c>
      <c r="H678" s="165" t="s">
        <v>2782</v>
      </c>
      <c r="I678" s="209">
        <v>46246</v>
      </c>
      <c r="J678" s="209">
        <v>46246</v>
      </c>
      <c r="K678" s="154" t="s">
        <v>38</v>
      </c>
      <c r="L678" s="160">
        <v>2347</v>
      </c>
      <c r="M678" s="211">
        <v>4.75</v>
      </c>
      <c r="N678" s="212">
        <v>50</v>
      </c>
      <c r="O678" s="212">
        <v>3</v>
      </c>
      <c r="P678" s="212">
        <v>37</v>
      </c>
      <c r="Q678" s="212">
        <v>0</v>
      </c>
      <c r="R678" s="212">
        <f>IF(B678="","",SUM(O678:Q678))</f>
        <v>40</v>
      </c>
      <c r="S678" s="207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207" t="s">
        <v>22</v>
      </c>
      <c r="D679" s="207" t="s">
        <v>2784</v>
      </c>
      <c r="E679" s="213" t="s">
        <v>2785</v>
      </c>
      <c r="F679" s="170" t="s">
        <v>69</v>
      </c>
      <c r="G679" s="155" t="s">
        <v>79</v>
      </c>
      <c r="H679" s="165" t="s">
        <v>2786</v>
      </c>
      <c r="I679" s="209">
        <v>46247</v>
      </c>
      <c r="J679" s="209">
        <v>46247</v>
      </c>
      <c r="K679" s="154" t="s">
        <v>38</v>
      </c>
      <c r="L679" s="210">
        <v>1770</v>
      </c>
      <c r="M679" s="211"/>
      <c r="N679" s="212">
        <v>50</v>
      </c>
      <c r="O679" s="212">
        <v>6</v>
      </c>
      <c r="P679" s="212">
        <v>34</v>
      </c>
      <c r="Q679" s="212">
        <v>0</v>
      </c>
      <c r="R679" s="212">
        <f>IF(B679="","",SUM(O679:Q679))</f>
        <v>40</v>
      </c>
      <c r="S679" s="207">
        <v>4</v>
      </c>
      <c r="T679" s="208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207" t="s">
        <v>2789</v>
      </c>
      <c r="D682" s="137" t="s">
        <v>2790</v>
      </c>
      <c r="E682" s="138" t="s">
        <v>2796</v>
      </c>
      <c r="F682" s="170" t="s">
        <v>24</v>
      </c>
      <c r="G682" s="208" t="s">
        <v>2792</v>
      </c>
      <c r="H682" s="165" t="s">
        <v>2799</v>
      </c>
      <c r="I682" s="209">
        <v>46237</v>
      </c>
      <c r="J682" s="209">
        <v>46239</v>
      </c>
      <c r="K682" s="154" t="s">
        <v>38</v>
      </c>
      <c r="L682" s="210">
        <v>0</v>
      </c>
      <c r="M682" s="211"/>
      <c r="N682" s="212">
        <v>15</v>
      </c>
      <c r="O682" s="212"/>
      <c r="P682" s="212"/>
      <c r="Q682" s="212"/>
      <c r="R682" s="212">
        <f>IF(B682="","",SUM(O682:Q682))</f>
        <v>0</v>
      </c>
      <c r="S682" s="207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203">
        <v>46203</v>
      </c>
      <c r="J688" s="203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2700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2700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2700</v>
      </c>
      <c r="H691" s="156" t="s">
        <v>2838</v>
      </c>
      <c r="I691" s="203">
        <v>46154</v>
      </c>
      <c r="J691" s="203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2700</v>
      </c>
      <c r="H692" s="156" t="s">
        <v>2841</v>
      </c>
      <c r="I692" s="203">
        <v>46196</v>
      </c>
      <c r="J692" s="203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2697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2701</v>
      </c>
      <c r="I693" s="203">
        <v>46204</v>
      </c>
      <c r="J693" s="203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2697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>
        <v>46335</v>
      </c>
      <c r="J694" s="157">
        <v>46336</v>
      </c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2697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203">
        <v>46321</v>
      </c>
      <c r="J695" s="203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2700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203">
        <v>46174</v>
      </c>
      <c r="J698" s="203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203">
        <v>46204</v>
      </c>
      <c r="J700" s="203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203">
        <v>46223</v>
      </c>
      <c r="J701" s="203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203">
        <v>46247</v>
      </c>
      <c r="J702" s="203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203">
        <v>46246</v>
      </c>
      <c r="J703" s="203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203">
        <v>46244</v>
      </c>
      <c r="J704" s="203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2705</v>
      </c>
      <c r="I705" s="156" t="s">
        <v>2705</v>
      </c>
      <c r="J705" s="156" t="s">
        <v>2705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2893</v>
      </c>
      <c r="F706" s="170" t="s">
        <v>69</v>
      </c>
      <c r="G706" s="155" t="s">
        <v>79</v>
      </c>
      <c r="H706" s="156" t="s">
        <v>2897</v>
      </c>
      <c r="I706" s="203">
        <v>46244</v>
      </c>
      <c r="J706" s="203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>
      <c r="A707" s="156" t="s">
        <v>2898</v>
      </c>
      <c r="B707" s="137">
        <v>2026</v>
      </c>
      <c r="C707" s="154" t="s">
        <v>22</v>
      </c>
      <c r="D707" s="154" t="s">
        <v>2899</v>
      </c>
      <c r="E707" s="159" t="s">
        <v>2900</v>
      </c>
      <c r="F707" s="170" t="s">
        <v>69</v>
      </c>
      <c r="G707" s="155" t="s">
        <v>79</v>
      </c>
      <c r="H707" s="156" t="s">
        <v>2901</v>
      </c>
      <c r="I707" s="203">
        <v>46245</v>
      </c>
      <c r="J707" s="203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>
      <c r="A708" s="156" t="s">
        <v>2902</v>
      </c>
      <c r="B708" s="137">
        <v>2026</v>
      </c>
      <c r="C708" s="154" t="s">
        <v>22</v>
      </c>
      <c r="D708" s="154" t="s">
        <v>2903</v>
      </c>
      <c r="E708" s="159" t="s">
        <v>2904</v>
      </c>
      <c r="F708" s="170" t="s">
        <v>69</v>
      </c>
      <c r="G708" s="155" t="s">
        <v>79</v>
      </c>
      <c r="H708" s="156" t="s">
        <v>2897</v>
      </c>
      <c r="I708" s="203">
        <v>46244</v>
      </c>
      <c r="J708" s="203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2905</v>
      </c>
    </row>
    <row r="709" spans="1:21" ht="15">
      <c r="A709" s="156" t="s">
        <v>2906</v>
      </c>
      <c r="B709" s="137">
        <v>2026</v>
      </c>
      <c r="C709" s="154" t="s">
        <v>2697</v>
      </c>
      <c r="D709" s="154" t="s">
        <v>2907</v>
      </c>
      <c r="E709" s="159" t="s">
        <v>2908</v>
      </c>
      <c r="F709" s="170" t="s">
        <v>24</v>
      </c>
      <c r="G709" s="155" t="s">
        <v>75</v>
      </c>
      <c r="H709" s="156" t="s">
        <v>2909</v>
      </c>
      <c r="I709" s="203">
        <v>46344</v>
      </c>
      <c r="J709" s="203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2910</v>
      </c>
      <c r="U709" s="105"/>
    </row>
    <row r="710" spans="1:21" ht="15">
      <c r="A710" s="156" t="s">
        <v>2911</v>
      </c>
      <c r="B710" s="137">
        <v>2026</v>
      </c>
      <c r="C710" s="154" t="s">
        <v>22</v>
      </c>
      <c r="D710" s="154" t="s">
        <v>2912</v>
      </c>
      <c r="E710" s="159" t="s">
        <v>2913</v>
      </c>
      <c r="F710" s="170" t="s">
        <v>69</v>
      </c>
      <c r="G710" s="155" t="s">
        <v>79</v>
      </c>
      <c r="H710" s="156" t="s">
        <v>2914</v>
      </c>
      <c r="I710" s="203">
        <v>46223</v>
      </c>
      <c r="J710" s="203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>
      <c r="A711" s="156" t="s">
        <v>2915</v>
      </c>
      <c r="B711" s="137">
        <v>2026</v>
      </c>
      <c r="C711" s="154" t="s">
        <v>22</v>
      </c>
      <c r="D711" s="154" t="s">
        <v>2916</v>
      </c>
      <c r="E711" s="159" t="s">
        <v>2917</v>
      </c>
      <c r="F711" s="170" t="s">
        <v>24</v>
      </c>
      <c r="G711" s="155" t="s">
        <v>206</v>
      </c>
      <c r="H711" s="156" t="s">
        <v>2897</v>
      </c>
      <c r="I711" s="156" t="s">
        <v>2897</v>
      </c>
      <c r="J711" s="156" t="s">
        <v>2897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2918</v>
      </c>
    </row>
    <row r="712" spans="1:21" ht="15">
      <c r="A712" s="122" t="s">
        <v>2919</v>
      </c>
      <c r="B712" s="137">
        <v>2026</v>
      </c>
      <c r="C712" s="118" t="s">
        <v>22</v>
      </c>
      <c r="D712" s="122" t="s">
        <v>2920</v>
      </c>
      <c r="E712" s="119" t="s">
        <v>2921</v>
      </c>
      <c r="F712" s="120" t="s">
        <v>69</v>
      </c>
      <c r="G712" s="121" t="s">
        <v>79</v>
      </c>
      <c r="H712" s="122" t="s">
        <v>2922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2923</v>
      </c>
      <c r="B713" s="137">
        <v>2026</v>
      </c>
      <c r="C713" s="118" t="s">
        <v>22</v>
      </c>
      <c r="D713" s="122" t="s">
        <v>2920</v>
      </c>
      <c r="E713" s="119" t="s">
        <v>2924</v>
      </c>
      <c r="F713" s="120" t="s">
        <v>69</v>
      </c>
      <c r="G713" s="121" t="s">
        <v>79</v>
      </c>
      <c r="H713" s="122" t="s">
        <v>2925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2926</v>
      </c>
      <c r="B714" s="137">
        <v>2026</v>
      </c>
      <c r="C714" s="154" t="s">
        <v>22</v>
      </c>
      <c r="D714" s="154" t="s">
        <v>2927</v>
      </c>
      <c r="E714" s="159" t="s">
        <v>2928</v>
      </c>
      <c r="F714" s="170" t="s">
        <v>88</v>
      </c>
      <c r="G714" s="155" t="s">
        <v>2717</v>
      </c>
      <c r="H714" s="156" t="s">
        <v>2929</v>
      </c>
      <c r="I714" s="203">
        <v>46254</v>
      </c>
      <c r="J714" s="203">
        <v>46254</v>
      </c>
      <c r="K714" s="154" t="s">
        <v>38</v>
      </c>
      <c r="L714" s="160">
        <v>3608.07</v>
      </c>
      <c r="M714" s="183"/>
      <c r="N714" s="214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2930</v>
      </c>
    </row>
    <row r="715" spans="1:21" ht="30">
      <c r="A715" s="156" t="s">
        <v>2931</v>
      </c>
      <c r="B715" s="137">
        <v>2026</v>
      </c>
      <c r="C715" s="154" t="s">
        <v>22</v>
      </c>
      <c r="D715" s="154" t="s">
        <v>2927</v>
      </c>
      <c r="E715" s="159" t="s">
        <v>2932</v>
      </c>
      <c r="F715" s="170" t="s">
        <v>88</v>
      </c>
      <c r="G715" s="155" t="s">
        <v>2717</v>
      </c>
      <c r="H715" s="156" t="s">
        <v>2933</v>
      </c>
      <c r="I715" s="203">
        <v>46255</v>
      </c>
      <c r="J715" s="203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2930</v>
      </c>
    </row>
    <row r="716" spans="1:21" ht="15">
      <c r="A716" s="156" t="s">
        <v>2934</v>
      </c>
      <c r="B716" s="137">
        <v>2026</v>
      </c>
      <c r="C716" s="154" t="s">
        <v>2697</v>
      </c>
      <c r="D716" s="154" t="s">
        <v>2927</v>
      </c>
      <c r="E716" s="159" t="s">
        <v>2935</v>
      </c>
      <c r="F716" s="170" t="s">
        <v>88</v>
      </c>
      <c r="G716" s="155" t="s">
        <v>2717</v>
      </c>
      <c r="H716" s="156" t="s">
        <v>2936</v>
      </c>
      <c r="I716" s="203">
        <v>46289</v>
      </c>
      <c r="J716" s="203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2937</v>
      </c>
      <c r="B717" s="137">
        <v>2026</v>
      </c>
      <c r="C717" s="154" t="s">
        <v>2697</v>
      </c>
      <c r="D717" s="154" t="s">
        <v>2927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203">
        <v>46290</v>
      </c>
      <c r="J717" s="203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2940</v>
      </c>
      <c r="B718" s="137">
        <v>2026</v>
      </c>
      <c r="C718" s="154" t="s">
        <v>2697</v>
      </c>
      <c r="D718" s="154" t="s">
        <v>2927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203">
        <v>46303</v>
      </c>
      <c r="J718" s="203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2943</v>
      </c>
      <c r="B719" s="137">
        <v>2026</v>
      </c>
      <c r="C719" s="154" t="s">
        <v>2697</v>
      </c>
      <c r="D719" s="154" t="s">
        <v>2927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203">
        <v>46304</v>
      </c>
      <c r="J719" s="203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>
      <c r="A721" s="122" t="s">
        <v>2951</v>
      </c>
      <c r="B721" s="137">
        <v>2026</v>
      </c>
      <c r="C721" s="137" t="s">
        <v>22</v>
      </c>
      <c r="D721" s="137" t="s">
        <v>2927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80</v>
      </c>
      <c r="O721" s="143">
        <v>0</v>
      </c>
      <c r="P721" s="185">
        <v>0</v>
      </c>
      <c r="Q721" s="143">
        <v>80</v>
      </c>
      <c r="R721" s="143">
        <f>SUM(O721:Q721)</f>
        <v>80</v>
      </c>
      <c r="S721" s="137">
        <v>4</v>
      </c>
      <c r="T721" s="163" t="s">
        <v>2954</v>
      </c>
    </row>
    <row r="722" spans="1:20" ht="45">
      <c r="A722" s="122" t="s">
        <v>2955</v>
      </c>
      <c r="B722" s="118">
        <v>2026</v>
      </c>
      <c r="C722" s="118" t="s">
        <v>22</v>
      </c>
      <c r="D722" s="118" t="s">
        <v>2927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80</v>
      </c>
      <c r="O722" s="125">
        <v>0</v>
      </c>
      <c r="P722" s="186">
        <v>0</v>
      </c>
      <c r="Q722" s="125">
        <v>80</v>
      </c>
      <c r="R722" s="125">
        <f>SUM(O722:Q722)</f>
        <v>80</v>
      </c>
      <c r="S722" s="118">
        <v>4</v>
      </c>
      <c r="T722" s="148" t="s">
        <v>2958</v>
      </c>
    </row>
    <row r="723" spans="1:20" ht="1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203">
        <v>46148</v>
      </c>
      <c r="J723" s="203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203">
        <v>46167</v>
      </c>
      <c r="J724" s="203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203">
        <v>46183</v>
      </c>
      <c r="J725" s="203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2970</v>
      </c>
      <c r="B726" s="154">
        <v>2026</v>
      </c>
      <c r="C726" s="154" t="s">
        <v>2697</v>
      </c>
      <c r="D726" s="154" t="s">
        <v>2960</v>
      </c>
      <c r="E726" s="159" t="s">
        <v>2971</v>
      </c>
      <c r="F726" s="170" t="s">
        <v>88</v>
      </c>
      <c r="G726" s="155" t="s">
        <v>2717</v>
      </c>
      <c r="H726" s="156"/>
      <c r="I726" s="203"/>
      <c r="J726" s="203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>
      <c r="A727" s="156" t="s">
        <v>2972</v>
      </c>
      <c r="B727" s="154">
        <v>2026</v>
      </c>
      <c r="C727" s="154" t="s">
        <v>2697</v>
      </c>
      <c r="D727" s="154" t="s">
        <v>2960</v>
      </c>
      <c r="E727" s="159" t="s">
        <v>2973</v>
      </c>
      <c r="F727" s="170" t="s">
        <v>88</v>
      </c>
      <c r="G727" s="155" t="s">
        <v>2717</v>
      </c>
      <c r="H727" s="156"/>
      <c r="I727" s="203"/>
      <c r="J727" s="203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>
      <c r="A728" s="156" t="s">
        <v>2974</v>
      </c>
      <c r="B728" s="154">
        <v>2026</v>
      </c>
      <c r="C728" s="154" t="s">
        <v>22</v>
      </c>
      <c r="D728" s="154" t="s">
        <v>2960</v>
      </c>
      <c r="E728" s="159" t="s">
        <v>2975</v>
      </c>
      <c r="F728" s="170" t="s">
        <v>88</v>
      </c>
      <c r="G728" s="155" t="s">
        <v>2717</v>
      </c>
      <c r="H728" s="156" t="s">
        <v>2976</v>
      </c>
      <c r="I728" s="203">
        <v>46267</v>
      </c>
      <c r="J728" s="203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>
      <c r="A729" s="156" t="s">
        <v>2977</v>
      </c>
      <c r="B729" s="154">
        <v>2026</v>
      </c>
      <c r="C729" s="154" t="s">
        <v>2697</v>
      </c>
      <c r="D729" s="154" t="s">
        <v>2960</v>
      </c>
      <c r="E729" s="159" t="s">
        <v>2978</v>
      </c>
      <c r="F729" s="170" t="s">
        <v>88</v>
      </c>
      <c r="G729" s="155" t="s">
        <v>2717</v>
      </c>
      <c r="H729" s="156"/>
      <c r="I729" s="203"/>
      <c r="J729" s="203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>
      <c r="A730" s="156" t="s">
        <v>2979</v>
      </c>
      <c r="B730" s="154">
        <v>2026</v>
      </c>
      <c r="C730" s="154" t="s">
        <v>2697</v>
      </c>
      <c r="D730" s="154" t="s">
        <v>2960</v>
      </c>
      <c r="E730" s="213" t="s">
        <v>2980</v>
      </c>
      <c r="F730" s="170" t="s">
        <v>88</v>
      </c>
      <c r="G730" s="155" t="s">
        <v>2717</v>
      </c>
      <c r="H730" s="156"/>
      <c r="I730" s="203"/>
      <c r="J730" s="203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>
      <c r="A731" s="156" t="s">
        <v>2981</v>
      </c>
      <c r="B731" s="154">
        <v>2026</v>
      </c>
      <c r="C731" s="154" t="s">
        <v>2697</v>
      </c>
      <c r="D731" s="154" t="s">
        <v>2960</v>
      </c>
      <c r="E731" s="213" t="s">
        <v>2982</v>
      </c>
      <c r="F731" s="170" t="s">
        <v>88</v>
      </c>
      <c r="G731" s="155" t="s">
        <v>2717</v>
      </c>
      <c r="H731" s="156" t="s">
        <v>2983</v>
      </c>
      <c r="I731" s="203"/>
      <c r="J731" s="203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>
      <c r="A732" s="156" t="s">
        <v>2984</v>
      </c>
      <c r="B732" s="154">
        <v>2026</v>
      </c>
      <c r="C732" s="154" t="s">
        <v>2697</v>
      </c>
      <c r="D732" s="154" t="s">
        <v>2985</v>
      </c>
      <c r="E732" s="159" t="s">
        <v>2986</v>
      </c>
      <c r="F732" s="170" t="s">
        <v>24</v>
      </c>
      <c r="G732" s="155" t="s">
        <v>206</v>
      </c>
      <c r="H732" s="156"/>
      <c r="I732" s="203"/>
      <c r="J732" s="203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>
      <c r="A733" s="156" t="s">
        <v>2987</v>
      </c>
      <c r="B733" s="154">
        <v>2026</v>
      </c>
      <c r="C733" s="154" t="s">
        <v>2697</v>
      </c>
      <c r="D733" s="154"/>
      <c r="E733" s="213" t="s">
        <v>2988</v>
      </c>
      <c r="F733" s="170" t="s">
        <v>24</v>
      </c>
      <c r="G733" s="155" t="s">
        <v>2717</v>
      </c>
      <c r="H733" s="156" t="s">
        <v>2989</v>
      </c>
      <c r="I733" s="203">
        <v>46343</v>
      </c>
      <c r="J733" s="203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>
      <c r="A734" s="156" t="s">
        <v>2990</v>
      </c>
      <c r="B734" s="154">
        <v>2026</v>
      </c>
      <c r="C734" s="154" t="s">
        <v>2697</v>
      </c>
      <c r="D734" s="154" t="s">
        <v>2991</v>
      </c>
      <c r="E734" s="159" t="s">
        <v>2992</v>
      </c>
      <c r="F734" s="170" t="s">
        <v>88</v>
      </c>
      <c r="G734" s="155" t="s">
        <v>42</v>
      </c>
      <c r="H734" s="156"/>
      <c r="I734" s="203"/>
      <c r="J734" s="203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2993</v>
      </c>
      <c r="E735" s="159" t="s">
        <v>2994</v>
      </c>
      <c r="F735" s="170" t="s">
        <v>24</v>
      </c>
      <c r="G735" s="155" t="s">
        <v>206</v>
      </c>
      <c r="H735" s="156" t="s">
        <v>2995</v>
      </c>
      <c r="I735" s="203">
        <v>46122</v>
      </c>
      <c r="J735" s="203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2996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2997</v>
      </c>
      <c r="E736" s="159" t="s">
        <v>2998</v>
      </c>
      <c r="F736" s="170"/>
      <c r="G736" s="155" t="s">
        <v>42</v>
      </c>
      <c r="H736" s="156"/>
      <c r="I736" s="203"/>
      <c r="J736" s="203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>
      <c r="A737" s="156" t="s">
        <v>2999</v>
      </c>
      <c r="B737" s="154">
        <v>2026</v>
      </c>
      <c r="C737" s="154" t="s">
        <v>22</v>
      </c>
      <c r="D737" s="154" t="s">
        <v>3000</v>
      </c>
      <c r="E737" s="159" t="s">
        <v>3001</v>
      </c>
      <c r="F737" s="170" t="s">
        <v>69</v>
      </c>
      <c r="G737" s="155" t="s">
        <v>79</v>
      </c>
      <c r="H737" s="156" t="s">
        <v>3002</v>
      </c>
      <c r="I737" s="203">
        <v>46267</v>
      </c>
      <c r="J737" s="203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>
      <c r="A738" s="156" t="s">
        <v>3003</v>
      </c>
      <c r="B738" s="154">
        <v>2026</v>
      </c>
      <c r="C738" s="154" t="s">
        <v>2566</v>
      </c>
      <c r="D738" s="154" t="s">
        <v>3004</v>
      </c>
      <c r="E738" s="159" t="s">
        <v>3005</v>
      </c>
      <c r="F738" s="170" t="s">
        <v>69</v>
      </c>
      <c r="G738" s="155" t="s">
        <v>2694</v>
      </c>
      <c r="H738" s="156" t="s">
        <v>3006</v>
      </c>
      <c r="I738" s="203">
        <v>46273</v>
      </c>
      <c r="J738" s="203">
        <v>46275</v>
      </c>
      <c r="K738" s="154" t="s">
        <v>38</v>
      </c>
      <c r="L738" s="160">
        <v>11246.83</v>
      </c>
      <c r="M738" s="183"/>
      <c r="N738" s="158">
        <v>30</v>
      </c>
      <c r="O738" s="158"/>
      <c r="P738" s="158"/>
      <c r="Q738" s="158"/>
      <c r="R738" s="158">
        <f t="shared" si="14"/>
        <v>0</v>
      </c>
      <c r="S738" s="154">
        <v>12</v>
      </c>
      <c r="T738" s="155" t="s">
        <v>3007</v>
      </c>
    </row>
    <row r="739" spans="1:20" ht="15">
      <c r="A739" s="156" t="s">
        <v>3008</v>
      </c>
      <c r="B739" s="154">
        <v>2026</v>
      </c>
      <c r="C739" s="154" t="s">
        <v>22</v>
      </c>
      <c r="D739" s="154" t="s">
        <v>3009</v>
      </c>
      <c r="E739" s="159" t="s">
        <v>3010</v>
      </c>
      <c r="F739" s="170" t="s">
        <v>24</v>
      </c>
      <c r="G739" s="155" t="s">
        <v>2700</v>
      </c>
      <c r="H739" s="156" t="s">
        <v>3011</v>
      </c>
      <c r="I739" s="203">
        <v>46266</v>
      </c>
      <c r="J739" s="203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>
      <c r="A740" s="156" t="s">
        <v>3012</v>
      </c>
      <c r="B740" s="154">
        <v>2026</v>
      </c>
      <c r="C740" s="154" t="s">
        <v>2697</v>
      </c>
      <c r="D740" s="154" t="s">
        <v>3013</v>
      </c>
      <c r="E740" s="159" t="s">
        <v>3014</v>
      </c>
      <c r="F740" s="170" t="s">
        <v>24</v>
      </c>
      <c r="G740" s="155" t="s">
        <v>2700</v>
      </c>
      <c r="H740" s="156" t="s">
        <v>3015</v>
      </c>
      <c r="I740" s="203">
        <v>46311</v>
      </c>
      <c r="J740" s="203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>
      <c r="A741" s="156" t="s">
        <v>3016</v>
      </c>
      <c r="B741" s="154">
        <v>2026</v>
      </c>
      <c r="C741" s="154" t="s">
        <v>2697</v>
      </c>
      <c r="D741" s="154" t="s">
        <v>3017</v>
      </c>
      <c r="E741" s="159" t="s">
        <v>3018</v>
      </c>
      <c r="F741" s="170" t="s">
        <v>24</v>
      </c>
      <c r="G741" s="155" t="s">
        <v>2700</v>
      </c>
      <c r="H741" s="156" t="s">
        <v>3019</v>
      </c>
      <c r="I741" s="203">
        <v>46286</v>
      </c>
      <c r="J741" s="203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>
      <c r="A742" s="156" t="s">
        <v>3020</v>
      </c>
      <c r="B742" s="154">
        <v>2026</v>
      </c>
      <c r="C742" s="154" t="s">
        <v>2697</v>
      </c>
      <c r="D742" s="154" t="s">
        <v>3017</v>
      </c>
      <c r="E742" s="159" t="s">
        <v>3021</v>
      </c>
      <c r="F742" s="170" t="s">
        <v>24</v>
      </c>
      <c r="G742" s="155" t="s">
        <v>2700</v>
      </c>
      <c r="H742" s="156" t="s">
        <v>3022</v>
      </c>
      <c r="I742" s="203">
        <v>46322</v>
      </c>
      <c r="J742" s="203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>
      <c r="A743" s="156" t="s">
        <v>3023</v>
      </c>
      <c r="B743" s="154">
        <v>2027</v>
      </c>
      <c r="C743" s="154" t="s">
        <v>2697</v>
      </c>
      <c r="D743" s="154" t="s">
        <v>3024</v>
      </c>
      <c r="E743" s="159" t="s">
        <v>3025</v>
      </c>
      <c r="F743" s="170" t="s">
        <v>24</v>
      </c>
      <c r="G743" s="155" t="s">
        <v>206</v>
      </c>
      <c r="H743" s="156" t="s">
        <v>3026</v>
      </c>
      <c r="I743" s="203">
        <v>46283</v>
      </c>
      <c r="J743" s="203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2996</v>
      </c>
    </row>
    <row r="744" spans="1:20" ht="15">
      <c r="A744" s="156" t="s">
        <v>3027</v>
      </c>
      <c r="B744" s="154">
        <v>2026</v>
      </c>
      <c r="C744" s="154" t="s">
        <v>2697</v>
      </c>
      <c r="D744" s="154" t="s">
        <v>3028</v>
      </c>
      <c r="E744" s="166" t="s">
        <v>3029</v>
      </c>
      <c r="F744" s="170" t="s">
        <v>24</v>
      </c>
      <c r="G744" s="155" t="s">
        <v>206</v>
      </c>
      <c r="H744" s="156" t="s">
        <v>3030</v>
      </c>
      <c r="I744" s="203">
        <v>46314</v>
      </c>
      <c r="J744" s="203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>
      <c r="A745" s="156" t="s">
        <v>3031</v>
      </c>
      <c r="B745" s="154">
        <v>2026</v>
      </c>
      <c r="C745" s="154" t="s">
        <v>2697</v>
      </c>
      <c r="D745" s="154" t="s">
        <v>3028</v>
      </c>
      <c r="E745" s="166" t="s">
        <v>3032</v>
      </c>
      <c r="F745" s="170" t="s">
        <v>24</v>
      </c>
      <c r="G745" s="155" t="s">
        <v>206</v>
      </c>
      <c r="H745" s="156" t="s">
        <v>3033</v>
      </c>
      <c r="I745" s="203">
        <v>46349</v>
      </c>
      <c r="J745" s="203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>
      <c r="A746" s="154" t="str">
        <f ca="1">IF(E746="","",IF(B746="",YEAR(TODAY()),B746)&amp;"-"&amp;TEXT(COUNTIF($B$2:B746,IF(B746="",YEAR(TODAY()),B746))+COUNTIFS($E$2:E746,"&lt;&gt;",$B$2:B746,""),"000"))</f>
        <v/>
      </c>
      <c r="B746" s="154"/>
      <c r="C746" s="154"/>
      <c r="D746" s="154"/>
      <c r="E746" s="159"/>
      <c r="F746" s="170"/>
      <c r="G746" s="155"/>
      <c r="H746" s="156"/>
      <c r="I746" s="203"/>
      <c r="J746" s="203"/>
      <c r="K746" s="154"/>
      <c r="L746" s="160"/>
      <c r="M746" s="183"/>
      <c r="N746" s="158"/>
      <c r="O746" s="158"/>
      <c r="P746" s="158"/>
      <c r="Q746" s="158"/>
      <c r="R746" s="158" t="str">
        <f t="shared" si="14"/>
        <v/>
      </c>
      <c r="S746" s="154"/>
      <c r="T746" s="155"/>
    </row>
    <row r="747" spans="1:20" ht="15">
      <c r="A747" s="154" t="str">
        <f ca="1">IF(E747="","",IF(B747="",YEAR(TODAY()),B747)&amp;"-"&amp;TEXT(COUNTIF($B$2:B747,IF(B747="",YEAR(TODAY()),B747))+COUNTIFS($E$2:E747,"&lt;&gt;",$B$2:B747,""),"000"))</f>
        <v/>
      </c>
      <c r="B747" s="154"/>
      <c r="C747" s="154"/>
      <c r="D747" s="154"/>
      <c r="E747" s="159"/>
      <c r="F747" s="170"/>
      <c r="G747" s="155"/>
      <c r="H747" s="156"/>
      <c r="I747" s="203"/>
      <c r="J747" s="203"/>
      <c r="K747" s="154"/>
      <c r="L747" s="160"/>
      <c r="M747" s="183"/>
      <c r="N747" s="158"/>
      <c r="O747" s="158"/>
      <c r="P747" s="158"/>
      <c r="Q747" s="158"/>
      <c r="R747" s="158" t="str">
        <f t="shared" si="14"/>
        <v/>
      </c>
      <c r="S747" s="154"/>
      <c r="T747" s="155"/>
    </row>
    <row r="748" spans="1:20" ht="1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203"/>
      <c r="J748" s="203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203"/>
      <c r="J749" s="203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203"/>
      <c r="J750" s="203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203"/>
      <c r="J751" s="203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203"/>
      <c r="J752" s="203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203"/>
      <c r="J753" s="203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203"/>
      <c r="J754" s="203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203"/>
      <c r="J755" s="203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203"/>
      <c r="J756" s="203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203"/>
      <c r="J757" s="203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203"/>
      <c r="J758" s="203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203"/>
      <c r="J759" s="203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203"/>
      <c r="J760" s="203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203"/>
      <c r="J761" s="203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203"/>
      <c r="J762" s="203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203"/>
      <c r="J763" s="203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203"/>
      <c r="J764" s="203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203"/>
      <c r="J765" s="203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203"/>
      <c r="J766" s="203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203"/>
      <c r="J767" s="203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203"/>
      <c r="J768" s="203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203"/>
      <c r="J769" s="203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203"/>
      <c r="J770" s="203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203"/>
      <c r="J771" s="203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203"/>
      <c r="J772" s="203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203"/>
      <c r="J773" s="203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203"/>
      <c r="J774" s="203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203"/>
      <c r="J775" s="203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203"/>
      <c r="J776" s="203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203"/>
      <c r="J777" s="203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203"/>
      <c r="J778" s="203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203"/>
      <c r="J779" s="203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203"/>
      <c r="J780" s="203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203"/>
      <c r="J781" s="203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203"/>
      <c r="J782" s="203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203"/>
      <c r="J783" s="203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203"/>
      <c r="J784" s="203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203"/>
      <c r="J785" s="203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203"/>
      <c r="J786" s="203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203"/>
      <c r="J787" s="203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203"/>
      <c r="J788" s="203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203"/>
      <c r="J789" s="203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203"/>
      <c r="J790" s="203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203"/>
      <c r="J791" s="203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203"/>
      <c r="J792" s="203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203"/>
      <c r="J793" s="203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203"/>
      <c r="J794" s="203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203"/>
      <c r="J795" s="203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203"/>
      <c r="J796" s="203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203"/>
      <c r="J797" s="203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203"/>
      <c r="J798" s="203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203"/>
      <c r="J799" s="203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203"/>
      <c r="J800" s="203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203"/>
      <c r="J801" s="203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203"/>
      <c r="J802" s="203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203"/>
      <c r="J803" s="203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203"/>
      <c r="J804" s="203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203"/>
      <c r="J805" s="203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203"/>
      <c r="J806" s="203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203"/>
      <c r="J807" s="203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203"/>
      <c r="J808" s="203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203"/>
      <c r="J809" s="203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203"/>
      <c r="J810" s="203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203"/>
      <c r="J811" s="203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203"/>
      <c r="J812" s="203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203"/>
      <c r="J813" s="203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203"/>
      <c r="J814" s="203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203"/>
      <c r="J815" s="203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203"/>
      <c r="J816" s="203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203"/>
      <c r="J817" s="203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203"/>
      <c r="J818" s="203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203"/>
      <c r="J819" s="203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203"/>
      <c r="J820" s="203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203"/>
      <c r="J821" s="203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203"/>
      <c r="J822" s="203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203"/>
      <c r="J823" s="203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203"/>
      <c r="J824" s="203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203"/>
      <c r="J825" s="203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203"/>
      <c r="J826" s="203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203"/>
      <c r="J827" s="203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203"/>
      <c r="J828" s="203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203"/>
      <c r="J829" s="203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203"/>
      <c r="J830" s="203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203"/>
      <c r="J831" s="203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203"/>
      <c r="J832" s="203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203"/>
      <c r="J833" s="203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203"/>
      <c r="J834" s="203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203"/>
      <c r="J835" s="203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203"/>
      <c r="J836" s="203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203"/>
      <c r="J837" s="203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203"/>
      <c r="J838" s="203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203"/>
      <c r="J839" s="203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203"/>
      <c r="J840" s="203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203"/>
      <c r="J841" s="203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203"/>
      <c r="J842" s="203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203"/>
      <c r="J843" s="203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203"/>
      <c r="J844" s="203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203"/>
      <c r="J845" s="203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203"/>
      <c r="J846" s="203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203"/>
      <c r="J847" s="203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203"/>
      <c r="J848" s="203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203"/>
      <c r="J849" s="203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203"/>
      <c r="J850" s="203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203"/>
      <c r="J851" s="203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203"/>
      <c r="J852" s="203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203"/>
      <c r="J853" s="203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203"/>
      <c r="J854" s="203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203"/>
      <c r="J855" s="203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203"/>
      <c r="J856" s="203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203"/>
      <c r="J857" s="203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203"/>
      <c r="J858" s="203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203"/>
      <c r="J859" s="203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203"/>
      <c r="J860" s="203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203"/>
      <c r="J861" s="203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203"/>
      <c r="J862" s="203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203"/>
      <c r="J863" s="203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203"/>
      <c r="J864" s="203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203"/>
      <c r="J865" s="203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203"/>
      <c r="J866" s="203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203"/>
      <c r="J867" s="203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203"/>
      <c r="J868" s="203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203"/>
      <c r="J869" s="203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203"/>
      <c r="J870" s="203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203"/>
      <c r="J871" s="203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203"/>
      <c r="J872" s="203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203"/>
      <c r="J873" s="203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203"/>
      <c r="J874" s="203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203"/>
      <c r="J875" s="203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203"/>
      <c r="J876" s="203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203"/>
      <c r="J877" s="203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203"/>
      <c r="J878" s="203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203"/>
      <c r="J879" s="203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203"/>
      <c r="J880" s="203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203"/>
      <c r="J881" s="203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203"/>
      <c r="J882" s="203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203"/>
      <c r="J883" s="203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203"/>
      <c r="J884" s="203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203"/>
      <c r="J885" s="203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203"/>
      <c r="J886" s="203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203"/>
      <c r="J887" s="203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203"/>
      <c r="J888" s="203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203"/>
      <c r="J889" s="203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203"/>
      <c r="J890" s="203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203"/>
      <c r="J891" s="203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203"/>
      <c r="J892" s="203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203"/>
      <c r="J893" s="203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203"/>
      <c r="J894" s="203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203"/>
      <c r="J895" s="203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203"/>
      <c r="J896" s="203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203"/>
      <c r="J897" s="203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203"/>
      <c r="J898" s="203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203"/>
      <c r="J899" s="203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203"/>
      <c r="J900" s="203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203"/>
      <c r="J901" s="203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203"/>
      <c r="J902" s="203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203"/>
      <c r="J903" s="203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203"/>
      <c r="J904" s="203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203"/>
      <c r="J905" s="203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203"/>
      <c r="J906" s="203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203"/>
      <c r="J907" s="203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203"/>
      <c r="J908" s="203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203"/>
      <c r="J909" s="203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203"/>
      <c r="J910" s="203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203"/>
      <c r="J911" s="203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203"/>
      <c r="J912" s="203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203"/>
      <c r="J913" s="203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203"/>
      <c r="J914" s="203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203"/>
      <c r="J915" s="203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203"/>
      <c r="J916" s="203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203"/>
      <c r="J917" s="203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203"/>
      <c r="J918" s="203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203"/>
      <c r="J919" s="203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203"/>
      <c r="J920" s="203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203"/>
      <c r="J921" s="203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203"/>
      <c r="J922" s="203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203"/>
      <c r="J923" s="203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203"/>
      <c r="J924" s="203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203"/>
      <c r="J925" s="203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203"/>
      <c r="J926" s="203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203"/>
      <c r="J927" s="203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203"/>
      <c r="J928" s="203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203"/>
      <c r="J929" s="203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203"/>
      <c r="J930" s="203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203"/>
      <c r="J931" s="203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203"/>
      <c r="J932" s="203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203"/>
      <c r="J933" s="203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203"/>
      <c r="J934" s="203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203"/>
      <c r="J935" s="203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203"/>
      <c r="J936" s="203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203"/>
      <c r="J937" s="203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203"/>
      <c r="J938" s="203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203"/>
      <c r="J939" s="203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203"/>
      <c r="J940" s="203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203"/>
      <c r="J941" s="203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203"/>
      <c r="J942" s="203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203"/>
      <c r="J943" s="203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203"/>
      <c r="J944" s="203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203"/>
      <c r="J945" s="203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203"/>
      <c r="J946" s="203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203"/>
      <c r="J947" s="203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203"/>
      <c r="J948" s="203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203"/>
      <c r="J949" s="203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203"/>
      <c r="J950" s="203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203"/>
      <c r="J951" s="203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203"/>
      <c r="J952" s="203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203"/>
      <c r="J953" s="203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203"/>
      <c r="J954" s="203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203"/>
      <c r="J955" s="203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203"/>
      <c r="J956" s="203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203"/>
      <c r="J957" s="203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203"/>
      <c r="J958" s="203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203"/>
      <c r="J959" s="203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203"/>
      <c r="J960" s="203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203"/>
      <c r="J961" s="203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203"/>
      <c r="J962" s="203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203"/>
      <c r="J963" s="203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203"/>
      <c r="J964" s="203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203"/>
      <c r="J965" s="203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203"/>
      <c r="J966" s="203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203"/>
      <c r="J967" s="203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203"/>
      <c r="J968" s="203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203"/>
      <c r="J969" s="203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203"/>
      <c r="J970" s="203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203"/>
      <c r="J971" s="203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203"/>
      <c r="J972" s="203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203"/>
      <c r="J973" s="203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203"/>
      <c r="J974" s="203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203"/>
      <c r="J975" s="203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203"/>
      <c r="J976" s="203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203"/>
      <c r="J977" s="203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203"/>
      <c r="J978" s="203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203"/>
      <c r="J979" s="203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203"/>
      <c r="J980" s="203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203"/>
      <c r="J981" s="203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203"/>
      <c r="J982" s="203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203"/>
      <c r="J983" s="203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203"/>
      <c r="J984" s="203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203"/>
      <c r="J985" s="203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203"/>
      <c r="J986" s="203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203"/>
      <c r="J987" s="203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203"/>
      <c r="J988" s="203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203"/>
      <c r="J989" s="203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203"/>
      <c r="J990" s="203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203"/>
      <c r="J991" s="203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203"/>
      <c r="J992" s="203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203"/>
      <c r="J993" s="203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203"/>
      <c r="J994" s="203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203"/>
      <c r="J995" s="203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203"/>
      <c r="J996" s="203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203"/>
      <c r="J997" s="203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203"/>
      <c r="J998" s="203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203"/>
      <c r="J999" s="203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203"/>
      <c r="J1000" s="203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203"/>
      <c r="J1001" s="203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203"/>
      <c r="J1002" s="203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203"/>
      <c r="J1003" s="203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203"/>
      <c r="J1004" s="203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203"/>
      <c r="J1005" s="203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203"/>
      <c r="J1006" s="203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203"/>
      <c r="J1007" s="203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203"/>
      <c r="J1008" s="203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203"/>
      <c r="J1009" s="203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203"/>
      <c r="J1010" s="203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203"/>
      <c r="J1011" s="203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203"/>
      <c r="J1012" s="203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203"/>
      <c r="J1013" s="203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203"/>
      <c r="J1014" s="203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203"/>
      <c r="J1015" s="203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203"/>
      <c r="J1016" s="203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203"/>
      <c r="J1017" s="203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203"/>
      <c r="J1018" s="203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203"/>
      <c r="J1019" s="203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203"/>
      <c r="J1020" s="203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203"/>
      <c r="J1021" s="203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203"/>
      <c r="J1022" s="203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203"/>
      <c r="J1023" s="203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203"/>
      <c r="J1024" s="203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203"/>
      <c r="J1025" s="203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203"/>
      <c r="J1026" s="203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203"/>
      <c r="J1027" s="203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203"/>
      <c r="J1028" s="203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203"/>
      <c r="J1029" s="203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203"/>
      <c r="J1030" s="203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203"/>
      <c r="J1031" s="203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203"/>
      <c r="J1032" s="203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203"/>
      <c r="J1033" s="203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203"/>
      <c r="J1034" s="203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203"/>
      <c r="J1035" s="203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203"/>
      <c r="J1036" s="203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203"/>
      <c r="J1037" s="203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203"/>
      <c r="J1038" s="203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203"/>
      <c r="J1039" s="203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203"/>
      <c r="J1040" s="203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203"/>
      <c r="J1041" s="203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203"/>
      <c r="J1042" s="203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203"/>
      <c r="J1043" s="203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203"/>
      <c r="J1044" s="203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203"/>
      <c r="J1045" s="203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203"/>
      <c r="J1046" s="203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203"/>
      <c r="J1047" s="203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203"/>
      <c r="J1048" s="203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203"/>
      <c r="J1049" s="203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203"/>
      <c r="J1050" s="203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203"/>
      <c r="J1051" s="203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203"/>
      <c r="J1052" s="203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203"/>
      <c r="J1053" s="203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203"/>
      <c r="J1054" s="203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203"/>
      <c r="J1055" s="203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203"/>
      <c r="J1056" s="203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203"/>
      <c r="J1057" s="203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203"/>
      <c r="J1058" s="203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203"/>
      <c r="J1059" s="203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203"/>
      <c r="J1060" s="203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203"/>
      <c r="J1061" s="203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203"/>
      <c r="J1062" s="203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203"/>
      <c r="J1063" s="203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203"/>
      <c r="J1064" s="203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203"/>
      <c r="J1065" s="203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203"/>
      <c r="J1066" s="203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203"/>
      <c r="J1067" s="203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203"/>
      <c r="J1068" s="203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203"/>
      <c r="J1069" s="203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203"/>
      <c r="J1070" s="203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203"/>
      <c r="J1071" s="203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203"/>
      <c r="J1072" s="203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203"/>
      <c r="J1073" s="203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203"/>
      <c r="J1074" s="203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203"/>
      <c r="J1075" s="203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203"/>
      <c r="J1076" s="203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203"/>
      <c r="J1077" s="203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203"/>
      <c r="J1078" s="203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203"/>
      <c r="J1079" s="203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203"/>
      <c r="J1080" s="203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203"/>
      <c r="J1081" s="203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203"/>
      <c r="J1082" s="203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203"/>
      <c r="J1083" s="203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203"/>
      <c r="J1084" s="203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203"/>
      <c r="J1085" s="203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203"/>
      <c r="J1086" s="203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203"/>
      <c r="J1087" s="203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203"/>
      <c r="J1088" s="203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203"/>
      <c r="J1089" s="203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203"/>
      <c r="J1090" s="203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203"/>
      <c r="J1091" s="203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203"/>
      <c r="J1092" s="203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203"/>
      <c r="J1093" s="203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203"/>
      <c r="J1094" s="203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203"/>
      <c r="J1095" s="203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203"/>
      <c r="J1096" s="203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203"/>
      <c r="J1097" s="203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203"/>
      <c r="J1098" s="203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203"/>
      <c r="J1099" s="203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203"/>
      <c r="J1100" s="203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203"/>
      <c r="J1101" s="203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203"/>
      <c r="J1102" s="203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203"/>
      <c r="J1103" s="203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203"/>
      <c r="J1104" s="203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203"/>
      <c r="J1105" s="203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203"/>
      <c r="J1106" s="203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203"/>
      <c r="J1107" s="203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203"/>
      <c r="J1108" s="203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203"/>
      <c r="J1109" s="203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203"/>
      <c r="J1110" s="203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203"/>
      <c r="J1111" s="203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203"/>
      <c r="J1112" s="203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203"/>
      <c r="J1113" s="203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203"/>
      <c r="J1114" s="203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203"/>
      <c r="J1115" s="203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203"/>
      <c r="J1116" s="203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203"/>
      <c r="J1117" s="203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203"/>
      <c r="J1118" s="203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203"/>
      <c r="J1119" s="203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203"/>
      <c r="J1120" s="203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203"/>
      <c r="J1121" s="203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203"/>
      <c r="J1122" s="203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203"/>
      <c r="J1123" s="203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203"/>
      <c r="J1124" s="203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203"/>
      <c r="J1125" s="203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203"/>
      <c r="J1126" s="203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203"/>
      <c r="J1127" s="203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203"/>
      <c r="J1128" s="203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203"/>
      <c r="J1129" s="203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203"/>
      <c r="J1130" s="203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203"/>
      <c r="J1131" s="203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203"/>
      <c r="J1132" s="203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203"/>
      <c r="J1133" s="203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203"/>
      <c r="J1134" s="203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203"/>
      <c r="J1135" s="203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203"/>
      <c r="J1136" s="203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203"/>
      <c r="J1137" s="203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203"/>
      <c r="J1138" s="203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203"/>
      <c r="J1139" s="203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203"/>
      <c r="J1140" s="203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203"/>
      <c r="J1141" s="203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203"/>
      <c r="J1142" s="203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203"/>
      <c r="J1143" s="203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203"/>
      <c r="J1144" s="203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203"/>
      <c r="J1145" s="203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203"/>
      <c r="J1146" s="203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203"/>
      <c r="J1147" s="203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203"/>
      <c r="J1148" s="203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203"/>
      <c r="J1149" s="203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203"/>
      <c r="J1150" s="203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203"/>
      <c r="J1151" s="203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203"/>
      <c r="J1152" s="203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203"/>
      <c r="J1153" s="203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203"/>
      <c r="J1154" s="203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203"/>
      <c r="J1155" s="203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203"/>
      <c r="J1156" s="203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203"/>
      <c r="J1157" s="203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203"/>
      <c r="J1158" s="203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203"/>
      <c r="J1159" s="203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203"/>
      <c r="J1160" s="203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203"/>
      <c r="J1161" s="203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203"/>
      <c r="J1162" s="203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203"/>
      <c r="J1163" s="203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203"/>
      <c r="J1164" s="203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203"/>
      <c r="J1165" s="203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203"/>
      <c r="J1166" s="203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203"/>
      <c r="J1167" s="203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203"/>
      <c r="J1168" s="203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203"/>
      <c r="J1169" s="203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203"/>
      <c r="J1170" s="203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203"/>
      <c r="J1171" s="203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203"/>
      <c r="J1172" s="203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203"/>
      <c r="J1173" s="203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203"/>
      <c r="J1174" s="203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203"/>
      <c r="J1175" s="203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203"/>
      <c r="J1176" s="203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203"/>
      <c r="J1177" s="203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203"/>
      <c r="J1178" s="203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203"/>
      <c r="J1179" s="203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203"/>
      <c r="J1180" s="203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203"/>
      <c r="J1181" s="203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203"/>
      <c r="J1182" s="203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203"/>
      <c r="J1183" s="203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203"/>
      <c r="J1184" s="203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203"/>
      <c r="J1185" s="203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203"/>
      <c r="J1186" s="203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203"/>
      <c r="J1187" s="203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203"/>
      <c r="J1188" s="203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203"/>
      <c r="J1189" s="203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203"/>
      <c r="J1190" s="203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203"/>
      <c r="J1191" s="203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203"/>
      <c r="J1192" s="203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203"/>
      <c r="J1193" s="203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203"/>
      <c r="J1194" s="203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203"/>
      <c r="J1195" s="203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203"/>
      <c r="J1196" s="203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203"/>
      <c r="J1197" s="203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203"/>
      <c r="J1198" s="203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203"/>
      <c r="J1199" s="203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203"/>
      <c r="J1200" s="203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203"/>
      <c r="J1201" s="203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203"/>
      <c r="J1202" s="203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203"/>
      <c r="J1203" s="203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203"/>
      <c r="J1204" s="203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203"/>
      <c r="J1205" s="203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203"/>
      <c r="J1206" s="203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203"/>
      <c r="J1207" s="203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203"/>
      <c r="J1208" s="203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203"/>
      <c r="J1209" s="203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203"/>
      <c r="J1210" s="203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203"/>
      <c r="J1211" s="203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203"/>
      <c r="J1212" s="203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203"/>
      <c r="J1213" s="203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203"/>
      <c r="J1214" s="203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203"/>
      <c r="J1215" s="203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203"/>
      <c r="J1216" s="203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203"/>
      <c r="J1217" s="203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203"/>
      <c r="J1218" s="203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203"/>
      <c r="J1219" s="203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203"/>
      <c r="J1220" s="203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203"/>
      <c r="J1221" s="203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203"/>
      <c r="J1222" s="203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203"/>
      <c r="J1223" s="203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203"/>
      <c r="J1224" s="203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203"/>
      <c r="J1225" s="203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203"/>
      <c r="J1226" s="203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203"/>
      <c r="J1227" s="203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203"/>
      <c r="J1228" s="203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203"/>
      <c r="J1229" s="203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203"/>
      <c r="J1230" s="203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203"/>
      <c r="J1231" s="203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203"/>
      <c r="J1232" s="203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203"/>
      <c r="J1233" s="203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203"/>
      <c r="J1234" s="203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203"/>
      <c r="J1235" s="203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203"/>
      <c r="J1236" s="203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203"/>
      <c r="J1237" s="203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203"/>
      <c r="J1238" s="203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203"/>
      <c r="J1239" s="203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203"/>
      <c r="J1240" s="203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203"/>
      <c r="J1241" s="203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203"/>
      <c r="J1242" s="203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203"/>
      <c r="J1243" s="203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203"/>
      <c r="J1244" s="203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203"/>
      <c r="J1245" s="203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203"/>
      <c r="J1246" s="203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203"/>
      <c r="J1247" s="203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203"/>
      <c r="J1248" s="203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203"/>
      <c r="J1249" s="203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203"/>
      <c r="J1250" s="203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203"/>
      <c r="J1251" s="203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203"/>
      <c r="J1252" s="203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203"/>
      <c r="J1253" s="203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203"/>
      <c r="J1254" s="203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203"/>
      <c r="J1255" s="203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203"/>
      <c r="J1256" s="203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203"/>
      <c r="J1257" s="203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203"/>
      <c r="J1258" s="203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203"/>
      <c r="J1259" s="203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203"/>
      <c r="J1260" s="203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203"/>
      <c r="J1261" s="203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203"/>
      <c r="J1262" s="203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203"/>
      <c r="J1263" s="203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203"/>
      <c r="J1264" s="203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203"/>
      <c r="J1265" s="203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203"/>
      <c r="J1266" s="203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203"/>
      <c r="J1267" s="203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203"/>
      <c r="J1268" s="203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203"/>
      <c r="J1269" s="203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203"/>
      <c r="J1270" s="203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203"/>
      <c r="J1271" s="203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203"/>
      <c r="J1272" s="203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203"/>
      <c r="J1273" s="203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203"/>
      <c r="J1274" s="203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203"/>
      <c r="J1275" s="203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203"/>
      <c r="J1276" s="203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203"/>
      <c r="J1277" s="203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203"/>
      <c r="J1278" s="203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203"/>
      <c r="J1279" s="203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203"/>
      <c r="J1280" s="203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203"/>
      <c r="J1281" s="203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203"/>
      <c r="J1282" s="203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203"/>
      <c r="J1283" s="203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203"/>
      <c r="J1284" s="203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203"/>
      <c r="J1285" s="203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203"/>
      <c r="J1286" s="203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203"/>
      <c r="J1287" s="203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203"/>
      <c r="J1288" s="203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203"/>
      <c r="J1289" s="203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203"/>
      <c r="J1290" s="203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203"/>
      <c r="J1291" s="203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203"/>
      <c r="J1292" s="203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203"/>
      <c r="J1293" s="203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203"/>
      <c r="J1294" s="203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203"/>
      <c r="J1295" s="203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203"/>
      <c r="J1296" s="203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203"/>
      <c r="J1297" s="203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203"/>
      <c r="J1298" s="203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203"/>
      <c r="J1299" s="203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203"/>
      <c r="J1300" s="203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203"/>
      <c r="J1301" s="203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203"/>
      <c r="J1302" s="203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203"/>
      <c r="J1303" s="203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203"/>
      <c r="J1304" s="203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203"/>
      <c r="J1305" s="203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203"/>
      <c r="J1306" s="203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203"/>
      <c r="J1307" s="203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203"/>
      <c r="J1308" s="203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203"/>
      <c r="J1309" s="203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203"/>
      <c r="J1310" s="203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203"/>
      <c r="J1311" s="203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203"/>
      <c r="J1312" s="203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203"/>
      <c r="J1313" s="203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203"/>
      <c r="J1314" s="203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203"/>
      <c r="J1315" s="203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203"/>
      <c r="J1316" s="203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203"/>
      <c r="J1317" s="203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203"/>
      <c r="J1318" s="203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203"/>
      <c r="J1319" s="203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203"/>
      <c r="J1320" s="203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203"/>
      <c r="J1321" s="203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203"/>
      <c r="J1322" s="203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203"/>
      <c r="J1323" s="203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203"/>
      <c r="J1324" s="203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203"/>
      <c r="J1325" s="203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203"/>
      <c r="J1326" s="203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203"/>
      <c r="J1327" s="203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203"/>
      <c r="J1328" s="203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203"/>
      <c r="J1329" s="203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203"/>
      <c r="J1330" s="203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203"/>
      <c r="J1331" s="203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203"/>
      <c r="J1332" s="203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203"/>
      <c r="J1333" s="203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203"/>
      <c r="J1334" s="203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203"/>
      <c r="J1335" s="203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203"/>
      <c r="J1336" s="203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203"/>
      <c r="J1337" s="203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203"/>
      <c r="J1338" s="203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203"/>
      <c r="J1339" s="203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203"/>
      <c r="J1340" s="203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203"/>
      <c r="J1341" s="203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203"/>
      <c r="J1342" s="203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203"/>
      <c r="J1343" s="203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203"/>
      <c r="J1344" s="203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203"/>
      <c r="J1345" s="203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203"/>
      <c r="J1346" s="203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203"/>
      <c r="J1347" s="203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203"/>
      <c r="J1348" s="203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203"/>
      <c r="J1349" s="203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203"/>
      <c r="J1350" s="203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203"/>
      <c r="J1351" s="203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203"/>
      <c r="J1352" s="203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203"/>
      <c r="J1353" s="203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203"/>
      <c r="J1354" s="203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203"/>
      <c r="J1355" s="203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203"/>
      <c r="J1356" s="203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203"/>
      <c r="J1357" s="203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203"/>
      <c r="J1358" s="203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203"/>
      <c r="J1359" s="203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203"/>
      <c r="J1360" s="203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203"/>
      <c r="J1361" s="203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203"/>
      <c r="J1362" s="203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203"/>
      <c r="J1363" s="203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203"/>
      <c r="J1364" s="203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203"/>
      <c r="J1365" s="203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203"/>
      <c r="J1366" s="203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203"/>
      <c r="J1367" s="203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203"/>
      <c r="J1368" s="203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203"/>
      <c r="J1369" s="203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203"/>
      <c r="J1370" s="203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203"/>
      <c r="J1371" s="203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203"/>
      <c r="J1372" s="203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203"/>
      <c r="J1373" s="203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203"/>
      <c r="J1374" s="203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203"/>
      <c r="J1375" s="203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203"/>
      <c r="J1376" s="203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203"/>
      <c r="J1377" s="203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203"/>
      <c r="J1378" s="203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203"/>
      <c r="J1379" s="203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203"/>
      <c r="J1380" s="203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203"/>
      <c r="J1381" s="203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203"/>
      <c r="J1382" s="203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203"/>
      <c r="J1383" s="203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203"/>
      <c r="J1384" s="203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203"/>
      <c r="J1385" s="203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203"/>
      <c r="J1386" s="203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203"/>
      <c r="J1387" s="203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203"/>
      <c r="J1388" s="203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203"/>
      <c r="J1389" s="203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203"/>
      <c r="J1390" s="203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203"/>
      <c r="J1391" s="203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203"/>
      <c r="J1392" s="203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203"/>
      <c r="J1393" s="203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203"/>
      <c r="J1394" s="203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203"/>
      <c r="J1395" s="203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203"/>
      <c r="J1396" s="203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203"/>
      <c r="J1397" s="203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203"/>
      <c r="J1398" s="203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203"/>
      <c r="J1399" s="203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203"/>
      <c r="J1400" s="203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203"/>
      <c r="J1401" s="203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203"/>
      <c r="J1402" s="203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203"/>
      <c r="J1403" s="203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203"/>
      <c r="J1404" s="203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203"/>
      <c r="J1405" s="203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203"/>
      <c r="J1406" s="203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203"/>
      <c r="J1407" s="203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203"/>
      <c r="J1408" s="203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203"/>
      <c r="J1409" s="203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203"/>
      <c r="J1410" s="203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203"/>
      <c r="J1411" s="203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203"/>
      <c r="J1412" s="203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203"/>
      <c r="J1413" s="203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203"/>
      <c r="J1414" s="203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203"/>
      <c r="J1415" s="203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203"/>
      <c r="J1416" s="203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203"/>
      <c r="J1417" s="203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203"/>
      <c r="J1418" s="203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203"/>
      <c r="J1419" s="203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203"/>
      <c r="J1420" s="203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203"/>
      <c r="J1421" s="203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203"/>
      <c r="J1422" s="203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203"/>
      <c r="J1423" s="203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203"/>
      <c r="J1424" s="203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203"/>
      <c r="J1425" s="203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203"/>
      <c r="J1426" s="203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203"/>
      <c r="J1427" s="203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203"/>
      <c r="J1428" s="203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203"/>
      <c r="J1429" s="203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203"/>
      <c r="J1430" s="203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203"/>
      <c r="J1431" s="203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203"/>
      <c r="J1432" s="203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203"/>
      <c r="J1433" s="203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203"/>
      <c r="J1434" s="203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203"/>
      <c r="J1435" s="203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203"/>
      <c r="J1436" s="203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203"/>
      <c r="J1437" s="203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203"/>
      <c r="J1438" s="203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203"/>
      <c r="J1439" s="203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203"/>
      <c r="J1440" s="203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203"/>
      <c r="J1441" s="203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203"/>
      <c r="J1442" s="203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203"/>
      <c r="J1443" s="203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203"/>
      <c r="J1444" s="203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203"/>
      <c r="J1445" s="203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203"/>
      <c r="J1446" s="203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203"/>
      <c r="J1447" s="203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203"/>
      <c r="J1448" s="203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203"/>
      <c r="J1449" s="203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203"/>
      <c r="J1450" s="203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203"/>
      <c r="J1451" s="203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203"/>
      <c r="J1452" s="203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203"/>
      <c r="J1453" s="203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203"/>
      <c r="J1454" s="203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203"/>
      <c r="J1455" s="203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203"/>
      <c r="J1456" s="203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203"/>
      <c r="J1457" s="203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203"/>
      <c r="J1458" s="203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203"/>
      <c r="J1459" s="203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203"/>
      <c r="J1460" s="203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203"/>
      <c r="J1461" s="203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203"/>
      <c r="J1462" s="203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203"/>
      <c r="J1463" s="203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203"/>
      <c r="J1464" s="203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203"/>
      <c r="J1465" s="203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203"/>
      <c r="J1466" s="203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203"/>
      <c r="J1467" s="203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203"/>
      <c r="J1468" s="203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203"/>
      <c r="J1469" s="203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203"/>
      <c r="J1470" s="203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203"/>
      <c r="J1471" s="203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203"/>
      <c r="J1472" s="203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203"/>
      <c r="J1473" s="203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203"/>
      <c r="J1474" s="203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203"/>
      <c r="J1475" s="203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203"/>
      <c r="J1476" s="203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203"/>
      <c r="J1477" s="203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203"/>
      <c r="J1478" s="203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203"/>
      <c r="J1479" s="203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203"/>
      <c r="J1480" s="203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203"/>
      <c r="J1481" s="203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203"/>
      <c r="J1482" s="203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203"/>
      <c r="J1483" s="203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203"/>
      <c r="J1484" s="203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203"/>
      <c r="J1485" s="203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203"/>
      <c r="J1486" s="203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203"/>
      <c r="J1487" s="203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203"/>
      <c r="J1488" s="203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203"/>
      <c r="J1489" s="203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203"/>
      <c r="J1490" s="203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203"/>
      <c r="J1491" s="203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203"/>
      <c r="J1492" s="203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203"/>
      <c r="J1493" s="203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203"/>
      <c r="J1494" s="203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203"/>
      <c r="J1495" s="203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203"/>
      <c r="J1496" s="203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203"/>
      <c r="J1497" s="203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203"/>
      <c r="J1498" s="203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203"/>
      <c r="J1499" s="203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203"/>
      <c r="J1500" s="203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203"/>
      <c r="J1501" s="203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203"/>
      <c r="J1502" s="203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203"/>
      <c r="J1503" s="203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203"/>
      <c r="J1504" s="203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203"/>
      <c r="J1505" s="203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203"/>
      <c r="J1506" s="203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203"/>
      <c r="J1507" s="203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203"/>
      <c r="J1508" s="203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203"/>
      <c r="J1509" s="203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203"/>
      <c r="J1510" s="203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203"/>
      <c r="J1511" s="203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203"/>
      <c r="J1512" s="203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203"/>
      <c r="J1513" s="203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203"/>
      <c r="J1514" s="203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203"/>
      <c r="J1515" s="203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203"/>
      <c r="J1516" s="203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203"/>
      <c r="J1517" s="203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203"/>
      <c r="J1518" s="203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203"/>
      <c r="J1519" s="203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203"/>
      <c r="J1520" s="203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203"/>
      <c r="J1521" s="203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203"/>
      <c r="J1522" s="203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203"/>
      <c r="J1523" s="203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203"/>
      <c r="J1524" s="203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203"/>
      <c r="J1525" s="203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203"/>
      <c r="J1526" s="203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203"/>
      <c r="J1527" s="203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203"/>
      <c r="J1528" s="203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203"/>
      <c r="J1529" s="203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203"/>
      <c r="J1530" s="203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203"/>
      <c r="J1531" s="203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203"/>
      <c r="J1532" s="203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203"/>
      <c r="J1533" s="203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203"/>
      <c r="J1534" s="203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203"/>
      <c r="J1535" s="203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203"/>
      <c r="J1536" s="203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203"/>
      <c r="J1537" s="203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203"/>
      <c r="J1538" s="203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203"/>
      <c r="J1539" s="203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203"/>
      <c r="J1540" s="203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203"/>
      <c r="J1541" s="203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203"/>
      <c r="J1542" s="203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203"/>
      <c r="J1543" s="203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203"/>
      <c r="J1544" s="203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203"/>
      <c r="J1545" s="203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203"/>
      <c r="J1546" s="203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203"/>
      <c r="J1547" s="203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203"/>
      <c r="J1548" s="203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203"/>
      <c r="J1549" s="203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203"/>
      <c r="J1550" s="203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203"/>
      <c r="J1551" s="203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203"/>
      <c r="J1552" s="203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203"/>
      <c r="J1553" s="203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203"/>
      <c r="J1554" s="203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203"/>
      <c r="J1555" s="203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203"/>
      <c r="J1556" s="203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203"/>
      <c r="J1557" s="203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203"/>
      <c r="J1558" s="203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203"/>
      <c r="J1559" s="203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203"/>
      <c r="J1560" s="203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203"/>
      <c r="J1561" s="203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203"/>
      <c r="J1562" s="203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203"/>
      <c r="J1563" s="203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203"/>
      <c r="J1564" s="203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203"/>
      <c r="J1565" s="203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203"/>
      <c r="J1566" s="203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203"/>
      <c r="J1567" s="203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203"/>
      <c r="J1568" s="203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203"/>
      <c r="J1569" s="203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203"/>
      <c r="J1570" s="203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203"/>
      <c r="J1571" s="203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203"/>
      <c r="J1572" s="203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203"/>
      <c r="J1573" s="203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203"/>
      <c r="J1574" s="203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203"/>
      <c r="J1575" s="203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203"/>
      <c r="J1576" s="203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203"/>
      <c r="J1577" s="203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203"/>
      <c r="J1578" s="203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203"/>
      <c r="J1579" s="203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203"/>
      <c r="J1580" s="203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203"/>
      <c r="J1581" s="203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203"/>
      <c r="J1582" s="203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203"/>
      <c r="J1583" s="203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203"/>
      <c r="J1584" s="203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203"/>
      <c r="J1585" s="203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203"/>
      <c r="J1586" s="203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203"/>
      <c r="J1587" s="203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203"/>
      <c r="J1588" s="203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203"/>
      <c r="J1589" s="203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203"/>
      <c r="J1590" s="203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203"/>
      <c r="J1591" s="203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203"/>
      <c r="J1592" s="203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203"/>
      <c r="J1593" s="203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203"/>
      <c r="J1594" s="203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203"/>
      <c r="J1595" s="203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203"/>
      <c r="J1596" s="203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203"/>
      <c r="J1597" s="203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203"/>
      <c r="J1598" s="203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203"/>
      <c r="J1599" s="203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203"/>
      <c r="J1600" s="203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203"/>
      <c r="J1601" s="203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203"/>
      <c r="J1602" s="203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203"/>
      <c r="J1603" s="203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203"/>
      <c r="J1604" s="203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203"/>
      <c r="J1605" s="203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203"/>
      <c r="J1606" s="203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203"/>
      <c r="J1607" s="203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203"/>
      <c r="J1608" s="203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203"/>
      <c r="J1609" s="203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203"/>
      <c r="J1610" s="203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203"/>
      <c r="J1611" s="203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203"/>
      <c r="J1612" s="203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203"/>
      <c r="J1613" s="203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203"/>
      <c r="J1614" s="203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203"/>
      <c r="J1615" s="203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203"/>
      <c r="J1616" s="203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203"/>
      <c r="J1617" s="203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203"/>
      <c r="J1618" s="203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203"/>
      <c r="J1619" s="203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203"/>
      <c r="J1620" s="203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203"/>
      <c r="J1621" s="203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203"/>
      <c r="J1622" s="203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203"/>
      <c r="J1623" s="203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203"/>
      <c r="J1624" s="203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203"/>
      <c r="J1625" s="203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203"/>
      <c r="J1626" s="203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203"/>
      <c r="J1627" s="203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203"/>
      <c r="J1628" s="203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203"/>
      <c r="J1629" s="203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203"/>
      <c r="J1630" s="203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203"/>
      <c r="J1631" s="203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203"/>
      <c r="J1632" s="203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203"/>
      <c r="J1633" s="203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203"/>
      <c r="J1634" s="203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203"/>
      <c r="J1635" s="203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203"/>
      <c r="J1636" s="203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203"/>
      <c r="J1637" s="203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203"/>
      <c r="J1638" s="203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203"/>
      <c r="J1639" s="203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203"/>
      <c r="J1640" s="203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203"/>
      <c r="J1641" s="203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203"/>
      <c r="J1642" s="203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203"/>
      <c r="J1643" s="203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203"/>
      <c r="J1644" s="203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203"/>
      <c r="J1645" s="203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203"/>
      <c r="J1646" s="203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203"/>
      <c r="J1647" s="203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203"/>
      <c r="J1648" s="203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203"/>
      <c r="J1649" s="203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203"/>
      <c r="J1650" s="203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203"/>
      <c r="J1651" s="203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203"/>
      <c r="J1652" s="203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203"/>
      <c r="J1653" s="203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203"/>
      <c r="J1654" s="203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203"/>
      <c r="J1655" s="203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203"/>
      <c r="J1656" s="203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203"/>
      <c r="J1657" s="203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203"/>
      <c r="J1658" s="203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203"/>
      <c r="J1659" s="203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203"/>
      <c r="J1660" s="203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203"/>
      <c r="J1661" s="203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203"/>
      <c r="J1662" s="203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203"/>
      <c r="J1663" s="203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203"/>
      <c r="J1664" s="203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203"/>
      <c r="J1665" s="203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203"/>
      <c r="J1666" s="203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203"/>
      <c r="J1667" s="203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203"/>
      <c r="J1668" s="203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203"/>
      <c r="J1669" s="203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203"/>
      <c r="J1670" s="203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203"/>
      <c r="J1671" s="203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203"/>
      <c r="J1672" s="203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203"/>
      <c r="J1673" s="203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203"/>
      <c r="J1674" s="203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203"/>
      <c r="J1675" s="203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203"/>
      <c r="J1676" s="203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203"/>
      <c r="J1677" s="203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203"/>
      <c r="J1678" s="203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203"/>
      <c r="J1679" s="203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203"/>
      <c r="J1680" s="203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203"/>
      <c r="J1681" s="203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203"/>
      <c r="J1682" s="203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203"/>
      <c r="J1683" s="203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203"/>
      <c r="J1684" s="203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203"/>
      <c r="J1685" s="203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203"/>
      <c r="J1686" s="203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203"/>
      <c r="J1687" s="203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203"/>
      <c r="J1688" s="203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203"/>
      <c r="J1689" s="203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203"/>
      <c r="J1690" s="203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203"/>
      <c r="J1691" s="203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203"/>
      <c r="J1692" s="203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203"/>
      <c r="J1693" s="203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203"/>
      <c r="J1694" s="203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203"/>
      <c r="J1695" s="203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203"/>
      <c r="J1696" s="203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203"/>
      <c r="J1697" s="203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203"/>
      <c r="J1698" s="203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203"/>
      <c r="J1699" s="203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203"/>
      <c r="J1700" s="203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203"/>
      <c r="J1701" s="203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203"/>
      <c r="J1702" s="203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203"/>
      <c r="J1703" s="203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203"/>
      <c r="J1704" s="203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203"/>
      <c r="J1705" s="203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203"/>
      <c r="J1706" s="203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203"/>
      <c r="J1707" s="203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203"/>
      <c r="J1708" s="203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203"/>
      <c r="J1709" s="203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203"/>
      <c r="J1710" s="203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203"/>
      <c r="J1711" s="203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203"/>
      <c r="J1712" s="203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203"/>
      <c r="J1713" s="203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203"/>
      <c r="J1714" s="203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203"/>
      <c r="J1715" s="203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203"/>
      <c r="J1716" s="203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203"/>
      <c r="J1717" s="203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203"/>
      <c r="J1718" s="203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203"/>
      <c r="J1719" s="203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203"/>
      <c r="J1720" s="203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203"/>
      <c r="J1721" s="203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203"/>
      <c r="J1722" s="203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203"/>
      <c r="J1723" s="203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203"/>
      <c r="J1724" s="203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203"/>
      <c r="J1725" s="203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203"/>
      <c r="J1726" s="203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203"/>
      <c r="J1727" s="203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203"/>
      <c r="J1728" s="203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203"/>
      <c r="J1729" s="203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203"/>
      <c r="J1730" s="203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203"/>
      <c r="J1731" s="203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203"/>
      <c r="J1732" s="203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203"/>
      <c r="J1733" s="203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203"/>
      <c r="J1734" s="203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203"/>
      <c r="J1735" s="203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203"/>
      <c r="J1736" s="203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203"/>
      <c r="J1737" s="203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203"/>
      <c r="J1738" s="203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203"/>
      <c r="J1739" s="203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203"/>
      <c r="J1740" s="203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203"/>
      <c r="J1741" s="203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203"/>
      <c r="J1742" s="203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203"/>
      <c r="J1743" s="203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203"/>
      <c r="J1744" s="203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203"/>
      <c r="J1745" s="203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203"/>
      <c r="J1746" s="203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203"/>
      <c r="J1747" s="203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203"/>
      <c r="J1748" s="203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203"/>
      <c r="J1749" s="203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203"/>
      <c r="J1750" s="203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203"/>
      <c r="J1751" s="203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203"/>
      <c r="J1752" s="203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203"/>
      <c r="J1753" s="203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203"/>
      <c r="J1754" s="203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203"/>
      <c r="J1755" s="203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203"/>
      <c r="J1756" s="203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203"/>
      <c r="J1757" s="203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203"/>
      <c r="J1758" s="203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203"/>
      <c r="J1759" s="203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203"/>
      <c r="J1760" s="203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203"/>
      <c r="J1761" s="203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203"/>
      <c r="J1762" s="203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203"/>
      <c r="J1763" s="203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203"/>
      <c r="J1764" s="203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203"/>
      <c r="J1765" s="203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203"/>
      <c r="J1766" s="203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203"/>
      <c r="J1767" s="203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203"/>
      <c r="J1768" s="203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203"/>
      <c r="J1769" s="203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203"/>
      <c r="J1770" s="203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203"/>
      <c r="J1771" s="203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203"/>
      <c r="J1772" s="203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203"/>
      <c r="J1773" s="203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203"/>
      <c r="J1774" s="203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203"/>
      <c r="J1775" s="203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203"/>
      <c r="J1776" s="203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203"/>
      <c r="J1777" s="203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203"/>
      <c r="J1778" s="203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203"/>
      <c r="J1779" s="203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203"/>
      <c r="J1780" s="203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203"/>
      <c r="J1781" s="203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203"/>
      <c r="J1782" s="203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203"/>
      <c r="J1783" s="203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203"/>
      <c r="J1784" s="203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203"/>
      <c r="J1785" s="203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203"/>
      <c r="J1786" s="203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203"/>
      <c r="J1787" s="203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203"/>
      <c r="J1788" s="203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203"/>
      <c r="J1789" s="203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203"/>
      <c r="J1790" s="203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203"/>
      <c r="J1791" s="203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203"/>
      <c r="J1792" s="203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203"/>
      <c r="J1793" s="203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203"/>
      <c r="J1794" s="203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203"/>
      <c r="J1795" s="203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203"/>
      <c r="J1796" s="203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203"/>
      <c r="J1797" s="203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203"/>
      <c r="J1798" s="203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203"/>
      <c r="J1799" s="203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203"/>
      <c r="J1800" s="203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203"/>
      <c r="J1801" s="203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203"/>
      <c r="J1802" s="203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203"/>
      <c r="J1803" s="203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203"/>
      <c r="J1804" s="203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203"/>
      <c r="J1805" s="203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203"/>
      <c r="J1806" s="203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203"/>
      <c r="J1807" s="203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203"/>
      <c r="J1808" s="203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203"/>
      <c r="J1809" s="203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203"/>
      <c r="J1810" s="203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203"/>
      <c r="J1811" s="203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203"/>
      <c r="J1812" s="203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203"/>
      <c r="J1813" s="203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203"/>
      <c r="J1814" s="203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203"/>
      <c r="J1815" s="203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203"/>
      <c r="J1816" s="203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203"/>
      <c r="J1817" s="203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203"/>
      <c r="J1818" s="203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203"/>
      <c r="J1819" s="203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203"/>
      <c r="J1820" s="203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203"/>
      <c r="J1821" s="203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203"/>
      <c r="J1822" s="203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203"/>
      <c r="J1823" s="203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203"/>
      <c r="J1824" s="203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203"/>
      <c r="J1825" s="203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203"/>
      <c r="J1826" s="203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203"/>
      <c r="J1827" s="203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203"/>
      <c r="J1828" s="203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203"/>
      <c r="J1829" s="203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203"/>
      <c r="J1830" s="203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203"/>
      <c r="J1831" s="203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203"/>
      <c r="J1832" s="203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203"/>
      <c r="J1833" s="203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203"/>
      <c r="J1834" s="203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203"/>
      <c r="J1835" s="203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203"/>
      <c r="J1836" s="203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203"/>
      <c r="J1837" s="203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203"/>
      <c r="J1838" s="203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203"/>
      <c r="J1839" s="203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203"/>
      <c r="J1840" s="203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203"/>
      <c r="J1841" s="203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203"/>
      <c r="J1842" s="203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203"/>
      <c r="J1843" s="203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203"/>
      <c r="J1844" s="203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203"/>
      <c r="J1845" s="203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203"/>
      <c r="J1846" s="203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203"/>
      <c r="J1847" s="203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203"/>
      <c r="J1848" s="203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203"/>
      <c r="J1849" s="203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203"/>
      <c r="J1850" s="203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203"/>
      <c r="J1851" s="203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203"/>
      <c r="J1852" s="203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203"/>
      <c r="J1853" s="203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203"/>
      <c r="J1854" s="203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203"/>
      <c r="J1855" s="203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203"/>
      <c r="J1856" s="203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203"/>
      <c r="J1857" s="203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203"/>
      <c r="J1858" s="203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203"/>
      <c r="J1859" s="203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203"/>
      <c r="J1860" s="203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203"/>
      <c r="J1861" s="203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203"/>
      <c r="J1862" s="203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203"/>
      <c r="J1863" s="203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203"/>
      <c r="J1864" s="203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203"/>
      <c r="J1865" s="203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203"/>
      <c r="J1866" s="203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203"/>
      <c r="J1867" s="203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203"/>
      <c r="J1868" s="203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203"/>
      <c r="J1869" s="203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203"/>
      <c r="J1870" s="203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203"/>
      <c r="J1871" s="203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203"/>
      <c r="J1872" s="203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203"/>
      <c r="J1873" s="203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203"/>
      <c r="J1874" s="203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203"/>
      <c r="J1875" s="203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203"/>
      <c r="J1876" s="203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203"/>
      <c r="J1877" s="203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203"/>
      <c r="J1878" s="203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203"/>
      <c r="J1879" s="203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203"/>
      <c r="J1880" s="203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203"/>
      <c r="J1881" s="203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203"/>
      <c r="J1882" s="203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203"/>
      <c r="J1883" s="203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203"/>
      <c r="J1884" s="203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203"/>
      <c r="J1885" s="203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203"/>
      <c r="J1886" s="203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203"/>
      <c r="J1887" s="203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203"/>
      <c r="J1888" s="203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203"/>
      <c r="J1889" s="203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203"/>
      <c r="J1890" s="203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203"/>
      <c r="J1891" s="203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203"/>
      <c r="J1892" s="203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203"/>
      <c r="J1893" s="203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203"/>
      <c r="J1894" s="203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203"/>
      <c r="J1895" s="203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203"/>
      <c r="J1896" s="203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203"/>
      <c r="J1897" s="203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203"/>
      <c r="J1898" s="203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203"/>
      <c r="J1899" s="203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203"/>
      <c r="J1900" s="203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203"/>
      <c r="J1901" s="203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203"/>
      <c r="J1902" s="203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203"/>
      <c r="J1903" s="203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203"/>
      <c r="J1904" s="203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203"/>
      <c r="J1905" s="203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203"/>
      <c r="J1906" s="203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203"/>
      <c r="J1907" s="203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203"/>
      <c r="J1908" s="203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203"/>
      <c r="J1909" s="203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203"/>
      <c r="J1910" s="203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203"/>
      <c r="J1911" s="203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203"/>
      <c r="J1912" s="203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203"/>
      <c r="J1913" s="203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203"/>
      <c r="J1914" s="203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203"/>
      <c r="J1915" s="203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203"/>
      <c r="J1916" s="203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203"/>
      <c r="J1917" s="203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203"/>
      <c r="J1918" s="203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203"/>
      <c r="J1919" s="203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203"/>
      <c r="J1920" s="203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203"/>
      <c r="J1921" s="203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203"/>
      <c r="J1922" s="203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203"/>
      <c r="J1923" s="203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203"/>
      <c r="J1924" s="203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203"/>
      <c r="J1925" s="203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203"/>
      <c r="J1926" s="203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203"/>
      <c r="J1927" s="203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203"/>
      <c r="J1928" s="203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203"/>
      <c r="J1929" s="203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203"/>
      <c r="J1930" s="203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203"/>
      <c r="J1931" s="203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203"/>
      <c r="J1932" s="203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203"/>
      <c r="J1933" s="203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203"/>
      <c r="J1934" s="203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203"/>
      <c r="J1935" s="203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203"/>
      <c r="J1936" s="203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203"/>
      <c r="J1937" s="203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203"/>
      <c r="J1938" s="203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203"/>
      <c r="J1939" s="203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203"/>
      <c r="J1940" s="203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203"/>
      <c r="J1941" s="203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203"/>
      <c r="J1942" s="203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203"/>
      <c r="J1943" s="203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203"/>
      <c r="J1944" s="203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203"/>
      <c r="J1945" s="203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203"/>
      <c r="J1946" s="203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203"/>
      <c r="J1947" s="203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203"/>
      <c r="J1948" s="203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203"/>
      <c r="J1949" s="203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203"/>
      <c r="J1950" s="203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203"/>
      <c r="J1951" s="203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203"/>
      <c r="J1952" s="203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203"/>
      <c r="J1953" s="203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203"/>
      <c r="J1954" s="203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203"/>
      <c r="J1955" s="203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203"/>
      <c r="J1956" s="203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203"/>
      <c r="J1957" s="203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203"/>
      <c r="J1958" s="203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203"/>
      <c r="J1959" s="203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203"/>
      <c r="J1960" s="203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203"/>
      <c r="J1961" s="203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203"/>
      <c r="J1962" s="203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203"/>
      <c r="J1963" s="203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203"/>
      <c r="J1964" s="203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203"/>
      <c r="J1965" s="203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203"/>
      <c r="J1966" s="203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203"/>
      <c r="J1967" s="203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203"/>
      <c r="J1968" s="203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203"/>
      <c r="J1969" s="203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203"/>
      <c r="J1970" s="203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203"/>
      <c r="J1971" s="203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203"/>
      <c r="J1972" s="203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203"/>
      <c r="J1973" s="203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203"/>
      <c r="J1974" s="203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203"/>
      <c r="J1975" s="203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203"/>
      <c r="J1976" s="203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203"/>
      <c r="J1977" s="203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203"/>
      <c r="J1978" s="203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203"/>
      <c r="J1979" s="203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203"/>
      <c r="J1980" s="203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203"/>
      <c r="J1981" s="203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203"/>
      <c r="J1982" s="203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203"/>
      <c r="J1983" s="203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203"/>
      <c r="J1984" s="203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203"/>
      <c r="J1985" s="203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203"/>
      <c r="J1986" s="203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203"/>
      <c r="J1987" s="203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203"/>
      <c r="J1988" s="203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203"/>
      <c r="J1989" s="203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203"/>
      <c r="J1990" s="203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203"/>
      <c r="J1991" s="203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203"/>
      <c r="J1992" s="203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203"/>
      <c r="J1993" s="203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203"/>
      <c r="J1994" s="203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203"/>
      <c r="J1995" s="203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203"/>
      <c r="J1996" s="203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203"/>
      <c r="J1997" s="203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203"/>
      <c r="J1998" s="203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203"/>
      <c r="J1999" s="203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203"/>
      <c r="J2000" s="203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207"/>
      <c r="C2001" s="207"/>
      <c r="D2001" s="207"/>
      <c r="E2001" s="213"/>
      <c r="F2001" s="215"/>
      <c r="G2001" s="208"/>
      <c r="H2001" s="165"/>
      <c r="I2001" s="209"/>
      <c r="J2001" s="209"/>
      <c r="K2001" s="207"/>
      <c r="L2001" s="210"/>
      <c r="M2001" s="211"/>
      <c r="N2001" s="212"/>
      <c r="O2001" s="212"/>
      <c r="P2001" s="212"/>
      <c r="Q2001" s="212"/>
      <c r="R2001" s="212"/>
      <c r="S2001" s="207"/>
      <c r="T2001" s="208"/>
    </row>
    <row r="2002" spans="1:20" ht="15">
      <c r="A2002" s="156"/>
      <c r="B2002" s="216"/>
      <c r="C2002" s="207"/>
      <c r="D2002" s="207"/>
      <c r="E2002" s="159"/>
      <c r="F2002" s="215"/>
      <c r="G2002" s="208"/>
      <c r="H2002" s="165"/>
      <c r="I2002" s="209"/>
      <c r="J2002" s="209"/>
      <c r="K2002" s="217"/>
      <c r="L2002" s="218"/>
      <c r="M2002" s="211"/>
      <c r="N2002" s="212"/>
      <c r="O2002" s="212"/>
      <c r="P2002" s="212"/>
      <c r="Q2002" s="212"/>
      <c r="R2002" s="212"/>
      <c r="S2002" s="207"/>
      <c r="T2002" s="208"/>
    </row>
    <row r="2003" spans="1:20" ht="15">
      <c r="A2003" s="156"/>
      <c r="B2003" s="216"/>
      <c r="C2003" s="207"/>
      <c r="D2003" s="207"/>
      <c r="E2003" s="159"/>
      <c r="F2003" s="215"/>
      <c r="G2003" s="208"/>
      <c r="H2003" s="165"/>
      <c r="I2003" s="209"/>
      <c r="J2003" s="209"/>
      <c r="K2003" s="217"/>
      <c r="L2003" s="218"/>
      <c r="M2003" s="211"/>
      <c r="N2003" s="212"/>
      <c r="O2003" s="212"/>
      <c r="P2003" s="212"/>
      <c r="Q2003" s="212"/>
      <c r="R2003" s="212"/>
      <c r="S2003" s="207"/>
      <c r="T2003" s="208"/>
    </row>
    <row r="2004" spans="1:20" ht="22.5" customHeight="1">
      <c r="A2004" s="156"/>
      <c r="B2004" s="219"/>
      <c r="C2004" s="154"/>
      <c r="D2004" s="154"/>
      <c r="E2004" s="159"/>
      <c r="F2004" s="170"/>
      <c r="G2004" s="155"/>
      <c r="H2004" s="156"/>
      <c r="I2004" s="203"/>
      <c r="J2004" s="203"/>
      <c r="K2004" s="220"/>
      <c r="L2004" s="221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16"/>
      <c r="C2005" s="207"/>
      <c r="D2005" s="207"/>
      <c r="E2005" s="159"/>
      <c r="F2005" s="215"/>
      <c r="G2005" s="208"/>
      <c r="H2005" s="165"/>
      <c r="I2005" s="209"/>
      <c r="J2005" s="209"/>
      <c r="K2005" s="217"/>
      <c r="L2005" s="218"/>
      <c r="M2005" s="211"/>
      <c r="N2005" s="212"/>
      <c r="O2005" s="212"/>
      <c r="P2005" s="212"/>
      <c r="Q2005" s="212"/>
      <c r="R2005" s="212"/>
      <c r="S2005" s="207"/>
      <c r="T2005" s="208"/>
    </row>
    <row r="2006" spans="1:20" ht="22.5" customHeight="1">
      <c r="A2006" s="156"/>
      <c r="B2006" s="219"/>
      <c r="C2006" s="154"/>
      <c r="D2006" s="154"/>
      <c r="E2006" s="159"/>
      <c r="F2006" s="170"/>
      <c r="G2006" s="155"/>
      <c r="H2006" s="156"/>
      <c r="I2006" s="203"/>
      <c r="J2006" s="203"/>
      <c r="K2006" s="220"/>
      <c r="L2006" s="221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12"/>
      <c r="B2007" s="216"/>
      <c r="C2007" s="207"/>
      <c r="D2007" s="207"/>
      <c r="E2007" s="213"/>
      <c r="F2007" s="215"/>
      <c r="G2007" s="208"/>
      <c r="H2007" s="165"/>
      <c r="I2007" s="209"/>
      <c r="J2007" s="209"/>
      <c r="K2007" s="217"/>
      <c r="L2007" s="218"/>
      <c r="M2007" s="211"/>
      <c r="N2007" s="212"/>
      <c r="O2007" s="212"/>
      <c r="P2007" s="212"/>
      <c r="Q2007" s="212"/>
      <c r="R2007" s="212"/>
      <c r="S2007" s="207"/>
      <c r="T2007" s="208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8" workbookViewId="0">
      <selection activeCell="B58" sqref="B58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3034</v>
      </c>
      <c r="H1" s="168" t="s">
        <v>3035</v>
      </c>
    </row>
    <row r="2" spans="1:8">
      <c r="H2" s="167" t="s">
        <v>3036</v>
      </c>
    </row>
    <row r="3" spans="1:8">
      <c r="A3" t="s">
        <v>0</v>
      </c>
      <c r="B3" t="s">
        <v>19</v>
      </c>
      <c r="C3" t="s">
        <v>3037</v>
      </c>
      <c r="D3" t="s">
        <v>3038</v>
      </c>
      <c r="E3" t="s">
        <v>3039</v>
      </c>
      <c r="H3" s="167" t="s">
        <v>3040</v>
      </c>
    </row>
    <row r="4" spans="1:8">
      <c r="A4">
        <v>1</v>
      </c>
      <c r="B4" t="s">
        <v>3041</v>
      </c>
      <c r="D4" t="s">
        <v>3042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3043</v>
      </c>
    </row>
    <row r="5" spans="1:8">
      <c r="A5">
        <v>2</v>
      </c>
      <c r="B5" t="s">
        <v>2507</v>
      </c>
      <c r="D5" t="s">
        <v>3042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3044</v>
      </c>
    </row>
    <row r="6" spans="1:8">
      <c r="A6">
        <v>3</v>
      </c>
      <c r="B6" t="s">
        <v>1030</v>
      </c>
      <c r="D6" t="s">
        <v>3042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3045</v>
      </c>
      <c r="D7" t="s">
        <v>3042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3046</v>
      </c>
    </row>
    <row r="8" spans="1:8">
      <c r="A8">
        <v>5</v>
      </c>
      <c r="B8" t="s">
        <v>3047</v>
      </c>
      <c r="D8" t="s">
        <v>3042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3042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3042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3042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3042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3042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3042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3042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3042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3042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3042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3042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3042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3042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3042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3048</v>
      </c>
      <c r="D23" t="s">
        <v>3042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3042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3049</v>
      </c>
      <c r="D25" t="s">
        <v>3042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3050</v>
      </c>
      <c r="D26" t="s">
        <v>3042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3042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3042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3051</v>
      </c>
      <c r="D29" t="s">
        <v>3042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3042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3042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3042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3052</v>
      </c>
      <c r="D33" t="s">
        <v>3042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3053</v>
      </c>
      <c r="D34" t="s">
        <v>3042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3042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3042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3042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3054</v>
      </c>
      <c r="D38" t="s">
        <v>3042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3055</v>
      </c>
      <c r="D39" t="s">
        <v>3042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3042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3056</v>
      </c>
      <c r="D41" t="s">
        <v>3042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3042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3042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3057</v>
      </c>
      <c r="D44" t="s">
        <v>3042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3042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3042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3042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3042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3058</v>
      </c>
      <c r="D49" t="s">
        <v>3042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3042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3059</v>
      </c>
      <c r="D51" t="s">
        <v>3042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3042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3042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3060</v>
      </c>
      <c r="D54" t="s">
        <v>3042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3042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3042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3042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3061</v>
      </c>
      <c r="D58" t="s">
        <v>3042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3042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3042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3062</v>
      </c>
      <c r="D61" t="s">
        <v>3042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3063</v>
      </c>
      <c r="D62" t="s">
        <v>3042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3064</v>
      </c>
      <c r="D63" t="s">
        <v>3042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3065</v>
      </c>
      <c r="D64" t="s">
        <v>3042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3042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3042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3066</v>
      </c>
      <c r="D67" t="s">
        <v>3042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3067</v>
      </c>
      <c r="D68" t="s">
        <v>3042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3042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3068</v>
      </c>
      <c r="D70" t="s">
        <v>3042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3042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3042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3042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3069</v>
      </c>
      <c r="D74" t="s">
        <v>3042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3042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3042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3042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3042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3070</v>
      </c>
      <c r="D79" t="s">
        <v>3042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3071</v>
      </c>
      <c r="D80" t="s">
        <v>3042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3072</v>
      </c>
      <c r="D81" t="s">
        <v>3042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3073</v>
      </c>
      <c r="D82" t="s">
        <v>3042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3042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3074</v>
      </c>
      <c r="D84" t="s">
        <v>3042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3042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3075</v>
      </c>
      <c r="D86" t="s">
        <v>3042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3076</v>
      </c>
      <c r="D87" t="s">
        <v>3042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3077</v>
      </c>
      <c r="D88" t="s">
        <v>3042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3078</v>
      </c>
      <c r="D89" t="s">
        <v>3042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3079</v>
      </c>
      <c r="D90" t="s">
        <v>3042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3080</v>
      </c>
      <c r="D91" t="s">
        <v>3042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3081</v>
      </c>
      <c r="D92" t="s">
        <v>3042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3082</v>
      </c>
      <c r="D93" t="s">
        <v>3042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3083</v>
      </c>
      <c r="D94" t="s">
        <v>3042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2918</v>
      </c>
      <c r="D95" t="s">
        <v>3042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3084</v>
      </c>
      <c r="D96" t="s">
        <v>3042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2910</v>
      </c>
      <c r="D97" t="s">
        <v>3042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3085</v>
      </c>
      <c r="D98" t="s">
        <v>3042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3086</v>
      </c>
      <c r="D99" t="s">
        <v>3042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3087</v>
      </c>
      <c r="D100" t="s">
        <v>3042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3088</v>
      </c>
      <c r="D101" t="s">
        <v>3042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3042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3089</v>
      </c>
      <c r="D103" t="s">
        <v>3042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3090</v>
      </c>
      <c r="D104" t="s">
        <v>3042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3091</v>
      </c>
      <c r="D105" t="s">
        <v>3042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3042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3042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3092</v>
      </c>
      <c r="D108" t="s">
        <v>3042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3093</v>
      </c>
      <c r="C1" s="18" t="s">
        <v>3094</v>
      </c>
      <c r="D1" s="18" t="s">
        <v>4</v>
      </c>
      <c r="E1" s="18" t="s">
        <v>3095</v>
      </c>
      <c r="F1" s="18" t="s">
        <v>19</v>
      </c>
      <c r="G1" s="18" t="s">
        <v>3096</v>
      </c>
      <c r="H1" s="18" t="s">
        <v>3097</v>
      </c>
      <c r="I1" s="18" t="s">
        <v>3098</v>
      </c>
      <c r="J1" s="18" t="s">
        <v>3099</v>
      </c>
      <c r="L1" s="110" t="s">
        <v>3100</v>
      </c>
      <c r="M1" s="22">
        <v>2026</v>
      </c>
      <c r="U1" s="79" t="s">
        <v>3101</v>
      </c>
      <c r="V1" s="78"/>
      <c r="X1" s="77" t="s">
        <v>3102</v>
      </c>
      <c r="Y1" s="26"/>
      <c r="Z1" s="26"/>
      <c r="AA1" s="26"/>
      <c r="AC1" s="99" t="s">
        <v>3103</v>
      </c>
    </row>
    <row r="2" spans="1:31">
      <c r="A2" s="20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3104</v>
      </c>
      <c r="M2" s="106" t="s">
        <v>2926</v>
      </c>
      <c r="X2" s="112" t="s">
        <v>3093</v>
      </c>
      <c r="Y2" s="112" t="s">
        <v>19</v>
      </c>
      <c r="Z2" s="112" t="s">
        <v>3105</v>
      </c>
      <c r="AA2" s="112" t="s">
        <v>3106</v>
      </c>
      <c r="AC2" s="113" t="s">
        <v>1</v>
      </c>
      <c r="AD2" s="113" t="s">
        <v>3107</v>
      </c>
      <c r="AE2" s="113" t="s">
        <v>3108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3109</v>
      </c>
      <c r="M3" s="111" t="s">
        <v>3110</v>
      </c>
      <c r="N3" s="111" t="s">
        <v>3111</v>
      </c>
      <c r="O3" s="111" t="s">
        <v>3112</v>
      </c>
      <c r="P3" s="111" t="s">
        <v>3113</v>
      </c>
      <c r="Q3" s="111" t="s">
        <v>3114</v>
      </c>
      <c r="R3" s="111" t="s">
        <v>3115</v>
      </c>
      <c r="S3" s="111" t="s">
        <v>3116</v>
      </c>
      <c r="T3" s="111" t="s">
        <v>3117</v>
      </c>
      <c r="X3" t="s">
        <v>2835</v>
      </c>
      <c r="Y3" t="s">
        <v>3055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3118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3055</v>
      </c>
      <c r="Z6">
        <v>1</v>
      </c>
      <c r="AA6">
        <v>0</v>
      </c>
      <c r="AC6" s="96">
        <v>2026</v>
      </c>
      <c r="AD6" s="17" t="s">
        <v>3119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3049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3067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3049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3067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3049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3067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3055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3055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3090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3086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3068</v>
      </c>
      <c r="Z33">
        <v>4</v>
      </c>
      <c r="AA33">
        <v>0.6</v>
      </c>
      <c r="AC33" s="98"/>
      <c r="AD33" s="114" t="s">
        <v>3120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3069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3060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2902</v>
      </c>
      <c r="Y43" s="17" t="s">
        <v>3077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2902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3076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3088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3085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3087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3084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3121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3091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3089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3076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2934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3083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3082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3081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Em andamento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3073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2959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2959</v>
      </c>
      <c r="Y68" t="s">
        <v>3071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3055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3060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2911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2898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2898</v>
      </c>
      <c r="Y77" t="s">
        <v>3074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3078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3075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3079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3061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3061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3061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3122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3122</v>
      </c>
      <c r="Y87" t="s">
        <v>3073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3122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Em andamento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Em andamento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R138" t="str">
        <f ca="1"/>
        <v/>
      </c>
      <c r="S138" t="str">
        <f ca="1"/>
        <v/>
      </c>
    </row>
    <row r="139" spans="1:19"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188" t="s">
        <v>3123</v>
      </c>
      <c r="B1" s="188"/>
      <c r="C1" s="188"/>
      <c r="D1" s="188"/>
      <c r="E1" s="188"/>
      <c r="F1" s="188"/>
      <c r="G1" s="188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189" t="s">
        <v>3124</v>
      </c>
      <c r="B4" s="190"/>
      <c r="D4" s="191" t="s">
        <v>3125</v>
      </c>
      <c r="E4" s="192"/>
      <c r="G4" s="44" t="s">
        <v>3126</v>
      </c>
    </row>
    <row r="5" spans="1:7" ht="54.95" customHeight="1" thickBot="1">
      <c r="A5" s="34">
        <f>COUNTIF('Ações InCompany'!B:B,2026)</f>
        <v>88</v>
      </c>
      <c r="B5" s="35" t="s">
        <v>3127</v>
      </c>
      <c r="D5" s="42">
        <f>COUNTIFS('Ações InCompany'!B:B,2026,'Ações InCompany'!C:C,"Realizado")</f>
        <v>58</v>
      </c>
      <c r="E5" s="43" t="s">
        <v>3127</v>
      </c>
      <c r="G5" s="45">
        <f>COUNTIFS('Ações InCompany'!B:B,2026,'Ações InCompany'!C:C,"A realizar")</f>
        <v>23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187" t="s">
        <v>3128</v>
      </c>
      <c r="B8" s="187"/>
      <c r="D8" s="187" t="s">
        <v>3129</v>
      </c>
      <c r="E8" s="187"/>
    </row>
    <row r="9" spans="1:7" ht="5.0999999999999996" customHeight="1">
      <c r="A9" s="222"/>
      <c r="B9" s="222"/>
      <c r="D9" s="222"/>
      <c r="E9" s="222"/>
    </row>
    <row r="10" spans="1:7" ht="24.95" customHeight="1">
      <c r="A10" s="27" t="s">
        <v>5</v>
      </c>
      <c r="B10" s="27" t="s">
        <v>3130</v>
      </c>
      <c r="D10" s="27" t="s">
        <v>3131</v>
      </c>
      <c r="E10" s="27" t="s">
        <v>3132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3133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25</v>
      </c>
      <c r="D12" s="30" t="s">
        <v>3134</v>
      </c>
      <c r="E12" s="31">
        <f>SUMIFS('Ações InCompany'!P:P,'Ações InCompany'!B:B,2026,'Ações InCompany'!C:C,"Realizado")</f>
        <v>1551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3135</v>
      </c>
      <c r="E13" s="29">
        <f>SUMIFS('Ações InCompany'!Q:Q,'Ações InCompany'!B:B,2026,'Ações InCompany'!C:C,"Realizado")</f>
        <v>750</v>
      </c>
    </row>
    <row r="14" spans="1:7" ht="27.95" customHeight="1">
      <c r="A14" s="32" t="s">
        <v>3136</v>
      </c>
      <c r="B14" s="33">
        <f>SUM(B11:B13)</f>
        <v>58</v>
      </c>
      <c r="D14" s="32" t="s">
        <v>3137</v>
      </c>
      <c r="E14" s="33">
        <f>SUM(E11:E13)</f>
        <v>3242</v>
      </c>
    </row>
    <row r="30" spans="1:5" ht="17.25">
      <c r="A30" s="187" t="s">
        <v>3138</v>
      </c>
      <c r="B30" s="187"/>
      <c r="C30" s="187"/>
      <c r="D30" s="187"/>
      <c r="E30" s="187"/>
    </row>
    <row r="31" spans="1:5" ht="5.0999999999999996" customHeight="1">
      <c r="A31" s="222"/>
      <c r="B31" s="222"/>
      <c r="C31" s="222"/>
      <c r="D31" s="222"/>
      <c r="E31" s="222"/>
    </row>
    <row r="32" spans="1:5" ht="24.95" customHeight="1">
      <c r="A32" s="27" t="s">
        <v>6</v>
      </c>
      <c r="B32" s="27" t="s">
        <v>3139</v>
      </c>
      <c r="C32" s="27" t="s">
        <v>3140</v>
      </c>
      <c r="D32" s="27" t="s">
        <v>3141</v>
      </c>
      <c r="E32" s="27" t="s">
        <v>3142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0.27160493827160492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4.9382716049382713E-2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4</v>
      </c>
      <c r="D35" s="36">
        <f t="shared" si="0"/>
        <v>10</v>
      </c>
      <c r="E35" s="37">
        <f t="shared" si="1"/>
        <v>0.12345679012345678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2.4691358024691357E-2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3</v>
      </c>
      <c r="D37" s="36">
        <f t="shared" si="0"/>
        <v>8</v>
      </c>
      <c r="E37" s="37">
        <f t="shared" si="1"/>
        <v>9.8765432098765427E-2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0.25925925925925924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4.9382716049382713E-2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2.4691358024691357E-2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6</v>
      </c>
      <c r="C41" s="70">
        <f>COUNTIFS('Ações InCompany'!B:B,2026,'Ações InCompany'!C:C,"A realizar",'Ações InCompany'!G:G,A41)</f>
        <v>0</v>
      </c>
      <c r="D41" s="69">
        <f>B41+C41</f>
        <v>6</v>
      </c>
      <c r="E41" s="75">
        <f>D41/$D$45</f>
        <v>7.407407407407407E-2</v>
      </c>
    </row>
    <row r="42" spans="1:5" ht="24" customHeight="1">
      <c r="A42" s="74" t="s">
        <v>3143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2.4691358024691357E-2</v>
      </c>
    </row>
    <row r="44" spans="1:5" ht="24" customHeight="1">
      <c r="A44" s="66" t="s">
        <v>3144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3136</v>
      </c>
      <c r="B45" s="40">
        <f>SUM(B33:B44)</f>
        <v>58</v>
      </c>
      <c r="C45" s="40">
        <f>SUM(C33:C44)</f>
        <v>23</v>
      </c>
      <c r="D45" s="40">
        <f>SUM(D33:D44)</f>
        <v>81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>
      <c r="A2" s="11" t="s">
        <v>3150</v>
      </c>
      <c r="B2" s="11" t="s">
        <v>3151</v>
      </c>
      <c r="C2" s="11" t="s">
        <v>1736</v>
      </c>
      <c r="D2" s="11" t="s">
        <v>3152</v>
      </c>
      <c r="E2" s="11" t="s">
        <v>3153</v>
      </c>
    </row>
    <row r="3" spans="1:5" ht="18" customHeight="1">
      <c r="A3" s="11" t="s">
        <v>3150</v>
      </c>
      <c r="B3" s="11" t="s">
        <v>3151</v>
      </c>
      <c r="C3" s="13" t="s">
        <v>25</v>
      </c>
      <c r="D3" s="11" t="s">
        <v>3154</v>
      </c>
      <c r="E3" s="11" t="s">
        <v>3155</v>
      </c>
    </row>
    <row r="4" spans="1:5" ht="18" customHeight="1">
      <c r="A4" s="11" t="s">
        <v>3150</v>
      </c>
      <c r="B4" s="11" t="s">
        <v>3151</v>
      </c>
      <c r="C4" s="11" t="s">
        <v>75</v>
      </c>
      <c r="D4" s="11" t="s">
        <v>3152</v>
      </c>
      <c r="E4" s="11" t="s">
        <v>3156</v>
      </c>
    </row>
    <row r="5" spans="1:5" ht="18" customHeight="1">
      <c r="A5" s="11" t="s">
        <v>3150</v>
      </c>
      <c r="B5" s="11" t="s">
        <v>3151</v>
      </c>
      <c r="C5" s="11" t="s">
        <v>79</v>
      </c>
      <c r="D5" s="11" t="s">
        <v>3157</v>
      </c>
      <c r="E5" s="11" t="s">
        <v>3158</v>
      </c>
    </row>
    <row r="6" spans="1:5" ht="18" customHeight="1">
      <c r="A6" s="11" t="s">
        <v>3150</v>
      </c>
      <c r="B6" s="11" t="s">
        <v>3151</v>
      </c>
      <c r="C6" s="11" t="s">
        <v>2717</v>
      </c>
      <c r="D6" s="11" t="s">
        <v>3159</v>
      </c>
      <c r="E6" s="11" t="s">
        <v>3160</v>
      </c>
    </row>
    <row r="7" spans="1:5" ht="18" customHeight="1">
      <c r="A7" s="11" t="s">
        <v>3150</v>
      </c>
      <c r="B7" s="11" t="s">
        <v>3161</v>
      </c>
      <c r="C7" s="11" t="s">
        <v>36</v>
      </c>
      <c r="D7" s="11" t="s">
        <v>3162</v>
      </c>
      <c r="E7" s="11" t="s">
        <v>3163</v>
      </c>
    </row>
    <row r="8" spans="1:5" ht="18" customHeight="1">
      <c r="A8" s="11" t="s">
        <v>3150</v>
      </c>
      <c r="B8" s="11" t="s">
        <v>3161</v>
      </c>
      <c r="C8" s="11" t="s">
        <v>42</v>
      </c>
      <c r="D8" s="11" t="s">
        <v>3164</v>
      </c>
      <c r="E8" s="11" t="s">
        <v>3165</v>
      </c>
    </row>
    <row r="9" spans="1:5" ht="18" customHeight="1">
      <c r="A9" s="11" t="s">
        <v>3150</v>
      </c>
      <c r="B9" s="11" t="s">
        <v>3166</v>
      </c>
      <c r="C9" s="11" t="s">
        <v>464</v>
      </c>
      <c r="D9" s="11" t="s">
        <v>3167</v>
      </c>
      <c r="E9" s="11" t="s">
        <v>3168</v>
      </c>
    </row>
    <row r="10" spans="1:5" ht="18" customHeight="1">
      <c r="A10" s="11" t="s">
        <v>3150</v>
      </c>
      <c r="B10" s="11" t="s">
        <v>3166</v>
      </c>
      <c r="C10" s="11" t="s">
        <v>206</v>
      </c>
      <c r="D10" s="11" t="s">
        <v>24</v>
      </c>
      <c r="E10" s="11" t="s">
        <v>3169</v>
      </c>
    </row>
    <row r="11" spans="1:5" ht="18" customHeight="1">
      <c r="A11" s="11" t="s">
        <v>3150</v>
      </c>
      <c r="B11" s="11" t="s">
        <v>3166</v>
      </c>
      <c r="C11" s="11" t="s">
        <v>371</v>
      </c>
      <c r="D11" s="11" t="s">
        <v>24</v>
      </c>
      <c r="E11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3171</v>
      </c>
      <c r="B1" s="5" t="s">
        <v>10</v>
      </c>
      <c r="C1" s="14" t="s">
        <v>3172</v>
      </c>
      <c r="D1" s="14" t="s">
        <v>3094</v>
      </c>
    </row>
    <row r="2" spans="1:4" ht="21" customHeight="1">
      <c r="A2" s="102" t="s">
        <v>24</v>
      </c>
      <c r="B2" s="102" t="s">
        <v>38</v>
      </c>
      <c r="C2" s="11" t="s">
        <v>3173</v>
      </c>
      <c r="D2" s="11" t="s">
        <v>2697</v>
      </c>
    </row>
    <row r="3" spans="1:4" ht="21" customHeight="1">
      <c r="A3" s="11" t="s">
        <v>69</v>
      </c>
      <c r="B3" s="102" t="s">
        <v>27</v>
      </c>
      <c r="C3" s="11" t="s">
        <v>3174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>
      <c r="A2" s="11" t="s">
        <v>3176</v>
      </c>
      <c r="B2" s="11" t="s">
        <v>3151</v>
      </c>
      <c r="C2" s="13" t="s">
        <v>25</v>
      </c>
      <c r="D2" s="11" t="s">
        <v>3152</v>
      </c>
      <c r="E2" s="16" t="s">
        <v>3177</v>
      </c>
    </row>
    <row r="3" spans="1:5" ht="18" customHeight="1">
      <c r="A3" s="11" t="s">
        <v>3176</v>
      </c>
      <c r="B3" s="11" t="s">
        <v>3151</v>
      </c>
      <c r="C3" s="11" t="s">
        <v>75</v>
      </c>
      <c r="D3" s="11" t="s">
        <v>3154</v>
      </c>
      <c r="E3" s="11" t="s">
        <v>3178</v>
      </c>
    </row>
    <row r="4" spans="1:5" ht="18" customHeight="1">
      <c r="A4" s="11" t="s">
        <v>3176</v>
      </c>
      <c r="B4" s="11" t="s">
        <v>3151</v>
      </c>
      <c r="C4" s="11" t="s">
        <v>79</v>
      </c>
      <c r="D4" s="11" t="s">
        <v>3157</v>
      </c>
      <c r="E4" s="11" t="s">
        <v>3179</v>
      </c>
    </row>
    <row r="5" spans="1:5" ht="27.75" customHeight="1">
      <c r="A5" s="11" t="s">
        <v>3176</v>
      </c>
      <c r="B5" s="11" t="s">
        <v>3151</v>
      </c>
      <c r="C5" s="11" t="s">
        <v>2694</v>
      </c>
      <c r="D5" s="16" t="s">
        <v>3180</v>
      </c>
      <c r="E5" s="11" t="s">
        <v>3181</v>
      </c>
    </row>
    <row r="6" spans="1:5" ht="18" customHeight="1">
      <c r="A6" s="11" t="s">
        <v>3176</v>
      </c>
      <c r="B6" s="11" t="s">
        <v>3151</v>
      </c>
      <c r="C6" s="11" t="s">
        <v>2717</v>
      </c>
      <c r="D6" s="11" t="s">
        <v>3159</v>
      </c>
      <c r="E6" s="11" t="s">
        <v>3160</v>
      </c>
    </row>
    <row r="7" spans="1:5" ht="18" customHeight="1">
      <c r="A7" s="11" t="s">
        <v>3176</v>
      </c>
      <c r="B7" s="11" t="s">
        <v>3161</v>
      </c>
      <c r="C7" s="11" t="s">
        <v>2700</v>
      </c>
      <c r="D7" s="11" t="s">
        <v>3182</v>
      </c>
      <c r="E7" s="11" t="s">
        <v>3183</v>
      </c>
    </row>
    <row r="8" spans="1:5" ht="18" customHeight="1">
      <c r="A8" s="11" t="s">
        <v>3176</v>
      </c>
      <c r="B8" s="11" t="s">
        <v>3161</v>
      </c>
      <c r="C8" s="11" t="s">
        <v>42</v>
      </c>
      <c r="D8" s="11" t="s">
        <v>3164</v>
      </c>
      <c r="E8" s="11" t="s">
        <v>3165</v>
      </c>
    </row>
    <row r="9" spans="1:5" ht="18" customHeight="1">
      <c r="A9" s="11" t="s">
        <v>3176</v>
      </c>
      <c r="B9" s="11" t="s">
        <v>3161</v>
      </c>
      <c r="C9" s="11" t="s">
        <v>2792</v>
      </c>
      <c r="D9" s="11" t="s">
        <v>3184</v>
      </c>
      <c r="E9" s="16" t="s">
        <v>3185</v>
      </c>
    </row>
    <row r="10" spans="1:5" ht="18" customHeight="1">
      <c r="A10" s="11" t="s">
        <v>3176</v>
      </c>
      <c r="B10" s="11" t="s">
        <v>3186</v>
      </c>
      <c r="C10" s="11" t="s">
        <v>3143</v>
      </c>
      <c r="D10" s="11" t="s">
        <v>3187</v>
      </c>
      <c r="E10" s="16" t="s">
        <v>3188</v>
      </c>
    </row>
    <row r="11" spans="1:5" ht="18" customHeight="1">
      <c r="A11" s="11" t="s">
        <v>3176</v>
      </c>
      <c r="B11" s="11" t="s">
        <v>3186</v>
      </c>
      <c r="C11" s="11" t="s">
        <v>206</v>
      </c>
      <c r="D11" s="11" t="s">
        <v>24</v>
      </c>
      <c r="E11" s="11" t="s">
        <v>3169</v>
      </c>
    </row>
    <row r="12" spans="1:5" ht="18" customHeight="1">
      <c r="A12" s="11" t="s">
        <v>3176</v>
      </c>
      <c r="B12" s="11" t="s">
        <v>3186</v>
      </c>
      <c r="C12" s="11" t="s">
        <v>371</v>
      </c>
      <c r="D12" s="11" t="s">
        <v>24</v>
      </c>
      <c r="E12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193" t="s">
        <v>3189</v>
      </c>
      <c r="B1" s="193"/>
      <c r="C1" s="193"/>
      <c r="D1" s="193"/>
      <c r="E1" s="193"/>
      <c r="F1" s="193"/>
      <c r="G1" s="193"/>
      <c r="H1" s="193"/>
    </row>
    <row r="2" spans="1:8">
      <c r="A2" s="48" t="s">
        <v>3190</v>
      </c>
    </row>
    <row r="4" spans="1:8" ht="21.95" customHeight="1">
      <c r="A4" s="194" t="s">
        <v>3191</v>
      </c>
      <c r="B4" s="195"/>
      <c r="D4" s="194" t="s">
        <v>3192</v>
      </c>
      <c r="E4" s="195"/>
      <c r="G4" s="194" t="s">
        <v>3193</v>
      </c>
      <c r="H4" s="195"/>
    </row>
    <row r="5" spans="1:8" ht="35.1" customHeight="1">
      <c r="A5" s="198">
        <f>COUNTIF('Ações InCompany'!E:E,"*maratona*")</f>
        <v>13</v>
      </c>
      <c r="B5" s="197"/>
      <c r="D5" s="196">
        <f>SUM(H8:H100)</f>
        <v>1762</v>
      </c>
      <c r="E5" s="197"/>
      <c r="G5" s="196">
        <f>IFERROR(ROUND(D5/A5,0),"-")</f>
        <v>136</v>
      </c>
      <c r="H5" s="197"/>
    </row>
    <row r="6" spans="1:8" ht="9.9499999999999993" customHeight="1"/>
    <row r="7" spans="1:8" ht="24.95" customHeight="1" thickBot="1">
      <c r="A7" s="61" t="s">
        <v>3194</v>
      </c>
      <c r="B7" s="61" t="s">
        <v>3195</v>
      </c>
      <c r="C7" s="61" t="s">
        <v>1</v>
      </c>
      <c r="D7" s="61" t="s">
        <v>3196</v>
      </c>
      <c r="E7" s="61" t="s">
        <v>3197</v>
      </c>
      <c r="F7" s="61" t="s">
        <v>3094</v>
      </c>
      <c r="G7" s="61" t="s">
        <v>5</v>
      </c>
      <c r="H7" s="61" t="s">
        <v>3198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3" t="s">
        <v>3199</v>
      </c>
      <c r="B1" s="223"/>
      <c r="C1" s="223"/>
      <c r="D1" s="223"/>
      <c r="E1" s="223"/>
      <c r="F1" s="223"/>
    </row>
    <row r="2" spans="1:7">
      <c r="A2" s="224" t="s">
        <v>3200</v>
      </c>
      <c r="B2" s="224"/>
      <c r="C2" s="224"/>
      <c r="D2" s="224"/>
      <c r="E2" s="224"/>
      <c r="F2" s="224"/>
    </row>
    <row r="4" spans="1:7">
      <c r="A4" s="24" t="s">
        <v>19</v>
      </c>
      <c r="B4" s="24" t="s">
        <v>3097</v>
      </c>
      <c r="C4" s="24" t="s">
        <v>3098</v>
      </c>
      <c r="D4" s="24" t="s">
        <v>3201</v>
      </c>
      <c r="E4" s="24" t="s">
        <v>3099</v>
      </c>
      <c r="F4" s="24" t="s">
        <v>3202</v>
      </c>
    </row>
    <row r="5" spans="1:7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Isac Mendes Caixeta de Pamplona Araújo</v>
      </c>
      <c r="B33" s="25">
        <f ca="1">IF($A33="","",SUMIFS('GECC 2026'!H$2:H$200,'GECC 2026'!F$2:F$200,$A33))</f>
        <v>0</v>
      </c>
      <c r="C33" s="25">
        <f ca="1">IF($A33="","",SUMIFS('GECC 2026'!I$2:I$200,'GECC 2026'!F$2:F$200,$A33))</f>
        <v>0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0</v>
      </c>
      <c r="F33" s="23">
        <f ca="1">IF($A33="","",COUNTIFS('GECC 2026'!F$2:F$200,$A33))</f>
        <v>2</v>
      </c>
    </row>
    <row r="34" spans="1:6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2</v>
      </c>
    </row>
    <row r="39" spans="1:6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>
      <c r="A43" t="str">
        <f ca="1"/>
        <v>Marcelo Silva Santana</v>
      </c>
      <c r="B43" s="25">
        <f ca="1">IF($A43="","",SUMIFS('GECC 2026'!H$2:H$200,'GECC 2026'!F$2:F$200,$A43))</f>
        <v>12</v>
      </c>
      <c r="C43" s="25">
        <f ca="1">IF($A43="","",SUMIFS('GECC 2026'!I$2:I$200,'GECC 2026'!F$2:F$200,$A43))</f>
        <v>1.44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13.440000000000001</v>
      </c>
      <c r="F43" s="23">
        <f ca="1">IF($A43="","",COUNTIFS('GECC 2026'!F$2:F$200,$A43))</f>
        <v>2</v>
      </c>
    </row>
    <row r="44" spans="1:6">
      <c r="A44" t="str">
        <f ca="1"/>
        <v>Mauri Siqueira Montessi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Michel Martins de Morais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Paulo José Góes Daltro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2</v>
      </c>
    </row>
    <row r="47" spans="1:6">
      <c r="A47" t="str">
        <f ca="1"/>
        <v>Priscila Nolasco de Oliveira</v>
      </c>
      <c r="B47" s="25">
        <f ca="1">IF($A47="","",SUMIFS('GECC 2026'!H$2:H$200,'GECC 2026'!F$2:F$200,$A47))</f>
        <v>20</v>
      </c>
      <c r="C47" s="25">
        <f ca="1">IF($A47="","",SUMIFS('GECC 2026'!I$2:I$200,'GECC 2026'!F$2:F$200,$A47))</f>
        <v>6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26</v>
      </c>
      <c r="F47" s="23">
        <f ca="1">IF($A47="","",COUNTIFS('GECC 2026'!F$2:F$200,$A47))</f>
        <v>5</v>
      </c>
    </row>
    <row r="48" spans="1:6">
      <c r="A48" t="str">
        <f ca="1"/>
        <v>Reinaldo Alencar</v>
      </c>
      <c r="B48" s="25">
        <f ca="1">IF($A48="","",SUMIFS('GECC 2026'!H$2:H$200,'GECC 2026'!F$2:F$200,$A48))</f>
        <v>48</v>
      </c>
      <c r="C48" s="25">
        <f ca="1">IF($A48="","",SUMIFS('GECC 2026'!I$2:I$200,'GECC 2026'!F$2:F$200,$A48))</f>
        <v>7.1999999999999993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55.2</v>
      </c>
      <c r="F48" s="23">
        <f ca="1">IF($A48="","",COUNTIFS('GECC 2026'!F$2:F$200,$A48))</f>
        <v>3</v>
      </c>
    </row>
    <row r="49" spans="1:6">
      <c r="A49" t="str">
        <f ca="1"/>
        <v>Renan Dias da Silva</v>
      </c>
      <c r="B49" s="25">
        <f ca="1">IF($A49="","",SUMIFS('GECC 2026'!H$2:H$200,'GECC 2026'!F$2:F$200,$A49))</f>
        <v>4</v>
      </c>
      <c r="C49" s="25">
        <f ca="1">IF($A49="","",SUMIFS('GECC 2026'!I$2:I$200,'GECC 2026'!F$2:F$200,$A49))</f>
        <v>1.2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5.2</v>
      </c>
      <c r="F49" s="23">
        <f ca="1">IF($A49="","",COUNTIFS('GECC 2026'!F$2:F$200,$A49))</f>
        <v>1</v>
      </c>
    </row>
    <row r="50" spans="1:6">
      <c r="A50" t="str">
        <f ca="1"/>
        <v>Rogério Ribeiro</v>
      </c>
      <c r="B50" s="25">
        <f ca="1">IF($A50="","",SUMIFS('GECC 2026'!H$2:H$200,'GECC 2026'!F$2:F$200,$A50))</f>
        <v>48</v>
      </c>
      <c r="C50" s="25">
        <f ca="1">IF($A50="","",SUMIFS('GECC 2026'!I$2:I$200,'GECC 2026'!F$2:F$200,$A50))</f>
        <v>7.1999999999999993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55.2</v>
      </c>
      <c r="F50" s="23">
        <f ca="1">IF($A50="","",COUNTIFS('GECC 2026'!F$2:F$200,$A50))</f>
        <v>3</v>
      </c>
    </row>
    <row r="51" spans="1:6">
      <c r="A51" t="str">
        <f ca="1"/>
        <v>Rômulo Miranda Alvim</v>
      </c>
      <c r="B51" s="25">
        <f ca="1">IF($A51="","",SUMIFS('GECC 2026'!H$2:H$200,'GECC 2026'!F$2:F$200,$A51))</f>
        <v>24</v>
      </c>
      <c r="C51" s="25">
        <f ca="1">IF($A51="","",SUMIFS('GECC 2026'!I$2:I$200,'GECC 2026'!F$2:F$200,$A51))</f>
        <v>3.6</v>
      </c>
      <c r="D51" s="100">
        <f ca="1">IF($A51="","",SUMIFS('GECC 2026'!$AE$3:$AE$32,'GECC 2026'!$AD$3:$AD$32,$A51))</f>
        <v>16</v>
      </c>
      <c r="E51" s="92">
        <f ca="1">IF($A51="","",SUMIFS('GECC 2026'!J$2:J$200,'GECC 2026'!F$2:F$200,$A51)+SUMIFS('GECC 2026'!$AE$3:$AE$32,'GECC 2026'!$AD$3:$AD$32,$A51))</f>
        <v>43.6</v>
      </c>
      <c r="F51" s="23">
        <f ca="1">IF($A51="","",COUNTIFS('GECC 2026'!F$2:F$200,$A51))</f>
        <v>2</v>
      </c>
    </row>
    <row r="52" spans="1:6">
      <c r="A52" t="str">
        <f ca="1"/>
        <v>Sara Cristina Lins Ramos</v>
      </c>
      <c r="B52" s="25">
        <f ca="1">IF($A52="","",SUMIFS('GECC 2026'!H$2:H$200,'GECC 2026'!F$2:F$200,$A52))</f>
        <v>8</v>
      </c>
      <c r="C52" s="25">
        <f ca="1">IF($A52="","",SUMIFS('GECC 2026'!I$2:I$200,'GECC 2026'!F$2:F$200,$A52))</f>
        <v>2.4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10.4</v>
      </c>
      <c r="F52" s="23">
        <f ca="1">IF($A52="","",COUNTIFS('GECC 2026'!F$2:F$200,$A52))</f>
        <v>1</v>
      </c>
    </row>
    <row r="53" spans="1:6">
      <c r="A53" t="str">
        <f ca="1"/>
        <v>Servidores, colaboradores e estagiários do TCDF</v>
      </c>
      <c r="B53" s="25">
        <f ca="1">IF($A53="","",SUMIFS('GECC 2026'!H$2:H$200,'GECC 2026'!F$2:F$200,$A53))</f>
        <v>0</v>
      </c>
      <c r="C53" s="25">
        <f ca="1">IF($A53="","",SUMIFS('GECC 2026'!I$2:I$200,'GECC 2026'!F$2:F$200,$A53))</f>
        <v>0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0</v>
      </c>
      <c r="F53" s="23">
        <f ca="1">IF($A53="","",COUNTIFS('GECC 2026'!F$2:F$200,$A53))</f>
        <v>1</v>
      </c>
    </row>
    <row r="54" spans="1:6">
      <c r="A54" t="str">
        <f ca="1"/>
        <v>Silvia Lima Damasceno Carvalho</v>
      </c>
      <c r="B54" s="25">
        <f ca="1">IF($A54="","",SUMIFS('GECC 2026'!H$2:H$200,'GECC 2026'!F$2:F$200,$A54))</f>
        <v>21</v>
      </c>
      <c r="C54" s="25">
        <f ca="1">IF($A54="","",SUMIFS('GECC 2026'!I$2:I$200,'GECC 2026'!F$2:F$200,$A54))</f>
        <v>6.3000000000000007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27.299999999999997</v>
      </c>
      <c r="F54" s="23">
        <f ca="1">IF($A54="","",COUNTIFS('GECC 2026'!F$2:F$200,$A54))</f>
        <v>6</v>
      </c>
    </row>
    <row r="55" spans="1:6">
      <c r="A55" t="str">
        <f ca="1"/>
        <v>Tarsila Firmino Ely</v>
      </c>
      <c r="B55" s="25">
        <f ca="1">IF($A55="","",SUMIFS('GECC 2026'!H$2:H$200,'GECC 2026'!F$2:F$200,$A55))</f>
        <v>88</v>
      </c>
      <c r="C55" s="25">
        <f ca="1">IF($A55="","",SUMIFS('GECC 2026'!I$2:I$200,'GECC 2026'!F$2:F$200,$A55))</f>
        <v>83.6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171.6</v>
      </c>
      <c r="F55" s="23">
        <f ca="1">IF($A55="","",COUNTIFS('GECC 2026'!F$2:F$200,$A55))</f>
        <v>7</v>
      </c>
    </row>
    <row r="56" spans="1:6">
      <c r="A56" t="str">
        <f ca="1"/>
        <v>Thiago Magalhães de Oliveira</v>
      </c>
      <c r="B56" s="25">
        <f ca="1">IF($A56="","",SUMIFS('GECC 2026'!H$2:H$200,'GECC 2026'!F$2:F$200,$A56))</f>
        <v>4</v>
      </c>
      <c r="C56" s="25">
        <f ca="1">IF($A56="","",SUMIFS('GECC 2026'!I$2:I$200,'GECC 2026'!F$2:F$200,$A56))</f>
        <v>1.2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5.2</v>
      </c>
      <c r="F56" s="23">
        <f ca="1">IF($A56="","",COUNTIFS('GECC 2026'!F$2:F$200,$A56))</f>
        <v>1</v>
      </c>
    </row>
    <row r="57" spans="1:6">
      <c r="A57" t="str">
        <f ca="1"/>
        <v>Túllio Herbeth Teixeira Moraes</v>
      </c>
      <c r="B57" s="25">
        <f ca="1">IF($A57="","",SUMIFS('GECC 2026'!H$2:H$200,'GECC 2026'!F$2:F$200,$A57))</f>
        <v>9</v>
      </c>
      <c r="C57" s="25">
        <f ca="1">IF($A57="","",SUMIFS('GECC 2026'!I$2:I$200,'GECC 2026'!F$2:F$200,$A57))</f>
        <v>2.6999999999999997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11.7</v>
      </c>
      <c r="F57" s="23">
        <f ca="1">IF($A57="","",COUNTIFS('GECC 2026'!F$2:F$200,$A57))</f>
        <v>3</v>
      </c>
    </row>
    <row r="58" spans="1:6">
      <c r="A58" t="str">
        <f ca="1"/>
        <v>Valéria Feitoza</v>
      </c>
      <c r="B58" s="25">
        <f ca="1">IF($A58="","",SUMIFS('GECC 2026'!H$2:H$200,'GECC 2026'!F$2:F$200,$A58))</f>
        <v>0</v>
      </c>
      <c r="C58" s="25">
        <f ca="1">IF($A58="","",SUMIFS('GECC 2026'!I$2:I$200,'GECC 2026'!F$2:F$200,$A58))</f>
        <v>0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0</v>
      </c>
      <c r="F58" s="23">
        <f ca="1">IF($A58="","",COUNTIFS('GECC 2026'!F$2:F$200,$A58))</f>
        <v>2</v>
      </c>
    </row>
    <row r="59" spans="1:6">
      <c r="A59" t="str">
        <f ca="1"/>
        <v>Wibys Pereira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Yasmin Carla Marchioro Silverio</v>
      </c>
      <c r="B60" s="25">
        <f ca="1">IF($A60="","",SUMIFS('GECC 2026'!H$2:H$200,'GECC 2026'!F$2:F$200,$A60))</f>
        <v>8</v>
      </c>
      <c r="C60" s="25">
        <f ca="1">IF($A60="","",SUMIFS('GECC 2026'!I$2:I$200,'GECC 2026'!F$2:F$200,$A60))</f>
        <v>2.4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10.4</v>
      </c>
      <c r="F60" s="23">
        <f ca="1">IF($A60="","",COUNTIFS('GECC 2026'!F$2:F$200,$A60))</f>
        <v>2</v>
      </c>
    </row>
    <row r="61" spans="1:6">
      <c r="B61" s="25" t="str">
        <f>IF($A61="","",SUMIFS('GECC 2026'!H$2:H$200,'GECC 2026'!F$2:F$200,$A61))</f>
        <v/>
      </c>
      <c r="C61" s="25" t="str">
        <f>IF($A61="","",SUMIFS('GECC 2026'!I$2:I$200,'GECC 2026'!F$2:F$200,$A61))</f>
        <v/>
      </c>
      <c r="D61" s="100" t="str">
        <f>IF($A61="","",SUMIFS('GECC 2026'!$AE$3:$AE$32,'GECC 2026'!$AD$3:$AD$32,$A61))</f>
        <v/>
      </c>
      <c r="E61" s="92" t="str">
        <f>IF($A61="","",SUMIFS('GECC 2026'!J$2:J$200,'GECC 2026'!F$2:F$200,$A61)+SUMIFS('GECC 2026'!$AE$3:$AE$32,'GECC 2026'!$AD$3:$AD$32,$A61))</f>
        <v/>
      </c>
      <c r="F61" s="23" t="str">
        <f>IF($A61="","",COUNTIFS('GECC 2026'!F$2:F$200,$A61))</f>
        <v/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3137</v>
      </c>
      <c r="B105" s="94">
        <f ca="1">SUM(B5:B100)</f>
        <v>807</v>
      </c>
      <c r="C105" s="94">
        <f ca="1">SUM(C5:C100)</f>
        <v>362.44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3203</v>
      </c>
      <c r="B1" s="117" t="s">
        <v>3204</v>
      </c>
      <c r="C1" s="117" t="s">
        <v>3205</v>
      </c>
      <c r="D1" s="117" t="s">
        <v>3206</v>
      </c>
      <c r="E1" s="117" t="s">
        <v>3207</v>
      </c>
      <c r="F1" s="117" t="s">
        <v>3208</v>
      </c>
      <c r="G1" s="117" t="s">
        <v>10</v>
      </c>
      <c r="H1" s="117" t="s">
        <v>3209</v>
      </c>
      <c r="I1" s="117" t="s">
        <v>3210</v>
      </c>
      <c r="J1" s="117" t="s">
        <v>3211</v>
      </c>
      <c r="K1" s="117" t="s">
        <v>3212</v>
      </c>
      <c r="L1" s="117" t="s">
        <v>3213</v>
      </c>
      <c r="N1" s="117" t="s">
        <v>3214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3215</v>
      </c>
      <c r="L2" t="str">
        <f>IF(K2="","",IFERROR(INDEX(Tabela2[Curso],MATCH(K2,Tabela2[ID],0)),""))</f>
        <v/>
      </c>
      <c r="N2" s="117" t="s">
        <v>3093</v>
      </c>
      <c r="O2" s="117" t="s">
        <v>4</v>
      </c>
      <c r="P2" s="117" t="s">
        <v>3216</v>
      </c>
      <c r="Q2" s="117" t="s">
        <v>3217</v>
      </c>
      <c r="R2" s="117" t="s">
        <v>3218</v>
      </c>
      <c r="S2" s="117" t="s">
        <v>3219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3215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3215</v>
      </c>
      <c r="L5" t="str">
        <f>IF(K5="","",IFERROR(INDEX(Tabela2[Curso],MATCH(K5,Tabela2[ID],0)),""))</f>
        <v/>
      </c>
      <c r="N5" t="s">
        <v>2934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3215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3215</v>
      </c>
      <c r="L10" t="str">
        <f>IF(K10="","",IFERROR(INDEX(Tabela2[Curso],MATCH(K10,Tabela2[ID],0)),""))</f>
        <v/>
      </c>
      <c r="N10" s="111" t="s">
        <v>3220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3215</v>
      </c>
      <c r="L11" t="str">
        <f>IF(K11="","",IFERROR(INDEX(Tabela2[Curso],MATCH(K11,Tabela2[ID],0)),""))</f>
        <v/>
      </c>
      <c r="N11" s="225" t="s">
        <v>3221</v>
      </c>
      <c r="O11" s="225" t="s">
        <v>3222</v>
      </c>
      <c r="P11" s="225" t="s">
        <v>3223</v>
      </c>
      <c r="Q11" s="225" t="s">
        <v>3206</v>
      </c>
      <c r="R11" s="225" t="s">
        <v>3207</v>
      </c>
      <c r="S11" s="225" t="s">
        <v>3224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3215</v>
      </c>
      <c r="L12" t="str">
        <f>IF(K12="","",IFERROR(INDEX(Tabela2[Curso],MATCH(K12,Tabela2[ID],0)),""))</f>
        <v/>
      </c>
      <c r="N12" t="s">
        <v>3225</v>
      </c>
      <c r="O12" t="s">
        <v>2753</v>
      </c>
      <c r="P12" t="s">
        <v>3226</v>
      </c>
      <c r="Q12">
        <v>0</v>
      </c>
      <c r="R12">
        <v>0</v>
      </c>
      <c r="S12" t="s">
        <v>3227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3215</v>
      </c>
      <c r="L13" t="str">
        <f>IF(K13="","",IFERROR(INDEX(Tabela2[Curso],MATCH(K13,Tabela2[ID],0)),""))</f>
        <v/>
      </c>
      <c r="N13" t="s">
        <v>3228</v>
      </c>
      <c r="O13" t="s">
        <v>2686</v>
      </c>
      <c r="P13" t="s">
        <v>3229</v>
      </c>
      <c r="Q13">
        <v>0</v>
      </c>
      <c r="R13">
        <v>0</v>
      </c>
      <c r="S13" t="s">
        <v>3230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3215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3215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3215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3215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3215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3215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3215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3215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3215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3215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3215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3215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3215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3215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3215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3215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3215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3215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3215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3215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3215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3215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3215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3215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3215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3215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3215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3215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3215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3215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3215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3215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3215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3215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3215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3215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3215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3215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3215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3215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3215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3215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3215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3215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3215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3215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3215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3215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3215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3215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3215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16690115-09EE-4E0D-A489-D3FB288E822F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2026-09-08T19:09:18Z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