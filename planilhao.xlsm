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90" documentId="13_ncr:1_{6A2CC3E2-FAFB-4D8F-B284-5E8FB5045DFE}" xr6:coauthVersionLast="47" xr6:coauthVersionMax="47" xr10:uidLastSave="{8F110E67-8219-47BC-A843-43A8846B337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s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<sst xmlns="http://schemas.openxmlformats.org/spreadsheetml/2006/main" count="7356" uniqueCount="3231">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</sst>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44" activePane="bottomLeft" state="frozen"/>
      <selection pane="bottomLeft" activeCell="E738" sqref="E73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22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/>
      <c r="N737" s="176">
        <v>30</v>
      </c>
      <c r="O737" s="176"/>
      <c r="P737" s="176"/>
      <c r="Q737" s="176"/>
      <c r="R737" s="176">
        <f t="shared" si="14"/>
        <v>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21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57</v>
      </c>
      <c r="E5" s="43" t="s">
        <v>3127</v>
      </c>
      <c r="G5" s="45">
        <f>COUNTIFS('Ações InCompany'!B:B,2026,'Ações InCompany'!C:C,"A realizar")</f>
        <v>24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24</v>
      </c>
      <c r="D12" s="30" t="s">
        <v>3134</v>
      </c>
      <c r="E12" s="31">
        <f>SUMIFS('Ações InCompany'!P:P,'Ações InCompany'!B:B,2026,'Ações InCompany'!C:C,"Realizado")</f>
        <v>1521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57</v>
      </c>
      <c r="D14" s="32" t="s">
        <v>3137</v>
      </c>
      <c r="E14" s="33">
        <f>SUM(E11:E13)</f>
        <v>3212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18</v>
      </c>
      <c r="C33" s="46">
        <f>COUNTIFS('Ações InCompany'!B:B,2026,'Ações InCompany'!C:C,"A realizar",'Ações InCompany'!G:G,A33)</f>
        <v>4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0.12345679012345678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9.8765432098765427E-2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57</v>
      </c>
      <c r="C45" s="40">
        <f>SUM(C33:C44)</f>
        <v>24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2026-09-08T17:04:51Z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