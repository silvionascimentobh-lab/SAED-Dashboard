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45" documentId="13_ncr:1_{6A2CC3E2-FAFB-4D8F-B284-5E8FB5045DFE}" xr6:coauthVersionLast="47" xr6:coauthVersionMax="47" xr10:uidLastSave="{96297F72-D511-4B40-BE0F-0827F07AA78B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A5" i="23" l="1" a="1"/>
  <c r="E105" i="23"/>
  <c r="A2" i="20"/>
  <c r="F54" i="23" l="1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F5" i="23" l="1"/>
  <c r="F105" i="23" s="1"/>
  <c r="C5" i="23"/>
  <c r="C105" i="23" s="1"/>
  <c r="G5" i="23"/>
  <c r="D5" i="23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<sst xmlns="http://schemas.openxmlformats.org/spreadsheetml/2006/main" count="7279" uniqueCount="3198">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</sst>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88" activePane="bottomLeft" state="frozen"/>
      <selection pane="bottomLeft" activeCell="I703" sqref="I703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2994</v>
      </c>
      <c r="B738" s="183">
        <v>2026</v>
      </c>
      <c r="C738" s="183" t="s">
        <v>2697</v>
      </c>
      <c r="D738" s="183" t="s">
        <v>2995</v>
      </c>
      <c r="E738" s="180" t="s">
        <v>2996</v>
      </c>
      <c r="F738" s="185" t="s">
        <v>69</v>
      </c>
      <c r="G738" s="186" t="s">
        <v>2694</v>
      </c>
      <c r="H738" s="191" t="s">
        <v>2997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2998</v>
      </c>
    </row>
    <row r="739" spans="1:20" ht="15">
      <c r="A739" s="191" t="s">
        <v>2999</v>
      </c>
      <c r="B739" s="183">
        <v>2026</v>
      </c>
      <c r="C739" s="183" t="s">
        <v>2697</v>
      </c>
      <c r="D739" s="183" t="s">
        <v>3000</v>
      </c>
      <c r="E739" s="180" t="s">
        <v>3001</v>
      </c>
      <c r="F739" s="185" t="s">
        <v>24</v>
      </c>
      <c r="G739" s="186" t="s">
        <v>2700</v>
      </c>
      <c r="H739" s="175" t="s">
        <v>3002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3003</v>
      </c>
      <c r="H1" s="213" t="s">
        <v>3004</v>
      </c>
    </row>
    <row r="2" spans="1:8">
      <c r="H2" s="212" t="s">
        <v>3005</v>
      </c>
    </row>
    <row r="3" spans="1:8">
      <c r="A3" t="s">
        <v>0</v>
      </c>
      <c r="B3" t="s">
        <v>19</v>
      </c>
      <c r="C3" t="s">
        <v>3006</v>
      </c>
      <c r="D3" t="s">
        <v>3007</v>
      </c>
      <c r="E3" t="s">
        <v>3008</v>
      </c>
      <c r="H3" s="212" t="s">
        <v>3009</v>
      </c>
    </row>
    <row r="4" spans="1:8">
      <c r="A4">
        <v>1</v>
      </c>
      <c r="B4" t="s">
        <v>3010</v>
      </c>
      <c r="D4" t="s">
        <v>3011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3012</v>
      </c>
    </row>
    <row r="5" spans="1:8">
      <c r="A5">
        <v>2</v>
      </c>
      <c r="B5" t="s">
        <v>2507</v>
      </c>
      <c r="D5" t="s">
        <v>3011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3013</v>
      </c>
    </row>
    <row r="6" spans="1:8">
      <c r="A6">
        <v>3</v>
      </c>
      <c r="B6" t="s">
        <v>1030</v>
      </c>
      <c r="D6" t="s">
        <v>3011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3014</v>
      </c>
      <c r="D7" t="s">
        <v>3011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3015</v>
      </c>
    </row>
    <row r="8" spans="1:8">
      <c r="A8">
        <v>5</v>
      </c>
      <c r="B8" t="s">
        <v>3016</v>
      </c>
      <c r="D8" t="s">
        <v>3011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3011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3011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3011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3011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3011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3011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3011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3011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3011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3011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3011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3011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3011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3011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3017</v>
      </c>
      <c r="D23" t="s">
        <v>3011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3011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3018</v>
      </c>
      <c r="D25" t="s">
        <v>3011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3019</v>
      </c>
      <c r="D26" t="s">
        <v>3011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3011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3011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3020</v>
      </c>
      <c r="D29" t="s">
        <v>3011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3011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3011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3011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3021</v>
      </c>
      <c r="D33" t="s">
        <v>3011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3022</v>
      </c>
      <c r="D34" t="s">
        <v>3011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3011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3011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3011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3023</v>
      </c>
      <c r="D38" t="s">
        <v>3011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3011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3024</v>
      </c>
      <c r="D40" t="s">
        <v>3011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3011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3025</v>
      </c>
      <c r="D42" t="s">
        <v>3011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3011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3011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3026</v>
      </c>
      <c r="D45" t="s">
        <v>3011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3011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3011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3011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3011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3027</v>
      </c>
      <c r="D50" t="s">
        <v>3011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3011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3028</v>
      </c>
      <c r="D52" t="s">
        <v>3011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3011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3011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3029</v>
      </c>
      <c r="D55" t="s">
        <v>3011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3011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3011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3011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3030</v>
      </c>
      <c r="D59" t="s">
        <v>3011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3011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3011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3011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3031</v>
      </c>
      <c r="D63" t="s">
        <v>3011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3032</v>
      </c>
      <c r="D64" t="s">
        <v>3011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3033</v>
      </c>
      <c r="D65" t="s">
        <v>3011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3034</v>
      </c>
      <c r="D66" t="s">
        <v>3011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2797</v>
      </c>
      <c r="D67" t="s">
        <v>3011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3011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3035</v>
      </c>
      <c r="D69" t="s">
        <v>3011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3036</v>
      </c>
      <c r="D70" t="s">
        <v>3011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3011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3037</v>
      </c>
      <c r="D72" t="s">
        <v>3011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3011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3011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3011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3038</v>
      </c>
      <c r="D76" t="s">
        <v>3011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3011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3011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3011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3011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3039</v>
      </c>
      <c r="D81" t="s">
        <v>3011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3040</v>
      </c>
      <c r="D82" t="s">
        <v>3011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3041</v>
      </c>
      <c r="D83" t="s">
        <v>3011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3042</v>
      </c>
      <c r="D84" t="s">
        <v>3011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3011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3043</v>
      </c>
      <c r="D86" t="s">
        <v>3011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3011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3044</v>
      </c>
      <c r="D88" t="s">
        <v>3011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3045</v>
      </c>
      <c r="D89" t="s">
        <v>3011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3046</v>
      </c>
      <c r="D90" t="s">
        <v>3011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3047</v>
      </c>
      <c r="D91" t="s">
        <v>3011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3048</v>
      </c>
      <c r="D92" t="s">
        <v>3011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3049</v>
      </c>
      <c r="D93" t="s">
        <v>3011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3050</v>
      </c>
      <c r="D94" t="s">
        <v>3011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3051</v>
      </c>
      <c r="D95" t="s">
        <v>3011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3052</v>
      </c>
      <c r="D96" t="s">
        <v>3011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2921</v>
      </c>
      <c r="D97" t="s">
        <v>3011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3053</v>
      </c>
      <c r="D98" t="s">
        <v>3011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2913</v>
      </c>
      <c r="D99" t="s">
        <v>3011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3054</v>
      </c>
      <c r="D100" t="s">
        <v>3011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3055</v>
      </c>
      <c r="D101" t="s">
        <v>3011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3056</v>
      </c>
      <c r="D102" t="s">
        <v>3011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3057</v>
      </c>
      <c r="D103" t="s">
        <v>3011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2715</v>
      </c>
      <c r="D104" t="s">
        <v>3011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3058</v>
      </c>
      <c r="D105" t="s">
        <v>3011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3059</v>
      </c>
      <c r="D106" t="s">
        <v>3011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3060</v>
      </c>
      <c r="D107" t="s">
        <v>3011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2868</v>
      </c>
      <c r="D108" t="s">
        <v>3011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2873</v>
      </c>
      <c r="D109" t="s">
        <v>3011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H111" sqref="H111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3061</v>
      </c>
      <c r="C1" s="19" t="s">
        <v>3062</v>
      </c>
      <c r="D1" s="19" t="s">
        <v>4</v>
      </c>
      <c r="E1" s="19" t="s">
        <v>3063</v>
      </c>
      <c r="F1" s="19" t="s">
        <v>19</v>
      </c>
      <c r="G1" s="19" t="s">
        <v>3064</v>
      </c>
      <c r="H1" s="19" t="s">
        <v>3065</v>
      </c>
      <c r="I1" s="19" t="s">
        <v>3066</v>
      </c>
      <c r="J1" s="19" t="s">
        <v>3067</v>
      </c>
      <c r="L1" s="112" t="s">
        <v>3068</v>
      </c>
      <c r="M1" s="23">
        <v>2026</v>
      </c>
      <c r="U1" s="80" t="s">
        <v>3069</v>
      </c>
      <c r="V1" s="79"/>
      <c r="X1" s="78" t="s">
        <v>3070</v>
      </c>
      <c r="Y1" s="27"/>
      <c r="Z1" s="27"/>
      <c r="AA1" s="27"/>
      <c r="AC1" s="100" t="s">
        <v>3071</v>
      </c>
    </row>
    <row r="2" spans="1:31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3072</v>
      </c>
      <c r="M2" s="107" t="s">
        <v>2929</v>
      </c>
      <c r="X2" s="114" t="s">
        <v>3061</v>
      </c>
      <c r="Y2" s="114" t="s">
        <v>19</v>
      </c>
      <c r="Z2" s="114" t="s">
        <v>3073</v>
      </c>
      <c r="AA2" s="114" t="s">
        <v>3074</v>
      </c>
      <c r="AC2" s="115" t="s">
        <v>1</v>
      </c>
      <c r="AD2" s="115" t="s">
        <v>3075</v>
      </c>
      <c r="AE2" s="115" t="s">
        <v>3076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3077</v>
      </c>
      <c r="M3" s="113" t="s">
        <v>3078</v>
      </c>
      <c r="N3" s="113" t="s">
        <v>3079</v>
      </c>
      <c r="O3" s="113" t="s">
        <v>3080</v>
      </c>
      <c r="P3" s="113" t="s">
        <v>3081</v>
      </c>
      <c r="Q3" s="113" t="s">
        <v>3082</v>
      </c>
      <c r="R3" s="113" t="s">
        <v>3083</v>
      </c>
      <c r="S3" s="113" t="s">
        <v>3084</v>
      </c>
      <c r="T3" s="113" t="s">
        <v>3085</v>
      </c>
      <c r="X3" t="s">
        <v>2838</v>
      </c>
      <c r="Y3" t="s">
        <v>3024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3086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3024</v>
      </c>
      <c r="Z6">
        <v>1</v>
      </c>
      <c r="AA6">
        <v>0</v>
      </c>
      <c r="AC6" s="97">
        <v>2026</v>
      </c>
      <c r="AD6" s="18" t="s">
        <v>3087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3018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3036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3018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3036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3018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3036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3024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3024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3059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3055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3037</v>
      </c>
      <c r="Z33">
        <v>4</v>
      </c>
      <c r="AA33">
        <v>0.6</v>
      </c>
      <c r="AC33" s="99"/>
      <c r="AD33" s="116" t="s">
        <v>3088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3038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3029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3046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3045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3057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3054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3056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3053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3089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3060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3058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3045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3052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3051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3050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3042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3040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3024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3029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3043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3047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3044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3048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3090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3091</v>
      </c>
      <c r="B4" s="231"/>
      <c r="D4" s="232" t="s">
        <v>3092</v>
      </c>
      <c r="E4" s="233"/>
      <c r="G4" s="45" t="s">
        <v>3093</v>
      </c>
    </row>
    <row r="5" spans="1:7" ht="54.95" customHeight="1" thickBot="1">
      <c r="A5" s="35">
        <f>COUNTIF('Ações InCompany'!B:B,2026)</f>
        <v>83</v>
      </c>
      <c r="B5" s="36" t="s">
        <v>3094</v>
      </c>
      <c r="D5" s="43">
        <f>COUNTIFS('Ações InCompany'!B:B,2026,'Ações InCompany'!C:C,"Realizado")</f>
        <v>53</v>
      </c>
      <c r="E5" s="44" t="s">
        <v>3094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3095</v>
      </c>
      <c r="B8" s="228"/>
      <c r="D8" s="228" t="s">
        <v>3096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3097</v>
      </c>
      <c r="D10" s="28" t="s">
        <v>3098</v>
      </c>
      <c r="E10" s="28" t="s">
        <v>3099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3100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3101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3102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3103</v>
      </c>
      <c r="B14" s="34">
        <f>SUM(B11:B13)</f>
        <v>51</v>
      </c>
      <c r="D14" s="33" t="s">
        <v>3104</v>
      </c>
      <c r="E14" s="34">
        <f>SUM(E11:E13)</f>
        <v>2814</v>
      </c>
    </row>
    <row r="30" spans="1:5" ht="17.25">
      <c r="A30" s="228" t="s">
        <v>3105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3106</v>
      </c>
      <c r="C32" s="28" t="s">
        <v>3107</v>
      </c>
      <c r="D32" s="28" t="s">
        <v>3108</v>
      </c>
      <c r="E32" s="28" t="s">
        <v>3109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>
      <c r="A42" s="75" t="s">
        <v>3110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>
      <c r="A44" s="67" t="s">
        <v>3111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3103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>
      <c r="A2" s="12" t="s">
        <v>3117</v>
      </c>
      <c r="B2" s="12" t="s">
        <v>3118</v>
      </c>
      <c r="C2" s="12" t="s">
        <v>1736</v>
      </c>
      <c r="D2" s="12" t="s">
        <v>3119</v>
      </c>
      <c r="E2" s="12" t="s">
        <v>3120</v>
      </c>
    </row>
    <row r="3" spans="1:5" ht="18" customHeight="1">
      <c r="A3" s="12" t="s">
        <v>3117</v>
      </c>
      <c r="B3" s="12" t="s">
        <v>3118</v>
      </c>
      <c r="C3" s="14" t="s">
        <v>25</v>
      </c>
      <c r="D3" s="12" t="s">
        <v>3121</v>
      </c>
      <c r="E3" s="12" t="s">
        <v>3122</v>
      </c>
    </row>
    <row r="4" spans="1:5" ht="18" customHeight="1">
      <c r="A4" s="12" t="s">
        <v>3117</v>
      </c>
      <c r="B4" s="12" t="s">
        <v>3118</v>
      </c>
      <c r="C4" s="12" t="s">
        <v>75</v>
      </c>
      <c r="D4" s="12" t="s">
        <v>3119</v>
      </c>
      <c r="E4" s="12" t="s">
        <v>3123</v>
      </c>
    </row>
    <row r="5" spans="1:5" ht="18" customHeight="1">
      <c r="A5" s="12" t="s">
        <v>3117</v>
      </c>
      <c r="B5" s="12" t="s">
        <v>3118</v>
      </c>
      <c r="C5" s="12" t="s">
        <v>79</v>
      </c>
      <c r="D5" s="12" t="s">
        <v>3124</v>
      </c>
      <c r="E5" s="12" t="s">
        <v>3125</v>
      </c>
    </row>
    <row r="6" spans="1:5" ht="18" customHeight="1">
      <c r="A6" s="12" t="s">
        <v>3117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>
      <c r="A7" s="12" t="s">
        <v>3117</v>
      </c>
      <c r="B7" s="12" t="s">
        <v>3128</v>
      </c>
      <c r="C7" s="12" t="s">
        <v>36</v>
      </c>
      <c r="D7" s="12" t="s">
        <v>3129</v>
      </c>
      <c r="E7" s="12" t="s">
        <v>3130</v>
      </c>
    </row>
    <row r="8" spans="1:5" ht="18" customHeight="1">
      <c r="A8" s="12" t="s">
        <v>3117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>
      <c r="A9" s="12" t="s">
        <v>3117</v>
      </c>
      <c r="B9" s="12" t="s">
        <v>3133</v>
      </c>
      <c r="C9" s="12" t="s">
        <v>464</v>
      </c>
      <c r="D9" s="12" t="s">
        <v>3134</v>
      </c>
      <c r="E9" s="12" t="s">
        <v>3135</v>
      </c>
    </row>
    <row r="10" spans="1:5" ht="18" customHeight="1">
      <c r="A10" s="12" t="s">
        <v>3117</v>
      </c>
      <c r="B10" s="12" t="s">
        <v>3133</v>
      </c>
      <c r="C10" s="12" t="s">
        <v>206</v>
      </c>
      <c r="D10" s="12" t="s">
        <v>24</v>
      </c>
      <c r="E10" s="12" t="s">
        <v>3136</v>
      </c>
    </row>
    <row r="11" spans="1:5" ht="18" customHeight="1">
      <c r="A11" s="12" t="s">
        <v>3117</v>
      </c>
      <c r="B11" s="12" t="s">
        <v>3133</v>
      </c>
      <c r="C11" s="12" t="s">
        <v>371</v>
      </c>
      <c r="D11" s="12" t="s">
        <v>24</v>
      </c>
      <c r="E11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3138</v>
      </c>
      <c r="B1" s="5" t="s">
        <v>10</v>
      </c>
      <c r="C1" s="15" t="s">
        <v>3139</v>
      </c>
      <c r="D1" s="15" t="s">
        <v>3062</v>
      </c>
    </row>
    <row r="2" spans="1:4" ht="21" customHeight="1">
      <c r="A2" s="103" t="s">
        <v>24</v>
      </c>
      <c r="B2" s="103" t="s">
        <v>38</v>
      </c>
      <c r="C2" s="12" t="s">
        <v>3140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3141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>
      <c r="A2" s="12" t="s">
        <v>3143</v>
      </c>
      <c r="B2" s="12" t="s">
        <v>3118</v>
      </c>
      <c r="C2" s="14" t="s">
        <v>25</v>
      </c>
      <c r="D2" s="12" t="s">
        <v>3119</v>
      </c>
      <c r="E2" s="17" t="s">
        <v>3144</v>
      </c>
    </row>
    <row r="3" spans="1:5" ht="18" customHeight="1">
      <c r="A3" s="12" t="s">
        <v>3143</v>
      </c>
      <c r="B3" s="12" t="s">
        <v>3118</v>
      </c>
      <c r="C3" s="12" t="s">
        <v>75</v>
      </c>
      <c r="D3" s="12" t="s">
        <v>3121</v>
      </c>
      <c r="E3" s="12" t="s">
        <v>3145</v>
      </c>
    </row>
    <row r="4" spans="1:5" ht="18" customHeight="1">
      <c r="A4" s="12" t="s">
        <v>3143</v>
      </c>
      <c r="B4" s="12" t="s">
        <v>3118</v>
      </c>
      <c r="C4" s="12" t="s">
        <v>79</v>
      </c>
      <c r="D4" s="12" t="s">
        <v>3124</v>
      </c>
      <c r="E4" s="12" t="s">
        <v>3146</v>
      </c>
    </row>
    <row r="5" spans="1:5" ht="27.75" customHeight="1">
      <c r="A5" s="12" t="s">
        <v>3143</v>
      </c>
      <c r="B5" s="12" t="s">
        <v>3118</v>
      </c>
      <c r="C5" s="12" t="s">
        <v>2694</v>
      </c>
      <c r="D5" s="17" t="s">
        <v>3147</v>
      </c>
      <c r="E5" s="12" t="s">
        <v>3148</v>
      </c>
    </row>
    <row r="6" spans="1:5" ht="18" customHeight="1">
      <c r="A6" s="12" t="s">
        <v>3143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>
      <c r="A7" s="12" t="s">
        <v>3143</v>
      </c>
      <c r="B7" s="12" t="s">
        <v>3128</v>
      </c>
      <c r="C7" s="12" t="s">
        <v>2700</v>
      </c>
      <c r="D7" s="12" t="s">
        <v>3149</v>
      </c>
      <c r="E7" s="12" t="s">
        <v>3150</v>
      </c>
    </row>
    <row r="8" spans="1:5" ht="18" customHeight="1">
      <c r="A8" s="12" t="s">
        <v>3143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>
      <c r="A9" s="12" t="s">
        <v>3143</v>
      </c>
      <c r="B9" s="12" t="s">
        <v>3128</v>
      </c>
      <c r="C9" s="12" t="s">
        <v>2795</v>
      </c>
      <c r="D9" s="12" t="s">
        <v>3151</v>
      </c>
      <c r="E9" s="17" t="s">
        <v>3152</v>
      </c>
    </row>
    <row r="10" spans="1:5" ht="18" customHeight="1">
      <c r="A10" s="12" t="s">
        <v>3143</v>
      </c>
      <c r="B10" s="12" t="s">
        <v>3153</v>
      </c>
      <c r="C10" s="12" t="s">
        <v>3110</v>
      </c>
      <c r="D10" s="12" t="s">
        <v>3154</v>
      </c>
      <c r="E10" s="17" t="s">
        <v>3155</v>
      </c>
    </row>
    <row r="11" spans="1:5" ht="18" customHeight="1">
      <c r="A11" s="12" t="s">
        <v>3143</v>
      </c>
      <c r="B11" s="12" t="s">
        <v>3153</v>
      </c>
      <c r="C11" s="12" t="s">
        <v>206</v>
      </c>
      <c r="D11" s="12" t="s">
        <v>24</v>
      </c>
      <c r="E11" s="12" t="s">
        <v>3136</v>
      </c>
    </row>
    <row r="12" spans="1:5" ht="18" customHeight="1">
      <c r="A12" s="12" t="s">
        <v>3143</v>
      </c>
      <c r="B12" s="12" t="s">
        <v>3153</v>
      </c>
      <c r="C12" s="12" t="s">
        <v>371</v>
      </c>
      <c r="D12" s="12" t="s">
        <v>24</v>
      </c>
      <c r="E12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3156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3157</v>
      </c>
    </row>
    <row r="4" spans="1:8" ht="21.95" customHeight="1">
      <c r="A4" s="235" t="s">
        <v>3158</v>
      </c>
      <c r="B4" s="236"/>
      <c r="D4" s="235" t="s">
        <v>3159</v>
      </c>
      <c r="E4" s="236"/>
      <c r="G4" s="235" t="s">
        <v>3160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3161</v>
      </c>
      <c r="B7" s="62" t="s">
        <v>3162</v>
      </c>
      <c r="C7" s="62" t="s">
        <v>1</v>
      </c>
      <c r="D7" s="62" t="s">
        <v>3163</v>
      </c>
      <c r="E7" s="62" t="s">
        <v>3164</v>
      </c>
      <c r="F7" s="62" t="s">
        <v>3062</v>
      </c>
      <c r="G7" s="62" t="s">
        <v>5</v>
      </c>
      <c r="H7" s="62" t="s">
        <v>3165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3166</v>
      </c>
      <c r="B1" s="241"/>
      <c r="C1" s="241"/>
      <c r="D1" s="241"/>
      <c r="E1" s="241"/>
      <c r="F1" s="241"/>
    </row>
    <row r="2" spans="1:7">
      <c r="A2" s="242" t="s">
        <v>3167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3065</v>
      </c>
      <c r="C4" s="25" t="s">
        <v>3066</v>
      </c>
      <c r="D4" s="25" t="s">
        <v>3168</v>
      </c>
      <c r="E4" s="25" t="s">
        <v>3067</v>
      </c>
      <c r="F4" s="25" t="s">
        <v>3169</v>
      </c>
    </row>
    <row r="5" spans="1:7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3104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3170</v>
      </c>
      <c r="B1" s="123" t="s">
        <v>3171</v>
      </c>
      <c r="C1" s="123" t="s">
        <v>3172</v>
      </c>
      <c r="D1" s="123" t="s">
        <v>3173</v>
      </c>
      <c r="E1" s="123" t="s">
        <v>3174</v>
      </c>
      <c r="F1" s="123" t="s">
        <v>3175</v>
      </c>
      <c r="G1" s="123" t="s">
        <v>10</v>
      </c>
      <c r="H1" s="123" t="s">
        <v>3176</v>
      </c>
      <c r="I1" s="123" t="s">
        <v>3177</v>
      </c>
      <c r="J1" s="123" t="s">
        <v>3178</v>
      </c>
      <c r="K1" s="123" t="s">
        <v>3179</v>
      </c>
      <c r="L1" s="123" t="s">
        <v>3180</v>
      </c>
      <c r="N1" s="124" t="s">
        <v>3181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3182</v>
      </c>
      <c r="L2" t="str">
        <f>IF(K2="","",IFERROR(INDEX(Tabela2[Curso],MATCH(K2,Tabela2[ID],0)),""))</f>
        <v/>
      </c>
      <c r="N2" s="123" t="s">
        <v>3061</v>
      </c>
      <c r="O2" s="123" t="s">
        <v>4</v>
      </c>
      <c r="P2" s="123" t="s">
        <v>3183</v>
      </c>
      <c r="Q2" s="123" t="s">
        <v>3184</v>
      </c>
      <c r="R2" s="123" t="s">
        <v>3185</v>
      </c>
      <c r="S2" s="123" t="s">
        <v>3186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3182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3182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3182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3182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3182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3182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3182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3182</v>
      </c>
      <c r="L10" t="str">
        <f>IF(K10="","",IFERROR(INDEX(Tabela2[Curso],MATCH(K10,Tabela2[ID],0)),""))</f>
        <v/>
      </c>
      <c r="N10" s="122" t="s">
        <v>3187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3182</v>
      </c>
      <c r="L11" t="str">
        <f>IF(K11="","",IFERROR(INDEX(Tabela2[Curso],MATCH(K11,Tabela2[ID],0)),""))</f>
        <v/>
      </c>
      <c r="N11" s="125" t="s">
        <v>3188</v>
      </c>
      <c r="O11" s="125" t="s">
        <v>3189</v>
      </c>
      <c r="P11" s="125" t="s">
        <v>3190</v>
      </c>
      <c r="Q11" s="125" t="s">
        <v>3173</v>
      </c>
      <c r="R11" s="125" t="s">
        <v>3174</v>
      </c>
      <c r="S11" s="125" t="s">
        <v>3191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3182</v>
      </c>
      <c r="L12" t="str">
        <f>IF(K12="","",IFERROR(INDEX(Tabela2[Curso],MATCH(K12,Tabela2[ID],0)),""))</f>
        <v/>
      </c>
      <c r="N12" t="s">
        <v>3192</v>
      </c>
      <c r="O12" t="s">
        <v>2755</v>
      </c>
      <c r="P12" t="s">
        <v>3193</v>
      </c>
      <c r="Q12">
        <v>0</v>
      </c>
      <c r="R12">
        <v>0</v>
      </c>
      <c r="S12" t="s">
        <v>3194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3182</v>
      </c>
      <c r="L13" t="str">
        <f>IF(K13="","",IFERROR(INDEX(Tabela2[Curso],MATCH(K13,Tabela2[ID],0)),""))</f>
        <v/>
      </c>
      <c r="N13" t="s">
        <v>3195</v>
      </c>
      <c r="O13" t="s">
        <v>2686</v>
      </c>
      <c r="P13" t="s">
        <v>3196</v>
      </c>
      <c r="Q13">
        <v>0</v>
      </c>
      <c r="R13">
        <v>0</v>
      </c>
      <c r="S13" t="s">
        <v>3197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3182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3182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3182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3182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3182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3182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3182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3182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3182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3182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3182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3182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3182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3182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3182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3182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3182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3182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3182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3182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3182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3182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3182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3182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3182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3182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3182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3182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3182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3182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3182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3182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3182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3182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3182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3182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3182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3182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3182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3182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3182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3182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3182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3182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3182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3182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3182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3182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3182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3182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3182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3182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2026-08-25T16:36:32Z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