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73" documentId="8_{454372C2-A99E-4E47-A759-72B38925853E}" xr6:coauthVersionLast="47" xr6:coauthVersionMax="47" xr10:uidLastSave="{4B7C264C-C9BE-41CA-8B69-EDAE16A54828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<sst xmlns="http://schemas.openxmlformats.org/spreadsheetml/2006/main" count="6244" uniqueCount="2408">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</sst>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710" activePane="bottomLeft" state="frozen"/>
      <selection pane="bottomLeft" activeCell="H721" sqref="H721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2402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8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6" t="s">
        <v>2144</v>
      </c>
      <c r="F681" s="242" t="s">
        <v>51</v>
      </c>
      <c r="G681" s="265" t="s">
        <v>2035</v>
      </c>
      <c r="H681" s="319" t="s">
        <v>2145</v>
      </c>
      <c r="I681" s="320">
        <v>46157</v>
      </c>
      <c r="J681" s="320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85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21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7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>
        <v>4.66</v>
      </c>
      <c r="N699" s="252">
        <v>170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>IF(B701="","",SUM(O701:Q701))</f>
        <v>0</v>
      </c>
      <c r="S701" s="235">
        <v>10</v>
      </c>
      <c r="T701" s="243" t="s">
        <v>2161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2403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2386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2404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2405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2391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2377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2406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2394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2401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15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>IF(B719="","",SUM(O719:Q719))</f>
        <v>0</v>
      </c>
      <c r="S719" s="235">
        <v>17.45</v>
      </c>
      <c r="T719" s="243" t="s">
        <v>2177</v>
      </c>
    </row>
    <row r="720" spans="1:21" ht="22.5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2407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>IF(B720="","",SUM(O720:Q720))</f>
        <v>0</v>
      </c>
      <c r="S720" s="262">
        <v>4</v>
      </c>
      <c r="T720" s="265" t="s">
        <v>2397</v>
      </c>
    </row>
    <row r="721" spans="1:20" ht="22.5" customHeight="1" x14ac:dyDescent="0.25">
      <c r="A721" s="188" t="str">
        <f>IF(B721="","",B721&amp;"-"&amp;TEXT(COUNTIF(B$2:B721,B721),"000"))</f>
        <v/>
      </c>
      <c r="B721" s="232"/>
      <c r="C721" s="234" t="s">
        <v>2102</v>
      </c>
      <c r="D721" s="21" t="s">
        <v>2089</v>
      </c>
      <c r="E721" s="26" t="s">
        <v>2103</v>
      </c>
      <c r="F721" s="241" t="s">
        <v>22</v>
      </c>
      <c r="G721" s="243" t="s">
        <v>2040</v>
      </c>
      <c r="H721" s="245"/>
      <c r="I721" s="247"/>
      <c r="J721" s="247"/>
      <c r="K721" s="235"/>
      <c r="L721" s="307"/>
      <c r="M721" s="250"/>
      <c r="N721" s="251"/>
      <c r="O721" s="254"/>
      <c r="P721" s="254"/>
      <c r="Q721" s="254"/>
      <c r="R721" s="254" t="str">
        <f>IF(B721="","",SUM(O721:Q721))</f>
        <v/>
      </c>
      <c r="S721" s="235"/>
      <c r="T721" s="243"/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85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85</v>
      </c>
      <c r="F45" t="str">
        <v>Tarsila Firmino Ely</v>
      </c>
      <c r="G45">
        <v>2</v>
      </c>
      <c r="H45">
        <v>85</v>
      </c>
      <c r="I45">
        <v>12.75</v>
      </c>
      <c r="J45">
        <v>97.75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85</v>
      </c>
      <c r="F46" t="str">
        <v>Luciana Alvim</v>
      </c>
      <c r="G46">
        <v>2</v>
      </c>
      <c r="H46">
        <v>85</v>
      </c>
      <c r="I46">
        <v>12.75</v>
      </c>
      <c r="J46">
        <v>97.75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2292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2293</v>
      </c>
      <c r="B4" s="326"/>
      <c r="D4" s="327" t="s">
        <v>2294</v>
      </c>
      <c r="E4" s="328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2297</v>
      </c>
      <c r="B8" s="322"/>
      <c r="D8" s="322" t="s">
        <v>2298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22" t="s">
        <v>2307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2357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2358</v>
      </c>
    </row>
    <row r="4" spans="1:8" ht="21.95" customHeight="1" x14ac:dyDescent="0.25">
      <c r="A4" s="330" t="s">
        <v>2359</v>
      </c>
      <c r="B4" s="331"/>
      <c r="D4" s="330" t="s">
        <v>2360</v>
      </c>
      <c r="E4" s="331"/>
      <c r="G4" s="330" t="s">
        <v>2361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2367</v>
      </c>
      <c r="B1" s="335"/>
      <c r="C1" s="335"/>
      <c r="D1" s="335"/>
      <c r="E1" s="335"/>
      <c r="F1" s="335"/>
    </row>
    <row r="2" spans="1:7" x14ac:dyDescent="0.25">
      <c r="A2" s="336" t="s">
        <v>2368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145</v>
      </c>
      <c r="C33" s="101">
        <f>IF($A33="","",SUMIFS('GECC 2026'!I$2:I$200,'GECC 2026'!F$2:F$200,$A33))</f>
        <v>21.75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166.75000000000003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141</v>
      </c>
      <c r="C48" s="101">
        <f>IF($A48="","",SUMIFS('GECC 2026'!I$2:I$200,'GECC 2026'!F$2:F$200,$A48))</f>
        <v>24.150000000000002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165.15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1136.9000000000001</v>
      </c>
      <c r="C105" s="205">
        <f>SUM(C5:C100)</f>
        <v>197.54999999999998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2026-07-23T19:10:25Z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