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02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566" documentId="13_ncr:1_{6A2CC3E2-FAFB-4D8F-B284-5E8FB5045DFE}" xr6:coauthVersionLast="47" xr6:coauthVersionMax="47" xr10:uidLastSave="{CCD5ADB5-CAE9-4651-A645-E53C17C44617}"/>
  <bookViews>
    <workbookView xWindow="28680" yWindow="-120" windowWidth="29040" windowHeight="15720" firstSheet="2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47" i="3" l="1"/>
  <c r="E109" i="28" a="1"/>
  <c r="E108" i="28" a="1"/>
  <c r="A735" i="3"/>
  <c r="A736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l="1" a="1"/>
  <c r="T4" i="20" s="1" a="1"/>
  <c r="A2" i="20" s="1" a="1"/>
  <c r="E105" i="23" l="1"/>
  <c r="A5" i="23" a="1"/>
  <c r="E61" i="23" l="1"/>
  <c r="B49" i="23"/>
  <c r="F12" i="23"/>
  <c r="F11" i="23"/>
  <c r="E28" i="23"/>
  <c r="D11" i="23"/>
  <c r="F21" i="23"/>
  <c r="C56" i="23"/>
  <c r="C8" i="23"/>
  <c r="C12" i="23"/>
  <c r="D42" i="23"/>
  <c r="B18" i="23"/>
  <c r="B40" i="23"/>
  <c r="B32" i="23"/>
  <c r="E53" i="23"/>
  <c r="F17" i="23"/>
  <c r="C23" i="23"/>
  <c r="B8" i="23"/>
  <c r="B58" i="23"/>
  <c r="C50" i="23"/>
  <c r="B50" i="23"/>
  <c r="F30" i="23"/>
  <c r="E12" i="23"/>
  <c r="B33" i="23"/>
  <c r="F53" i="23"/>
  <c r="C53" i="23"/>
  <c r="E56" i="23"/>
  <c r="C59" i="23"/>
  <c r="F20" i="23"/>
  <c r="E42" i="23"/>
  <c r="F9" i="23"/>
  <c r="D50" i="23"/>
  <c r="B27" i="23"/>
  <c r="B47" i="23"/>
  <c r="E17" i="23"/>
  <c r="E45" i="23"/>
  <c r="C29" i="23"/>
  <c r="D20" i="23"/>
  <c r="E16" i="23"/>
  <c r="D28" i="23"/>
  <c r="C18" i="23"/>
  <c r="C60" i="23"/>
  <c r="F57" i="23"/>
  <c r="D29" i="23"/>
  <c r="D58" i="23"/>
  <c r="E40" i="23"/>
  <c r="D15" i="23"/>
  <c r="B29" i="23"/>
  <c r="F47" i="23"/>
  <c r="F26" i="23"/>
  <c r="C17" i="23"/>
  <c r="F23" i="23"/>
  <c r="D53" i="23"/>
  <c r="E25" i="23"/>
  <c r="B13" i="23"/>
  <c r="B14" i="23"/>
  <c r="D19" i="23"/>
  <c r="B59" i="23"/>
  <c r="E19" i="23"/>
  <c r="C54" i="23"/>
  <c r="E34" i="23"/>
  <c r="E6" i="23"/>
  <c r="C7" i="23"/>
  <c r="F37" i="23"/>
  <c r="B39" i="23"/>
  <c r="F33" i="23"/>
  <c r="F14" i="23"/>
  <c r="F42" i="23"/>
  <c r="F13" i="23"/>
  <c r="E50" i="23"/>
  <c r="E24" i="23"/>
  <c r="F35" i="23"/>
  <c r="E30" i="23"/>
  <c r="E51" i="23"/>
  <c r="F61" i="23"/>
  <c r="D22" i="23"/>
  <c r="B61" i="23"/>
  <c r="C45" i="23"/>
  <c r="E57" i="23"/>
  <c r="E35" i="23"/>
  <c r="B56" i="23"/>
  <c r="B21" i="23"/>
  <c r="E33" i="23"/>
  <c r="F25" i="23"/>
  <c r="D7" i="23"/>
  <c r="D45" i="23"/>
  <c r="C49" i="23"/>
  <c r="B20" i="23"/>
  <c r="D36" i="23"/>
  <c r="E27" i="23"/>
  <c r="F8" i="23"/>
  <c r="E7" i="23"/>
  <c r="B10" i="23"/>
  <c r="B48" i="23"/>
  <c r="D24" i="23"/>
  <c r="C36" i="23"/>
  <c r="D38" i="23"/>
  <c r="B30" i="23"/>
  <c r="E21" i="23"/>
  <c r="B37" i="23"/>
  <c r="D56" i="23"/>
  <c r="C61" i="23"/>
  <c r="F59" i="23"/>
  <c r="C44" i="23"/>
  <c r="E49" i="23"/>
  <c r="F39" i="23"/>
  <c r="D16" i="23"/>
  <c r="F10" i="23"/>
  <c r="F44" i="23"/>
  <c r="F40" i="23"/>
  <c r="E41" i="23"/>
  <c r="D6" i="23"/>
  <c r="D37" i="23"/>
  <c r="F56" i="23"/>
  <c r="D17" i="23"/>
  <c r="E13" i="23"/>
  <c r="F54" i="23"/>
  <c r="F41" i="23"/>
  <c r="F43" i="23"/>
  <c r="F28" i="23"/>
  <c r="E14" i="23"/>
  <c r="F7" i="23"/>
  <c r="D31" i="23"/>
  <c r="D21" i="23"/>
  <c r="B51" i="23"/>
  <c r="B7" i="23"/>
  <c r="D9" i="23"/>
  <c r="D35" i="23"/>
  <c r="D39" i="23"/>
  <c r="E23" i="23"/>
  <c r="C55" i="23"/>
  <c r="D61" i="23"/>
  <c r="C16" i="23"/>
  <c r="C28" i="23"/>
  <c r="E29" i="23"/>
  <c r="D26" i="23"/>
  <c r="B6" i="23"/>
  <c r="C32" i="23"/>
  <c r="B26" i="23"/>
  <c r="E55" i="23"/>
  <c r="E18" i="23"/>
  <c r="C51" i="23"/>
  <c r="F48" i="23"/>
  <c r="D60" i="23"/>
  <c r="E31" i="23"/>
  <c r="C21" i="23"/>
  <c r="D34" i="23"/>
  <c r="B24" i="23"/>
  <c r="B44" i="23"/>
  <c r="B35" i="23"/>
  <c r="B15" i="23"/>
  <c r="F49" i="23"/>
  <c r="E37" i="23"/>
  <c r="F6" i="23"/>
  <c r="D13" i="23"/>
  <c r="D46" i="23"/>
  <c r="F32" i="23"/>
  <c r="C25" i="23"/>
  <c r="C40" i="23"/>
  <c r="E36" i="23"/>
  <c r="B31" i="23"/>
  <c r="E58" i="23"/>
  <c r="D30" i="23"/>
  <c r="B16" i="23"/>
  <c r="D18" i="23"/>
  <c r="C52" i="23"/>
  <c r="B43" i="23"/>
  <c r="E54" i="23"/>
  <c r="B12" i="23"/>
  <c r="B22" i="23"/>
  <c r="B60" i="23"/>
  <c r="F52" i="23"/>
  <c r="B23" i="23"/>
  <c r="C30" i="23"/>
  <c r="D10" i="23"/>
  <c r="E26" i="23"/>
  <c r="C31" i="23"/>
  <c r="E15" i="23"/>
  <c r="C39" i="23"/>
  <c r="B52" i="23"/>
  <c r="F55" i="23"/>
  <c r="E8" i="23"/>
  <c r="F46" i="23"/>
  <c r="E48" i="23"/>
  <c r="E52" i="23"/>
  <c r="D25" i="23"/>
  <c r="C26" i="23"/>
  <c r="F36" i="23"/>
  <c r="C41" i="23"/>
  <c r="F34" i="23"/>
  <c r="C22" i="23"/>
  <c r="C46" i="23"/>
  <c r="E60" i="23"/>
  <c r="D14" i="23"/>
  <c r="B42" i="23"/>
  <c r="F22" i="23"/>
  <c r="B11" i="23"/>
  <c r="F29" i="23"/>
  <c r="C24" i="23"/>
  <c r="B45" i="23"/>
  <c r="E9" i="23"/>
  <c r="D57" i="23"/>
  <c r="C11" i="23"/>
  <c r="D44" i="23"/>
  <c r="C13" i="23"/>
  <c r="B34" i="23"/>
  <c r="C48" i="23"/>
  <c r="D48" i="23"/>
  <c r="E39" i="23"/>
  <c r="D55" i="23"/>
  <c r="D47" i="23"/>
  <c r="B55" i="23"/>
  <c r="D32" i="23"/>
  <c r="B46" i="23"/>
  <c r="C43" i="23"/>
  <c r="B54" i="23"/>
  <c r="C33" i="23"/>
  <c r="D27" i="23"/>
  <c r="E38" i="23"/>
  <c r="F38" i="23"/>
  <c r="E44" i="23"/>
  <c r="F60" i="23"/>
  <c r="D54" i="23"/>
  <c r="B25" i="23"/>
  <c r="E32" i="23"/>
  <c r="C9" i="23"/>
  <c r="D40" i="23"/>
  <c r="C19" i="23"/>
  <c r="E10" i="23"/>
  <c r="C35" i="23"/>
  <c r="F45" i="23"/>
  <c r="B9" i="23"/>
  <c r="B41" i="23"/>
  <c r="C27" i="23"/>
  <c r="B57" i="23"/>
  <c r="E46" i="23"/>
  <c r="C6" i="23"/>
  <c r="E11" i="23"/>
  <c r="F27" i="23"/>
  <c r="D33" i="23"/>
  <c r="D59" i="23"/>
  <c r="C15" i="23"/>
  <c r="F51" i="23"/>
  <c r="C38" i="23"/>
  <c r="C57" i="23"/>
  <c r="E59" i="23"/>
  <c r="B36" i="23"/>
  <c r="B17" i="23"/>
  <c r="F50" i="23"/>
  <c r="D49" i="23"/>
  <c r="F18" i="23"/>
  <c r="B19" i="23"/>
  <c r="D8" i="23"/>
  <c r="F16" i="23"/>
  <c r="B28" i="23"/>
  <c r="F58" i="23"/>
  <c r="B53" i="23"/>
  <c r="C47" i="23"/>
  <c r="C37" i="23"/>
  <c r="C14" i="23"/>
  <c r="D23" i="23"/>
  <c r="C42" i="23"/>
  <c r="B38" i="23"/>
  <c r="C58" i="23"/>
  <c r="F19" i="23"/>
  <c r="D52" i="23"/>
  <c r="C34" i="23"/>
  <c r="E22" i="23"/>
  <c r="C10" i="23"/>
  <c r="D51" i="23"/>
  <c r="D43" i="23"/>
  <c r="F24" i="23"/>
  <c r="F15" i="23"/>
  <c r="E43" i="23"/>
  <c r="C20" i="23"/>
  <c r="E47" i="23"/>
  <c r="D12" i="23"/>
  <c r="E20" i="23"/>
  <c r="D41" i="23"/>
  <c r="F31" i="23"/>
  <c r="F5" i="23" l="1"/>
  <c r="F105" i="23" s="1"/>
  <c r="E5" i="23"/>
  <c r="B5" i="23"/>
  <c r="B105" i="23" s="1"/>
  <c r="G5" i="23"/>
  <c r="D5" i="23"/>
  <c r="C5" i="23"/>
  <c r="C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<sst xmlns="http://schemas.openxmlformats.org/spreadsheetml/2006/main" count="7374" uniqueCount="3242">
  <si>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</si>
  <si>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</si>
  <si>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</si>
  <si>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</si>
  <si>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</si>
  <si>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</si>
  <si>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</si>
  <si>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</si>
  <si>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</si>
  <si>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</si>
  <si>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</si>
  <si>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</si>
  <si>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</si>
  <si>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</si>
  <si>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</si>
  <si>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</si>
  <si>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</si>
  <si>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</si>
  <si>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</si>
  <si>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</si>
  <si>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</si>
  <si>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</si>
  <si>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</si>
  <si>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</si>
  <si>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</si>
  <si>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</si>
  <si>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</si>
  <si>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</si>
  <si>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</si>
  <si>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</si>
  <si>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</si>
  <si>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</si>
  <si>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</si>
  <si>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</si>
  <si>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</si>
  <si>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</si>
  <si>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</si>
  <si>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</si>
  <si>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</si>
  <si>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</si>
  <si>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</si>
  <si>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</si>
  <si>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</si>
  <si>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</si>
  <si>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</si>
  <si>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</si>
  <si>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</si>
  <si>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</si>
  <si>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</si>
  <si>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</si>
  <si>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</si>
  <si>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</si>
  <si>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</si>
  <si>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</si>
  <si>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</si>
  <si>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</si>
  <si>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</si>
  <si>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</si>
  <si>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</si>
  <si>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</si>
  <si>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</si>
  <si>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</si>
  <si>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</si>
  <si>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</si>
  <si>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</si>
  <si>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</si>
  <si>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</si>
  <si>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</si>
  <si>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</si>
  <si>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</si>
  <si>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</si>
  <si>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</si>
  <si>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</si>
  <si>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</si>
  <si>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</si>
  <si>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</si>
  <si>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</si>
  <si>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</si>
  <si>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</si>
  <si>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</si>
  <si>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</si>
  <si>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</si>
  <si>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</si>
  <si>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</si>
  <si>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</si>
  <si>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</si>
  <si>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</si>
  <si>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</si>
  <si>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</si>
  <si>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</si>
  <si>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</si>
  <si>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</si>
  <si>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</si>
  <si>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</si>
  <si>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</si>
  <si>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</si>
  <si>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</si>
  <si>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</si>
  <si>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</si>
  <si>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</si>
  <si>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</si>
  <si>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</si>
  <si>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</si>
  <si>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</si>
  <si>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</si>
  <si>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</si>
  <si>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</si>
  <si>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</si>
  <si>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</si>
  <si>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</si>
  <si>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</si>
  <si>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</si>
  <si>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</si>
  <si>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</si>
  <si>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</si>
  <si>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</si>
  <si>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</si>
  <si>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</si>
  <si>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</si>
  <si>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</si>
  <si>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</si>
  <si>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</si>
  <si>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</si>
  <si>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</si>
  <si>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</si>
  <si>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</si>
  <si>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</si>
  <si>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</si>
  <si>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</si>
  <si>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</si>
  <si>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</si>
  <si>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</si>
  <si>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</si>
  <si>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</si>
  <si>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</si>
  <si>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</si>
  <si>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</si>
  <si>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</si>
  <si>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</si>
  <si>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</si>
  <si>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</si>
  <si>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</si>
  <si>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</si>
  <si>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</si>
  <si>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</si>
  <si>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</si>
  <si>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</si>
  <si>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</si>
  <si>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</si>
  <si>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</si>
  <si>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</si>
  <si>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</si>
  <si>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</si>
  <si>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</si>
  <si>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</si>
  <si>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</si>
  <si>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</si>
  <si>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</si>
  <si>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</si>
  <si>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</si>
  <si>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</si>
  <si>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</si>
  <si>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</si>
  <si>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</si>
  <si>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</si>
  <si>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</si>
  <si>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</si>
  <si>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</si>
  <si>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</si>
  <si>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</si>
  <si>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</si>
  <si>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</si>
  <si>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</si>
  <si>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</si>
  <si>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</si>
  <si>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</si>
  <si>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</si>
  <si>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</si>
  <si>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</si>
  <si>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</si>
  <si>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</si>
  <si>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</si>
  <si>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</si>
  <si>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</si>
  <si>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</si>
  <si>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</si>
  <si>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</si>
  <si>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</si>
  <si>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</si>
  <si>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</si>
  <si>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</si>
  <si>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</si>
  <si>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</si>
  <si>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</si>
  <si>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</si>
  <si>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</si>
  <si>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</si>
  <si>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</si>
  <si>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</si>
  <si>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</si>
  <si>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</si>
  <si>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</si>
  <si>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</si>
  <si>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</si>
  <si>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</si>
  <si>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</si>
  <si>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</si>
  <si>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</si>
  <si>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</si>
  <si>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</si>
  <si>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</si>
  <si>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</si>
  <si>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</si>
  <si>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</si>
  <si>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</si>
  <si>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</si>
  <si>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</si>
  <si>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</si>
  <si>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</si>
  <si>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</si>
  <si>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</si>
  <si>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</si>
  <si>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</si>
  <si>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</si>
  <si>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</si>
  <si>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</si>
  <si>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</si>
  <si>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</si>
  <si>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</si>
  <si>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</si>
  <si>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</si>
  <si>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</si>
  <si>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</si>
  <si>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</si>
  <si>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</si>
  <si>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</si>
  <si>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</si>
  <si>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</si>
  <si>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</si>
  <si>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</si>
  <si>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</si>
  <si>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</si>
  <si>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</si>
  <si>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</si>
  <si>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</si>
  <si>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</si>
  <si>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</si>
  <si>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</si>
  <si>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</si>
  <si>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</si>
  <si>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</si>
  <si>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</si>
  <si>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</si>
  <si>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</si>
  <si>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</si>
  <si>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</si>
  <si>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</si>
  <si>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</si>
  <si>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</si>
  <si>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</si>
  <si>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</si>
  <si>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</si>
  <si>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</si>
  <si>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</si>
  <si>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</si>
  <si>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</si>
  <si>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</si>
  <si>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</si>
  <si>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</si>
  <si>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</si>
  <si>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</si>
  <si>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</si>
  <si>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</si>
  <si>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</si>
  <si>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</si>
  <si>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</si>
  <si>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</si>
  <si>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</si>
  <si>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</si>
  <si>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</si>
  <si>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</si>
  <si>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</si>
  <si>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</si>
  <si>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</si>
  <si>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</si>
  <si>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</si>
  <si>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</si>
  <si>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</si>
  <si>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</si>
  <si>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</si>
  <si>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</si>
  <si>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</si>
  <si>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</si>
  <si>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</si>
  <si>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</si>
  <si>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</si>
  <si>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</si>
  <si>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</si>
  <si>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</si>
  <si>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</si>
  <si>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</si>
  <si>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</si>
  <si>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</si>
  <si>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</si>
  <si>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</si>
  <si>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</si>
  <si>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</si>
  <si>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</si>
  <si>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</si>
  <si>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</si>
  <si>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</si>
  <si>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</si>
  <si>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</si>
  <si>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</si>
  <si>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</si>
  <si>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</si>
  <si>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</si>
  <si>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</si>
  <si>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</si>
  <si>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</si>
  <si>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</si>
  <si>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</si>
  <si>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</si>
  <si>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</si>
  <si>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</si>
  <si>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</si>
  <si>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</si>
  <si>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</si>
  <si>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</si>
  <si>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</si>
  <si>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</si>
  <si>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</si>
  <si>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</si>
  <si>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</si>
  <si>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</si>
  <si>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</si>
  <si>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</si>
  <si>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</si>
  <si>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</si>
  <si>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</si>
  <si>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</si>
  <si>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</si>
  <si>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</si>
  <si>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</si>
  <si>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</si>
  <si>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</si>
  <si>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</si>
  <si>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</si>
  <si>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</si>
  <si>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</si>
  <si>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</si>
  <si>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</si>
  <si>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</si>
  <si>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</si>
  <si>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</si>
  <si>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</si>
  <si>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</si>
  <si>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</si>
  <si>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</si>
  <si>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</si>
  <si>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</si>
  <si>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</si>
  <si>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</si>
  <si>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</si>
  <si>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</si>
  <si>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</si>
  <si>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</si>
  <si>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</si>
  <si>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</si>
  <si>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</si>
  <si>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</si>
  <si>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</si>
  <si>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</si>
  <si>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</si>
  <si>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</si>
  <si>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</si>
  <si>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</si>
  <si>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</si>
  <si>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</si>
  <si>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</si>
  <si>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</si>
  <si>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</si>
  <si>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</si>
  <si>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</si>
  <si>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</si>
  <si>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</si>
  <si>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</si>
  <si>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</si>
  <si>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</si>
  <si>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</si>
  <si>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</si>
  <si>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</si>
  <si>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</si>
  <si>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</si>
  <si>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</si>
  <si>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</si>
  <si>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</si>
  <si>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</si>
  <si>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</si>
  <si>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</si>
  <si>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</si>
  <si>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</si>
  <si>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</si>
  <si>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</si>
  <si>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</si>
  <si>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</si>
  <si>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</si>
  <si>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</si>
  <si>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</si>
  <si>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</si>
  <si>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</si>
  <si>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</si>
  <si>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</si>
  <si>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</si>
  <si>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</si>
  <si>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</si>
  <si>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</si>
  <si>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</si>
  <si>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</si>
  <si>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</si>
  <si>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</si>
  <si>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</si>
  <si>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</si>
  <si>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</si>
  <si>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</si>
  <si>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</si>
  <si>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</si>
  <si>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</si>
  <si>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</si>
  <si>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</si>
  <si>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</si>
  <si>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</si>
  <si>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</si>
  <si>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</si>
  <si>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</si>
  <si>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</si>
  <si>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</si>
  <si>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</si>
  <si>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</si>
  <si>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</si>
  <si>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</si>
  <si>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</si>
  <si>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</si>
  <si>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</si>
  <si>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</si>
  <si>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</si>
  <si>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</si>
  <si>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</si>
  <si>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</si>
  <si>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</si>
  <si>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</si>
  <si>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</si>
  <si>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</si>
  <si>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</si>
  <si>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</si>
  <si>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</si>
  <si>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</si>
  <si>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</si>
  <si>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</si>
  <si>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</si>
  <si>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</si>
  <si>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</si>
  <si>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</si>
  <si>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</si>
  <si>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</si>
  <si>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</si>
  <si>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</si>
  <si>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</si>
  <si>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</si>
  <si>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</si>
  <si>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</si>
  <si>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</si>
  <si>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</si>
  <si>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</si>
  <si>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</si>
  <si>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</si>
  <si>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</si>
  <si>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</si>
  <si>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</si>
  <si>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</si>
  <si>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</si>
  <si>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</si>
  <si>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</si>
  <si>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</si>
  <si>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</si>
  <si>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</si>
  <si>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</si>
  <si>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</si>
  <si>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</si>
  <si>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</si>
  <si>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</si>
  <si>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</si>
  <si>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</si>
  <si>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</si>
  <si>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</si>
  <si>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</si>
  <si>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</si>
  <si>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</si>
  <si>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</si>
  <si>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</si>
  <si>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</si>
  <si>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</si>
  <si>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</si>
  <si>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</si>
  <si>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</si>
  <si>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</si>
  <si>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</si>
  <si>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</si>
  <si>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</si>
  <si>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</si>
  <si>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</si>
  <si>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</si>
  <si>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</si>
  <si>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</si>
  <si>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</si>
  <si>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</si>
  <si>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</si>
  <si>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</si>
  <si>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</si>
  <si>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</si>
  <si>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</si>
  <si>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</si>
  <si>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</si>
  <si>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</si>
  <si>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</si>
  <si>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</si>
  <si>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</si>
  <si>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</si>
  <si>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</si>
  <si>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</si>
  <si>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</si>
  <si>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</si>
  <si>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</si>
  <si>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</si>
  <si>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</si>
  <si>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</si>
  <si>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</si>
  <si>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</si>
  <si>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</si>
  <si>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</si>
  <si>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</si>
  <si>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</si>
  <si>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</si>
  <si>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</si>
  <si>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</si>
  <si>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</si>
  <si>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</si>
  <si>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</si>
  <si>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</si>
  <si>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</si>
  <si>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</si>
  <si>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</si>
  <si>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</si>
  <si>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</si>
  <si>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</si>
  <si>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</si>
  <si>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</si>
  <si>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</si>
  <si>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</si>
  <si>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</si>
  <si>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</si>
  <si>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</si>
  <si>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</si>
  <si>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</si>
  <si>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</si>
  <si>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</si>
  <si>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</si>
  <si>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</si>
  <si>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</si>
  <si>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</si>
  <si>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</si>
  <si>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</si>
  <si>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</si>
  <si>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</si>
  <si>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</si>
  <si>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</si>
  <si>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</si>
  <si>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</si>
  <si>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</si>
  <si>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</si>
  <si>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</si>
  <si>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</si>
  <si>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</si>
  <si>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</si>
  <si>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</si>
  <si>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</si>
  <si>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</si>
  <si>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</si>
  <si>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</si>
  <si>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</si>
  <si>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</si>
  <si>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</si>
  <si>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</si>
  <si>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</si>
  <si>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</si>
  <si>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</si>
  <si>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</si>
  <si>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</si>
  <si>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</si>
  <si>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</si>
  <si>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</si>
  <si>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</si>
  <si>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</si>
  <si>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</si>
  <si>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</si>
  <si>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</si>
  <si>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</si>
  <si>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</si>
  <si>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</si>
  <si>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</si>
  <si>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</si>
  <si>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</si>
  <si>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</si>
  <si>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</si>
  <si>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</si>
  <si>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</si>
  <si>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</si>
  <si>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</si>
  <si>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</si>
  <si>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</si>
  <si>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</si>
  <si>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</si>
  <si>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</si>
  <si>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</si>
  <si>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</si>
  <si>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</si>
  <si>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</si>
  <si>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</si>
  <si>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</si>
  <si>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</si>
  <si>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</si>
  <si>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</si>
  <si>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</si>
  <si>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</si>
  <si>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</si>
  <si>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</si>
  <si>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</si>
  <si>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</si>
  <si>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</si>
  <si>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</si>
  <si>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</si>
  <si>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</si>
  <si>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</si>
  <si>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</si>
  <si>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</si>
  <si>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</si>
  <si>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</si>
  <si>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</si>
  <si>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</si>
  <si>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</si>
  <si>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</si>
  <si>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</si>
  <si>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</si>
  <si>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</si>
  <si>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</si>
  <si>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</si>
  <si>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</si>
  <si>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</si>
  <si>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</si>
  <si>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</si>
  <si>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</si>
  <si>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</si>
  <si>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</si>
  <si>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</si>
  <si>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</si>
  <si>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</si>
  <si>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</si>
  <si>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</si>
  <si>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</si>
  <si>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</si>
  <si>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</si>
  <si>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</si>
  <si>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</si>
  <si>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</si>
  <si>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</si>
  <si>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</si>
  <si>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</si>
  <si>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</si>
  <si>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</si>
  <si>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</si>
  <si>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</si>
  <si>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</si>
  <si>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</si>
  <si>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</si>
  <si>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</si>
  <si>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</si>
  <si>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</si>
  <si>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</si>
  <si>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</si>
  <si>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</si>
  <si>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</si>
  <si>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</si>
  <si>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</si>
  <si>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</si>
  <si>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</si>
  <si>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</si>
  <si>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</si>
  <si>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</si>
  <si>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</si>
  <si>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</si>
  <si>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</si>
  <si>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</si>
  <si>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</si>
  <si>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</si>
  <si>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</si>
  <si>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</si>
  <si>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</si>
  <si>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</si>
  <si>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</si>
  <si>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</si>
  <si>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</si>
  <si>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</si>
  <si>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</si>
  <si>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</si>
  <si>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</si>
  <si>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</si>
  <si>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</si>
  <si>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</si>
  <si>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</si>
  <si>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</si>
  <si>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</si>
  <si>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</si>
  <si>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</si>
  <si>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</si>
  <si>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</si>
  <si>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</si>
  <si>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</si>
  <si>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</si>
  <si>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</si>
  <si>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</si>
  <si>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</si>
  <si>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</si>
  <si>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</si>
  <si>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</si>
  <si>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</si>
  <si>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</si>
  <si>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</si>
  <si>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</si>
  <si>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</si>
  <si>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</si>
  <si>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</si>
  <si>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</si>
  <si>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</si>
  <si>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</si>
  <si>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</si>
  <si>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</si>
  <si>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</si>
  <si>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</si>
  <si>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</si>
  <si>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</si>
  <si>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</si>
  <si>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</si>
  <si>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</si>
  <si>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</si>
  <si>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</si>
  <si>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</si>
  <si>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</si>
  <si>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</si>
  <si>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</si>
  <si>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</si>
  <si>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</si>
  <si>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</si>
  <si>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</si>
  <si>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</si>
  <si>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</si>
  <si>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</si>
  <si>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</si>
  <si>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</si>
  <si>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</si>
  <si>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</si>
  <si>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</si>
  <si>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</si>
  <si>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</si>
  <si>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</si>
  <si>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</si>
  <si>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</si>
  <si>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</si>
  <si>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</si>
  <si>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</si>
  <si>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</si>
  <si>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</si>
  <si>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</si>
  <si>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</si>
  <si>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</si>
  <si>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</si>
  <si>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</si>
  <si>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</si>
  <si>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</si>
  <si>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</si>
  <si>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</si>
  <si>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</si>
  <si>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</si>
  <si>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</si>
  <si>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</si>
  <si>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</si>
  <si>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</si>
  <si>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</si>
  <si>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</si>
  <si>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</si>
  <si>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</si>
  <si>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</si>
  <si>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</si>
  <si>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</si>
  <si>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</si>
  <si>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</si>
  <si>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</si>
  <si>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</si>
  <si>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</si>
  <si>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</si>
  <si>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</si>
  <si>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</si>
  <si>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</si>
  <si>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</si>
  <si>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</si>
  <si>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</si>
  <si>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</si>
  <si>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</si>
  <si>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</si>
  <si>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</si>
  <si>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</si>
  <si>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</si>
  <si>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</si>
  <si>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</si>
  <si>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</si>
  <si>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</si>
  <si>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</si>
  <si>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</si>
  <si>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</si>
  <si>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</si>
  <si>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</si>
  <si>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</si>
  <si>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</si>
  <si>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</si>
  <si>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</si>
  <si>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</si>
  <si>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</si>
  <si>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</si>
  <si>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</si>
  <si>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</si>
  <si>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</si>
  <si>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</si>
  <si>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</si>
  <si>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</si>
  <si>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</si>
  <si>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</si>
  <si>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</si>
  <si>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</si>
  <si>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</si>
  <si>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</si>
  <si>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</si>
  <si>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</si>
  <si>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</si>
  <si>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</si>
  <si>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</si>
  <si>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</si>
  <si>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</si>
  <si>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</si>
  <si>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</si>
  <si>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</si>
  <si>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</si>
  <si>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</si>
  <si>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</si>
  <si>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</si>
  <si>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</si>
  <si>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</si>
  <si>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</si>
  <si>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</si>
  <si>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</si>
  <si>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</si>
  <si>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</si>
  <si>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</si>
  <si>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</si>
  <si>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</si>
  <si>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</si>
  <si>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</si>
  <si>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</si>
  <si>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</si>
  <si>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</si>
  <si>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</si>
  <si>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</si>
  <si>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</si>
  <si>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</si>
  <si>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</si>
  <si>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</si>
  <si>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</si>
  <si>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</si>
  <si>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</si>
  <si>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</si>
  <si>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</si>
  <si>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</si>
  <si>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</si>
  <si>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</si>
  <si>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</si>
  <si>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</si>
  <si>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</si>
  <si>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</si>
  <si>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</si>
  <si>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</si>
  <si>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</si>
  <si>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</si>
  <si>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</si>
  <si>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</si>
  <si>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</si>
  <si>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</si>
  <si>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</si>
  <si>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</si>
  <si>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</si>
  <si>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</si>
  <si>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</si>
  <si>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</si>
  <si>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</si>
  <si>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</si>
  <si>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</si>
  <si>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</si>
  <si>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</si>
  <si>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</si>
  <si>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</si>
  <si>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</si>
  <si>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</si>
  <si>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</si>
  <si>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</si>
  <si>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</si>
  <si>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</si>
  <si>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</si>
  <si>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</si>
  <si>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</si>
  <si>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</si>
  <si>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</si>
  <si>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</si>
  <si>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</si>
  <si>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</si>
  <si>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</si>
  <si>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</si>
  <si>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</si>
  <si>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</si>
  <si>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</si>
  <si>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</si>
  <si>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</si>
  <si>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</si>
  <si>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</si>
  <si>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</si>
  <si>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</si>
  <si>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</si>
  <si>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</si>
  <si>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</si>
  <si>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</si>
  <si>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</si>
  <si>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</si>
  <si>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</si>
  <si>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</si>
  <si>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</si>
  <si>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</si>
  <si>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</si>
  <si>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</si>
  <si>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</si>
  <si>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</si>
  <si>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</si>
  <si>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</si>
  <si>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</si>
  <si>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</si>
  <si>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</si>
  <si>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</si>
  <si>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</si>
  <si>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</si>
  <si>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</si>
  <si>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</si>
  <si>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</si>
  <si>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</si>
  <si>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</si>
  <si>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</si>
  <si>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</si>
  <si>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</si>
  <si>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</si>
  <si>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</si>
  <si>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</si>
  <si>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</si>
  <si>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</si>
  <si>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</si>
  <si>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</si>
  <si>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</si>
  <si>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</si>
  <si>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</si>
  <si>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</si>
  <si>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</si>
  <si>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</si>
  <si>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</si>
  <si>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</si>
  <si>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</si>
  <si>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</si>
  <si>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</si>
  <si>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</si>
  <si>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</si>
  <si>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</si>
  <si>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</si>
  <si>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</si>
  <si>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</si>
  <si>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</si>
  <si>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</si>
  <si>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</si>
  <si>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</si>
  <si>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</si>
  <si>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</si>
  <si>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</si>
  <si>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</si>
  <si>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</si>
  <si>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</si>
  <si>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</si>
  <si>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</si>
  <si>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</si>
  <si>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</si>
  <si>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</si>
  <si>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</si>
  <si>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</si>
  <si>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</si>
  <si>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</si>
  <si>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</si>
  <si>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</si>
  <si>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</si>
  <si>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</si>
  <si>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</si>
  <si>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</si>
  <si>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</si>
  <si>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</si>
  <si>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</si>
  <si>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</si>
  <si>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</si>
  <si>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</si>
  <si>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</si>
  <si>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</si>
  <si>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</si>
  <si>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</si>
  <si>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</si>
  <si>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</si>
  <si>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</si>
  <si>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</si>
  <si>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</si>
  <si>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</si>
  <si>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</si>
  <si>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</si>
  <si>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</si>
  <si>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</si>
  <si>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</si>
  <si>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</si>
  <si>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</si>
  <si>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</si>
  <si>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</si>
  <si>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</si>
  <si>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</si>
  <si>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</si>
  <si>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</si>
  <si>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</si>
  <si>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</si>
  <si>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</si>
  <si>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</si>
  <si>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</si>
  <si>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</si>
  <si>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</si>
  <si>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</si>
  <si>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</si>
  <si>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</si>
  <si>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</si>
  <si>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</si>
  <si>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</si>
  <si>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</si>
  <si>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</si>
  <si>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</si>
  <si>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</si>
  <si>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</si>
  <si>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</si>
  <si>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</si>
  <si>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</si>
  <si>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</si>
  <si>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</si>
  <si>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</si>
  <si>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</si>
  <si>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</si>
  <si>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</si>
  <si>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</si>
  <si>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</si>
  <si>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</si>
  <si>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</si>
  <si>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</si>
  <si>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</si>
  <si>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</si>
  <si>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</si>
  <si>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</si>
  <si>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</si>
  <si>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</si>
  <si>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</si>
  <si>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</si>
  <si>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</si>
  <si>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</si>
  <si>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</si>
  <si>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</si>
  <si>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</si>
  <si>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</si>
  <si>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</si>
  <si>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</si>
  <si>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</si>
  <si>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</si>
  <si>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</si>
  <si>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</si>
  <si>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</si>
  <si>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</si>
  <si>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</si>
  <si>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</si>
  <si>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</si>
  <si>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</si>
  <si>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</si>
  <si>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</si>
  <si>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</si>
  <si>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</si>
  <si>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</si>
  <si>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</si>
  <si>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</si>
  <si>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</si>
  <si>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</si>
  <si>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</si>
  <si>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</si>
  <si>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</si>
  <si>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</si>
  <si>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</si>
  <si>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</si>
  <si>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</si>
  <si>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</si>
  <si>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</si>
  <si>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</si>
  <si>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</si>
  <si>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</si>
  <si>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</si>
  <si>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</si>
  <si>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</si>
  <si>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</si>
  <si>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</si>
  <si>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</si>
  <si>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</si>
  <si>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</si>
  <si>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</si>
  <si>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</si>
  <si>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</si>
  <si>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</si>
  <si>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</si>
  <si>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</si>
  <si>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</si>
  <si>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</si>
  <si>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</si>
  <si>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</si>
  <si>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</si>
  <si>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</si>
  <si>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</si>
  <si>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</si>
  <si>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</si>
  <si>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</si>
  <si>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</si>
  <si>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</si>
  <si>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</si>
  <si>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</si>
  <si>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</si>
  <si>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</si>
  <si>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</si>
  <si>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</si>
  <si>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</si>
  <si>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</si>
  <si>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</si>
  <si>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</si>
  <si>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</si>
  <si>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</si>
  <si>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</si>
  <si>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</si>
  <si>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</si>
  <si>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</si>
  <si>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</si>
  <si>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</si>
  <si>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</si>
  <si>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</si>
  <si>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</si>
  <si>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</si>
  <si>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</si>
  <si>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</si>
  <si>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</si>
  <si>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</si>
  <si>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</si>
  <si>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</si>
  <si>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</si>
  <si>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</si>
  <si>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</si>
  <si>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</si>
  <si>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</si>
  <si>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</si>
  <si>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</si>
  <si>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</si>
  <si>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</si>
  <si>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</si>
  <si>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</si>
  <si>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</si>
  <si>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</si>
  <si>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</si>
  <si>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</si>
  <si>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</si>
  <si>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</si>
  <si>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</si>
  <si>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</si>
  <si>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</si>
  <si>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</si>
  <si>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</si>
  <si>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</si>
  <si>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</si>
  <si>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</si>
  <si>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</si>
  <si>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</si>
  <si>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</si>
  <si>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</si>
  <si>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</si>
  <si>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</si>
  <si>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</si>
  <si>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</si>
  <si>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</si>
  <si>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</si>
  <si>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</si>
  <si>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</si>
  <si>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</si>
  <si>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</si>
  <si>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</si>
  <si>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</si>
  <si>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</si>
  <si>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</si>
  <si>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</si>
  <si>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</si>
  <si>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</si>
  <si>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</si>
  <si>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</si>
  <si>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</si>
  <si>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</si>
  <si>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</si>
  <si>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</si>
  <si>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</si>
  <si>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</si>
  <si>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</si>
  <si>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</si>
  <si>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</si>
  <si>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</si>
  <si>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</si>
  <si>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</si>
  <si>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</si>
  <si>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</si>
  <si>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</si>
  <si>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</si>
  <si>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</si>
  <si>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</si>
  <si>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</si>
  <si>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</si>
  <si>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</si>
  <si>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</si>
  <si>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</si>
  <si>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</si>
  <si>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</si>
  <si>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</si>
  <si>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</si>
  <si>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</si>
  <si>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</si>
  <si>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</si>
  <si>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</si>
  <si>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</si>
  <si>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</si>
  <si>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</si>
  <si>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</si>
  <si>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</si>
  <si>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</si>
  <si>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</si>
  <si>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</si>
  <si>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</si>
  <si>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</si>
  <si>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</si>
  <si>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</si>
  <si>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</si>
  <si>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</si>
  <si>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</si>
  <si>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</si>
  <si>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</si>
  <si>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</si>
  <si>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</si>
  <si>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</si>
  <si>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</si>
  <si>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</si>
  <si>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</si>
  <si>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</si>
  <si>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</si>
  <si>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</si>
  <si>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</si>
  <si>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</si>
  <si>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</si>
  <si>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</si>
  <si>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</si>
  <si>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</si>
  <si>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</si>
  <si>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</si>
  <si>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</si>
  <si>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</si>
  <si>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</si>
  <si>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</si>
  <si>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</si>
  <si>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</si>
  <si>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</si>
  <si>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</si>
  <si>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</si>
  <si>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</si>
  <si>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</si>
  <si>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</si>
  <si>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</si>
  <si>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</si>
  <si>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</si>
  <si>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</si>
  <si>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</si>
  <si>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</si>
  <si>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</si>
  <si>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</si>
  <si>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</si>
  <si>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</si>
  <si>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</si>
  <si>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</si>
  <si>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</si>
  <si>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</si>
  <si>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</si>
  <si>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</si>
  <si>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</si>
  <si>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</si>
  <si>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</si>
  <si>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</si>
  <si>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</si>
  <si>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</si>
  <si>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</si>
  <si>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</si>
  <si>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</si>
  <si>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</si>
  <si>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</si>
  <si>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</si>
  <si>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</si>
  <si>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</si>
  <si>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</si>
  <si>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</si>
  <si>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</si>
  <si>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</si>
  <si>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</si>
  <si>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</si>
  <si>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</si>
  <si>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</si>
  <si>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</si>
  <si>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</si>
  <si>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</si>
  <si>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</si>
  <si>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</si>
  <si>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</si>
  <si>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</si>
  <si>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</si>
  <si>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</si>
  <si>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</si>
  <si>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</si>
  <si>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</si>
  <si>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</si>
  <si>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</si>
  <si>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</si>
  <si>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</si>
  <si>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</si>
  <si>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</si>
  <si>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</si>
  <si>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</si>
  <si>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</si>
  <si>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</si>
  <si>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</si>
  <si>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</si>
  <si>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</si>
  <si>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</si>
  <si>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</si>
  <si>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</si>
  <si>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</si>
  <si>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</si>
  <si>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</si>
  <si>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</si>
  <si>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</si>
  <si>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</si>
  <si>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</si>
  <si>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</si>
  <si>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</si>
  <si>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</si>
  <si>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</si>
  <si>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</si>
  <si>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</si>
  <si>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</si>
  <si>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</si>
  <si>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</si>
  <si>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</si>
  <si>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</si>
  <si>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</si>
  <si>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</si>
  <si>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</si>
  <si>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</si>
  <si>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</si>
  <si>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</si>
  <si>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</si>
  <si>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</si>
  <si>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</si>
  <si>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</si>
  <si>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</si>
  <si>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</si>
  <si>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</si>
  <si>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</si>
  <si>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</si>
  <si>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</si>
  <si>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</si>
  <si>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</si>
  <si>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</si>
  <si>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</si>
  <si>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</si>
  <si>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</si>
  <si>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</si>
  <si>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</si>
  <si>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</si>
  <si>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</si>
  <si>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</si>
  <si>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</si>
  <si>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</si>
  <si>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</si>
  <si>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</si>
  <si>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</si>
  <si>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</si>
  <si>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</si>
  <si>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</si>
  <si>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</si>
  <si>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</si>
  <si>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</si>
  <si>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</si>
  <si>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</si>
  <si>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</si>
  <si>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</si>
  <si>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</si>
  <si>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</si>
  <si>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</si>
  <si>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</si>
  <si>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</si>
  <si>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</si>
  <si>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</si>
  <si>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</si>
  <si>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</si>
  <si>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</si>
  <si>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</si>
  <si>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</si>
  <si>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</si>
  <si>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</si>
  <si>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</si>
  <si>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</si>
  <si>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</si>
  <si>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</si>
  <si>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</si>
  <si>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</si>
  <si>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</si>
  <si>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</si>
  <si>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</si>
  <si>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</si>
  <si>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</si>
  <si>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</si>
  <si>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</si>
  <si>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</si>
  <si>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</si>
  <si>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</si>
  <si>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</si>
  <si>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</si>
  <si>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</si>
  <si>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</si>
  <si>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</si>
  <si>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</si>
  <si>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</si>
  <si>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</si>
  <si>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</si>
  <si>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</si>
  <si>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</si>
  <si>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</si>
  <si>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</si>
  <si>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</si>
  <si>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</si>
  <si>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</si>
  <si>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</si>
  <si>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</si>
  <si>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</si>
  <si>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</si>
  <si>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</si>
  <si>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</si>
  <si>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</si>
  <si>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</si>
  <si>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</si>
  <si>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</si>
  <si>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</si>
  <si>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</si>
  <si>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</si>
  <si>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</si>
  <si>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</si>
  <si>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</si>
  <si>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</si>
  <si>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</si>
  <si>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</si>
  <si>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</si>
  <si>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</si>
  <si>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</si>
  <si>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</si>
  <si>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</si>
  <si>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</si>
  <si>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</si>
  <si>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</si>
  <si>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</si>
  <si>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</si>
  <si>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</si>
  <si>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</si>
  <si>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</si>
  <si>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</si>
  <si>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</si>
  <si>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</si>
  <si>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</si>
  <si>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</si>
  <si>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</si>
  <si>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</si>
  <si>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</si>
  <si>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</si>
  <si>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</si>
  <si>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</si>
  <si>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</si>
  <si>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</si>
  <si>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</si>
  <si>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</si>
  <si>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</si>
  <si>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</si>
  <si>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</si>
  <si>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</si>
  <si>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</si>
  <si>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</si>
  <si>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</si>
  <si>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</si>
  <si>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</si>
  <si>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</si>
  <si>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</si>
  <si>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</si>
  <si>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</si>
  <si>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</si>
  <si>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</si>
  <si>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</si>
  <si>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</si>
  <si>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</si>
  <si>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</si>
  <si>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</si>
  <si>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</si>
  <si>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</si>
  <si>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</si>
  <si>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</si>
  <si>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</si>
  <si>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</si>
  <si>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</si>
  <si>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</si>
  <si>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</si>
  <si>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</si>
  <si>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</si>
  <si>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</si>
  <si>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</si>
  <si>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</si>
  <si>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</si>
  <si>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</si>
  <si>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</si>
  <si>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</si>
  <si>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</si>
  <si>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</si>
  <si>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</si>
  <si>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</si>
  <si>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</si>
  <si>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</si>
  <si>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</si>
  <si>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</si>
  <si>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</si>
  <si>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</si>
  <si>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</si>
  <si>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</si>
  <si>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</si>
  <si>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</si>
  <si>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</si>
  <si>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</si>
  <si>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</si>
  <si>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</si>
  <si>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</si>
  <si>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</si>
  <si>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</si>
  <si>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</si>
  <si>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</si>
  <si>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</si>
  <si>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</si>
  <si>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</si>
  <si>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</si>
  <si>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</si>
  <si>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</si>
  <si>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</si>
  <si>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</si>
  <si>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</si>
  <si>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</si>
  <si>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</si>
  <si>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</si>
  <si>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</si>
  <si>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</si>
  <si>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</si>
  <si>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</si>
  <si>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</si>
  <si>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</si>
  <si>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</si>
  <si>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</si>
  <si>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</si>
  <si>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</si>
  <si>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</si>
  <si>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</si>
  <si>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</si>
  <si>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</si>
  <si>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</si>
  <si>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</si>
  <si>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</si>
  <si>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</si>
  <si>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</si>
  <si>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</si>
  <si>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</si>
  <si>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</si>
  <si>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</si>
  <si>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</si>
  <si>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</si>
  <si>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</si>
  <si>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</si>
  <si>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</si>
  <si>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</si>
  <si>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</si>
  <si>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</si>
  <si>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</si>
  <si>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</si>
  <si>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</si>
  <si>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</si>
  <si>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</si>
  <si>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</si>
  <si>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</si>
  <si>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</si>
  <si>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</si>
  <si>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</si>
  <si>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</si>
  <si>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</si>
  <si>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</si>
  <si>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</si>
  <si>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</si>
  <si>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</si>
  <si>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</si>
  <si>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</si>
  <si>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</si>
  <si>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</si>
  <si>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</si>
  <si>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</si>
  <si>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</si>
  <si>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</si>
  <si>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</si>
  <si>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</si>
  <si>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</si>
  <si>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</si>
  <si>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</si>
  <si>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</si>
  <si>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</si>
  <si>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</si>
  <si>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</si>
  <si>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</si>
  <si>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</si>
  <si>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</si>
  <si>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</si>
  <si>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</si>
  <si>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</si>
  <si>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</si>
  <si>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</si>
  <si>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</si>
  <si>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</si>
  <si>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</si>
  <si>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</si>
  <si>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</si>
  <si>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</si>
  <si>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</si>
  <si>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</si>
  <si>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</si>
  <si>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</si>
  <si>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</si>
  <si>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</si>
  <si>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</si>
  <si>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</si>
  <si>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</si>
  <si>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</si>
  <si>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</si>
  <si>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</si>
  <si>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</si>
  <si>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</si>
  <si>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</si>
  <si>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</si>
  <si>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</si>
  <si>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</si>
  <si>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</si>
  <si>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</si>
  <si>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</si>
  <si>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</si>
  <si>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</si>
  <si>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</si>
  <si>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</si>
  <si>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</si>
  <si>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</si>
  <si>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</si>
  <si>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</si>
  <si>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</si>
  <si>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</si>
  <si>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</si>
  <si>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</si>
  <si>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</si>
  <si>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</si>
  <si>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</si>
  <si>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</si>
  <si>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</si>
  <si>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</si>
  <si>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</si>
  <si>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</si>
  <si>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</si>
  <si>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</si>
  <si>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</si>
  <si>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</si>
  <si>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</si>
  <si>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</si>
  <si>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</si>
  <si>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</si>
  <si>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</si>
  <si>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</si>
  <si>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</si>
  <si>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</si>
  <si>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</si>
  <si>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</si>
  <si>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</si>
  <si>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</si>
  <si>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</si>
  <si>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</si>
  <si>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</si>
  <si>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</si>
  <si>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</si>
  <si>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</si>
  <si>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</si>
  <si>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</si>
  <si>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</si>
  <si>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</si>
  <si>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</si>
  <si>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</si>
  <si>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</si>
  <si>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</si>
  <si>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</si>
  <si>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</si>
  <si>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</si>
  <si>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</si>
  <si>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</si>
  <si>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</si>
  <si>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</si>
  <si>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</si>
  <si>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</si>
  <si>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</si>
  <si>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</si>
  <si>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</si>
  <si>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</si>
  <si>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</si>
  <si>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</si>
  <si>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</si>
  <si>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</si>
  <si>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</si>
  <si>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</si>
  <si>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</si>
  <si>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</si>
  <si>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</si>
  <si>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</si>
  <si>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</si>
  <si>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</si>
  <si>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</si>
  <si>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</si>
  <si>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</si>
  <si>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</si>
  <si>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</si>
  <si>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</si>
  <si>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</si>
  <si>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</si>
  <si>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</si>
  <si>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</si>
  <si>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</si>
  <si>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</si>
  <si>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</si>
  <si>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</si>
  <si>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</si>
  <si>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</si>
  <si>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</si>
  <si>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</si>
  <si>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</si>
  <si>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</si>
  <si>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</si>
  <si>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</si>
  <si>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</si>
  <si>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</si>
  <si>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</si>
  <si>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</si>
  <si>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</si>
  <si>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</si>
  <si>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</si>
  <si>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</si>
  <si>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</si>
  <si>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</si>
  <si>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</si>
  <si>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</si>
  <si>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</si>
  <si>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</si>
  <si>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</si>
  <si>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</si>
  <si>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</si>
  <si>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</si>
  <si>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</si>
  <si>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</si>
  <si>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</si>
  <si>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</si>
  <si>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</si>
  <si>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</si>
  <si>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</si>
  <si>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</si>
  <si>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</si>
  <si>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</si>
  <si>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</si>
  <si>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</si>
  <si>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</si>
  <si>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</si>
  <si>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</si>
  <si>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</si>
  <si>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</si>
  <si>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</si>
  <si>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</si>
  <si>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</si>
  <si>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</si>
  <si>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</si>
  <si>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</si>
  <si>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</si>
  <si>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</si>
  <si>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</si>
  <si>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</si>
  <si>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</si>
  <si>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</si>
  <si>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</si>
  <si>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</si>
  <si>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</si>
  <si>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</si>
  <si>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</si>
  <si>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</si>
  <si>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</si>
  <si>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</si>
  <si>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</si>
  <si>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</si>
  <si>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</si>
  <si>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</si>
  <si>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</si>
  <si>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</si>
  <si>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</si>
  <si>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</si>
  <si>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</si>
  <si>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</si>
  <si>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</si>
  <si>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</si>
  <si>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</si>
  <si>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</si>
  <si>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</si>
  <si>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</si>
  <si>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</si>
  <si>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</si>
  <si>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</si>
  <si>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</si>
  <si>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</si>
  <si>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</si>
  <si>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</si>
  <si>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</si>
  <si>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</si>
  <si>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</si>
  <si>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</si>
  <si>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</si>
  <si>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</si>
  <si>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</si>
  <si>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</si>
  <si>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</si>
  <si>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</si>
  <si>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</si>
  <si>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</si>
  <si>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</si>
  <si>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</si>
  <si>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</si>
  <si>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</si>
  <si>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</si>
  <si>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</si>
  <si>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</si>
  <si>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</si>
  <si>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</si>
  <si>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</si>
  <si>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</si>
  <si>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</si>
  <si>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</si>
  <si>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</si>
  <si>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</si>
  <si>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</si>
  <si>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</si>
  <si>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</si>
  <si>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</si>
  <si>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</si>
  <si>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</si>
  <si>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</si>
  <si>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</si>
  <si>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</si>
  <si>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</si>
  <si>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</si>
  <si>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</si>
  <si>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</si>
  <si>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</si>
  <si>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</si>
  <si>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</si>
  <si>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</si>
  <si>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</si>
  <si>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</si>
  <si>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</si>
  <si>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</si>
  <si>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</si>
  <si>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</si>
  <si>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</si>
  <si>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</si>
  <si>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</si>
  <si>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</si>
  <si>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</si>
  <si>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</si>
  <si>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</si>
  <si>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</si>
  <si>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</si>
  <si>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</si>
  <si>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</si>
  <si>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</si>
  <si>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</si>
  <si>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</si>
  <si>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</si>
  <si>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</si>
  <si>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</si>
  <si>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</si>
  <si>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</si>
  <si>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</si>
  <si>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</si>
  <si>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</si>
  <si>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</si>
  <si>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</si>
  <si>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</si>
  <si>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</si>
  <si>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</si>
  <si>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</si>
  <si>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</si>
  <si>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</si>
  <si>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</si>
  <si>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</si>
  <si>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</si>
  <si>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</si>
  <si>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</si>
  <si>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</si>
  <si>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</si>
  <si>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</si>
  <si>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</si>
  <si>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</si>
  <si>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</si>
  <si>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</si>
  <si>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</si>
  <si>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</si>
  <si>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</si>
  <si>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</si>
  <si>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</si>
  <si>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</si>
  <si>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</si>
  <si>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</si>
  <si>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</si>
  <si>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</si>
  <si>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</si>
  <si>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</si>
  <si>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</si>
  <si>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</si>
  <si>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</si>
  <si>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</si>
  <si>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</si>
  <si>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</si>
  <si>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</si>
  <si>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</si>
  <si>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</si>
  <si>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</si>
  <si>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</si>
  <si>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</si>
  <si>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</si>
  <si>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</si>
  <si>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</si>
  <si>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</si>
  <si>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</si>
  <si>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</si>
  <si>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</si>
  <si>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</si>
  <si>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</si>
  <si>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</si>
  <si>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</si>
  <si>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</si>
  <si>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</si>
  <si>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</si>
  <si>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</si>
  <si>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</si>
  <si>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</si>
  <si>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</si>
  <si>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</si>
  <si>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</si>
  <si>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</si>
  <si>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</si>
  <si>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</si>
  <si>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</si>
  <si>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</si>
  <si>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</si>
  <si>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</si>
  <si>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</si>
  <si>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</si>
  <si>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</si>
  <si>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</si>
  <si>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</si>
  <si>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</si>
  <si>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</si>
  <si>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</si>
  <si>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</si>
  <si>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</si>
  <si>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</si>
  <si>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</si>
  <si>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</si>
  <si>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</si>
  <si>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</si>
  <si>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</si>
  <si>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</si>
  <si>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</si>
  <si>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</si>
  <si>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</si>
  <si>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</si>
  <si>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</si>
  <si>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</si>
  <si>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</si>
  <si>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</si>
  <si>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</si>
  <si>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</si>
  <si>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</si>
  <si>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</si>
  <si>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</si>
  <si>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</si>
  <si>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</si>
  <si>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</si>
  <si>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</si>
  <si>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</si>
  <si>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</si>
  <si>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</si>
  <si>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</si>
  <si>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</si>
  <si>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</si>
  <si>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</si>
  <si>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</si>
  <si>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</si>
  <si>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</si>
  <si>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</si>
  <si>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</si>
  <si>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</si>
  <si>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</si>
  <si>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</si>
  <si>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</si>
  <si>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</si>
  <si>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</si>
  <si>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</si>
  <si>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</si>
  <si>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</si>
  <si>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</si>
  <si>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</si>
  <si>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</si>
  <si>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</si>
  <si>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</si>
  <si>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</si>
  <si>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</si>
  <si>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</si>
  <si>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</si>
  <si>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</si>
  <si>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</si>
  <si>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</si>
  <si>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</si>
  <si>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</si>
  <si>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</si>
  <si>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</si>
  <si>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</si>
  <si>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</si>
  <si>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</si>
  <si>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</si>
  <si>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</si>
  <si>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</si>
  <si>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</si>
  <si>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</si>
  <si>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</si>
  <si>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</si>
  <si>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</si>
  <si>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</si>
  <si>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</si>
  <si>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</si>
  <si>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</si>
  <si>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</si>
  <si>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</si>
  <si>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</si>
  <si>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</si>
  <si>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</si>
  <si>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</si>
  <si>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</si>
  <si>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</si>
  <si>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</si>
  <si>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</si>
  <si>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</si>
  <si>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</si>
  <si>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</si>
  <si>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</si>
  <si>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</si>
  <si>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</si>
  <si>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</si>
  <si>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</si>
  <si>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</si>
  <si>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</si>
  <si>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</si>
  <si>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</si>
  <si>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</si>
  <si>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</si>
  <si>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</si>
  <si>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</si>
  <si>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</si>
  <si>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</si>
  <si>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</si>
  <si>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</si>
  <si>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</si>
  <si>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</si>
  <si>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</si>
  <si>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</si>
  <si>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</si>
  <si>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</si>
  <si>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</si>
  <si>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</si>
  <si>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</si>
  <si>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</si>
  <si>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</si>
  <si>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</si>
  <si>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</si>
  <si>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</si>
  <si>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</si>
  <si>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</si>
  <si>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</si>
  <si>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</si>
  <si>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</si>
  <si>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</si>
  <si>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</si>
  <si>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</si>
  <si>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</si>
  <si>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</si>
  <si>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</si>
  <si>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</si>
  <si>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</si>
  <si>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</si>
  <si>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</si>
  <si>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</si>
  <si>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</si>
  <si>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</si>
  <si>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</si>
  <si>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</si>
  <si>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</si>
  <si>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</si>
  <si>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</si>
  <si>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</si>
  <si>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</si>
  <si>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</si>
  <si>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</si>
  <si>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</si>
  <si>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</si>
  <si>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</si>
  <si>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</si>
  <si>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</si>
  <si>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</si>
  <si>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</si>
  <si>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</si>
  <si>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</si>
  <si>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</si>
  <si>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</si>
  <si>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</si>
  <si>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</si>
  <si>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</si>
  <si>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</si>
  <si>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</si>
  <si>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</si>
  <si>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</si>
  <si>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</si>
  <si>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</si>
  <si>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</si>
  <si>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</si>
  <si>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</si>
  <si>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</si>
  <si>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</si>
  <si>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</si>
  <si>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</si>
  <si>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</si>
  <si>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</si>
  <si>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</si>
  <si>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</si>
  <si>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</si>
  <si>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</si>
  <si>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</si>
  <si>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</si>
  <si>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</si>
  <si>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</si>
  <si>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</si>
  <si>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</si>
  <si>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</si>
  <si>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</si>
  <si>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</si>
  <si>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</si>
  <si>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</si>
  <si>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</si>
  <si>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</si>
  <si>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</si>
  <si>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</si>
  <si>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</si>
  <si>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</si>
  <si>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</si>
  <si>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</si>
  <si>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</si>
  <si>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</si>
  <si>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</si>
  <si>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</si>
  <si>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</si>
  <si>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</si>
  <si>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</si>
  <si>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</si>
  <si>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</si>
  <si>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</si>
  <si>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</si>
  <si>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</si>
  <si>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</si>
  <si>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</si>
  <si>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</si>
  <si>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</si>
  <si>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</si>
  <si>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</si>
  <si>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</si>
  <si>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</si>
  <si>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</si>
  <si>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</si>
  <si>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</si>
  <si>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</si>
  <si>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</si>
  <si>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</si>
  <si>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</si>
  <si>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</si>
  <si>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</si>
  <si>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</si>
  <si>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</si>
  <si>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</si>
  <si>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</si>
  <si>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</si>
  <si>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</si>
  <si>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</si>
  <si>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</si>
  <si>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</si>
  <si>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</si>
  <si>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</si>
  <si>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</si>
  <si>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</si>
  <si>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</si>
  <si>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</si>
  <si>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</si>
  <si>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</si>
  <si>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</si>
  <si>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</si>
  <si>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</si>
  <si>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</si>
  <si>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</si>
  <si>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</si>
  <si>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</si>
  <si>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</si>
  <si>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</si>
  <si>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</si>
  <si>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</si>
  <si>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</si>
  <si>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</si>
  <si>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</si>
  <si>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</si>
  <si>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</si>
  <si>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</si>
  <si>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</si>
  <si>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</si>
  <si>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</si>
  <si>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</si>
  <si>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</si>
  <si>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</si>
  <si>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</si>
  <si>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</si>
  <si>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</si>
  <si>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</si>
  <si>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</si>
  <si>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</si>
  <si>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</si>
  <si>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</si>
  <si>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</si>
  <si>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</si>
  <si>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</si>
  <si>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</si>
  <si>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</si>
  <si>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</si>
  <si>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</si>
  <si>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</si>
  <si>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</si>
  <si>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</si>
  <si>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</si>
  <si>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</si>
  <si>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</si>
  <si>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</si>
  <si>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</si>
  <si>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</si>
  <si>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</si>
  <si>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</si>
  <si>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</si>
  <si>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</si>
  <si>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</si>
  <si>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</si>
  <si>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</si>
  <si>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</si>
  <si>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</si>
  <si>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</si>
  <si>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</si>
  <si>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</si>
  <si>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</si>
  <si>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</si>
  <si>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</si>
  <si>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</si>
  <si>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</si>
  <si>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</si>
  <si>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</si>
  <si>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</si>
  <si>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</si>
  <si>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</si>
  <si>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</si>
  <si>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</si>
  <si>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</si>
  <si>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</si>
  <si>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</si>
  <si>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</si>
  <si>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</si>
  <si>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</si>
  <si>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</si>
  <si>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</si>
  <si>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</si>
  <si>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</si>
  <si>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</si>
  <si>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</si>
  <si>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</si>
  <si>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</si>
  <si>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</si>
  <si>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</si>
  <si>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</si>
  <si>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</si>
  <si>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</si>
  <si>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</si>
  <si>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</si>
  <si>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</si>
  <si>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</si>
  <si>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</si>
  <si>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</si>
  <si>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</si>
  <si>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</si>
  <si>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</si>
  <si>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</si>
  <si>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</si>
  <si>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</si>
  <si>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</si>
  <si>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</si>
  <si>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</si>
  <si>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</si>
  <si>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</si>
  <si>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</si>
  <si>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</si>
  <si>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</si>
  <si>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</si>
  <si>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</si>
  <si>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</si>
  <si>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</si>
  <si>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</si>
  <si>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</si>
  <si>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</si>
  <si>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</si>
  <si>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</si>
  <si>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</si>
  <si>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</si>
  <si>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</si>
  <si>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</si>
  <si>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</si>
  <si>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</si>
  <si>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</si>
  <si>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</si>
  <si>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</si>
  <si>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</si>
  <si>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</si>
  <si>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</si>
  <si>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</si>
  <si>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</si>
  <si>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</si>
  <si>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</si>
  <si>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</si>
  <si>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</si>
  <si>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</si>
  <si>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</si>
  <si>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</si>
  <si>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</si>
  <si>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</si>
  <si>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</si>
  <si>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</si>
  <si>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</si>
  <si>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</si>
  <si>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</si>
  <si>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</si>
  <si>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</si>
  <si>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</si>
  <si>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</si>
  <si>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</si>
  <si>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</si>
  <si>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</si>
  <si>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</si>
  <si>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</si>
  <si>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</si>
  <si>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</si>
  <si>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</si>
  <si>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</si>
  <si>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</si>
  <si>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</si>
  <si>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</si>
  <si>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</si>
  <si>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</si>
  <si>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</si>
  <si>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</si>
  <si>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</si>
  <si>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</si>
  <si>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</si>
  <si>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</si>
  <si>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</si>
  <si>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</si>
  <si>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</si>
  <si>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</si>
  <si>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</si>
  <si>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</si>
  <si>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</si>
  <si>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</si>
  <si>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</si>
  <si>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</si>
  <si>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</si>
  <si>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</si>
  <si>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</si>
  <si>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</si>
  <si>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</si>
  <si>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</si>
  <si>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</si>
  <si>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</si>
  <si>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</si>
  <si>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</si>
  <si>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</si>
  <si>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</si>
  <si>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</si>
  <si>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</si>
  <si>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</si>
  <si>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</si>
  <si>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</si>
  <si>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</si>
  <si>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</si>
  <si>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</si>
  <si>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</si>
  <si>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</si>
  <si>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</si>
  <si>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</si>
  <si>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</si>
  <si>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</si>
  <si>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</si>
  <si>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</si>
  <si>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</si>
  <si>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</si>
  <si>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</si>
  <si>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</si>
  <si>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</si>
  <si>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</si>
  <si>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</si>
  <si>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</si>
  <si>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</si>
  <si>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</si>
  <si>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</si>
  <si>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</si>
  <si>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</si>
  <si>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</si>
  <si>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</si>
  <si>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</si>
  <si>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</si>
  <si>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</si>
  <si>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</si>
  <si>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</si>
  <si>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</si>
  <si>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</si>
  <si>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</si>
  <si>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</si>
  <si>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</si>
  <si>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</si>
  <si>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</si>
  <si>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</si>
  <si>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</si>
  <si>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</si>
  <si>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</si>
  <si>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</si>
  <si>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</si>
  <si>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</si>
  <si>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</si>
  <si>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</si>
  <si>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</si>
  <si>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</si>
  <si>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</si>
  <si>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</si>
  <si>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</si>
  <si>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</si>
  <si>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</si>
  <si>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</si>
  <si>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</si>
  <si>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</si>
  <si>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</si>
  <si>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</si>
  <si>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</si>
  <si>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</si>
  <si>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</si>
  <si>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</si>
  <si>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</si>
  <si>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</si>
  <si>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</si>
  <si>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</si>
  <si>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</si>
  <si>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</si>
  <si>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</si>
  <si>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</si>
  <si>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</si>
  <si>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</si>
  <si>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</si>
  <si>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</si>
  <si>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</si>
  <si>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</si>
  <si>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</si>
  <si>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</si>
  <si>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</si>
  <si>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</si>
  <si>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</si>
  <si>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</si>
  <si>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</si>
  <si>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</si>
  <si>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</si>
  <si>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</si>
  <si>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</si>
  <si>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</si>
  <si>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</si>
  <si>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</si>
  <si>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</si>
  <si>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</si>
  <si>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</si>
  <si>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</si>
  <si>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</si>
  <si>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</si>
  <si>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</si>
  <si>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</si>
  <si>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</si>
  <si>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</si>
  <si>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</si>
  <si>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</si>
  <si>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</si>
  <si>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</si>
  <si>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</si>
  <si>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</si>
  <si>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</si>
  <si>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</si>
  <si>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</si>
  <si>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</si>
  <si>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</si>
  <si>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</si>
  <si>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</si>
  <si>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</si>
  <si>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</si>
  <si>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</si>
  <si>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</si>
  <si>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</si>
  <si>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</si>
  <si>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</si>
  <si>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</si>
  <si>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</si>
  <si>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</si>
  <si>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</si>
  <si>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</si>
  <si>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</si>
  <si>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</si>
  <si>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</si>
  <si>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</si>
  <si>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</si>
  <si>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</si>
  <si>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</si>
  <si>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</si>
  <si>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</si>
  <si>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</si>
  <si>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</si>
  <si>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</si>
  <si>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</si>
  <si>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</si>
  <si>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</si>
  <si>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</si>
  <si>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</si>
  <si>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</si>
  <si>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</si>
  <si>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</si>
  <si>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</si>
  <si>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</si>
  <si>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</si>
  <si>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</si>
  <si>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</si>
  <si>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</si>
  <si>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</si>
  <si>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</si>
  <si>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</si>
  <si>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</si>
  <si>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</si>
  <si>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</si>
  <si>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</si>
  <si>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</si>
  <si>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</si>
  <si>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</si>
  <si>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</si>
  <si>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</si>
  <si>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</si>
  <si>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</si>
  <si>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</si>
  <si>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</si>
  <si>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</si>
  <si>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</si>
  <si>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</si>
  <si>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</si>
  <si>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</si>
  <si>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</si>
  <si>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</si>
  <si>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</si>
  <si>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</si>
  <si>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</si>
  <si>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</si>
  <si>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</si>
  <si>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</si>
  <si>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</si>
  <si>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</si>
  <si>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</si>
  <si>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</si>
  <si>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</si>
  <si>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</si>
  <si>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</si>
  <si>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</si>
  <si>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</si>
  <si>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</si>
  <si>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</si>
  <si>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</si>
  <si>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</si>
  <si>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</si>
  <si>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</si>
  <si>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</si>
  <si>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</si>
  <si>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</si>
  <si>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</si>
  <si>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</si>
  <si>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</si>
  <si>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</si>
  <si>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</si>
  <si>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</si>
  <si>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</si>
  <si>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</si>
  <si>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</si>
  <si>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</si>
  <si>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</si>
  <si>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</si>
  <si>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</si>
  <si>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</si>
  <si>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</si>
  <si>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</si>
  <si>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</si>
  <si>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</si>
  <si>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</si>
  <si>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</si>
  <si>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</si>
  <si>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</si>
  <si>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</si>
  <si>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</si>
  <si>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</si>
  <si>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</si>
  <si>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</si>
  <si>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</si>
  <si>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</si>
  <si>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</si>
  <si>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</si>
  <si>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</si>
  <si>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</si>
  <si>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</si>
  <si>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</si>
  <si>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</si>
  <si>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</si>
  <si>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</si>
  <si>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</si>
  <si>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</si>
  <si>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</si>
  <si>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</si>
  <si>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</si>
  <si>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</si>
  <si>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</si>
  <si>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</si>
  <si>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</si>
  <si>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</si>
  <si>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</si>
  <si>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</si>
  <si>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</si>
  <si>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</si>
  <si>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</si>
  <si>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</si>
  <si>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</si>
  <si>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</si>
  <si>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</si>
  <si>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</si>
  <si>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</si>
  <si>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</si>
  <si>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</si>
  <si>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</si>
  <si>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</si>
  <si>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</si>
  <si>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</si>
  <si>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</si>
  <si>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</si>
  <si>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</si>
  <si>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</si>
  <si>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</si>
  <si>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</si>
  <si>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</si>
  <si>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</si>
  <si>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</si>
  <si>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</si>
  <si>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</si>
  <si>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</si>
  <si>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</si>
  <si>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</si>
  <si>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</si>
  <si>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</si>
  <si>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</si>
  <si>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</si>
  <si>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</si>
  <si>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</si>
  <si>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</si>
  <si>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</si>
  <si>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</si>
  <si>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</si>
  <si>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</si>
  <si>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</si>
  <si>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</si>
  <si>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</si>
  <si>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</si>
  <si>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</si>
  <si>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</si>
  <si>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</si>
  <si>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</si>
  <si>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</si>
  <si>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</si>
  <si>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</si>
  <si>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</si>
  <si>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</si>
  <si>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</si>
  <si>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</si>
  <si>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</si>
  <si>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</si>
  <si>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</si>
  <si>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</si>
  <si>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</si>
  <si>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</si>
  <si>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</si>
  <si>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</si>
  <si>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</si>
  <si>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</si>
  <si>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</si>
  <si>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</si>
  <si>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</si>
  <si>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</si>
  <si>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</si>
  <si>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</si>
  <si>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</si>
  <si>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</si>
  <si>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</si>
  <si>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</si>
  <si>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</si>
  <si>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</si>
  <si>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</si>
  <si>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</si>
  <si>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</si>
  <si>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</si>
  <si>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</si>
  <si>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</si>
  <si>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</si>
  <si>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</si>
  <si>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</si>
  <si>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</si>
  <si>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</si>
  <si>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</si>
  <si>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</si>
  <si>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</si>
  <si>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</si>
  <si>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</si>
  <si>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</si>
  <si>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</si>
  <si>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</si>
  <si>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</si>
  <si>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</si>
  <si>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</si>
  <si>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</si>
  <si>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</si>
  <si>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</si>
  <si>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</si>
  <si>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</si>
  <si>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</si>
  <si>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</si>
  <si>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</si>
  <si>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</si>
  <si>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</si>
  <si>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</si>
  <si>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</si>
  <si>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</si>
  <si>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</si>
  <si>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</si>
  <si>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</si>
  <si>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</si>
  <si>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</si>
  <si>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</si>
  <si>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</si>
  <si>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</si>
  <si>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</si>
  <si>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</si>
  <si>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</si>
  <si>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</si>
  <si>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</si>
  <si>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</si>
  <si>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</si>
  <si>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Adiado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</si>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</sst>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6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7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70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1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26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1572</c:v>
                </c:pt>
                <c:pt idx="2">
                  <c:v>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5</c:v>
                </c:pt>
                <c:pt idx="5">
                  <c:v>10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A727" activePane="bottomLeft" state="frozen"/>
      <selection pane="bottomLeft" activeCell="C747" sqref="C747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2026-092</v>
      </c>
    </row>
    <row r="4" spans="1:23" ht="1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57" si="7">SUM(O394:Q394)</f>
        <v>31</v>
      </c>
      <c r="S394" s="118">
        <v>16</v>
      </c>
      <c r="T394" s="126" t="s">
        <v>425</v>
      </c>
    </row>
    <row r="395" spans="1:20" ht="1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si="7"/>
        <v>44</v>
      </c>
      <c r="S406" s="118">
        <v>5</v>
      </c>
      <c r="T406" s="132" t="s">
        <v>1701</v>
      </c>
    </row>
    <row r="407" spans="1:20" ht="1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7"/>
        <v>26</v>
      </c>
      <c r="S407" s="118">
        <v>20</v>
      </c>
      <c r="T407" s="121" t="s">
        <v>81</v>
      </c>
    </row>
    <row r="408" spans="1:20" ht="1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7"/>
        <v>23</v>
      </c>
      <c r="S408" s="118">
        <v>16</v>
      </c>
      <c r="T408" s="121" t="s">
        <v>1710</v>
      </c>
    </row>
    <row r="409" spans="1:20" ht="1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7"/>
        <v>20</v>
      </c>
      <c r="S409" s="118">
        <v>2</v>
      </c>
      <c r="T409" s="121" t="s">
        <v>1715</v>
      </c>
    </row>
    <row r="410" spans="1:20" ht="1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7"/>
        <v>0</v>
      </c>
      <c r="S410" s="118"/>
      <c r="T410" s="121"/>
    </row>
    <row r="411" spans="1:20" ht="1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7"/>
        <v>16</v>
      </c>
      <c r="S411" s="118">
        <v>16</v>
      </c>
      <c r="T411" s="121" t="s">
        <v>1723</v>
      </c>
    </row>
    <row r="412" spans="1:20" ht="1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7"/>
        <v>44</v>
      </c>
      <c r="S412" s="118">
        <v>20</v>
      </c>
      <c r="T412" s="121" t="s">
        <v>425</v>
      </c>
    </row>
    <row r="413" spans="1:20" ht="1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7"/>
        <v>105</v>
      </c>
      <c r="S413" s="118">
        <v>4</v>
      </c>
      <c r="T413" s="121" t="s">
        <v>1732</v>
      </c>
    </row>
    <row r="414" spans="1:20" ht="1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7"/>
        <v>50</v>
      </c>
      <c r="S414" s="118">
        <v>4</v>
      </c>
      <c r="T414" s="121" t="s">
        <v>1738</v>
      </c>
    </row>
    <row r="415" spans="1:20" ht="1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7"/>
        <v>25</v>
      </c>
      <c r="S415" s="118">
        <v>20</v>
      </c>
      <c r="T415" s="121" t="s">
        <v>1223</v>
      </c>
    </row>
    <row r="416" spans="1:20" ht="1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7"/>
        <v>9</v>
      </c>
      <c r="S416" s="118">
        <v>20</v>
      </c>
      <c r="T416" s="121" t="s">
        <v>1723</v>
      </c>
    </row>
    <row r="417" spans="1:20" ht="1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7"/>
        <v>25</v>
      </c>
      <c r="S417" s="118">
        <v>16</v>
      </c>
      <c r="T417" s="121" t="s">
        <v>1750</v>
      </c>
    </row>
    <row r="418" spans="1:20" ht="1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7"/>
        <v>13</v>
      </c>
      <c r="S418" s="118">
        <v>19</v>
      </c>
      <c r="T418" s="121" t="s">
        <v>1755</v>
      </c>
    </row>
    <row r="419" spans="1:20" ht="1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7"/>
        <v>49</v>
      </c>
      <c r="S419" s="118">
        <v>16</v>
      </c>
      <c r="T419" s="121" t="s">
        <v>1759</v>
      </c>
    </row>
    <row r="420" spans="1:20" ht="1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7"/>
        <v>128</v>
      </c>
      <c r="S420" s="118">
        <v>4</v>
      </c>
      <c r="T420" s="121" t="s">
        <v>1764</v>
      </c>
    </row>
    <row r="421" spans="1:20" ht="1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7"/>
        <v>21</v>
      </c>
      <c r="S421" s="118">
        <v>20</v>
      </c>
      <c r="T421" s="121" t="s">
        <v>81</v>
      </c>
    </row>
    <row r="422" spans="1:20" ht="1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7"/>
        <v>8</v>
      </c>
      <c r="S422" s="118">
        <v>16</v>
      </c>
      <c r="T422" s="121" t="s">
        <v>1772</v>
      </c>
    </row>
    <row r="423" spans="1:20" ht="1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7"/>
        <v>93</v>
      </c>
      <c r="S423" s="118">
        <v>4</v>
      </c>
      <c r="T423" s="121" t="s">
        <v>1764</v>
      </c>
    </row>
    <row r="424" spans="1:20" ht="1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7"/>
        <v>6</v>
      </c>
      <c r="S424" s="118">
        <v>24</v>
      </c>
      <c r="T424" s="121" t="s">
        <v>1265</v>
      </c>
    </row>
    <row r="425" spans="1:20" ht="1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7"/>
        <v>80</v>
      </c>
      <c r="S425" s="118">
        <v>4</v>
      </c>
      <c r="T425" s="121" t="s">
        <v>479</v>
      </c>
    </row>
    <row r="426" spans="1:20" ht="1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7"/>
        <v>8</v>
      </c>
      <c r="S426" s="118">
        <v>4</v>
      </c>
      <c r="T426" s="121" t="s">
        <v>1787</v>
      </c>
    </row>
    <row r="427" spans="1:20" ht="1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7"/>
        <v>10</v>
      </c>
      <c r="S427" s="118">
        <v>16</v>
      </c>
      <c r="T427" s="121" t="s">
        <v>1792</v>
      </c>
    </row>
    <row r="428" spans="1:20" ht="1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7"/>
        <v>80</v>
      </c>
      <c r="S428" s="118">
        <v>4</v>
      </c>
      <c r="T428" s="121" t="s">
        <v>1374</v>
      </c>
    </row>
    <row r="429" spans="1:20" ht="1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7"/>
        <v>80</v>
      </c>
      <c r="S429" s="118">
        <v>4</v>
      </c>
      <c r="T429" s="121" t="s">
        <v>1374</v>
      </c>
    </row>
    <row r="430" spans="1:20" ht="1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7"/>
        <v>80</v>
      </c>
      <c r="S430" s="118">
        <v>4</v>
      </c>
      <c r="T430" s="121" t="s">
        <v>1374</v>
      </c>
    </row>
    <row r="431" spans="1:20" ht="1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7"/>
        <v>80</v>
      </c>
      <c r="S431" s="118">
        <v>4</v>
      </c>
      <c r="T431" s="121" t="s">
        <v>1374</v>
      </c>
    </row>
    <row r="432" spans="1:20" ht="1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7"/>
        <v>80</v>
      </c>
      <c r="S432" s="118">
        <v>4</v>
      </c>
      <c r="T432" s="121" t="s">
        <v>1374</v>
      </c>
    </row>
    <row r="433" spans="1:20" ht="1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7"/>
        <v>33</v>
      </c>
      <c r="S433" s="118">
        <v>4</v>
      </c>
      <c r="T433" s="121" t="s">
        <v>1787</v>
      </c>
    </row>
    <row r="434" spans="1:20" ht="1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7"/>
        <v>0</v>
      </c>
      <c r="S434" s="118"/>
      <c r="T434" s="121"/>
    </row>
    <row r="435" spans="1:20" ht="1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7"/>
        <v>62</v>
      </c>
      <c r="S435" s="118">
        <v>20</v>
      </c>
      <c r="T435" s="121" t="s">
        <v>425</v>
      </c>
    </row>
    <row r="436" spans="1:20" ht="1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7"/>
        <v>42</v>
      </c>
      <c r="S436" s="118">
        <v>4</v>
      </c>
      <c r="T436" s="121" t="s">
        <v>1817</v>
      </c>
    </row>
    <row r="437" spans="1:20" ht="1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7"/>
        <v>6</v>
      </c>
      <c r="S437" s="118">
        <v>4</v>
      </c>
      <c r="T437" s="121" t="s">
        <v>1817</v>
      </c>
    </row>
    <row r="438" spans="1:20" ht="1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7"/>
        <v>49</v>
      </c>
      <c r="S438" s="118">
        <v>4</v>
      </c>
      <c r="T438" s="121" t="s">
        <v>1817</v>
      </c>
    </row>
    <row r="439" spans="1:20" ht="1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7"/>
        <v>20</v>
      </c>
      <c r="S439" s="118">
        <v>4</v>
      </c>
      <c r="T439" s="121" t="s">
        <v>1817</v>
      </c>
    </row>
    <row r="440" spans="1:20" ht="1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7"/>
        <v>28</v>
      </c>
      <c r="S440" s="118">
        <v>12</v>
      </c>
      <c r="T440" s="121" t="s">
        <v>556</v>
      </c>
    </row>
    <row r="441" spans="1:20" ht="1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7"/>
        <v>17</v>
      </c>
      <c r="S441" s="118">
        <v>20</v>
      </c>
      <c r="T441" s="121" t="s">
        <v>803</v>
      </c>
    </row>
    <row r="442" spans="1:20" ht="1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7"/>
        <v>17</v>
      </c>
      <c r="S442" s="118">
        <v>20</v>
      </c>
      <c r="T442" s="121" t="s">
        <v>1838</v>
      </c>
    </row>
    <row r="443" spans="1:20" ht="1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7"/>
        <v>24</v>
      </c>
      <c r="S443" s="118">
        <v>20</v>
      </c>
      <c r="T443" s="121" t="s">
        <v>958</v>
      </c>
    </row>
    <row r="444" spans="1:20" ht="1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7"/>
        <v>16</v>
      </c>
      <c r="S444" s="118">
        <v>8</v>
      </c>
      <c r="T444" s="121" t="s">
        <v>1067</v>
      </c>
    </row>
    <row r="445" spans="1:20" ht="1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7"/>
        <v>155</v>
      </c>
      <c r="S445" s="118">
        <v>8</v>
      </c>
      <c r="T445" s="121" t="s">
        <v>479</v>
      </c>
    </row>
    <row r="446" spans="1:20" ht="1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7"/>
        <v>8</v>
      </c>
      <c r="S446" s="118">
        <v>4</v>
      </c>
      <c r="T446" s="121" t="s">
        <v>1787</v>
      </c>
    </row>
    <row r="447" spans="1:20" ht="1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7"/>
        <v>10</v>
      </c>
      <c r="S447" s="118">
        <v>16</v>
      </c>
      <c r="T447" s="121" t="s">
        <v>1750</v>
      </c>
    </row>
    <row r="448" spans="1:20" ht="1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7"/>
        <v>15</v>
      </c>
      <c r="S448" s="118">
        <v>16</v>
      </c>
      <c r="T448" s="121" t="s">
        <v>1792</v>
      </c>
    </row>
    <row r="449" spans="1:20" ht="1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7"/>
        <v>51</v>
      </c>
      <c r="S449" s="118">
        <v>16</v>
      </c>
      <c r="T449" s="121" t="s">
        <v>479</v>
      </c>
    </row>
    <row r="450" spans="1:20" ht="1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7"/>
        <v>52</v>
      </c>
      <c r="S450" s="118">
        <v>16</v>
      </c>
      <c r="T450" s="121" t="s">
        <v>1755</v>
      </c>
    </row>
    <row r="451" spans="1:20" ht="1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7"/>
        <v>13</v>
      </c>
      <c r="S451" s="118">
        <v>4</v>
      </c>
      <c r="T451" s="121" t="s">
        <v>1787</v>
      </c>
    </row>
    <row r="452" spans="1:20" ht="1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7"/>
        <v>90</v>
      </c>
      <c r="S452" s="118">
        <v>3</v>
      </c>
      <c r="T452" s="121" t="s">
        <v>1723</v>
      </c>
    </row>
    <row r="453" spans="1:20" ht="1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7"/>
        <v>11</v>
      </c>
      <c r="S453" s="118">
        <v>2</v>
      </c>
      <c r="T453" s="121" t="s">
        <v>218</v>
      </c>
    </row>
    <row r="454" spans="1:20" ht="1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7"/>
        <v>50</v>
      </c>
      <c r="S454" s="118">
        <v>2</v>
      </c>
      <c r="T454" s="175" t="s">
        <v>1880</v>
      </c>
    </row>
    <row r="455" spans="1:20" ht="1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7"/>
        <v>8</v>
      </c>
      <c r="S455" s="118">
        <v>4</v>
      </c>
      <c r="T455" s="121" t="s">
        <v>1787</v>
      </c>
    </row>
    <row r="456" spans="1:20" ht="1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7"/>
        <v>0</v>
      </c>
      <c r="S456" s="118"/>
      <c r="T456" s="121"/>
    </row>
    <row r="457" spans="1:20" ht="1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7"/>
        <v>23</v>
      </c>
      <c r="S457" s="118">
        <v>20</v>
      </c>
      <c r="T457" s="121" t="s">
        <v>1792</v>
      </c>
    </row>
    <row r="458" spans="1:20" ht="1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ref="R458:R521" si="8">SUM(O458:Q458)</f>
        <v>23</v>
      </c>
      <c r="S458" s="118">
        <v>76</v>
      </c>
      <c r="T458" s="121" t="s">
        <v>479</v>
      </c>
    </row>
    <row r="459" spans="1:20" ht="1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si="8"/>
        <v>8</v>
      </c>
      <c r="S470" s="118">
        <v>4</v>
      </c>
      <c r="T470" s="121" t="s">
        <v>1787</v>
      </c>
    </row>
    <row r="471" spans="1:20" ht="1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8"/>
        <v>384</v>
      </c>
      <c r="S471" s="118">
        <v>8</v>
      </c>
      <c r="T471" s="121" t="s">
        <v>479</v>
      </c>
    </row>
    <row r="472" spans="1:20" ht="1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8"/>
        <v>24</v>
      </c>
      <c r="S472" s="118">
        <v>12</v>
      </c>
      <c r="T472" s="121" t="s">
        <v>1948</v>
      </c>
    </row>
    <row r="473" spans="1:20" ht="1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8"/>
        <v>35</v>
      </c>
      <c r="S473" s="118">
        <v>20</v>
      </c>
      <c r="T473" s="121" t="s">
        <v>1953</v>
      </c>
    </row>
    <row r="474" spans="1:20" ht="1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8"/>
        <v>53</v>
      </c>
      <c r="S474" s="118">
        <v>4</v>
      </c>
      <c r="T474" s="121" t="s">
        <v>1958</v>
      </c>
    </row>
    <row r="475" spans="1:20" ht="1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8"/>
        <v>12</v>
      </c>
      <c r="S475" s="118">
        <v>8</v>
      </c>
      <c r="T475" s="121" t="s">
        <v>1963</v>
      </c>
    </row>
    <row r="476" spans="1:20" ht="1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8"/>
        <v>60</v>
      </c>
      <c r="S476" s="118">
        <v>4</v>
      </c>
      <c r="T476" s="121" t="s">
        <v>1968</v>
      </c>
    </row>
    <row r="477" spans="1:20" ht="1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8"/>
        <v>14</v>
      </c>
      <c r="S477" s="118">
        <v>4</v>
      </c>
      <c r="T477" s="121" t="s">
        <v>1062</v>
      </c>
    </row>
    <row r="478" spans="1:20" ht="1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8"/>
        <v>20</v>
      </c>
      <c r="S478" s="118">
        <v>12</v>
      </c>
      <c r="T478" s="121" t="s">
        <v>1921</v>
      </c>
    </row>
    <row r="479" spans="1:20" ht="1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8"/>
        <v>56</v>
      </c>
      <c r="S479" s="118">
        <v>20</v>
      </c>
      <c r="T479" s="121" t="s">
        <v>1981</v>
      </c>
    </row>
    <row r="480" spans="1:20" ht="1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8"/>
        <v>38</v>
      </c>
      <c r="S480" s="118">
        <v>12</v>
      </c>
      <c r="T480" s="121" t="s">
        <v>1062</v>
      </c>
    </row>
    <row r="481" spans="1:20" ht="1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8"/>
        <v>13</v>
      </c>
      <c r="S481" s="118">
        <v>16</v>
      </c>
      <c r="T481" s="121" t="s">
        <v>1989</v>
      </c>
    </row>
    <row r="482" spans="1:20" ht="1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8"/>
        <v>24</v>
      </c>
      <c r="S482" s="118">
        <v>18</v>
      </c>
      <c r="T482" s="121" t="s">
        <v>1994</v>
      </c>
    </row>
    <row r="483" spans="1:20" ht="1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8"/>
        <v>19</v>
      </c>
      <c r="S483" s="118">
        <v>16</v>
      </c>
      <c r="T483" s="121" t="s">
        <v>1723</v>
      </c>
    </row>
    <row r="484" spans="1:20" ht="1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8"/>
        <v>10</v>
      </c>
      <c r="S484" s="118">
        <v>4</v>
      </c>
      <c r="T484" s="121" t="s">
        <v>1062</v>
      </c>
    </row>
    <row r="485" spans="1:20" ht="1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8"/>
        <v>5</v>
      </c>
      <c r="S485" s="118">
        <v>4</v>
      </c>
      <c r="T485" s="121" t="s">
        <v>1787</v>
      </c>
    </row>
    <row r="486" spans="1:20" ht="1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8"/>
        <v>21</v>
      </c>
      <c r="S486" s="118">
        <v>24</v>
      </c>
      <c r="T486" s="121" t="s">
        <v>1265</v>
      </c>
    </row>
    <row r="487" spans="1:20" ht="1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8"/>
        <v>19</v>
      </c>
      <c r="S487" s="118">
        <v>20</v>
      </c>
      <c r="T487" s="121" t="s">
        <v>218</v>
      </c>
    </row>
    <row r="488" spans="1:20" ht="1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8"/>
        <v>7</v>
      </c>
      <c r="S488" s="118">
        <v>4</v>
      </c>
      <c r="T488" s="121" t="s">
        <v>1787</v>
      </c>
    </row>
    <row r="489" spans="1:20" ht="1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8"/>
        <v>19</v>
      </c>
      <c r="S489" s="137">
        <v>20</v>
      </c>
      <c r="T489" s="139" t="s">
        <v>81</v>
      </c>
    </row>
    <row r="490" spans="1:20" ht="1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8"/>
        <v>61</v>
      </c>
      <c r="S490" s="137">
        <v>20</v>
      </c>
      <c r="T490" s="139" t="s">
        <v>1981</v>
      </c>
    </row>
    <row r="491" spans="1:20" ht="1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8"/>
        <v>32</v>
      </c>
      <c r="S491" s="137">
        <v>8</v>
      </c>
      <c r="T491" s="139" t="s">
        <v>2021</v>
      </c>
    </row>
    <row r="492" spans="1:20" ht="1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8"/>
        <v>43</v>
      </c>
      <c r="S492" s="137">
        <v>20</v>
      </c>
      <c r="T492" s="139" t="s">
        <v>2026</v>
      </c>
    </row>
    <row r="493" spans="1:20" ht="1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8"/>
        <v>8</v>
      </c>
      <c r="S493" s="137">
        <v>8</v>
      </c>
      <c r="T493" s="139" t="s">
        <v>479</v>
      </c>
    </row>
    <row r="494" spans="1:20" ht="1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8"/>
        <v>80</v>
      </c>
      <c r="S494" s="137">
        <v>2</v>
      </c>
      <c r="T494" s="139" t="s">
        <v>2035</v>
      </c>
    </row>
    <row r="495" spans="1:20" ht="1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8"/>
        <v>0</v>
      </c>
      <c r="S495" s="118"/>
      <c r="T495" s="175"/>
    </row>
    <row r="496" spans="1:20" ht="1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8"/>
        <v>170</v>
      </c>
      <c r="S496" s="137">
        <v>1</v>
      </c>
      <c r="T496" s="139" t="s">
        <v>2044</v>
      </c>
    </row>
    <row r="497" spans="1:20" ht="1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8"/>
        <v>31</v>
      </c>
      <c r="S497" s="137">
        <v>4</v>
      </c>
      <c r="T497" s="139" t="s">
        <v>1933</v>
      </c>
    </row>
    <row r="498" spans="1:20" ht="1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8"/>
        <v>11</v>
      </c>
      <c r="S498" s="137">
        <v>16</v>
      </c>
      <c r="T498" s="139" t="s">
        <v>1792</v>
      </c>
    </row>
    <row r="499" spans="1:20" ht="1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8"/>
        <v>45</v>
      </c>
      <c r="S499" s="137">
        <v>1</v>
      </c>
      <c r="T499" s="139" t="s">
        <v>2055</v>
      </c>
    </row>
    <row r="500" spans="1:20" ht="1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8"/>
        <v>40</v>
      </c>
      <c r="S500" s="137">
        <v>4</v>
      </c>
      <c r="T500" s="139" t="s">
        <v>2060</v>
      </c>
    </row>
    <row r="501" spans="1:20" ht="1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8"/>
        <v>0</v>
      </c>
      <c r="S501" s="137">
        <v>4</v>
      </c>
      <c r="T501" s="139" t="s">
        <v>1787</v>
      </c>
    </row>
    <row r="502" spans="1:20" ht="1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8"/>
        <v>34</v>
      </c>
      <c r="S502" s="137">
        <v>16</v>
      </c>
      <c r="T502" s="139" t="s">
        <v>2068</v>
      </c>
    </row>
    <row r="503" spans="1:20" ht="1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8"/>
        <v>21</v>
      </c>
      <c r="S503" s="137">
        <v>16</v>
      </c>
      <c r="T503" s="139" t="s">
        <v>1723</v>
      </c>
    </row>
    <row r="504" spans="1:20" ht="1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8"/>
        <v>16</v>
      </c>
      <c r="S504" s="137">
        <v>24</v>
      </c>
      <c r="T504" s="139" t="s">
        <v>1838</v>
      </c>
    </row>
    <row r="505" spans="1:20" ht="1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8"/>
        <v>20</v>
      </c>
      <c r="S505" s="118">
        <v>4</v>
      </c>
      <c r="T505" s="121" t="s">
        <v>2081</v>
      </c>
    </row>
    <row r="506" spans="1:20" ht="1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8"/>
        <v>8</v>
      </c>
      <c r="S506" s="118">
        <v>4</v>
      </c>
      <c r="T506" s="121" t="s">
        <v>1787</v>
      </c>
    </row>
    <row r="507" spans="1:20" ht="1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8"/>
        <v>0</v>
      </c>
      <c r="S507" s="118">
        <v>20</v>
      </c>
      <c r="T507" s="121" t="s">
        <v>2089</v>
      </c>
    </row>
    <row r="508" spans="1:20" ht="1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8"/>
        <v>13</v>
      </c>
      <c r="S508" s="118">
        <v>48</v>
      </c>
      <c r="T508" s="121" t="s">
        <v>973</v>
      </c>
    </row>
    <row r="509" spans="1:20" ht="30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8"/>
        <v>170</v>
      </c>
      <c r="S509" s="118">
        <v>1</v>
      </c>
      <c r="T509" s="121" t="s">
        <v>2096</v>
      </c>
    </row>
    <row r="510" spans="1:20" ht="1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8"/>
        <v>66</v>
      </c>
      <c r="S510" s="118">
        <v>20</v>
      </c>
      <c r="T510" s="121" t="s">
        <v>1981</v>
      </c>
    </row>
    <row r="511" spans="1:20" ht="30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8"/>
        <v>140</v>
      </c>
      <c r="S511" s="118">
        <v>1</v>
      </c>
      <c r="T511" s="121" t="s">
        <v>2104</v>
      </c>
    </row>
    <row r="512" spans="1:20" ht="1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8"/>
        <v>45</v>
      </c>
      <c r="S512" s="118">
        <v>12</v>
      </c>
      <c r="T512" s="121" t="s">
        <v>2109</v>
      </c>
    </row>
    <row r="513" spans="1:20" ht="1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8"/>
        <v>19</v>
      </c>
      <c r="S513" s="118">
        <v>4</v>
      </c>
      <c r="T513" s="121" t="s">
        <v>2114</v>
      </c>
    </row>
    <row r="514" spans="1:20" ht="1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8"/>
        <v>15</v>
      </c>
      <c r="S514" s="118">
        <v>20</v>
      </c>
      <c r="T514" s="121" t="s">
        <v>218</v>
      </c>
    </row>
    <row r="515" spans="1:20" ht="1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8"/>
        <v>41</v>
      </c>
      <c r="S515" s="118">
        <v>16</v>
      </c>
      <c r="T515" s="121" t="s">
        <v>2122</v>
      </c>
    </row>
    <row r="516" spans="1:20" ht="1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8"/>
        <v>96</v>
      </c>
      <c r="S516" s="118">
        <v>2</v>
      </c>
      <c r="T516" s="121" t="s">
        <v>479</v>
      </c>
    </row>
    <row r="517" spans="1:20" ht="1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8"/>
        <v>6</v>
      </c>
      <c r="S517" s="118">
        <v>4</v>
      </c>
      <c r="T517" s="121" t="s">
        <v>2130</v>
      </c>
    </row>
    <row r="518" spans="1:20" ht="1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8"/>
        <v>47</v>
      </c>
      <c r="S518" s="118">
        <v>12</v>
      </c>
      <c r="T518" s="121" t="s">
        <v>2135</v>
      </c>
    </row>
    <row r="519" spans="1:20" ht="1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8"/>
        <v>37</v>
      </c>
      <c r="S519" s="118">
        <v>12</v>
      </c>
      <c r="T519" s="121" t="s">
        <v>1479</v>
      </c>
    </row>
    <row r="520" spans="1:20" ht="1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8"/>
        <v>20</v>
      </c>
      <c r="S520" s="118">
        <v>16</v>
      </c>
      <c r="T520" s="121" t="s">
        <v>1710</v>
      </c>
    </row>
    <row r="521" spans="1:20" ht="1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8"/>
        <v>19</v>
      </c>
      <c r="S521" s="118">
        <v>16</v>
      </c>
      <c r="T521" s="121" t="s">
        <v>556</v>
      </c>
    </row>
    <row r="522" spans="1:20" ht="1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ref="R522:R585" si="9">SUM(O522:Q522)</f>
        <v>0</v>
      </c>
      <c r="S522" s="118">
        <v>21</v>
      </c>
      <c r="T522" s="121" t="s">
        <v>1374</v>
      </c>
    </row>
    <row r="523" spans="1:20" ht="1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si="9"/>
        <v>49</v>
      </c>
      <c r="S534" s="118">
        <v>4</v>
      </c>
      <c r="T534" s="121" t="s">
        <v>2194</v>
      </c>
    </row>
    <row r="535" spans="1:20" ht="1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9"/>
        <v>94</v>
      </c>
      <c r="S535" s="118">
        <v>20</v>
      </c>
      <c r="T535" s="121" t="s">
        <v>1981</v>
      </c>
    </row>
    <row r="536" spans="1:20" ht="1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9"/>
        <v>0</v>
      </c>
      <c r="S536" s="118"/>
      <c r="T536" s="121"/>
    </row>
    <row r="537" spans="1:20" ht="1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9"/>
        <v>21</v>
      </c>
      <c r="S537" s="118">
        <v>20</v>
      </c>
      <c r="T537" s="121" t="s">
        <v>81</v>
      </c>
    </row>
    <row r="538" spans="1:20" ht="1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9"/>
        <v>49</v>
      </c>
      <c r="S538" s="118"/>
      <c r="T538" s="121"/>
    </row>
    <row r="539" spans="1:20" ht="1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9"/>
        <v>26</v>
      </c>
      <c r="S539" s="118">
        <v>16</v>
      </c>
      <c r="T539" s="121" t="s">
        <v>1723</v>
      </c>
    </row>
    <row r="540" spans="1:20" ht="1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9"/>
        <v>8</v>
      </c>
      <c r="S540" s="118">
        <v>8</v>
      </c>
      <c r="T540" s="121" t="s">
        <v>479</v>
      </c>
    </row>
    <row r="541" spans="1:20" ht="1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9"/>
        <v>14</v>
      </c>
      <c r="S541" s="118">
        <v>12</v>
      </c>
      <c r="T541" s="121" t="s">
        <v>1921</v>
      </c>
    </row>
    <row r="542" spans="1:20" ht="1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9"/>
        <v>30</v>
      </c>
      <c r="S542" s="118">
        <v>20</v>
      </c>
      <c r="T542" s="121" t="s">
        <v>1750</v>
      </c>
    </row>
    <row r="543" spans="1:20" ht="1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9"/>
        <v>11</v>
      </c>
      <c r="S543" s="118">
        <v>20</v>
      </c>
      <c r="T543" s="121" t="s">
        <v>1792</v>
      </c>
    </row>
    <row r="544" spans="1:20" ht="1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9"/>
        <v>43</v>
      </c>
      <c r="S544" s="118">
        <v>12</v>
      </c>
      <c r="T544" s="121" t="s">
        <v>1759</v>
      </c>
    </row>
    <row r="545" spans="1:20" ht="1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9"/>
        <v>54</v>
      </c>
      <c r="S545" s="118">
        <v>20</v>
      </c>
      <c r="T545" s="121" t="s">
        <v>958</v>
      </c>
    </row>
    <row r="546" spans="1:20" ht="1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9"/>
        <v>3</v>
      </c>
      <c r="S546" s="118">
        <v>16</v>
      </c>
      <c r="T546" s="121" t="s">
        <v>1407</v>
      </c>
    </row>
    <row r="547" spans="1:20" ht="1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9"/>
        <v>21</v>
      </c>
      <c r="S547" s="118">
        <v>8</v>
      </c>
      <c r="T547" s="121" t="s">
        <v>2021</v>
      </c>
    </row>
    <row r="548" spans="1:20" ht="1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9"/>
        <v>44</v>
      </c>
      <c r="S548" s="118">
        <v>4</v>
      </c>
      <c r="T548" s="121" t="s">
        <v>479</v>
      </c>
    </row>
    <row r="549" spans="1:20" ht="1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9"/>
        <v>49</v>
      </c>
      <c r="S549" s="118">
        <v>20</v>
      </c>
      <c r="T549" s="121" t="s">
        <v>81</v>
      </c>
    </row>
    <row r="550" spans="1:20" ht="1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9"/>
        <v>16</v>
      </c>
      <c r="S550" s="118">
        <v>16</v>
      </c>
      <c r="T550" s="121" t="s">
        <v>2257</v>
      </c>
    </row>
    <row r="551" spans="1:20" ht="1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9"/>
        <v>27</v>
      </c>
      <c r="S551" s="118">
        <v>40</v>
      </c>
      <c r="T551" s="121" t="s">
        <v>2262</v>
      </c>
    </row>
    <row r="552" spans="1:20" ht="1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9"/>
        <v>114</v>
      </c>
      <c r="S552" s="118">
        <v>2</v>
      </c>
      <c r="T552" s="121" t="s">
        <v>479</v>
      </c>
    </row>
    <row r="553" spans="1:20" ht="1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9"/>
        <v>24</v>
      </c>
      <c r="S553" s="118">
        <v>8</v>
      </c>
      <c r="T553" s="121" t="s">
        <v>2021</v>
      </c>
    </row>
    <row r="554" spans="1:20" ht="1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9"/>
        <v>21</v>
      </c>
      <c r="S554" s="118">
        <v>20</v>
      </c>
      <c r="T554" s="121" t="s">
        <v>218</v>
      </c>
    </row>
    <row r="555" spans="1:20" ht="1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9"/>
        <v>38</v>
      </c>
      <c r="S555" s="118">
        <v>12</v>
      </c>
      <c r="T555" s="121" t="s">
        <v>2166</v>
      </c>
    </row>
    <row r="556" spans="1:20" ht="1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9"/>
        <v>97</v>
      </c>
      <c r="S556" s="118">
        <v>16</v>
      </c>
      <c r="T556" s="121" t="s">
        <v>2281</v>
      </c>
    </row>
    <row r="557" spans="1:20" ht="1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9"/>
        <v>38</v>
      </c>
      <c r="S557" s="118">
        <v>12</v>
      </c>
      <c r="T557" s="121" t="s">
        <v>2166</v>
      </c>
    </row>
    <row r="558" spans="1:20" ht="1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9"/>
        <v>8</v>
      </c>
      <c r="S558" s="118">
        <v>8</v>
      </c>
      <c r="T558" s="121" t="s">
        <v>479</v>
      </c>
    </row>
    <row r="559" spans="1:20" ht="1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9"/>
        <v>23</v>
      </c>
      <c r="S559" s="118">
        <v>20</v>
      </c>
      <c r="T559" s="121" t="s">
        <v>81</v>
      </c>
    </row>
    <row r="560" spans="1:20" ht="1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9"/>
        <v>20</v>
      </c>
      <c r="S560" s="118">
        <v>16</v>
      </c>
      <c r="T560" s="121" t="s">
        <v>2296</v>
      </c>
    </row>
    <row r="561" spans="1:20" ht="1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9"/>
        <v>13</v>
      </c>
      <c r="S561" s="118">
        <v>16</v>
      </c>
      <c r="T561" s="121" t="s">
        <v>2301</v>
      </c>
    </row>
    <row r="562" spans="1:20" ht="1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9"/>
        <v>250</v>
      </c>
      <c r="S562" s="118">
        <v>12</v>
      </c>
      <c r="T562" s="121" t="s">
        <v>479</v>
      </c>
    </row>
    <row r="563" spans="1:20" ht="1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9"/>
        <v>32</v>
      </c>
      <c r="S563" s="118">
        <v>16</v>
      </c>
      <c r="T563" s="121" t="s">
        <v>717</v>
      </c>
    </row>
    <row r="564" spans="1:20" ht="1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9"/>
        <v>41</v>
      </c>
      <c r="S564" s="118">
        <v>16</v>
      </c>
      <c r="T564" s="121" t="s">
        <v>2161</v>
      </c>
    </row>
    <row r="565" spans="1:20" ht="1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9"/>
        <v>75</v>
      </c>
      <c r="S565" s="118">
        <v>2</v>
      </c>
      <c r="T565" s="121" t="s">
        <v>2317</v>
      </c>
    </row>
    <row r="566" spans="1:20" ht="1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9"/>
        <v>100</v>
      </c>
      <c r="S566" s="118">
        <v>1</v>
      </c>
      <c r="T566" s="121" t="s">
        <v>2322</v>
      </c>
    </row>
    <row r="567" spans="1:20" ht="1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9"/>
        <v>20</v>
      </c>
      <c r="S567" s="118">
        <v>8</v>
      </c>
      <c r="T567" s="121" t="s">
        <v>2257</v>
      </c>
    </row>
    <row r="568" spans="1:20" ht="1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9"/>
        <v>40</v>
      </c>
      <c r="S568" s="118">
        <v>16</v>
      </c>
      <c r="T568" s="121" t="s">
        <v>2161</v>
      </c>
    </row>
    <row r="569" spans="1:20" ht="1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9"/>
        <v>48</v>
      </c>
      <c r="S569" s="118">
        <v>12</v>
      </c>
      <c r="T569" s="121" t="s">
        <v>1062</v>
      </c>
    </row>
    <row r="570" spans="1:20" ht="1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9"/>
        <v>16</v>
      </c>
      <c r="S570" s="118">
        <v>20</v>
      </c>
      <c r="T570" s="121" t="s">
        <v>1792</v>
      </c>
    </row>
    <row r="571" spans="1:20" ht="30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9"/>
        <v>170</v>
      </c>
      <c r="S571" s="118">
        <v>2</v>
      </c>
      <c r="T571" s="121" t="s">
        <v>2341</v>
      </c>
    </row>
    <row r="572" spans="1:20" ht="30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9"/>
        <v>80</v>
      </c>
      <c r="S572" s="118">
        <v>1</v>
      </c>
      <c r="T572" s="121"/>
    </row>
    <row r="573" spans="1:20" ht="1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9"/>
        <v>176</v>
      </c>
      <c r="S573" s="118">
        <v>4</v>
      </c>
      <c r="T573" s="121" t="s">
        <v>479</v>
      </c>
    </row>
    <row r="574" spans="1:20" ht="1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9"/>
        <v>0</v>
      </c>
      <c r="S574" s="118"/>
      <c r="T574" s="121" t="s">
        <v>973</v>
      </c>
    </row>
    <row r="575" spans="1:20" ht="1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9"/>
        <v>44</v>
      </c>
      <c r="S575" s="118">
        <v>20</v>
      </c>
      <c r="T575" s="121" t="s">
        <v>81</v>
      </c>
    </row>
    <row r="576" spans="1:20" ht="1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9"/>
        <v>41</v>
      </c>
      <c r="S576" s="118">
        <v>12</v>
      </c>
      <c r="T576" s="121" t="s">
        <v>2166</v>
      </c>
    </row>
    <row r="577" spans="1:20" ht="30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9"/>
        <v>170</v>
      </c>
      <c r="S577" s="118">
        <v>2</v>
      </c>
      <c r="T577" s="121" t="s">
        <v>2364</v>
      </c>
    </row>
    <row r="578" spans="1:20" ht="30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40</v>
      </c>
      <c r="O578" s="125">
        <v>0</v>
      </c>
      <c r="P578" s="125">
        <v>0</v>
      </c>
      <c r="Q578" s="125">
        <v>40</v>
      </c>
      <c r="R578" s="125">
        <f t="shared" si="9"/>
        <v>40</v>
      </c>
      <c r="S578" s="118">
        <v>3</v>
      </c>
      <c r="T578" s="148" t="s">
        <v>2369</v>
      </c>
    </row>
    <row r="579" spans="1:20" ht="30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40</v>
      </c>
      <c r="O579" s="125">
        <v>0</v>
      </c>
      <c r="P579" s="125">
        <v>0</v>
      </c>
      <c r="Q579" s="125">
        <v>40</v>
      </c>
      <c r="R579" s="125">
        <f t="shared" si="9"/>
        <v>40</v>
      </c>
      <c r="S579" s="118">
        <v>3</v>
      </c>
      <c r="T579" s="148" t="s">
        <v>2369</v>
      </c>
    </row>
    <row r="580" spans="1:20" ht="1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9"/>
        <v>18</v>
      </c>
      <c r="S580" s="118">
        <v>12</v>
      </c>
      <c r="T580" s="121" t="s">
        <v>2377</v>
      </c>
    </row>
    <row r="581" spans="1:20" ht="1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9"/>
        <v>18</v>
      </c>
      <c r="S581" s="118">
        <v>12</v>
      </c>
      <c r="T581" s="121" t="s">
        <v>2109</v>
      </c>
    </row>
    <row r="582" spans="1:20" ht="1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9"/>
        <v>38</v>
      </c>
      <c r="S582" s="118">
        <v>16</v>
      </c>
      <c r="T582" s="121" t="s">
        <v>973</v>
      </c>
    </row>
    <row r="583" spans="1:20" ht="1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9"/>
        <v>15</v>
      </c>
      <c r="S583" s="118">
        <v>12</v>
      </c>
      <c r="T583" s="121" t="s">
        <v>1759</v>
      </c>
    </row>
    <row r="584" spans="1:20" ht="1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9"/>
        <v>31</v>
      </c>
      <c r="S584" s="118">
        <v>12</v>
      </c>
      <c r="T584" s="121" t="s">
        <v>2166</v>
      </c>
    </row>
    <row r="585" spans="1:20" ht="1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9"/>
        <v>29</v>
      </c>
      <c r="S585" s="118">
        <v>25</v>
      </c>
      <c r="T585" s="121" t="s">
        <v>76</v>
      </c>
    </row>
    <row r="586" spans="1:20" ht="1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ref="R586:R641" si="10">SUM(O586:Q586)</f>
        <v>30</v>
      </c>
      <c r="S586" s="118">
        <v>3</v>
      </c>
      <c r="T586" s="175" t="s">
        <v>2055</v>
      </c>
    </row>
    <row r="587" spans="1:20" ht="1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si="10"/>
        <v>37</v>
      </c>
      <c r="S598" s="137">
        <v>12</v>
      </c>
      <c r="T598" s="139" t="s">
        <v>2452</v>
      </c>
    </row>
    <row r="599" spans="1:20" ht="1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0"/>
        <v>24</v>
      </c>
      <c r="S599" s="137">
        <v>20</v>
      </c>
      <c r="T599" s="139" t="s">
        <v>2457</v>
      </c>
    </row>
    <row r="600" spans="1:20" ht="1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0"/>
        <v>30</v>
      </c>
      <c r="S600" s="137">
        <v>16</v>
      </c>
      <c r="T600" s="139" t="s">
        <v>2462</v>
      </c>
    </row>
    <row r="601" spans="1:20" ht="1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0"/>
        <v>21</v>
      </c>
      <c r="S601" s="137">
        <v>8</v>
      </c>
      <c r="T601" s="139" t="s">
        <v>2425</v>
      </c>
    </row>
    <row r="602" spans="1:20" ht="1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0"/>
        <v>27</v>
      </c>
      <c r="S602" s="118">
        <v>8</v>
      </c>
      <c r="T602" s="121" t="s">
        <v>2021</v>
      </c>
    </row>
    <row r="603" spans="1:20" ht="30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0"/>
        <v>26</v>
      </c>
      <c r="S603" s="118">
        <v>36</v>
      </c>
      <c r="T603" s="121" t="s">
        <v>578</v>
      </c>
    </row>
    <row r="604" spans="1:20" ht="1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0"/>
        <v>28</v>
      </c>
      <c r="S604" s="118">
        <v>40</v>
      </c>
      <c r="T604" s="121" t="s">
        <v>2478</v>
      </c>
    </row>
    <row r="605" spans="1:20" ht="1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0"/>
        <v>20</v>
      </c>
      <c r="S605" s="118">
        <v>4</v>
      </c>
      <c r="T605" s="121" t="s">
        <v>2482</v>
      </c>
    </row>
    <row r="606" spans="1:20" ht="30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0"/>
        <v>170</v>
      </c>
      <c r="S606" s="118">
        <v>2</v>
      </c>
      <c r="T606" s="132" t="s">
        <v>2487</v>
      </c>
    </row>
    <row r="607" spans="1:20" ht="30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0"/>
        <v>170</v>
      </c>
      <c r="S607" s="118">
        <v>2</v>
      </c>
      <c r="T607" s="132" t="s">
        <v>2490</v>
      </c>
    </row>
    <row r="608" spans="1:20" ht="30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0"/>
        <v>19</v>
      </c>
      <c r="S608" s="118">
        <v>20</v>
      </c>
      <c r="T608" s="121" t="s">
        <v>803</v>
      </c>
    </row>
    <row r="609" spans="1:20" ht="1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0"/>
        <v>19</v>
      </c>
      <c r="S609" s="118">
        <v>12</v>
      </c>
      <c r="T609" s="121" t="s">
        <v>2499</v>
      </c>
    </row>
    <row r="610" spans="1:20" ht="30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0"/>
        <v>31</v>
      </c>
      <c r="S610" s="118">
        <v>3</v>
      </c>
      <c r="T610" s="121" t="s">
        <v>2055</v>
      </c>
    </row>
    <row r="611" spans="1:20" ht="1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0"/>
        <v>15</v>
      </c>
      <c r="S611" s="118">
        <v>16</v>
      </c>
      <c r="T611" s="175" t="s">
        <v>2507</v>
      </c>
    </row>
    <row r="612" spans="1:20" ht="30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0"/>
        <v>100</v>
      </c>
      <c r="S612" s="118">
        <v>1.5</v>
      </c>
      <c r="T612" s="121" t="s">
        <v>2512</v>
      </c>
    </row>
    <row r="613" spans="1:20" ht="1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0"/>
        <v>114</v>
      </c>
      <c r="S613" s="118">
        <v>3</v>
      </c>
      <c r="T613" s="132" t="s">
        <v>2515</v>
      </c>
    </row>
    <row r="614" spans="1:20" ht="1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0"/>
        <v>491</v>
      </c>
      <c r="S614" s="118">
        <v>8</v>
      </c>
      <c r="T614" s="121" t="s">
        <v>479</v>
      </c>
    </row>
    <row r="615" spans="1:20" ht="1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0"/>
        <v>27</v>
      </c>
      <c r="S615" s="118">
        <v>8</v>
      </c>
      <c r="T615" s="121" t="s">
        <v>1479</v>
      </c>
    </row>
    <row r="616" spans="1:20" ht="30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0"/>
        <v>63</v>
      </c>
      <c r="S616" s="118">
        <v>16</v>
      </c>
      <c r="T616" s="121" t="s">
        <v>2462</v>
      </c>
    </row>
    <row r="617" spans="1:20" ht="1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0"/>
        <v>42</v>
      </c>
      <c r="S617" s="118">
        <v>4</v>
      </c>
      <c r="T617" s="121" t="s">
        <v>2531</v>
      </c>
    </row>
    <row r="618" spans="1:20" ht="1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0"/>
        <v>27</v>
      </c>
      <c r="S618" s="118">
        <v>4</v>
      </c>
      <c r="T618" s="121" t="s">
        <v>2536</v>
      </c>
    </row>
    <row r="619" spans="1:20" ht="1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0"/>
        <v>40</v>
      </c>
      <c r="S619" s="118">
        <v>4</v>
      </c>
      <c r="T619" s="121" t="s">
        <v>1958</v>
      </c>
    </row>
    <row r="620" spans="1:20" ht="1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0"/>
        <v>47</v>
      </c>
      <c r="S620" s="118">
        <v>12</v>
      </c>
      <c r="T620" s="121" t="s">
        <v>2109</v>
      </c>
    </row>
    <row r="621" spans="1:20" ht="30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0"/>
        <v>23</v>
      </c>
      <c r="S621" s="118">
        <v>4</v>
      </c>
      <c r="T621" s="132" t="s">
        <v>2548</v>
      </c>
    </row>
    <row r="622" spans="1:20" ht="1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0"/>
        <v>21</v>
      </c>
      <c r="S622" s="118">
        <v>8</v>
      </c>
      <c r="T622" s="121" t="s">
        <v>2407</v>
      </c>
    </row>
    <row r="623" spans="1:20" ht="1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0"/>
        <v>26</v>
      </c>
      <c r="S623" s="118">
        <v>6</v>
      </c>
      <c r="T623" s="121" t="s">
        <v>2556</v>
      </c>
    </row>
    <row r="624" spans="1:20" ht="30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0"/>
        <v>88</v>
      </c>
      <c r="S624" s="118">
        <v>3</v>
      </c>
      <c r="T624" s="148" t="s">
        <v>2369</v>
      </c>
    </row>
    <row r="625" spans="1:20" ht="1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0"/>
        <v>33</v>
      </c>
      <c r="S625" s="118">
        <v>4</v>
      </c>
      <c r="T625" s="132" t="s">
        <v>2443</v>
      </c>
    </row>
    <row r="626" spans="1:20" ht="30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0"/>
        <v>128</v>
      </c>
      <c r="S626" s="118">
        <v>3</v>
      </c>
      <c r="T626" s="148" t="s">
        <v>2369</v>
      </c>
    </row>
    <row r="627" spans="1:20" ht="15">
      <c r="A627" s="122" t="s">
        <v>2565</v>
      </c>
      <c r="B627" s="118">
        <v>2025</v>
      </c>
      <c r="C627" s="146" t="s">
        <v>2566</v>
      </c>
      <c r="D627" s="118" t="s">
        <v>2567</v>
      </c>
      <c r="E627" s="119" t="s">
        <v>2200</v>
      </c>
      <c r="F627" s="120" t="s">
        <v>24</v>
      </c>
      <c r="G627" s="121" t="s">
        <v>36</v>
      </c>
      <c r="H627" s="122" t="s">
        <v>2568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0"/>
        <v>7</v>
      </c>
      <c r="S627" s="118"/>
      <c r="T627" s="121" t="s">
        <v>479</v>
      </c>
    </row>
    <row r="628" spans="1:20" ht="30">
      <c r="A628" s="122" t="s">
        <v>2569</v>
      </c>
      <c r="B628" s="118">
        <v>2025</v>
      </c>
      <c r="C628" s="146" t="s">
        <v>22</v>
      </c>
      <c r="D628" s="118" t="s">
        <v>2570</v>
      </c>
      <c r="E628" s="119" t="s">
        <v>2571</v>
      </c>
      <c r="F628" s="151" t="s">
        <v>24</v>
      </c>
      <c r="G628" s="132" t="s">
        <v>206</v>
      </c>
      <c r="H628" s="122" t="s">
        <v>2572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0"/>
        <v>80</v>
      </c>
      <c r="S628" s="118">
        <v>2</v>
      </c>
      <c r="T628" s="121"/>
    </row>
    <row r="629" spans="1:20" ht="15">
      <c r="A629" s="122" t="s">
        <v>2573</v>
      </c>
      <c r="B629" s="118">
        <v>2025</v>
      </c>
      <c r="C629" s="118" t="s">
        <v>22</v>
      </c>
      <c r="D629" s="118" t="s">
        <v>2574</v>
      </c>
      <c r="E629" s="119" t="s">
        <v>2575</v>
      </c>
      <c r="F629" s="120" t="s">
        <v>24</v>
      </c>
      <c r="G629" s="121" t="s">
        <v>42</v>
      </c>
      <c r="H629" s="122" t="s">
        <v>2576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0"/>
        <v>23</v>
      </c>
      <c r="S629" s="118" t="s">
        <v>2577</v>
      </c>
      <c r="T629" s="121" t="s">
        <v>2578</v>
      </c>
    </row>
    <row r="630" spans="1:20" ht="15">
      <c r="A630" s="122" t="s">
        <v>2579</v>
      </c>
      <c r="B630" s="118">
        <v>2025</v>
      </c>
      <c r="C630" s="146" t="s">
        <v>22</v>
      </c>
      <c r="D630" s="118" t="s">
        <v>2580</v>
      </c>
      <c r="E630" s="119" t="s">
        <v>2581</v>
      </c>
      <c r="F630" s="120" t="s">
        <v>69</v>
      </c>
      <c r="G630" s="121" t="s">
        <v>79</v>
      </c>
      <c r="H630" s="122" t="s">
        <v>2582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0"/>
        <v>49</v>
      </c>
      <c r="S630" s="118">
        <v>16</v>
      </c>
      <c r="T630" s="121" t="s">
        <v>2583</v>
      </c>
    </row>
    <row r="631" spans="1:20" ht="15">
      <c r="A631" s="122" t="s">
        <v>2584</v>
      </c>
      <c r="B631" s="118">
        <v>2025</v>
      </c>
      <c r="C631" s="146" t="s">
        <v>22</v>
      </c>
      <c r="D631" s="118" t="s">
        <v>2585</v>
      </c>
      <c r="E631" s="119" t="s">
        <v>2586</v>
      </c>
      <c r="F631" s="120" t="s">
        <v>88</v>
      </c>
      <c r="G631" s="121" t="s">
        <v>79</v>
      </c>
      <c r="H631" s="122" t="s">
        <v>2587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0"/>
        <v>228</v>
      </c>
      <c r="S631" s="118">
        <v>14</v>
      </c>
      <c r="T631" s="121" t="s">
        <v>479</v>
      </c>
    </row>
    <row r="632" spans="1:20" ht="15">
      <c r="A632" s="122" t="s">
        <v>2588</v>
      </c>
      <c r="B632" s="118">
        <v>2025</v>
      </c>
      <c r="C632" s="146" t="s">
        <v>22</v>
      </c>
      <c r="D632" s="118" t="s">
        <v>2467</v>
      </c>
      <c r="E632" s="119" t="s">
        <v>2589</v>
      </c>
      <c r="F632" s="120" t="s">
        <v>24</v>
      </c>
      <c r="G632" s="132" t="s">
        <v>75</v>
      </c>
      <c r="H632" s="122" t="s">
        <v>2590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0"/>
        <v>28</v>
      </c>
      <c r="S632" s="118">
        <v>8</v>
      </c>
      <c r="T632" s="121" t="s">
        <v>2021</v>
      </c>
    </row>
    <row r="633" spans="1:20" ht="30">
      <c r="A633" s="122" t="s">
        <v>2591</v>
      </c>
      <c r="B633" s="118">
        <v>2025</v>
      </c>
      <c r="C633" s="118" t="s">
        <v>22</v>
      </c>
      <c r="D633" s="118" t="s">
        <v>2592</v>
      </c>
      <c r="E633" s="145" t="s">
        <v>2593</v>
      </c>
      <c r="F633" s="120" t="s">
        <v>24</v>
      </c>
      <c r="G633" s="121" t="s">
        <v>42</v>
      </c>
      <c r="H633" s="147" t="s">
        <v>2594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0"/>
        <v>16</v>
      </c>
      <c r="S633" s="118">
        <v>48</v>
      </c>
      <c r="T633" s="132" t="s">
        <v>2595</v>
      </c>
    </row>
    <row r="634" spans="1:20" ht="15">
      <c r="A634" s="122" t="s">
        <v>2596</v>
      </c>
      <c r="B634" s="118">
        <v>2025</v>
      </c>
      <c r="C634" s="118" t="s">
        <v>22</v>
      </c>
      <c r="D634" s="118" t="s">
        <v>2597</v>
      </c>
      <c r="E634" s="119" t="s">
        <v>2598</v>
      </c>
      <c r="F634" s="120" t="s">
        <v>69</v>
      </c>
      <c r="G634" s="121" t="s">
        <v>79</v>
      </c>
      <c r="H634" s="122" t="s">
        <v>2599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0"/>
        <v>40</v>
      </c>
      <c r="S634" s="118">
        <v>12</v>
      </c>
      <c r="T634" s="121" t="s">
        <v>2452</v>
      </c>
    </row>
    <row r="635" spans="1:20" ht="30">
      <c r="A635" s="122" t="s">
        <v>2600</v>
      </c>
      <c r="B635" s="118">
        <v>2025</v>
      </c>
      <c r="C635" s="146" t="s">
        <v>22</v>
      </c>
      <c r="D635" s="118" t="s">
        <v>2601</v>
      </c>
      <c r="E635" s="119" t="s">
        <v>2602</v>
      </c>
      <c r="F635" s="151" t="s">
        <v>24</v>
      </c>
      <c r="G635" s="132" t="s">
        <v>206</v>
      </c>
      <c r="H635" s="122" t="s">
        <v>2603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0"/>
        <v>80</v>
      </c>
      <c r="S635" s="118">
        <v>4</v>
      </c>
      <c r="T635" s="175"/>
    </row>
    <row r="636" spans="1:20" ht="15">
      <c r="A636" s="122" t="s">
        <v>2604</v>
      </c>
      <c r="B636" s="118">
        <v>2025</v>
      </c>
      <c r="C636" s="146" t="s">
        <v>22</v>
      </c>
      <c r="D636" s="118" t="s">
        <v>2319</v>
      </c>
      <c r="E636" s="119" t="s">
        <v>2605</v>
      </c>
      <c r="F636" s="120" t="s">
        <v>69</v>
      </c>
      <c r="G636" s="121" t="s">
        <v>36</v>
      </c>
      <c r="H636" s="122" t="s">
        <v>2606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0"/>
        <v>70</v>
      </c>
      <c r="S636" s="118">
        <v>1</v>
      </c>
      <c r="T636" s="121" t="s">
        <v>2322</v>
      </c>
    </row>
    <row r="637" spans="1:20" ht="15">
      <c r="A637" s="122" t="s">
        <v>2607</v>
      </c>
      <c r="B637" s="118">
        <v>2025</v>
      </c>
      <c r="C637" s="118" t="s">
        <v>22</v>
      </c>
      <c r="D637" s="118" t="s">
        <v>2608</v>
      </c>
      <c r="E637" s="145" t="s">
        <v>2609</v>
      </c>
      <c r="F637" s="120" t="s">
        <v>69</v>
      </c>
      <c r="G637" s="121" t="s">
        <v>79</v>
      </c>
      <c r="H637" s="173" t="s">
        <v>2610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0"/>
        <v>28</v>
      </c>
      <c r="S637" s="118">
        <v>12</v>
      </c>
      <c r="T637" s="121" t="s">
        <v>2611</v>
      </c>
    </row>
    <row r="638" spans="1:20" ht="15">
      <c r="A638" s="122" t="s">
        <v>2612</v>
      </c>
      <c r="B638" s="118">
        <v>2025</v>
      </c>
      <c r="C638" s="118" t="s">
        <v>22</v>
      </c>
      <c r="D638" s="118" t="s">
        <v>2613</v>
      </c>
      <c r="E638" s="119" t="s">
        <v>2614</v>
      </c>
      <c r="F638" s="120" t="s">
        <v>88</v>
      </c>
      <c r="G638" s="121" t="s">
        <v>79</v>
      </c>
      <c r="H638" s="122" t="s">
        <v>2615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0"/>
        <v>30</v>
      </c>
      <c r="S638" s="118">
        <v>12</v>
      </c>
      <c r="T638" s="121" t="s">
        <v>2616</v>
      </c>
    </row>
    <row r="639" spans="1:20" ht="15">
      <c r="A639" s="122" t="s">
        <v>2617</v>
      </c>
      <c r="B639" s="118">
        <v>2025</v>
      </c>
      <c r="C639" s="118" t="s">
        <v>22</v>
      </c>
      <c r="D639" s="118" t="s">
        <v>2618</v>
      </c>
      <c r="E639" s="119" t="s">
        <v>2619</v>
      </c>
      <c r="F639" s="120" t="s">
        <v>24</v>
      </c>
      <c r="G639" s="121" t="s">
        <v>36</v>
      </c>
      <c r="H639" s="122" t="s">
        <v>2620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0"/>
        <v>21</v>
      </c>
      <c r="S639" s="118" t="s">
        <v>2577</v>
      </c>
      <c r="T639" s="121" t="s">
        <v>2578</v>
      </c>
    </row>
    <row r="640" spans="1:20" ht="15">
      <c r="A640" s="122" t="s">
        <v>2621</v>
      </c>
      <c r="B640" s="118">
        <v>2025</v>
      </c>
      <c r="C640" s="118" t="s">
        <v>22</v>
      </c>
      <c r="D640" s="118" t="s">
        <v>2622</v>
      </c>
      <c r="E640" s="119" t="s">
        <v>2623</v>
      </c>
      <c r="F640" s="120" t="s">
        <v>88</v>
      </c>
      <c r="G640" s="132" t="s">
        <v>79</v>
      </c>
      <c r="H640" s="122" t="s">
        <v>2624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0"/>
        <v>179</v>
      </c>
      <c r="S640" s="118">
        <v>14</v>
      </c>
      <c r="T640" s="121" t="s">
        <v>479</v>
      </c>
    </row>
    <row r="641" spans="1:20" ht="30">
      <c r="A641" s="122" t="s">
        <v>2625</v>
      </c>
      <c r="B641" s="118">
        <v>2025</v>
      </c>
      <c r="C641" s="146" t="s">
        <v>22</v>
      </c>
      <c r="D641" s="118" t="s">
        <v>2626</v>
      </c>
      <c r="E641" s="119" t="s">
        <v>2627</v>
      </c>
      <c r="F641" s="151" t="s">
        <v>24</v>
      </c>
      <c r="G641" s="132" t="s">
        <v>206</v>
      </c>
      <c r="H641" s="122" t="s">
        <v>2628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0"/>
        <v>0</v>
      </c>
      <c r="S641" s="118">
        <v>2</v>
      </c>
      <c r="T641" s="121"/>
    </row>
    <row r="642" spans="1:20" ht="15">
      <c r="A642" s="122" t="s">
        <v>2629</v>
      </c>
      <c r="B642" s="118">
        <v>2025</v>
      </c>
      <c r="C642" s="118" t="s">
        <v>22</v>
      </c>
      <c r="D642" s="118" t="s">
        <v>2630</v>
      </c>
      <c r="E642" s="119" t="s">
        <v>2438</v>
      </c>
      <c r="F642" s="120" t="s">
        <v>88</v>
      </c>
      <c r="G642" s="135" t="s">
        <v>79</v>
      </c>
      <c r="H642" s="147" t="s">
        <v>2631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2632</v>
      </c>
    </row>
    <row r="643" spans="1:20" ht="15">
      <c r="A643" s="122" t="s">
        <v>2633</v>
      </c>
      <c r="B643" s="118">
        <v>2025</v>
      </c>
      <c r="C643" s="118" t="s">
        <v>22</v>
      </c>
      <c r="D643" s="118" t="s">
        <v>2634</v>
      </c>
      <c r="E643" s="119" t="s">
        <v>2276</v>
      </c>
      <c r="F643" s="120" t="s">
        <v>88</v>
      </c>
      <c r="G643" s="121" t="s">
        <v>79</v>
      </c>
      <c r="H643" s="122" t="s">
        <v>2635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1">SUM(O643:Q643)</f>
        <v>33</v>
      </c>
      <c r="S643" s="118">
        <v>20</v>
      </c>
      <c r="T643" s="121" t="s">
        <v>2166</v>
      </c>
    </row>
    <row r="644" spans="1:20" ht="30">
      <c r="A644" s="122" t="s">
        <v>2636</v>
      </c>
      <c r="B644" s="118">
        <v>2025</v>
      </c>
      <c r="C644" s="146" t="s">
        <v>22</v>
      </c>
      <c r="D644" s="118" t="s">
        <v>2366</v>
      </c>
      <c r="E644" s="119" t="s">
        <v>2637</v>
      </c>
      <c r="F644" s="120" t="s">
        <v>88</v>
      </c>
      <c r="G644" s="121" t="s">
        <v>79</v>
      </c>
      <c r="H644" s="122" t="s">
        <v>2638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1"/>
        <v>39</v>
      </c>
      <c r="S644" s="118">
        <v>4</v>
      </c>
      <c r="T644" s="148" t="s">
        <v>2369</v>
      </c>
    </row>
    <row r="645" spans="1:20" ht="30">
      <c r="A645" s="122" t="s">
        <v>2639</v>
      </c>
      <c r="B645" s="118">
        <v>2025</v>
      </c>
      <c r="C645" s="118" t="s">
        <v>22</v>
      </c>
      <c r="D645" s="118" t="s">
        <v>2640</v>
      </c>
      <c r="E645" s="119" t="s">
        <v>2558</v>
      </c>
      <c r="F645" s="120" t="s">
        <v>88</v>
      </c>
      <c r="G645" s="121" t="s">
        <v>79</v>
      </c>
      <c r="H645" s="122" t="s">
        <v>2638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1"/>
        <v>39</v>
      </c>
      <c r="S645" s="118">
        <v>4</v>
      </c>
      <c r="T645" s="148" t="s">
        <v>2641</v>
      </c>
    </row>
    <row r="646" spans="1:20" ht="30">
      <c r="A646" s="122" t="s">
        <v>2642</v>
      </c>
      <c r="B646" s="118">
        <v>2025</v>
      </c>
      <c r="C646" s="146" t="s">
        <v>22</v>
      </c>
      <c r="D646" s="118" t="s">
        <v>2643</v>
      </c>
      <c r="E646" s="119" t="s">
        <v>2644</v>
      </c>
      <c r="F646" s="151" t="s">
        <v>24</v>
      </c>
      <c r="G646" s="132" t="s">
        <v>206</v>
      </c>
      <c r="H646" s="122" t="s">
        <v>2645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1"/>
        <v>170</v>
      </c>
      <c r="S646" s="118">
        <v>2</v>
      </c>
      <c r="T646" s="132" t="s">
        <v>2616</v>
      </c>
    </row>
    <row r="647" spans="1:20" ht="30">
      <c r="A647" s="122" t="s">
        <v>2646</v>
      </c>
      <c r="B647" s="118">
        <v>2025</v>
      </c>
      <c r="C647" s="146" t="s">
        <v>22</v>
      </c>
      <c r="D647" s="118" t="s">
        <v>2492</v>
      </c>
      <c r="E647" s="119" t="s">
        <v>2647</v>
      </c>
      <c r="F647" s="120" t="s">
        <v>24</v>
      </c>
      <c r="G647" s="132" t="s">
        <v>206</v>
      </c>
      <c r="H647" s="122" t="s">
        <v>2648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1"/>
        <v>13</v>
      </c>
      <c r="S647" s="118">
        <v>20</v>
      </c>
      <c r="T647" s="121" t="s">
        <v>803</v>
      </c>
    </row>
    <row r="648" spans="1:20" ht="15">
      <c r="A648" s="122" t="s">
        <v>2649</v>
      </c>
      <c r="B648" s="118">
        <v>2025</v>
      </c>
      <c r="C648" s="118" t="s">
        <v>22</v>
      </c>
      <c r="D648" s="172" t="s">
        <v>2650</v>
      </c>
      <c r="E648" s="119" t="s">
        <v>2235</v>
      </c>
      <c r="F648" s="120" t="s">
        <v>69</v>
      </c>
      <c r="G648" s="121" t="s">
        <v>79</v>
      </c>
      <c r="H648" s="177" t="s">
        <v>2651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1"/>
        <v>34</v>
      </c>
      <c r="S648" s="118">
        <v>20</v>
      </c>
      <c r="T648" s="121" t="s">
        <v>2026</v>
      </c>
    </row>
    <row r="649" spans="1:20" ht="15">
      <c r="A649" s="122" t="s">
        <v>2652</v>
      </c>
      <c r="B649" s="118">
        <v>2025</v>
      </c>
      <c r="C649" s="118" t="s">
        <v>22</v>
      </c>
      <c r="D649" s="118" t="s">
        <v>2653</v>
      </c>
      <c r="E649" s="119" t="s">
        <v>2654</v>
      </c>
      <c r="F649" s="120" t="s">
        <v>69</v>
      </c>
      <c r="G649" s="121" t="s">
        <v>79</v>
      </c>
      <c r="H649" s="173" t="s">
        <v>2655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1"/>
        <v>45</v>
      </c>
      <c r="S649" s="118">
        <v>12</v>
      </c>
      <c r="T649" s="121" t="s">
        <v>2462</v>
      </c>
    </row>
    <row r="650" spans="1:20" ht="30">
      <c r="A650" s="122" t="s">
        <v>2656</v>
      </c>
      <c r="B650" s="118">
        <v>2025</v>
      </c>
      <c r="C650" s="146" t="s">
        <v>22</v>
      </c>
      <c r="D650" s="118" t="s">
        <v>2657</v>
      </c>
      <c r="E650" s="119" t="s">
        <v>2658</v>
      </c>
      <c r="F650" s="120" t="s">
        <v>24</v>
      </c>
      <c r="G650" s="132" t="s">
        <v>206</v>
      </c>
      <c r="H650" s="122" t="s">
        <v>2659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1"/>
        <v>72</v>
      </c>
      <c r="S650" s="118">
        <v>8</v>
      </c>
      <c r="T650" s="132" t="s">
        <v>2660</v>
      </c>
    </row>
    <row r="651" spans="1:20" ht="30">
      <c r="A651" s="122" t="s">
        <v>2661</v>
      </c>
      <c r="B651" s="118">
        <v>2025</v>
      </c>
      <c r="C651" s="146" t="s">
        <v>22</v>
      </c>
      <c r="D651" s="118" t="s">
        <v>2662</v>
      </c>
      <c r="E651" s="145" t="s">
        <v>2663</v>
      </c>
      <c r="F651" s="120" t="s">
        <v>24</v>
      </c>
      <c r="G651" s="121" t="s">
        <v>42</v>
      </c>
      <c r="H651" s="122" t="s">
        <v>2664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2665</v>
      </c>
    </row>
    <row r="652" spans="1:20" ht="15">
      <c r="A652" s="122" t="s">
        <v>2666</v>
      </c>
      <c r="B652" s="118">
        <v>2025</v>
      </c>
      <c r="C652" s="146" t="s">
        <v>22</v>
      </c>
      <c r="D652" s="118" t="s">
        <v>2667</v>
      </c>
      <c r="E652" s="119" t="s">
        <v>2668</v>
      </c>
      <c r="F652" s="120" t="s">
        <v>24</v>
      </c>
      <c r="G652" s="121" t="s">
        <v>25</v>
      </c>
      <c r="H652" s="147" t="s">
        <v>2669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2670</v>
      </c>
    </row>
    <row r="653" spans="1:20" ht="15">
      <c r="A653" s="122" t="s">
        <v>2671</v>
      </c>
      <c r="B653" s="118">
        <v>2025</v>
      </c>
      <c r="C653" s="118" t="s">
        <v>22</v>
      </c>
      <c r="D653" s="118" t="s">
        <v>2672</v>
      </c>
      <c r="E653" s="145" t="s">
        <v>2673</v>
      </c>
      <c r="F653" s="120" t="s">
        <v>88</v>
      </c>
      <c r="G653" s="121" t="s">
        <v>79</v>
      </c>
      <c r="H653" s="147" t="s">
        <v>2669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>
      <c r="A654" s="122" t="s">
        <v>2674</v>
      </c>
      <c r="B654" s="118">
        <v>2025</v>
      </c>
      <c r="C654" s="118" t="s">
        <v>22</v>
      </c>
      <c r="D654" s="118" t="s">
        <v>2675</v>
      </c>
      <c r="E654" s="119" t="s">
        <v>2676</v>
      </c>
      <c r="F654" s="120" t="s">
        <v>24</v>
      </c>
      <c r="G654" s="121" t="s">
        <v>42</v>
      </c>
      <c r="H654" s="147" t="s">
        <v>2677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>
      <c r="A655" s="122" t="s">
        <v>2678</v>
      </c>
      <c r="B655" s="118">
        <v>2025</v>
      </c>
      <c r="C655" s="118" t="s">
        <v>22</v>
      </c>
      <c r="D655" s="118" t="s">
        <v>2679</v>
      </c>
      <c r="E655" s="119" t="s">
        <v>2680</v>
      </c>
      <c r="F655" s="120" t="s">
        <v>24</v>
      </c>
      <c r="G655" s="121" t="s">
        <v>206</v>
      </c>
      <c r="H655" s="122" t="s">
        <v>2681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>
      <c r="A656" s="122" t="s">
        <v>2682</v>
      </c>
      <c r="B656" s="118">
        <v>2025</v>
      </c>
      <c r="C656" s="118" t="s">
        <v>22</v>
      </c>
      <c r="D656" s="118" t="s">
        <v>2683</v>
      </c>
      <c r="E656" s="119" t="s">
        <v>2684</v>
      </c>
      <c r="F656" s="120" t="s">
        <v>88</v>
      </c>
      <c r="G656" s="121" t="s">
        <v>79</v>
      </c>
      <c r="H656" s="129" t="s">
        <v>2685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>
      <c r="A657" s="156" t="s">
        <v>2686</v>
      </c>
      <c r="B657" s="118">
        <v>2026</v>
      </c>
      <c r="C657" s="154" t="s">
        <v>22</v>
      </c>
      <c r="D657" s="154" t="s">
        <v>2687</v>
      </c>
      <c r="E657" s="159" t="s">
        <v>2688</v>
      </c>
      <c r="F657" s="170" t="s">
        <v>69</v>
      </c>
      <c r="G657" s="155" t="s">
        <v>79</v>
      </c>
      <c r="H657" s="156" t="s">
        <v>2689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2690</v>
      </c>
    </row>
    <row r="658" spans="1:20" ht="15">
      <c r="A658" s="156" t="s">
        <v>2691</v>
      </c>
      <c r="B658" s="118">
        <v>2026</v>
      </c>
      <c r="C658" s="118" t="s">
        <v>22</v>
      </c>
      <c r="D658" s="154" t="s">
        <v>2692</v>
      </c>
      <c r="E658" s="145" t="s">
        <v>2693</v>
      </c>
      <c r="F658" s="120" t="s">
        <v>69</v>
      </c>
      <c r="G658" s="155" t="s">
        <v>2694</v>
      </c>
      <c r="H658" s="156" t="s">
        <v>2695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>
      <c r="A659" s="122" t="s">
        <v>2696</v>
      </c>
      <c r="B659" s="118">
        <v>2026</v>
      </c>
      <c r="C659" s="154" t="s">
        <v>2566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>
      <c r="A663" s="156" t="s">
        <v>2714</v>
      </c>
      <c r="B663" s="118">
        <v>2026</v>
      </c>
      <c r="C663" s="146" t="s">
        <v>2566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/>
      <c r="P663" s="125"/>
      <c r="Q663" s="125"/>
      <c r="R663" s="125">
        <f>SUM(O663:Q663)</f>
        <v>0</v>
      </c>
      <c r="S663" s="118">
        <v>32</v>
      </c>
      <c r="T663" s="121" t="s">
        <v>2719</v>
      </c>
    </row>
    <row r="664" spans="1:20" ht="1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2676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2694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2694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2694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2694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>
      <c r="A677" s="122" t="s">
        <v>2776</v>
      </c>
      <c r="B677" s="118">
        <v>2026</v>
      </c>
      <c r="C677" s="195" t="s">
        <v>2566</v>
      </c>
      <c r="D677" s="195" t="s">
        <v>2777</v>
      </c>
      <c r="E677" s="159" t="s">
        <v>2778</v>
      </c>
      <c r="F677" s="170" t="s">
        <v>69</v>
      </c>
      <c r="G677" s="196" t="s">
        <v>2694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/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2694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2700</v>
      </c>
      <c r="I693" s="191">
        <v>46204</v>
      </c>
      <c r="J693" s="191">
        <v>46387</v>
      </c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16</v>
      </c>
      <c r="T693" s="155" t="s">
        <v>556</v>
      </c>
    </row>
    <row r="694" spans="1:20" ht="15">
      <c r="A694" s="156" t="s">
        <v>2845</v>
      </c>
      <c r="B694" s="137">
        <v>2026</v>
      </c>
      <c r="C694" s="118" t="s">
        <v>2846</v>
      </c>
      <c r="D694" s="154" t="s">
        <v>2847</v>
      </c>
      <c r="E694" s="159" t="s">
        <v>2848</v>
      </c>
      <c r="F694" s="120" t="s">
        <v>69</v>
      </c>
      <c r="G694" s="121" t="s">
        <v>79</v>
      </c>
      <c r="H694" s="156" t="s">
        <v>2849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>
      <c r="A695" s="156" t="s">
        <v>2850</v>
      </c>
      <c r="B695" s="137">
        <v>2026</v>
      </c>
      <c r="C695" s="154" t="s">
        <v>2710</v>
      </c>
      <c r="D695" s="154" t="s">
        <v>2851</v>
      </c>
      <c r="E695" s="159" t="s">
        <v>2852</v>
      </c>
      <c r="F695" s="170" t="s">
        <v>69</v>
      </c>
      <c r="G695" s="155" t="s">
        <v>79</v>
      </c>
      <c r="H695" s="156" t="s">
        <v>2853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>
      <c r="A696" s="122" t="s">
        <v>2854</v>
      </c>
      <c r="B696" s="137">
        <v>2026</v>
      </c>
      <c r="C696" s="118" t="s">
        <v>22</v>
      </c>
      <c r="D696" s="118" t="s">
        <v>2855</v>
      </c>
      <c r="E696" s="119" t="s">
        <v>2856</v>
      </c>
      <c r="F696" s="120" t="s">
        <v>69</v>
      </c>
      <c r="G696" s="121" t="s">
        <v>79</v>
      </c>
      <c r="H696" s="122" t="s">
        <v>2857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>
      <c r="A697" s="122" t="s">
        <v>2858</v>
      </c>
      <c r="B697" s="137">
        <v>2026</v>
      </c>
      <c r="C697" s="118" t="s">
        <v>22</v>
      </c>
      <c r="D697" s="154" t="s">
        <v>2859</v>
      </c>
      <c r="E697" s="159" t="s">
        <v>2860</v>
      </c>
      <c r="F697" s="120" t="s">
        <v>24</v>
      </c>
      <c r="G697" s="132" t="s">
        <v>2699</v>
      </c>
      <c r="H697" s="156" t="s">
        <v>2861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>
      <c r="A698" s="156" t="s">
        <v>2862</v>
      </c>
      <c r="B698" s="137">
        <v>2026</v>
      </c>
      <c r="C698" s="154" t="s">
        <v>2789</v>
      </c>
      <c r="D698" s="154" t="s">
        <v>2863</v>
      </c>
      <c r="E698" s="159" t="s">
        <v>2864</v>
      </c>
      <c r="F698" s="170" t="s">
        <v>24</v>
      </c>
      <c r="G698" s="155" t="s">
        <v>75</v>
      </c>
      <c r="H698" s="156" t="s">
        <v>2865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2866</v>
      </c>
    </row>
    <row r="699" spans="1:20" ht="15">
      <c r="A699" s="122" t="s">
        <v>2867</v>
      </c>
      <c r="B699" s="137">
        <v>2026</v>
      </c>
      <c r="C699" s="118" t="s">
        <v>22</v>
      </c>
      <c r="D699" s="118" t="s">
        <v>2868</v>
      </c>
      <c r="E699" s="119" t="s">
        <v>2869</v>
      </c>
      <c r="F699" s="120" t="s">
        <v>24</v>
      </c>
      <c r="G699" s="121" t="s">
        <v>206</v>
      </c>
      <c r="H699" s="122" t="s">
        <v>2870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2871</v>
      </c>
    </row>
    <row r="700" spans="1:20" ht="15">
      <c r="A700" s="156" t="s">
        <v>2872</v>
      </c>
      <c r="B700" s="137">
        <v>2026</v>
      </c>
      <c r="C700" s="154" t="s">
        <v>22</v>
      </c>
      <c r="D700" s="154" t="s">
        <v>2873</v>
      </c>
      <c r="E700" s="159" t="s">
        <v>2874</v>
      </c>
      <c r="F700" s="170" t="s">
        <v>88</v>
      </c>
      <c r="G700" s="155" t="s">
        <v>2717</v>
      </c>
      <c r="H700" s="156" t="s">
        <v>2875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2">IF(B700="","",SUM(O700:Q700))</f>
        <v>42</v>
      </c>
      <c r="S700" s="154">
        <v>12</v>
      </c>
      <c r="T700" s="155" t="s">
        <v>2452</v>
      </c>
    </row>
    <row r="701" spans="1:20" ht="15">
      <c r="A701" s="156" t="s">
        <v>2876</v>
      </c>
      <c r="B701" s="137">
        <v>2026</v>
      </c>
      <c r="C701" s="154" t="s">
        <v>22</v>
      </c>
      <c r="D701" s="154" t="s">
        <v>2877</v>
      </c>
      <c r="E701" s="159" t="s">
        <v>2878</v>
      </c>
      <c r="F701" s="170" t="s">
        <v>24</v>
      </c>
      <c r="G701" s="155" t="s">
        <v>75</v>
      </c>
      <c r="H701" s="156" t="s">
        <v>2879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2"/>
        <v>15</v>
      </c>
      <c r="S701" s="154">
        <v>24</v>
      </c>
      <c r="T701" s="155" t="s">
        <v>2809</v>
      </c>
    </row>
    <row r="702" spans="1:20" ht="15">
      <c r="A702" s="156" t="s">
        <v>2880</v>
      </c>
      <c r="B702" s="137">
        <v>2026</v>
      </c>
      <c r="C702" s="154" t="s">
        <v>22</v>
      </c>
      <c r="D702" s="154" t="s">
        <v>2881</v>
      </c>
      <c r="E702" s="159" t="s">
        <v>2882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2"/>
        <v>51</v>
      </c>
      <c r="S702" s="154">
        <v>4</v>
      </c>
      <c r="T702" s="155" t="s">
        <v>2883</v>
      </c>
    </row>
    <row r="703" spans="1:20" ht="15">
      <c r="A703" s="156" t="s">
        <v>2884</v>
      </c>
      <c r="B703" s="137">
        <v>2026</v>
      </c>
      <c r="C703" s="154" t="s">
        <v>22</v>
      </c>
      <c r="D703" s="154" t="s">
        <v>2885</v>
      </c>
      <c r="E703" s="159" t="s">
        <v>2886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2"/>
        <v>42</v>
      </c>
      <c r="S703" s="154">
        <v>4</v>
      </c>
      <c r="T703" s="155" t="s">
        <v>2887</v>
      </c>
    </row>
    <row r="704" spans="1:20" ht="15">
      <c r="A704" s="156" t="s">
        <v>2888</v>
      </c>
      <c r="B704" s="137">
        <v>2026</v>
      </c>
      <c r="C704" s="154" t="s">
        <v>22</v>
      </c>
      <c r="D704" s="154" t="s">
        <v>2889</v>
      </c>
      <c r="E704" s="159" t="s">
        <v>2890</v>
      </c>
      <c r="F704" s="170" t="s">
        <v>69</v>
      </c>
      <c r="G704" s="155" t="s">
        <v>79</v>
      </c>
      <c r="H704" s="156" t="s">
        <v>2891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2"/>
        <v>34</v>
      </c>
      <c r="S704" s="154">
        <v>8</v>
      </c>
      <c r="T704" s="121" t="s">
        <v>2713</v>
      </c>
    </row>
    <row r="705" spans="1:21" ht="15">
      <c r="A705" s="156" t="s">
        <v>2892</v>
      </c>
      <c r="B705" s="137">
        <v>2026</v>
      </c>
      <c r="C705" s="154" t="s">
        <v>22</v>
      </c>
      <c r="D705" s="154" t="s">
        <v>2893</v>
      </c>
      <c r="E705" s="159" t="s">
        <v>2894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2"/>
        <v>47</v>
      </c>
      <c r="S705" s="154">
        <v>4</v>
      </c>
      <c r="T705" s="155" t="s">
        <v>2895</v>
      </c>
    </row>
    <row r="706" spans="1:21" ht="15">
      <c r="A706" s="156" t="s">
        <v>2896</v>
      </c>
      <c r="B706" s="137">
        <v>2026</v>
      </c>
      <c r="C706" s="154" t="s">
        <v>22</v>
      </c>
      <c r="D706" s="154" t="s">
        <v>2897</v>
      </c>
      <c r="E706" s="159" t="s">
        <v>2898</v>
      </c>
      <c r="F706" s="170" t="s">
        <v>69</v>
      </c>
      <c r="G706" s="155" t="s">
        <v>79</v>
      </c>
      <c r="H706" s="156" t="s">
        <v>2899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2"/>
        <v>77</v>
      </c>
      <c r="S706" s="154">
        <v>4</v>
      </c>
      <c r="T706" s="155" t="s">
        <v>2452</v>
      </c>
    </row>
    <row r="707" spans="1:21" ht="15">
      <c r="A707" s="156" t="s">
        <v>2900</v>
      </c>
      <c r="B707" s="137">
        <v>2026</v>
      </c>
      <c r="C707" s="154" t="s">
        <v>22</v>
      </c>
      <c r="D707" s="154" t="s">
        <v>2901</v>
      </c>
      <c r="E707" s="159" t="s">
        <v>2902</v>
      </c>
      <c r="F707" s="170" t="s">
        <v>69</v>
      </c>
      <c r="G707" s="155" t="s">
        <v>79</v>
      </c>
      <c r="H707" s="156" t="s">
        <v>2903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2"/>
        <v>57</v>
      </c>
      <c r="S707" s="154">
        <v>4</v>
      </c>
      <c r="T707" s="155" t="s">
        <v>2462</v>
      </c>
    </row>
    <row r="708" spans="1:21" ht="15">
      <c r="A708" s="156" t="s">
        <v>2904</v>
      </c>
      <c r="B708" s="137">
        <v>2026</v>
      </c>
      <c r="C708" s="154" t="s">
        <v>22</v>
      </c>
      <c r="D708" s="154" t="s">
        <v>2905</v>
      </c>
      <c r="E708" s="159" t="s">
        <v>2906</v>
      </c>
      <c r="F708" s="170" t="s">
        <v>69</v>
      </c>
      <c r="G708" s="155" t="s">
        <v>79</v>
      </c>
      <c r="H708" s="156" t="s">
        <v>2899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2"/>
        <v>60</v>
      </c>
      <c r="S708" s="154">
        <v>4</v>
      </c>
      <c r="T708" s="155" t="s">
        <v>2907</v>
      </c>
    </row>
    <row r="709" spans="1:21" ht="15">
      <c r="A709" s="156" t="s">
        <v>2908</v>
      </c>
      <c r="B709" s="137">
        <v>2026</v>
      </c>
      <c r="C709" s="154" t="s">
        <v>2710</v>
      </c>
      <c r="D709" s="154" t="s">
        <v>2909</v>
      </c>
      <c r="E709" s="159" t="s">
        <v>2910</v>
      </c>
      <c r="F709" s="170" t="s">
        <v>24</v>
      </c>
      <c r="G709" s="155" t="s">
        <v>75</v>
      </c>
      <c r="H709" s="156" t="s">
        <v>2911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2"/>
        <v>0</v>
      </c>
      <c r="S709" s="154">
        <v>10</v>
      </c>
      <c r="T709" s="155" t="s">
        <v>2912</v>
      </c>
      <c r="U709" s="105"/>
    </row>
    <row r="710" spans="1:21" ht="15">
      <c r="A710" s="156" t="s">
        <v>2913</v>
      </c>
      <c r="B710" s="137">
        <v>2026</v>
      </c>
      <c r="C710" s="154" t="s">
        <v>22</v>
      </c>
      <c r="D710" s="154" t="s">
        <v>2914</v>
      </c>
      <c r="E710" s="159" t="s">
        <v>2915</v>
      </c>
      <c r="F710" s="170" t="s">
        <v>69</v>
      </c>
      <c r="G710" s="155" t="s">
        <v>79</v>
      </c>
      <c r="H710" s="156" t="s">
        <v>2916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2"/>
        <v>220</v>
      </c>
      <c r="S710" s="154">
        <v>4</v>
      </c>
      <c r="T710" s="155" t="s">
        <v>479</v>
      </c>
    </row>
    <row r="711" spans="1:21" ht="15">
      <c r="A711" s="156" t="s">
        <v>2917</v>
      </c>
      <c r="B711" s="137">
        <v>2026</v>
      </c>
      <c r="C711" s="154" t="s">
        <v>22</v>
      </c>
      <c r="D711" s="154" t="s">
        <v>2918</v>
      </c>
      <c r="E711" s="159" t="s">
        <v>2919</v>
      </c>
      <c r="F711" s="170" t="s">
        <v>24</v>
      </c>
      <c r="G711" s="155" t="s">
        <v>206</v>
      </c>
      <c r="H711" s="156" t="s">
        <v>2899</v>
      </c>
      <c r="I711" s="156" t="s">
        <v>2899</v>
      </c>
      <c r="J711" s="156" t="s">
        <v>2899</v>
      </c>
      <c r="K711" s="154" t="s">
        <v>27</v>
      </c>
      <c r="L711" s="160">
        <v>2000</v>
      </c>
      <c r="M711" s="183">
        <v>0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2"/>
        <v>46</v>
      </c>
      <c r="S711" s="154">
        <v>1</v>
      </c>
      <c r="T711" s="155" t="s">
        <v>2920</v>
      </c>
    </row>
    <row r="712" spans="1:21" ht="15">
      <c r="A712" s="122" t="s">
        <v>2921</v>
      </c>
      <c r="B712" s="137">
        <v>2026</v>
      </c>
      <c r="C712" s="118" t="s">
        <v>22</v>
      </c>
      <c r="D712" s="122" t="s">
        <v>2922</v>
      </c>
      <c r="E712" s="119" t="s">
        <v>2923</v>
      </c>
      <c r="F712" s="120" t="s">
        <v>69</v>
      </c>
      <c r="G712" s="121" t="s">
        <v>79</v>
      </c>
      <c r="H712" s="122" t="s">
        <v>2924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>
      <c r="A713" s="122" t="s">
        <v>2925</v>
      </c>
      <c r="B713" s="137">
        <v>2026</v>
      </c>
      <c r="C713" s="118" t="s">
        <v>22</v>
      </c>
      <c r="D713" s="122" t="s">
        <v>2922</v>
      </c>
      <c r="E713" s="119" t="s">
        <v>2926</v>
      </c>
      <c r="F713" s="120" t="s">
        <v>69</v>
      </c>
      <c r="G713" s="121" t="s">
        <v>79</v>
      </c>
      <c r="H713" s="122" t="s">
        <v>2927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>
      <c r="A714" s="156" t="s">
        <v>2928</v>
      </c>
      <c r="B714" s="137">
        <v>2026</v>
      </c>
      <c r="C714" s="154" t="s">
        <v>22</v>
      </c>
      <c r="D714" s="154" t="s">
        <v>2929</v>
      </c>
      <c r="E714" s="159" t="s">
        <v>2930</v>
      </c>
      <c r="F714" s="170" t="s">
        <v>88</v>
      </c>
      <c r="G714" s="155" t="s">
        <v>2717</v>
      </c>
      <c r="H714" s="156" t="s">
        <v>2931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80</v>
      </c>
      <c r="O714" s="158">
        <v>0</v>
      </c>
      <c r="P714" s="158">
        <v>0</v>
      </c>
      <c r="Q714" s="158">
        <v>80</v>
      </c>
      <c r="R714" s="158">
        <f t="shared" ref="R714:R719" si="13">IF(B714="","",SUM(O714:Q714))</f>
        <v>80</v>
      </c>
      <c r="S714" s="154">
        <v>4</v>
      </c>
      <c r="T714" s="179" t="s">
        <v>2932</v>
      </c>
    </row>
    <row r="715" spans="1:21" ht="30">
      <c r="A715" s="156" t="s">
        <v>2933</v>
      </c>
      <c r="B715" s="137">
        <v>2026</v>
      </c>
      <c r="C715" s="154" t="s">
        <v>22</v>
      </c>
      <c r="D715" s="154" t="s">
        <v>2929</v>
      </c>
      <c r="E715" s="159" t="s">
        <v>2934</v>
      </c>
      <c r="F715" s="170" t="s">
        <v>88</v>
      </c>
      <c r="G715" s="155" t="s">
        <v>2717</v>
      </c>
      <c r="H715" s="156" t="s">
        <v>2935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80</v>
      </c>
      <c r="O715" s="158">
        <v>0</v>
      </c>
      <c r="P715" s="158">
        <v>0</v>
      </c>
      <c r="Q715" s="158">
        <v>80</v>
      </c>
      <c r="R715" s="158">
        <f t="shared" si="13"/>
        <v>80</v>
      </c>
      <c r="S715" s="154">
        <v>4</v>
      </c>
      <c r="T715" s="179" t="s">
        <v>2932</v>
      </c>
    </row>
    <row r="716" spans="1:21" ht="15">
      <c r="A716" s="156" t="s">
        <v>2936</v>
      </c>
      <c r="B716" s="137">
        <v>2026</v>
      </c>
      <c r="C716" s="154" t="s">
        <v>2710</v>
      </c>
      <c r="D716" s="154" t="s">
        <v>2929</v>
      </c>
      <c r="E716" s="159" t="s">
        <v>2937</v>
      </c>
      <c r="F716" s="170" t="s">
        <v>88</v>
      </c>
      <c r="G716" s="155" t="s">
        <v>2717</v>
      </c>
      <c r="H716" s="156" t="s">
        <v>2938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3"/>
        <v>0</v>
      </c>
      <c r="S716" s="154">
        <v>4</v>
      </c>
      <c r="T716" s="121"/>
    </row>
    <row r="717" spans="1:21" ht="15">
      <c r="A717" s="156" t="s">
        <v>2939</v>
      </c>
      <c r="B717" s="137">
        <v>2026</v>
      </c>
      <c r="C717" s="154" t="s">
        <v>2710</v>
      </c>
      <c r="D717" s="154" t="s">
        <v>2929</v>
      </c>
      <c r="E717" s="159" t="s">
        <v>2940</v>
      </c>
      <c r="F717" s="170" t="s">
        <v>88</v>
      </c>
      <c r="G717" s="155" t="s">
        <v>2717</v>
      </c>
      <c r="H717" s="156" t="s">
        <v>2941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3"/>
        <v>0</v>
      </c>
      <c r="S717" s="154">
        <v>4</v>
      </c>
      <c r="T717" s="121"/>
    </row>
    <row r="718" spans="1:21" ht="15">
      <c r="A718" s="156" t="s">
        <v>2942</v>
      </c>
      <c r="B718" s="137">
        <v>2026</v>
      </c>
      <c r="C718" s="154" t="s">
        <v>2710</v>
      </c>
      <c r="D718" s="154" t="s">
        <v>2929</v>
      </c>
      <c r="E718" s="159" t="s">
        <v>2943</v>
      </c>
      <c r="F718" s="170" t="s">
        <v>88</v>
      </c>
      <c r="G718" s="155" t="s">
        <v>2717</v>
      </c>
      <c r="H718" s="156" t="s">
        <v>2944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3"/>
        <v>0</v>
      </c>
      <c r="S718" s="154">
        <v>4</v>
      </c>
      <c r="T718" s="121"/>
    </row>
    <row r="719" spans="1:21" ht="15">
      <c r="A719" s="156" t="s">
        <v>2945</v>
      </c>
      <c r="B719" s="137">
        <v>2026</v>
      </c>
      <c r="C719" s="154" t="s">
        <v>2710</v>
      </c>
      <c r="D719" s="154" t="s">
        <v>2929</v>
      </c>
      <c r="E719" s="159" t="s">
        <v>2946</v>
      </c>
      <c r="F719" s="170" t="s">
        <v>88</v>
      </c>
      <c r="G719" s="155" t="s">
        <v>2717</v>
      </c>
      <c r="H719" s="156" t="s">
        <v>2947</v>
      </c>
      <c r="I719" s="191">
        <v>46304</v>
      </c>
      <c r="J719" s="191">
        <v>46274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3"/>
        <v>0</v>
      </c>
      <c r="S719" s="154">
        <v>4</v>
      </c>
      <c r="T719" s="121"/>
    </row>
    <row r="720" spans="1:21" ht="30">
      <c r="A720" s="122" t="s">
        <v>2948</v>
      </c>
      <c r="B720" s="137">
        <v>2026</v>
      </c>
      <c r="C720" s="118" t="s">
        <v>22</v>
      </c>
      <c r="D720" s="118" t="s">
        <v>2949</v>
      </c>
      <c r="E720" s="119" t="s">
        <v>2950</v>
      </c>
      <c r="F720" s="120" t="s">
        <v>24</v>
      </c>
      <c r="G720" s="121" t="s">
        <v>206</v>
      </c>
      <c r="H720" s="122" t="s">
        <v>2951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2952</v>
      </c>
    </row>
    <row r="721" spans="1:20" ht="45">
      <c r="A721" s="122" t="s">
        <v>2953</v>
      </c>
      <c r="B721" s="137">
        <v>2026</v>
      </c>
      <c r="C721" s="137" t="s">
        <v>22</v>
      </c>
      <c r="D721" s="137" t="s">
        <v>2929</v>
      </c>
      <c r="E721" s="138" t="s">
        <v>2954</v>
      </c>
      <c r="F721" s="144" t="s">
        <v>88</v>
      </c>
      <c r="G721" s="150" t="s">
        <v>2717</v>
      </c>
      <c r="H721" s="140" t="s">
        <v>2955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80</v>
      </c>
      <c r="O721" s="143">
        <v>0</v>
      </c>
      <c r="P721" s="185">
        <v>0</v>
      </c>
      <c r="Q721" s="143">
        <v>80</v>
      </c>
      <c r="R721" s="143">
        <f>SUM(O721:Q721)</f>
        <v>80</v>
      </c>
      <c r="S721" s="137">
        <v>4</v>
      </c>
      <c r="T721" s="163" t="s">
        <v>2956</v>
      </c>
    </row>
    <row r="722" spans="1:20" ht="45">
      <c r="A722" s="122" t="s">
        <v>2957</v>
      </c>
      <c r="B722" s="118">
        <v>2026</v>
      </c>
      <c r="C722" s="118" t="s">
        <v>22</v>
      </c>
      <c r="D722" s="118" t="s">
        <v>2929</v>
      </c>
      <c r="E722" s="119" t="s">
        <v>2958</v>
      </c>
      <c r="F722" s="120" t="s">
        <v>88</v>
      </c>
      <c r="G722" s="146" t="s">
        <v>2717</v>
      </c>
      <c r="H722" s="122" t="s">
        <v>2959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80</v>
      </c>
      <c r="O722" s="125">
        <v>0</v>
      </c>
      <c r="P722" s="186">
        <v>0</v>
      </c>
      <c r="Q722" s="125">
        <v>80</v>
      </c>
      <c r="R722" s="125">
        <f>SUM(O722:Q722)</f>
        <v>80</v>
      </c>
      <c r="S722" s="118">
        <v>4</v>
      </c>
      <c r="T722" s="148" t="s">
        <v>2960</v>
      </c>
    </row>
    <row r="723" spans="1:20" ht="15">
      <c r="A723" s="122" t="s">
        <v>2961</v>
      </c>
      <c r="B723" s="137">
        <v>2026</v>
      </c>
      <c r="C723" s="154" t="s">
        <v>22</v>
      </c>
      <c r="D723" s="154" t="s">
        <v>2962</v>
      </c>
      <c r="E723" s="159" t="s">
        <v>2963</v>
      </c>
      <c r="F723" s="170" t="s">
        <v>88</v>
      </c>
      <c r="G723" s="155" t="s">
        <v>2717</v>
      </c>
      <c r="H723" s="156" t="s">
        <v>2964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50</v>
      </c>
      <c r="R723" s="158">
        <f>IF(B723="","",SUM(O723:Q723))</f>
        <v>50</v>
      </c>
      <c r="S723" s="154">
        <v>3</v>
      </c>
      <c r="T723" s="155" t="s">
        <v>1921</v>
      </c>
    </row>
    <row r="724" spans="1:20" ht="15">
      <c r="A724" s="156" t="s">
        <v>2965</v>
      </c>
      <c r="B724" s="172">
        <v>2026</v>
      </c>
      <c r="C724" s="154" t="s">
        <v>22</v>
      </c>
      <c r="D724" s="154" t="s">
        <v>2966</v>
      </c>
      <c r="E724" s="159" t="s">
        <v>2967</v>
      </c>
      <c r="F724" s="170" t="s">
        <v>88</v>
      </c>
      <c r="G724" s="155" t="s">
        <v>2717</v>
      </c>
      <c r="H724" s="156" t="s">
        <v>2968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>
      <c r="A725" s="156" t="s">
        <v>2969</v>
      </c>
      <c r="B725" s="154">
        <v>2026</v>
      </c>
      <c r="C725" s="154" t="s">
        <v>22</v>
      </c>
      <c r="D725" s="154" t="s">
        <v>2962</v>
      </c>
      <c r="E725" s="159" t="s">
        <v>2970</v>
      </c>
      <c r="F725" s="170" t="s">
        <v>88</v>
      </c>
      <c r="G725" s="155" t="s">
        <v>2717</v>
      </c>
      <c r="H725" s="156" t="s">
        <v>2971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>
      <c r="A726" s="156" t="s">
        <v>2972</v>
      </c>
      <c r="B726" s="154">
        <v>2026</v>
      </c>
      <c r="C726" s="154" t="s">
        <v>2710</v>
      </c>
      <c r="D726" s="154" t="s">
        <v>2962</v>
      </c>
      <c r="E726" s="159" t="s">
        <v>2973</v>
      </c>
      <c r="F726" s="170" t="s">
        <v>88</v>
      </c>
      <c r="G726" s="155" t="s">
        <v>2717</v>
      </c>
      <c r="H726" s="156"/>
      <c r="I726" s="191"/>
      <c r="J726" s="191"/>
      <c r="K726" s="154"/>
      <c r="L726" s="160"/>
      <c r="M726" s="183"/>
      <c r="N726" s="158"/>
      <c r="O726" s="158"/>
      <c r="P726" s="158"/>
      <c r="Q726" s="158"/>
      <c r="R726" s="158">
        <f t="shared" ref="R726:R749" si="14">IF(B726="","",SUM(O726:Q726))</f>
        <v>0</v>
      </c>
      <c r="S726" s="154"/>
      <c r="T726" s="155"/>
    </row>
    <row r="727" spans="1:20" ht="15">
      <c r="A727" s="156" t="s">
        <v>2974</v>
      </c>
      <c r="B727" s="154">
        <v>2026</v>
      </c>
      <c r="C727" s="154" t="s">
        <v>2710</v>
      </c>
      <c r="D727" s="154" t="s">
        <v>2962</v>
      </c>
      <c r="E727" s="159" t="s">
        <v>2975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4"/>
        <v>0</v>
      </c>
      <c r="S727" s="154"/>
      <c r="T727" s="155"/>
    </row>
    <row r="728" spans="1:20" ht="15">
      <c r="A728" s="156" t="s">
        <v>2976</v>
      </c>
      <c r="B728" s="154">
        <v>2026</v>
      </c>
      <c r="C728" s="154" t="s">
        <v>22</v>
      </c>
      <c r="D728" s="154" t="s">
        <v>2962</v>
      </c>
      <c r="E728" s="159" t="s">
        <v>2977</v>
      </c>
      <c r="F728" s="170" t="s">
        <v>88</v>
      </c>
      <c r="G728" s="155" t="s">
        <v>2717</v>
      </c>
      <c r="H728" s="156" t="s">
        <v>2978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80</v>
      </c>
      <c r="O728" s="158">
        <v>0</v>
      </c>
      <c r="P728" s="158">
        <v>0</v>
      </c>
      <c r="Q728" s="158">
        <v>80</v>
      </c>
      <c r="R728" s="158">
        <f t="shared" si="14"/>
        <v>80</v>
      </c>
      <c r="S728" s="154">
        <v>3</v>
      </c>
      <c r="T728" s="155" t="s">
        <v>1921</v>
      </c>
    </row>
    <row r="729" spans="1:20" ht="15">
      <c r="A729" s="156" t="s">
        <v>2979</v>
      </c>
      <c r="B729" s="154">
        <v>2026</v>
      </c>
      <c r="C729" s="154" t="s">
        <v>2710</v>
      </c>
      <c r="D729" s="154" t="s">
        <v>2962</v>
      </c>
      <c r="E729" s="159" t="s">
        <v>2980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4"/>
        <v>0</v>
      </c>
      <c r="S729" s="154"/>
      <c r="T729" s="155"/>
    </row>
    <row r="730" spans="1:20" ht="15">
      <c r="A730" s="156" t="s">
        <v>2981</v>
      </c>
      <c r="B730" s="154">
        <v>2026</v>
      </c>
      <c r="C730" s="154" t="s">
        <v>2710</v>
      </c>
      <c r="D730" s="154" t="s">
        <v>2962</v>
      </c>
      <c r="E730" s="201" t="s">
        <v>2982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4"/>
        <v>0</v>
      </c>
      <c r="S730" s="154"/>
      <c r="T730" s="155"/>
    </row>
    <row r="731" spans="1:20" ht="15">
      <c r="A731" s="156" t="s">
        <v>2983</v>
      </c>
      <c r="B731" s="154">
        <v>2026</v>
      </c>
      <c r="C731" s="154" t="s">
        <v>2710</v>
      </c>
      <c r="D731" s="154" t="s">
        <v>2962</v>
      </c>
      <c r="E731" s="201" t="s">
        <v>2984</v>
      </c>
      <c r="F731" s="170" t="s">
        <v>88</v>
      </c>
      <c r="G731" s="155" t="s">
        <v>2717</v>
      </c>
      <c r="H731" s="156" t="s">
        <v>2985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4"/>
        <v>0</v>
      </c>
      <c r="S731" s="154"/>
      <c r="T731" s="155"/>
    </row>
    <row r="732" spans="1:20" ht="15">
      <c r="A732" s="156" t="s">
        <v>2986</v>
      </c>
      <c r="B732" s="154">
        <v>2026</v>
      </c>
      <c r="C732" s="154" t="s">
        <v>2710</v>
      </c>
      <c r="D732" s="154" t="s">
        <v>2987</v>
      </c>
      <c r="E732" s="159" t="s">
        <v>2988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4"/>
        <v>0</v>
      </c>
      <c r="S732" s="154"/>
      <c r="T732" s="155"/>
    </row>
    <row r="733" spans="1:20" ht="15">
      <c r="A733" s="156" t="s">
        <v>2989</v>
      </c>
      <c r="B733" s="154">
        <v>2026</v>
      </c>
      <c r="C733" s="154" t="s">
        <v>2710</v>
      </c>
      <c r="D733" s="154"/>
      <c r="E733" s="201" t="s">
        <v>2990</v>
      </c>
      <c r="F733" s="170" t="s">
        <v>24</v>
      </c>
      <c r="G733" s="155" t="s">
        <v>2717</v>
      </c>
      <c r="H733" s="156" t="s">
        <v>2991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4"/>
        <v>0</v>
      </c>
      <c r="S733" s="154"/>
      <c r="T733" s="155"/>
    </row>
    <row r="734" spans="1:20" ht="15">
      <c r="A734" s="156" t="s">
        <v>2992</v>
      </c>
      <c r="B734" s="154">
        <v>2026</v>
      </c>
      <c r="C734" s="154" t="s">
        <v>2710</v>
      </c>
      <c r="D734" s="154" t="s">
        <v>2993</v>
      </c>
      <c r="E734" s="159" t="s">
        <v>2994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4"/>
        <v>0</v>
      </c>
      <c r="S734" s="154"/>
      <c r="T734" s="155"/>
    </row>
    <row r="735" spans="1:20" ht="1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2995</v>
      </c>
      <c r="E735" s="159" t="s">
        <v>2996</v>
      </c>
      <c r="F735" s="170" t="s">
        <v>24</v>
      </c>
      <c r="G735" s="155" t="s">
        <v>206</v>
      </c>
      <c r="H735" s="156" t="s">
        <v>2997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4"/>
        <v>0</v>
      </c>
      <c r="S735" s="154">
        <v>2</v>
      </c>
      <c r="T735" s="155" t="s">
        <v>2998</v>
      </c>
    </row>
    <row r="736" spans="1:20" ht="1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2999</v>
      </c>
      <c r="E736" s="159" t="s">
        <v>3000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4"/>
        <v>0</v>
      </c>
      <c r="S736" s="154"/>
      <c r="T736" s="155"/>
    </row>
    <row r="737" spans="1:20" ht="15">
      <c r="A737" s="156" t="s">
        <v>3001</v>
      </c>
      <c r="B737" s="154">
        <v>2026</v>
      </c>
      <c r="C737" s="154" t="s">
        <v>22</v>
      </c>
      <c r="D737" s="154" t="s">
        <v>3002</v>
      </c>
      <c r="E737" s="159" t="s">
        <v>3003</v>
      </c>
      <c r="F737" s="170" t="s">
        <v>69</v>
      </c>
      <c r="G737" s="155" t="s">
        <v>79</v>
      </c>
      <c r="H737" s="156" t="s">
        <v>3004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4"/>
        <v>30</v>
      </c>
      <c r="S737" s="154">
        <v>8</v>
      </c>
      <c r="T737" s="155" t="s">
        <v>2713</v>
      </c>
    </row>
    <row r="738" spans="1:20" ht="15">
      <c r="A738" s="156" t="s">
        <v>3005</v>
      </c>
      <c r="B738" s="154">
        <v>2026</v>
      </c>
      <c r="C738" s="154" t="s">
        <v>22</v>
      </c>
      <c r="D738" s="154" t="s">
        <v>3006</v>
      </c>
      <c r="E738" s="159" t="s">
        <v>3007</v>
      </c>
      <c r="F738" s="170" t="s">
        <v>69</v>
      </c>
      <c r="G738" s="155" t="s">
        <v>2694</v>
      </c>
      <c r="H738" s="156" t="s">
        <v>3008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/>
      <c r="N738" s="158">
        <v>30</v>
      </c>
      <c r="O738" s="158">
        <v>0</v>
      </c>
      <c r="P738" s="158">
        <v>21</v>
      </c>
      <c r="Q738" s="158">
        <v>0</v>
      </c>
      <c r="R738" s="158">
        <f t="shared" si="14"/>
        <v>21</v>
      </c>
      <c r="S738" s="154">
        <v>12</v>
      </c>
      <c r="T738" s="155" t="s">
        <v>3009</v>
      </c>
    </row>
    <row r="739" spans="1:20" ht="15">
      <c r="A739" s="156" t="s">
        <v>3010</v>
      </c>
      <c r="B739" s="154">
        <v>2026</v>
      </c>
      <c r="C739" s="154" t="s">
        <v>22</v>
      </c>
      <c r="D739" s="154" t="s">
        <v>3011</v>
      </c>
      <c r="E739" s="159" t="s">
        <v>3012</v>
      </c>
      <c r="F739" s="170" t="s">
        <v>24</v>
      </c>
      <c r="G739" s="155" t="s">
        <v>2699</v>
      </c>
      <c r="H739" s="156" t="s">
        <v>3013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4"/>
        <v>20</v>
      </c>
      <c r="S739" s="154">
        <v>9</v>
      </c>
      <c r="T739" s="155" t="s">
        <v>218</v>
      </c>
    </row>
    <row r="740" spans="1:20" ht="15">
      <c r="A740" s="156" t="s">
        <v>3014</v>
      </c>
      <c r="B740" s="154">
        <v>2026</v>
      </c>
      <c r="C740" s="154" t="s">
        <v>2710</v>
      </c>
      <c r="D740" s="154" t="s">
        <v>3015</v>
      </c>
      <c r="E740" s="159" t="s">
        <v>3016</v>
      </c>
      <c r="F740" s="170" t="s">
        <v>24</v>
      </c>
      <c r="G740" s="155" t="s">
        <v>2699</v>
      </c>
      <c r="H740" s="156" t="s">
        <v>3017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4"/>
        <v>0</v>
      </c>
      <c r="S740" s="154">
        <v>4</v>
      </c>
      <c r="T740" s="155" t="s">
        <v>1909</v>
      </c>
    </row>
    <row r="741" spans="1:20" ht="15">
      <c r="A741" s="156" t="s">
        <v>3018</v>
      </c>
      <c r="B741" s="154">
        <v>2026</v>
      </c>
      <c r="C741" s="154" t="s">
        <v>2710</v>
      </c>
      <c r="D741" s="154" t="s">
        <v>3019</v>
      </c>
      <c r="E741" s="159" t="s">
        <v>3020</v>
      </c>
      <c r="F741" s="170" t="s">
        <v>24</v>
      </c>
      <c r="G741" s="155" t="s">
        <v>2699</v>
      </c>
      <c r="H741" s="156" t="s">
        <v>3021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4"/>
        <v>0</v>
      </c>
      <c r="S741" s="154">
        <v>8</v>
      </c>
      <c r="T741" s="155" t="s">
        <v>2826</v>
      </c>
    </row>
    <row r="742" spans="1:20" ht="15">
      <c r="A742" s="156" t="s">
        <v>3022</v>
      </c>
      <c r="B742" s="154">
        <v>2026</v>
      </c>
      <c r="C742" s="154" t="s">
        <v>2710</v>
      </c>
      <c r="D742" s="154" t="s">
        <v>3019</v>
      </c>
      <c r="E742" s="159" t="s">
        <v>3023</v>
      </c>
      <c r="F742" s="170" t="s">
        <v>24</v>
      </c>
      <c r="G742" s="155" t="s">
        <v>2699</v>
      </c>
      <c r="H742" s="156" t="s">
        <v>3024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4"/>
        <v>0</v>
      </c>
      <c r="S742" s="154">
        <v>8</v>
      </c>
      <c r="T742" s="155" t="s">
        <v>2826</v>
      </c>
    </row>
    <row r="743" spans="1:20" ht="15">
      <c r="A743" s="156" t="s">
        <v>3025</v>
      </c>
      <c r="B743" s="154">
        <v>2027</v>
      </c>
      <c r="C743" s="154" t="s">
        <v>2710</v>
      </c>
      <c r="D743" s="154" t="s">
        <v>3026</v>
      </c>
      <c r="E743" s="159" t="s">
        <v>3027</v>
      </c>
      <c r="F743" s="170" t="s">
        <v>24</v>
      </c>
      <c r="G743" s="155" t="s">
        <v>206</v>
      </c>
      <c r="H743" s="156" t="s">
        <v>3028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4"/>
        <v>0</v>
      </c>
      <c r="S743" s="154">
        <v>2</v>
      </c>
      <c r="T743" s="155" t="s">
        <v>2998</v>
      </c>
    </row>
    <row r="744" spans="1:20" ht="15">
      <c r="A744" s="156" t="s">
        <v>3029</v>
      </c>
      <c r="B744" s="154">
        <v>2026</v>
      </c>
      <c r="C744" s="154" t="s">
        <v>2710</v>
      </c>
      <c r="D744" s="154" t="s">
        <v>3030</v>
      </c>
      <c r="E744" s="166" t="s">
        <v>3031</v>
      </c>
      <c r="F744" s="170" t="s">
        <v>24</v>
      </c>
      <c r="G744" s="155" t="s">
        <v>206</v>
      </c>
      <c r="H744" s="156" t="s">
        <v>3032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4"/>
        <v>0</v>
      </c>
      <c r="S744" s="154">
        <v>16</v>
      </c>
      <c r="T744" s="155" t="s">
        <v>803</v>
      </c>
    </row>
    <row r="745" spans="1:20" ht="15">
      <c r="A745" s="156" t="s">
        <v>3033</v>
      </c>
      <c r="B745" s="154">
        <v>2026</v>
      </c>
      <c r="C745" s="154" t="s">
        <v>2710</v>
      </c>
      <c r="D745" s="154" t="s">
        <v>3030</v>
      </c>
      <c r="E745" s="166" t="s">
        <v>3034</v>
      </c>
      <c r="F745" s="170" t="s">
        <v>24</v>
      </c>
      <c r="G745" s="155" t="s">
        <v>206</v>
      </c>
      <c r="H745" s="156" t="s">
        <v>3035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4"/>
        <v>0</v>
      </c>
      <c r="S745" s="154">
        <v>16</v>
      </c>
      <c r="T745" s="155" t="s">
        <v>803</v>
      </c>
    </row>
    <row r="746" spans="1:20" ht="15">
      <c r="A746" s="156" t="s">
        <v>3036</v>
      </c>
      <c r="B746" s="154">
        <v>2026</v>
      </c>
      <c r="C746" s="154" t="s">
        <v>2710</v>
      </c>
      <c r="D746" s="154" t="s">
        <v>3037</v>
      </c>
      <c r="E746" s="166" t="s">
        <v>3038</v>
      </c>
      <c r="F746" s="170" t="s">
        <v>24</v>
      </c>
      <c r="G746" s="155" t="s">
        <v>206</v>
      </c>
      <c r="H746" s="156" t="s">
        <v>3039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4"/>
        <v>0</v>
      </c>
      <c r="S746" s="154">
        <v>20</v>
      </c>
      <c r="T746" s="155" t="s">
        <v>3040</v>
      </c>
    </row>
    <row r="747" spans="1:20" ht="15">
      <c r="A747" s="156" t="s">
        <v>3041</v>
      </c>
      <c r="B747" s="154">
        <v>2026</v>
      </c>
      <c r="C747" s="154" t="s">
        <v>2710</v>
      </c>
      <c r="D747" s="154" t="s">
        <v>3042</v>
      </c>
      <c r="E747" s="166" t="s">
        <v>3043</v>
      </c>
      <c r="F747" s="170" t="s">
        <v>24</v>
      </c>
      <c r="G747" s="155" t="s">
        <v>206</v>
      </c>
      <c r="H747" s="156" t="s">
        <v>3044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5">IF(B747="","",SUM(O747:Q747))</f>
        <v>80</v>
      </c>
      <c r="S747" s="154">
        <v>2</v>
      </c>
      <c r="T747" s="155"/>
    </row>
    <row r="748" spans="1:20" ht="15">
      <c r="A748" s="154" t="str">
        <f ca="1">IF(E748="","",IF(B748="",YEAR(TODAY()),B748)&amp;"-"&amp;TEXT(COUNTIF($B$2:B748,IF(B748="",YEAR(TODAY()),B748))+COUNTIFS($E$2:E748,"&lt;&gt;",$B$2:B748,""),"000"))</f>
        <v/>
      </c>
      <c r="B748" s="154"/>
      <c r="C748" s="154"/>
      <c r="D748" s="154"/>
      <c r="E748" s="159"/>
      <c r="F748" s="170"/>
      <c r="G748" s="155"/>
      <c r="H748" s="156"/>
      <c r="I748" s="191"/>
      <c r="J748" s="191"/>
      <c r="K748" s="154"/>
      <c r="L748" s="160"/>
      <c r="M748" s="183"/>
      <c r="N748" s="158"/>
      <c r="O748" s="158"/>
      <c r="P748" s="158"/>
      <c r="Q748" s="158"/>
      <c r="R748" s="158" t="str">
        <f t="shared" si="14"/>
        <v/>
      </c>
      <c r="S748" s="154"/>
      <c r="T748" s="155"/>
    </row>
    <row r="749" spans="1:20" ht="15">
      <c r="A749" s="154" t="str">
        <f ca="1">IF(E749="","",IF(B749="",YEAR(TODAY()),B749)&amp;"-"&amp;TEXT(COUNTIF($B$2:B749,IF(B749="",YEAR(TODAY()),B749))+COUNTIFS($E$2:E749,"&lt;&gt;",$B$2:B749,""),"000"))</f>
        <v/>
      </c>
      <c r="B749" s="154"/>
      <c r="C749" s="154"/>
      <c r="D749" s="154"/>
      <c r="E749" s="159"/>
      <c r="F749" s="170"/>
      <c r="G749" s="155"/>
      <c r="H749" s="156"/>
      <c r="I749" s="191"/>
      <c r="J749" s="191"/>
      <c r="K749" s="154"/>
      <c r="L749" s="160"/>
      <c r="M749" s="183"/>
      <c r="N749" s="158"/>
      <c r="O749" s="158"/>
      <c r="P749" s="158"/>
      <c r="Q749" s="158"/>
      <c r="R749" s="158" t="str">
        <f t="shared" si="14"/>
        <v/>
      </c>
      <c r="S749" s="154"/>
      <c r="T749" s="155"/>
    </row>
    <row r="750" spans="1:20" ht="1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713 A714:S715 A716:T2001">
    <cfRule type="expression" dxfId="52" priority="9">
      <formula>MOD(ROW(),2)=0</formula>
    </cfRule>
  </conditionalFormatting>
  <conditionalFormatting sqref="A2002:A2006 E2007 A2:T713 A714:S715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06:J710 H2002:I2014 I712:J720 I704:J704 I744:J2001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topLeftCell="A75" workbookViewId="0">
      <selection activeCell="D109" sqref="D109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3045</v>
      </c>
      <c r="H1" s="168" t="s">
        <v>3046</v>
      </c>
    </row>
    <row r="2" spans="1:8">
      <c r="H2" s="167" t="s">
        <v>3047</v>
      </c>
    </row>
    <row r="3" spans="1:8">
      <c r="A3" t="s">
        <v>0</v>
      </c>
      <c r="B3" t="s">
        <v>19</v>
      </c>
      <c r="C3" t="s">
        <v>3048</v>
      </c>
      <c r="D3" t="s">
        <v>3049</v>
      </c>
      <c r="E3" t="s">
        <v>3050</v>
      </c>
      <c r="H3" s="167" t="s">
        <v>3051</v>
      </c>
    </row>
    <row r="4" spans="1:8">
      <c r="A4">
        <v>1</v>
      </c>
      <c r="B4" t="s">
        <v>3052</v>
      </c>
      <c r="D4" t="s">
        <v>3053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3054</v>
      </c>
    </row>
    <row r="5" spans="1:8">
      <c r="A5">
        <v>2</v>
      </c>
      <c r="B5" t="s">
        <v>2507</v>
      </c>
      <c r="D5" t="s">
        <v>3053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3055</v>
      </c>
    </row>
    <row r="6" spans="1:8">
      <c r="A6">
        <v>3</v>
      </c>
      <c r="B6" t="s">
        <v>1030</v>
      </c>
      <c r="D6" t="s">
        <v>3053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>
      <c r="A7">
        <v>4</v>
      </c>
      <c r="B7" t="s">
        <v>3056</v>
      </c>
      <c r="D7" t="s">
        <v>3053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3057</v>
      </c>
    </row>
    <row r="8" spans="1:8">
      <c r="A8">
        <v>5</v>
      </c>
      <c r="B8" t="s">
        <v>3058</v>
      </c>
      <c r="D8" t="s">
        <v>3053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3053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3053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3053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2831</v>
      </c>
      <c r="D12" t="s">
        <v>3053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3053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3053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2804</v>
      </c>
      <c r="D15" t="s">
        <v>3053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3053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3053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3053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3053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3053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3053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3053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3059</v>
      </c>
      <c r="D23" t="s">
        <v>3053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3053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3060</v>
      </c>
      <c r="D25" t="s">
        <v>3053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3061</v>
      </c>
      <c r="D26" t="s">
        <v>3053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3053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3053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3062</v>
      </c>
      <c r="D29" t="s">
        <v>3053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3053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3053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3053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3063</v>
      </c>
      <c r="D33" t="s">
        <v>3053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3064</v>
      </c>
      <c r="D34" t="s">
        <v>3053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3053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3053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3053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3065</v>
      </c>
      <c r="D38" t="s">
        <v>3053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3066</v>
      </c>
      <c r="D39" t="s">
        <v>3053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3053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3067</v>
      </c>
      <c r="D41" t="s">
        <v>3053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862</v>
      </c>
      <c r="D42" t="s">
        <v>3053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717</v>
      </c>
      <c r="D43" t="s">
        <v>3053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3068</v>
      </c>
      <c r="D44" t="s">
        <v>3053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2161</v>
      </c>
      <c r="D45" t="s">
        <v>3053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218</v>
      </c>
      <c r="D46" t="s">
        <v>3053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973</v>
      </c>
      <c r="D47" t="s">
        <v>3053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1407</v>
      </c>
      <c r="D48" t="s">
        <v>3053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3069</v>
      </c>
      <c r="D49" t="s">
        <v>3053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2719</v>
      </c>
      <c r="D50" t="s">
        <v>3053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3070</v>
      </c>
      <c r="D51" t="s">
        <v>3053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1062</v>
      </c>
      <c r="D52" t="s">
        <v>3053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1759</v>
      </c>
      <c r="D53" t="s">
        <v>3053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3071</v>
      </c>
      <c r="D54" t="s">
        <v>3053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81</v>
      </c>
      <c r="D55" t="s">
        <v>3053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1103</v>
      </c>
      <c r="D56" t="s">
        <v>3053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2055</v>
      </c>
      <c r="D57" t="s">
        <v>3053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3072</v>
      </c>
      <c r="D58" t="s">
        <v>3053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2089</v>
      </c>
      <c r="D59" t="s">
        <v>3053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2021</v>
      </c>
      <c r="D60" t="s">
        <v>3053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3073</v>
      </c>
      <c r="D61" t="s">
        <v>3053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3074</v>
      </c>
      <c r="D62" t="s">
        <v>3053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3075</v>
      </c>
      <c r="D63" t="s">
        <v>3053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3076</v>
      </c>
      <c r="D64" t="s">
        <v>3053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2794</v>
      </c>
      <c r="D65" t="s">
        <v>3053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2556</v>
      </c>
      <c r="D66" t="s">
        <v>3053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3077</v>
      </c>
      <c r="D67" t="s">
        <v>3053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3078</v>
      </c>
      <c r="D68" t="s">
        <v>3053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2457</v>
      </c>
      <c r="D69" t="s">
        <v>3053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3079</v>
      </c>
      <c r="D70" t="s">
        <v>3053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3053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2322</v>
      </c>
      <c r="D72" t="s">
        <v>3053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2301</v>
      </c>
      <c r="D73" t="s">
        <v>3053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3080</v>
      </c>
      <c r="D74" t="s">
        <v>3053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115</v>
      </c>
      <c r="D75" t="s">
        <v>3053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942</v>
      </c>
      <c r="D76" t="s">
        <v>3053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803</v>
      </c>
      <c r="D77" t="s">
        <v>3053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425</v>
      </c>
      <c r="D78" t="s">
        <v>3053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3081</v>
      </c>
      <c r="D79" t="s">
        <v>3053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3082</v>
      </c>
      <c r="D80" t="s">
        <v>3053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3083</v>
      </c>
      <c r="D81" t="s">
        <v>3053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3084</v>
      </c>
      <c r="D82" t="s">
        <v>3053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2482</v>
      </c>
      <c r="D83" t="s">
        <v>3053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3085</v>
      </c>
      <c r="D84" t="s">
        <v>3053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3053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3086</v>
      </c>
      <c r="D86" t="s">
        <v>3053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3087</v>
      </c>
      <c r="D87" t="s">
        <v>3053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3088</v>
      </c>
      <c r="D88" t="s">
        <v>3053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3089</v>
      </c>
      <c r="D89" t="s">
        <v>3053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3090</v>
      </c>
      <c r="D90" t="s">
        <v>3053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3091</v>
      </c>
      <c r="D91" t="s">
        <v>3053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3092</v>
      </c>
      <c r="D92" t="s">
        <v>3053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3093</v>
      </c>
      <c r="D93" t="s">
        <v>3053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3094</v>
      </c>
      <c r="D94" t="s">
        <v>3053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2920</v>
      </c>
      <c r="D95" t="s">
        <v>3053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3095</v>
      </c>
      <c r="D96" t="s">
        <v>3053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2912</v>
      </c>
      <c r="D97" t="s">
        <v>3053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3096</v>
      </c>
      <c r="D98" t="s">
        <v>3053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3097</v>
      </c>
      <c r="D99" t="s">
        <v>3053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3098</v>
      </c>
      <c r="D100" t="s">
        <v>3053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3099</v>
      </c>
      <c r="D101" t="s">
        <v>3053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2713</v>
      </c>
      <c r="D102" t="s">
        <v>3053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3100</v>
      </c>
      <c r="D103" t="s">
        <v>3053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3101</v>
      </c>
      <c r="D104" t="s">
        <v>3053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3102</v>
      </c>
      <c r="D105" t="s">
        <v>3053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2866</v>
      </c>
      <c r="D106" t="s">
        <v>3053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2871</v>
      </c>
      <c r="D107" t="s">
        <v>3053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3103</v>
      </c>
      <c r="D108" t="s">
        <v>3053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3104</v>
      </c>
      <c r="D109" t="s">
        <v>3053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80" activePane="bottomLeft" state="frozen"/>
      <selection pane="bottomLeft" activeCell="D100" sqref="D100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3105</v>
      </c>
      <c r="C1" s="18" t="s">
        <v>3106</v>
      </c>
      <c r="D1" s="18" t="s">
        <v>4</v>
      </c>
      <c r="E1" s="18" t="s">
        <v>3107</v>
      </c>
      <c r="F1" s="18" t="s">
        <v>19</v>
      </c>
      <c r="G1" s="18" t="s">
        <v>3108</v>
      </c>
      <c r="H1" s="18" t="s">
        <v>3109</v>
      </c>
      <c r="I1" s="18" t="s">
        <v>3110</v>
      </c>
      <c r="J1" s="18" t="s">
        <v>3111</v>
      </c>
      <c r="L1" s="110" t="s">
        <v>3112</v>
      </c>
      <c r="M1" s="22">
        <v>2026</v>
      </c>
      <c r="U1" s="79" t="s">
        <v>3113</v>
      </c>
      <c r="V1" s="78"/>
      <c r="X1" s="77" t="s">
        <v>3114</v>
      </c>
      <c r="Y1" s="26"/>
      <c r="Z1" s="26"/>
      <c r="AA1" s="26"/>
      <c r="AC1" s="99" t="s">
        <v>3115</v>
      </c>
    </row>
    <row r="2" spans="1:31">
      <c r="A2" s="20" cm="1">
        <f t="array" aca="1" ref="A2:J139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3116</v>
      </c>
      <c r="M2" s="106" t="s">
        <v>2928</v>
      </c>
      <c r="X2" s="112" t="s">
        <v>3105</v>
      </c>
      <c r="Y2" s="112" t="s">
        <v>19</v>
      </c>
      <c r="Z2" s="112" t="s">
        <v>3117</v>
      </c>
      <c r="AA2" s="112" t="s">
        <v>3118</v>
      </c>
      <c r="AC2" s="113" t="s">
        <v>1</v>
      </c>
      <c r="AD2" s="113" t="s">
        <v>3119</v>
      </c>
      <c r="AE2" s="113" t="s">
        <v>3120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3121</v>
      </c>
      <c r="M3" s="111" t="s">
        <v>3122</v>
      </c>
      <c r="N3" s="111" t="s">
        <v>3123</v>
      </c>
      <c r="O3" s="111" t="s">
        <v>3124</v>
      </c>
      <c r="P3" s="111" t="s">
        <v>3125</v>
      </c>
      <c r="Q3" s="111" t="s">
        <v>3126</v>
      </c>
      <c r="R3" s="111" t="s">
        <v>3127</v>
      </c>
      <c r="S3" s="111" t="s">
        <v>3128</v>
      </c>
      <c r="T3" s="111" t="s">
        <v>3129</v>
      </c>
      <c r="X3" t="s">
        <v>2835</v>
      </c>
      <c r="Y3" t="s">
        <v>3066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7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8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2858</v>
      </c>
      <c r="Y5" t="s">
        <v>2831</v>
      </c>
      <c r="Z5">
        <v>1</v>
      </c>
      <c r="AA5">
        <v>0.6</v>
      </c>
      <c r="AC5" s="96">
        <v>2026</v>
      </c>
      <c r="AD5" s="17" t="s">
        <v>3130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2858</v>
      </c>
      <c r="Y6" t="s">
        <v>3066</v>
      </c>
      <c r="Z6">
        <v>1</v>
      </c>
      <c r="AA6">
        <v>0</v>
      </c>
      <c r="AC6" s="96">
        <v>2026</v>
      </c>
      <c r="AD6" s="17" t="s">
        <v>3131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2948</v>
      </c>
      <c r="Y8" s="17" t="s">
        <v>1350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2948</v>
      </c>
      <c r="Y9" s="17" t="s">
        <v>1030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2948</v>
      </c>
      <c r="Y10" s="17" t="s">
        <v>1374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2948</v>
      </c>
      <c r="Y11" s="17" t="s">
        <v>3060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2948</v>
      </c>
      <c r="Y12" s="17" t="s">
        <v>3078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2957</v>
      </c>
      <c r="Y13" s="17" t="s">
        <v>1350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2957</v>
      </c>
      <c r="Y14" s="17" t="s">
        <v>1030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2957</v>
      </c>
      <c r="Y15" s="17" t="s">
        <v>1374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2957</v>
      </c>
      <c r="Y16" s="17" t="s">
        <v>3060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2957</v>
      </c>
      <c r="Y17" s="17" t="s">
        <v>3078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2953</v>
      </c>
      <c r="Y18" s="17" t="s">
        <v>1350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2953</v>
      </c>
      <c r="Y19" s="17" t="s">
        <v>1030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2953</v>
      </c>
      <c r="Y20" s="17" t="s">
        <v>1374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2953</v>
      </c>
      <c r="Y21" s="17" t="s">
        <v>3060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2953</v>
      </c>
      <c r="Y22" s="17" t="s">
        <v>3078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3066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3066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3101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3097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3079</v>
      </c>
      <c r="Z33">
        <v>4</v>
      </c>
      <c r="AA33">
        <v>0.6</v>
      </c>
      <c r="AC33" s="98"/>
      <c r="AD33" s="114" t="s">
        <v>3132</v>
      </c>
      <c r="AE33" s="115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3080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2896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2896</v>
      </c>
      <c r="Y42" t="s">
        <v>3071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2904</v>
      </c>
      <c r="Y43" s="17" t="s">
        <v>3088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2904</v>
      </c>
      <c r="Y44" s="17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3087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3099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3096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3098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3095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3133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3102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3100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2783</v>
      </c>
      <c r="Y55" t="s">
        <v>3087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2936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2748</v>
      </c>
      <c r="Y58" s="109" t="s">
        <v>3094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2748</v>
      </c>
      <c r="Y59" t="s">
        <v>3093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2748</v>
      </c>
      <c r="Y60" t="s">
        <v>3092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Realizado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2701</v>
      </c>
      <c r="Y61" s="17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Realizado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2701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2701</v>
      </c>
      <c r="Y63" s="103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2701</v>
      </c>
      <c r="Y64" t="s">
        <v>3084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2709</v>
      </c>
      <c r="Y65" t="s">
        <v>2713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2709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2026-090</v>
      </c>
      <c r="N67" t="str">
        <f ca="1"/>
        <v>A realizar</v>
      </c>
      <c r="O67" t="str">
        <f ca="1"/>
        <v>Gestão de Conflitos – da escuta à solução</v>
      </c>
      <c r="P67">
        <f ca="1"/>
        <v>20</v>
      </c>
      <c r="Q67" t="str">
        <f ca="1"/>
        <v>Isac Mendes Caixeta de Pamplona Araújo; Isabel Cristina Ribeiro</v>
      </c>
      <c r="R67">
        <f ca="1"/>
        <v>2</v>
      </c>
      <c r="S67">
        <f ca="1"/>
        <v>138</v>
      </c>
      <c r="T67">
        <f ca="1"/>
        <v>136</v>
      </c>
      <c r="X67" t="s">
        <v>2961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T68">
        <f ca="1"/>
        <v>138</v>
      </c>
      <c r="X68" t="s">
        <v>2961</v>
      </c>
      <c r="Y68" t="s">
        <v>3082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2788</v>
      </c>
      <c r="Y69" t="s">
        <v>2794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2822</v>
      </c>
      <c r="Y70" s="17" t="s">
        <v>2831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2822</v>
      </c>
      <c r="Y71" s="17" t="s">
        <v>3066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2872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2872</v>
      </c>
      <c r="Y73" t="s">
        <v>3071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2913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2900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2900</v>
      </c>
      <c r="Y77" t="s">
        <v>3085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2884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2884</v>
      </c>
      <c r="Y79" t="s">
        <v>3089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3086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2880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2880</v>
      </c>
      <c r="Y82" t="s">
        <v>3090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2948</v>
      </c>
      <c r="Y83" t="s">
        <v>3072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2953</v>
      </c>
      <c r="Y84" t="s">
        <v>3072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2957</v>
      </c>
      <c r="Y85" t="s">
        <v>3072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3134</v>
      </c>
      <c r="Y86" t="s">
        <v>717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3134</v>
      </c>
      <c r="Y87" t="s">
        <v>3084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3134</v>
      </c>
      <c r="Y88" t="s">
        <v>1350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2026-081</v>
      </c>
      <c r="C129" t="str">
        <f ca="1"/>
        <v>Realizado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2026-082</v>
      </c>
      <c r="C130" t="str">
        <f ca="1"/>
        <v>Realizado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2026-082</v>
      </c>
      <c r="C131" t="str">
        <f ca="1"/>
        <v>Realizado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2026-090</v>
      </c>
      <c r="C138" t="str">
        <f ca="1"/>
        <v>A realizar</v>
      </c>
      <c r="D138" t="str">
        <f ca="1"/>
        <v>Gestão de Conflitos – da escuta à solução</v>
      </c>
      <c r="E138">
        <f ca="1"/>
        <v>20</v>
      </c>
      <c r="F138" t="str">
        <f ca="1"/>
        <v>Isac Mendes Caixeta de Pamplona Araújo</v>
      </c>
      <c r="G138">
        <f ca="1"/>
        <v>2</v>
      </c>
      <c r="H138">
        <f ca="1"/>
        <v>20</v>
      </c>
      <c r="I138">
        <f ca="1"/>
        <v>6</v>
      </c>
      <c r="J138">
        <f ca="1"/>
        <v>26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2026-090</v>
      </c>
      <c r="C139" t="str">
        <f ca="1"/>
        <v>A realizar</v>
      </c>
      <c r="D139" t="str">
        <f ca="1"/>
        <v>Gestão de Conflitos – da escuta à solução</v>
      </c>
      <c r="E139">
        <f ca="1"/>
        <v>20</v>
      </c>
      <c r="F139" t="str">
        <f ca="1"/>
        <v>Isabel Cristina Ribeiro</v>
      </c>
      <c r="G139">
        <f ca="1"/>
        <v>2</v>
      </c>
      <c r="H139">
        <f ca="1"/>
        <v>20</v>
      </c>
      <c r="I139">
        <f ca="1"/>
        <v>6</v>
      </c>
      <c r="J139">
        <f ca="1"/>
        <v>26</v>
      </c>
      <c r="R139" t="str">
        <f ca="1"/>
        <v/>
      </c>
      <c r="S139" t="str">
        <f ca="1"/>
        <v/>
      </c>
    </row>
    <row r="140" spans="1:19">
      <c r="R140" t="str">
        <f ca="1"/>
        <v/>
      </c>
      <c r="S140" t="str">
        <f ca="1"/>
        <v/>
      </c>
    </row>
    <row r="141" spans="1:19">
      <c r="R141" t="str">
        <f ca="1"/>
        <v/>
      </c>
      <c r="S141" t="str">
        <f ca="1"/>
        <v/>
      </c>
    </row>
    <row r="142" spans="1:19">
      <c r="R142" t="str">
        <f ca="1"/>
        <v/>
      </c>
      <c r="S142" t="str">
        <f ca="1"/>
        <v/>
      </c>
    </row>
    <row r="143" spans="1:19">
      <c r="R143" t="str">
        <f ca="1"/>
        <v/>
      </c>
      <c r="S143" t="str">
        <f ca="1"/>
        <v/>
      </c>
    </row>
    <row r="144" spans="1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2" t="s">
        <v>3135</v>
      </c>
      <c r="B1" s="212"/>
      <c r="C1" s="212"/>
      <c r="D1" s="212"/>
      <c r="E1" s="212"/>
      <c r="F1" s="212"/>
      <c r="G1" s="212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213" t="s">
        <v>3136</v>
      </c>
      <c r="B4" s="214"/>
      <c r="D4" s="215" t="s">
        <v>3137</v>
      </c>
      <c r="E4" s="216"/>
      <c r="G4" s="44" t="s">
        <v>3138</v>
      </c>
    </row>
    <row r="5" spans="1:7" ht="54.95" customHeight="1" thickBot="1">
      <c r="A5" s="34">
        <f>COUNTIF('Ações InCompany'!B:B,2026)</f>
        <v>90</v>
      </c>
      <c r="B5" s="35" t="s">
        <v>3139</v>
      </c>
      <c r="D5" s="42">
        <f>COUNTIFS('Ações InCompany'!B:B,2026,'Ações InCompany'!C:C,"Realizado")</f>
        <v>59</v>
      </c>
      <c r="E5" s="43" t="s">
        <v>3139</v>
      </c>
      <c r="G5" s="45">
        <f>COUNTIFS('Ações InCompany'!B:B,2026,'Ações InCompany'!C:C,"A realizar")</f>
        <v>23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211" t="s">
        <v>3140</v>
      </c>
      <c r="B8" s="211"/>
      <c r="D8" s="211" t="s">
        <v>3141</v>
      </c>
      <c r="E8" s="211"/>
    </row>
    <row r="9" spans="1:7" ht="5.0999999999999996" customHeight="1">
      <c r="A9" s="223"/>
      <c r="B9" s="223"/>
      <c r="D9" s="223"/>
      <c r="E9" s="223"/>
    </row>
    <row r="10" spans="1:7" ht="24.95" customHeight="1">
      <c r="A10" s="27" t="s">
        <v>5</v>
      </c>
      <c r="B10" s="27" t="s">
        <v>3142</v>
      </c>
      <c r="D10" s="27" t="s">
        <v>3143</v>
      </c>
      <c r="E10" s="27" t="s">
        <v>3144</v>
      </c>
    </row>
    <row r="11" spans="1:7" ht="27.95" customHeight="1">
      <c r="A11" s="28" t="s">
        <v>24</v>
      </c>
      <c r="B11" s="29">
        <f>COUNTIFS('Ações InCompany'!B:B,2026,'Ações InCompany'!C:C,"Realizado",'Ações InCompany'!F:F,"Servidores do TCDF")</f>
        <v>22</v>
      </c>
      <c r="D11" s="28" t="s">
        <v>3145</v>
      </c>
      <c r="E11" s="29">
        <f>SUMIFS('Ações InCompany'!O:O,'Ações InCompany'!B:B,2026,'Ações InCompany'!C:C,"Realizado")</f>
        <v>941</v>
      </c>
    </row>
    <row r="12" spans="1:7" ht="27.95" customHeight="1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3146</v>
      </c>
      <c r="E12" s="31">
        <f>SUMIFS('Ações InCompany'!P:P,'Ações InCompany'!B:B,2026,'Ações InCompany'!C:C,"Realizado")</f>
        <v>1572</v>
      </c>
    </row>
    <row r="13" spans="1:7" ht="27.95" customHeight="1">
      <c r="A13" s="28" t="s">
        <v>88</v>
      </c>
      <c r="B13" s="29">
        <f>COUNTIFS('Ações InCompany'!B:B,2026,'Ações InCompany'!C:C,"Realizado",'Ações InCompany'!F:F,"Sociedade")</f>
        <v>11</v>
      </c>
      <c r="D13" s="28" t="s">
        <v>3147</v>
      </c>
      <c r="E13" s="29">
        <f>SUMIFS('Ações InCompany'!Q:Q,'Ações InCompany'!B:B,2026,'Ações InCompany'!C:C,"Realizado")</f>
        <v>750</v>
      </c>
    </row>
    <row r="14" spans="1:7" ht="27.95" customHeight="1">
      <c r="A14" s="32" t="s">
        <v>3148</v>
      </c>
      <c r="B14" s="33">
        <f>SUM(B11:B13)</f>
        <v>59</v>
      </c>
      <c r="D14" s="32" t="s">
        <v>3149</v>
      </c>
      <c r="E14" s="33">
        <f>SUM(E11:E13)</f>
        <v>3263</v>
      </c>
    </row>
    <row r="30" spans="1:5" ht="17.25">
      <c r="A30" s="211" t="s">
        <v>3150</v>
      </c>
      <c r="B30" s="211"/>
      <c r="C30" s="211"/>
      <c r="D30" s="211"/>
      <c r="E30" s="211"/>
    </row>
    <row r="31" spans="1:5" ht="5.0999999999999996" customHeight="1">
      <c r="A31" s="223"/>
      <c r="B31" s="223"/>
      <c r="C31" s="223"/>
      <c r="D31" s="223"/>
      <c r="E31" s="223"/>
    </row>
    <row r="32" spans="1:5" ht="24.95" customHeight="1">
      <c r="A32" s="27" t="s">
        <v>6</v>
      </c>
      <c r="B32" s="27" t="s">
        <v>3151</v>
      </c>
      <c r="C32" s="27" t="s">
        <v>3152</v>
      </c>
      <c r="D32" s="27" t="s">
        <v>3153</v>
      </c>
      <c r="E32" s="27" t="s">
        <v>3154</v>
      </c>
    </row>
    <row r="33" spans="1:5" ht="24" customHeight="1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21</v>
      </c>
      <c r="E33" s="37">
        <f t="shared" ref="E33:E44" si="1">D33/$D$45</f>
        <v>0.25609756097560976</v>
      </c>
    </row>
    <row r="34" spans="1:5" ht="24" customHeight="1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4.878048780487805E-2</v>
      </c>
    </row>
    <row r="35" spans="1:5" ht="24" customHeight="1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3</v>
      </c>
      <c r="D35" s="36">
        <f t="shared" si="0"/>
        <v>9</v>
      </c>
      <c r="E35" s="37">
        <f t="shared" si="1"/>
        <v>0.10975609756097561</v>
      </c>
    </row>
    <row r="36" spans="1:5" ht="24" customHeight="1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2.4390243902439025E-2</v>
      </c>
    </row>
    <row r="37" spans="1:5" ht="24" customHeight="1">
      <c r="A37" s="28" t="s">
        <v>206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5</v>
      </c>
      <c r="D37" s="36">
        <f t="shared" si="0"/>
        <v>10</v>
      </c>
      <c r="E37" s="37">
        <f t="shared" si="1"/>
        <v>0.12195121951219512</v>
      </c>
    </row>
    <row r="38" spans="1:5" ht="24" customHeight="1">
      <c r="A38" s="30" t="s">
        <v>2717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0.25609756097560976</v>
      </c>
    </row>
    <row r="39" spans="1:5" ht="24" customHeight="1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4.878048780487805E-2</v>
      </c>
    </row>
    <row r="40" spans="1:5" ht="24" customHeight="1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2.4390243902439025E-2</v>
      </c>
    </row>
    <row r="41" spans="1:5" ht="24" customHeight="1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8.5365853658536592E-2</v>
      </c>
    </row>
    <row r="42" spans="1:5" ht="24" customHeight="1">
      <c r="A42" s="74" t="s">
        <v>3155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2.4390243902439025E-2</v>
      </c>
    </row>
    <row r="44" spans="1:5" ht="24" customHeight="1">
      <c r="A44" s="66" t="s">
        <v>3156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3148</v>
      </c>
      <c r="B45" s="40">
        <f>SUM(B33:B44)</f>
        <v>59</v>
      </c>
      <c r="C45" s="40">
        <f>SUM(C33:C44)</f>
        <v>23</v>
      </c>
      <c r="D45" s="40">
        <f>SUM(D33:D44)</f>
        <v>82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3157</v>
      </c>
      <c r="B1" s="11" t="s">
        <v>3158</v>
      </c>
      <c r="C1" s="12" t="s">
        <v>3159</v>
      </c>
      <c r="D1" s="12" t="s">
        <v>3160</v>
      </c>
      <c r="E1" s="12" t="s">
        <v>3161</v>
      </c>
    </row>
    <row r="2" spans="1:5" ht="18" customHeight="1">
      <c r="A2" s="11" t="s">
        <v>3162</v>
      </c>
      <c r="B2" s="11" t="s">
        <v>3163</v>
      </c>
      <c r="C2" s="11" t="s">
        <v>1736</v>
      </c>
      <c r="D2" s="11" t="s">
        <v>3164</v>
      </c>
      <c r="E2" s="11" t="s">
        <v>3165</v>
      </c>
    </row>
    <row r="3" spans="1:5" ht="18" customHeight="1">
      <c r="A3" s="11" t="s">
        <v>3162</v>
      </c>
      <c r="B3" s="11" t="s">
        <v>3163</v>
      </c>
      <c r="C3" s="13" t="s">
        <v>25</v>
      </c>
      <c r="D3" s="11" t="s">
        <v>3166</v>
      </c>
      <c r="E3" s="11" t="s">
        <v>3167</v>
      </c>
    </row>
    <row r="4" spans="1:5" ht="18" customHeight="1">
      <c r="A4" s="11" t="s">
        <v>3162</v>
      </c>
      <c r="B4" s="11" t="s">
        <v>3163</v>
      </c>
      <c r="C4" s="11" t="s">
        <v>75</v>
      </c>
      <c r="D4" s="11" t="s">
        <v>3164</v>
      </c>
      <c r="E4" s="11" t="s">
        <v>3168</v>
      </c>
    </row>
    <row r="5" spans="1:5" ht="18" customHeight="1">
      <c r="A5" s="11" t="s">
        <v>3162</v>
      </c>
      <c r="B5" s="11" t="s">
        <v>3163</v>
      </c>
      <c r="C5" s="11" t="s">
        <v>79</v>
      </c>
      <c r="D5" s="11" t="s">
        <v>3169</v>
      </c>
      <c r="E5" s="11" t="s">
        <v>3170</v>
      </c>
    </row>
    <row r="6" spans="1:5" ht="18" customHeight="1">
      <c r="A6" s="11" t="s">
        <v>3162</v>
      </c>
      <c r="B6" s="11" t="s">
        <v>3163</v>
      </c>
      <c r="C6" s="11" t="s">
        <v>2717</v>
      </c>
      <c r="D6" s="11" t="s">
        <v>3171</v>
      </c>
      <c r="E6" s="11" t="s">
        <v>3172</v>
      </c>
    </row>
    <row r="7" spans="1:5" ht="18" customHeight="1">
      <c r="A7" s="11" t="s">
        <v>3162</v>
      </c>
      <c r="B7" s="11" t="s">
        <v>3173</v>
      </c>
      <c r="C7" s="11" t="s">
        <v>36</v>
      </c>
      <c r="D7" s="11" t="s">
        <v>3174</v>
      </c>
      <c r="E7" s="11" t="s">
        <v>3175</v>
      </c>
    </row>
    <row r="8" spans="1:5" ht="18" customHeight="1">
      <c r="A8" s="11" t="s">
        <v>3162</v>
      </c>
      <c r="B8" s="11" t="s">
        <v>3173</v>
      </c>
      <c r="C8" s="11" t="s">
        <v>42</v>
      </c>
      <c r="D8" s="11" t="s">
        <v>3176</v>
      </c>
      <c r="E8" s="11" t="s">
        <v>3177</v>
      </c>
    </row>
    <row r="9" spans="1:5" ht="18" customHeight="1">
      <c r="A9" s="11" t="s">
        <v>3162</v>
      </c>
      <c r="B9" s="11" t="s">
        <v>3178</v>
      </c>
      <c r="C9" s="11" t="s">
        <v>464</v>
      </c>
      <c r="D9" s="11" t="s">
        <v>3179</v>
      </c>
      <c r="E9" s="11" t="s">
        <v>3180</v>
      </c>
    </row>
    <row r="10" spans="1:5" ht="18" customHeight="1">
      <c r="A10" s="11" t="s">
        <v>3162</v>
      </c>
      <c r="B10" s="11" t="s">
        <v>3178</v>
      </c>
      <c r="C10" s="11" t="s">
        <v>206</v>
      </c>
      <c r="D10" s="11" t="s">
        <v>24</v>
      </c>
      <c r="E10" s="11" t="s">
        <v>3181</v>
      </c>
    </row>
    <row r="11" spans="1:5" ht="18" customHeight="1">
      <c r="A11" s="11" t="s">
        <v>3162</v>
      </c>
      <c r="B11" s="11" t="s">
        <v>3178</v>
      </c>
      <c r="C11" s="11" t="s">
        <v>371</v>
      </c>
      <c r="D11" s="11" t="s">
        <v>24</v>
      </c>
      <c r="E11" s="11" t="s">
        <v>3182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3183</v>
      </c>
      <c r="B1" s="5" t="s">
        <v>10</v>
      </c>
      <c r="C1" s="14" t="s">
        <v>3184</v>
      </c>
      <c r="D1" s="14" t="s">
        <v>3106</v>
      </c>
    </row>
    <row r="2" spans="1:4" ht="21" customHeight="1">
      <c r="A2" s="102" t="s">
        <v>24</v>
      </c>
      <c r="B2" s="102" t="s">
        <v>38</v>
      </c>
      <c r="C2" s="11" t="s">
        <v>3185</v>
      </c>
      <c r="D2" s="11" t="s">
        <v>2710</v>
      </c>
    </row>
    <row r="3" spans="1:4" ht="21" customHeight="1">
      <c r="A3" s="11" t="s">
        <v>69</v>
      </c>
      <c r="B3" s="102" t="s">
        <v>27</v>
      </c>
      <c r="C3" s="11" t="s">
        <v>3186</v>
      </c>
      <c r="D3" s="11" t="s">
        <v>2566</v>
      </c>
    </row>
    <row r="4" spans="1:4" ht="21" customHeight="1">
      <c r="A4" s="13" t="s">
        <v>88</v>
      </c>
      <c r="B4" s="102" t="s">
        <v>227</v>
      </c>
      <c r="D4" s="11" t="s">
        <v>2789</v>
      </c>
    </row>
    <row r="5" spans="1:4" ht="21" customHeight="1">
      <c r="A5" s="11" t="s">
        <v>232</v>
      </c>
      <c r="D5" s="11" t="s">
        <v>22</v>
      </c>
    </row>
    <row r="6" spans="1:4" ht="21" customHeight="1">
      <c r="D6" s="11" t="s">
        <v>2846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3157</v>
      </c>
      <c r="B1" s="11" t="s">
        <v>3158</v>
      </c>
      <c r="C1" s="12" t="s">
        <v>3159</v>
      </c>
      <c r="D1" s="12" t="s">
        <v>3160</v>
      </c>
      <c r="E1" s="12" t="s">
        <v>3161</v>
      </c>
    </row>
    <row r="2" spans="1:5" ht="18" customHeight="1">
      <c r="A2" s="11" t="s">
        <v>3187</v>
      </c>
      <c r="B2" s="11" t="s">
        <v>3163</v>
      </c>
      <c r="C2" s="13" t="s">
        <v>25</v>
      </c>
      <c r="D2" s="11" t="s">
        <v>3164</v>
      </c>
      <c r="E2" s="16" t="s">
        <v>3188</v>
      </c>
    </row>
    <row r="3" spans="1:5" ht="18" customHeight="1">
      <c r="A3" s="11" t="s">
        <v>3187</v>
      </c>
      <c r="B3" s="11" t="s">
        <v>3163</v>
      </c>
      <c r="C3" s="11" t="s">
        <v>75</v>
      </c>
      <c r="D3" s="11" t="s">
        <v>3166</v>
      </c>
      <c r="E3" s="11" t="s">
        <v>3189</v>
      </c>
    </row>
    <row r="4" spans="1:5" ht="18" customHeight="1">
      <c r="A4" s="11" t="s">
        <v>3187</v>
      </c>
      <c r="B4" s="11" t="s">
        <v>3163</v>
      </c>
      <c r="C4" s="11" t="s">
        <v>79</v>
      </c>
      <c r="D4" s="11" t="s">
        <v>3169</v>
      </c>
      <c r="E4" s="11" t="s">
        <v>3190</v>
      </c>
    </row>
    <row r="5" spans="1:5" ht="27.75" customHeight="1">
      <c r="A5" s="11" t="s">
        <v>3187</v>
      </c>
      <c r="B5" s="11" t="s">
        <v>3163</v>
      </c>
      <c r="C5" s="11" t="s">
        <v>2694</v>
      </c>
      <c r="D5" s="16" t="s">
        <v>3191</v>
      </c>
      <c r="E5" s="11" t="s">
        <v>3192</v>
      </c>
    </row>
    <row r="6" spans="1:5" ht="18" customHeight="1">
      <c r="A6" s="11" t="s">
        <v>3187</v>
      </c>
      <c r="B6" s="11" t="s">
        <v>3163</v>
      </c>
      <c r="C6" s="11" t="s">
        <v>2717</v>
      </c>
      <c r="D6" s="11" t="s">
        <v>3171</v>
      </c>
      <c r="E6" s="11" t="s">
        <v>3172</v>
      </c>
    </row>
    <row r="7" spans="1:5" ht="18" customHeight="1">
      <c r="A7" s="11" t="s">
        <v>3187</v>
      </c>
      <c r="B7" s="11" t="s">
        <v>3173</v>
      </c>
      <c r="C7" s="11" t="s">
        <v>2699</v>
      </c>
      <c r="D7" s="11" t="s">
        <v>3193</v>
      </c>
      <c r="E7" s="11" t="s">
        <v>3194</v>
      </c>
    </row>
    <row r="8" spans="1:5" ht="18" customHeight="1">
      <c r="A8" s="11" t="s">
        <v>3187</v>
      </c>
      <c r="B8" s="11" t="s">
        <v>3173</v>
      </c>
      <c r="C8" s="11" t="s">
        <v>42</v>
      </c>
      <c r="D8" s="11" t="s">
        <v>3176</v>
      </c>
      <c r="E8" s="11" t="s">
        <v>3177</v>
      </c>
    </row>
    <row r="9" spans="1:5" ht="18" customHeight="1">
      <c r="A9" s="11" t="s">
        <v>3187</v>
      </c>
      <c r="B9" s="11" t="s">
        <v>3173</v>
      </c>
      <c r="C9" s="11" t="s">
        <v>2792</v>
      </c>
      <c r="D9" s="11" t="s">
        <v>3195</v>
      </c>
      <c r="E9" s="16" t="s">
        <v>3196</v>
      </c>
    </row>
    <row r="10" spans="1:5" ht="18" customHeight="1">
      <c r="A10" s="11" t="s">
        <v>3187</v>
      </c>
      <c r="B10" s="11" t="s">
        <v>3197</v>
      </c>
      <c r="C10" s="11" t="s">
        <v>3155</v>
      </c>
      <c r="D10" s="11" t="s">
        <v>3198</v>
      </c>
      <c r="E10" s="16" t="s">
        <v>3199</v>
      </c>
    </row>
    <row r="11" spans="1:5" ht="18" customHeight="1">
      <c r="A11" s="11" t="s">
        <v>3187</v>
      </c>
      <c r="B11" s="11" t="s">
        <v>3197</v>
      </c>
      <c r="C11" s="11" t="s">
        <v>206</v>
      </c>
      <c r="D11" s="11" t="s">
        <v>24</v>
      </c>
      <c r="E11" s="11" t="s">
        <v>3181</v>
      </c>
    </row>
    <row r="12" spans="1:5" ht="18" customHeight="1">
      <c r="A12" s="11" t="s">
        <v>3187</v>
      </c>
      <c r="B12" s="11" t="s">
        <v>3197</v>
      </c>
      <c r="C12" s="11" t="s">
        <v>371</v>
      </c>
      <c r="D12" s="11" t="s">
        <v>24</v>
      </c>
      <c r="E12" s="11" t="s">
        <v>3182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17" t="s">
        <v>3200</v>
      </c>
      <c r="B1" s="217"/>
      <c r="C1" s="217"/>
      <c r="D1" s="217"/>
      <c r="E1" s="217"/>
      <c r="F1" s="217"/>
      <c r="G1" s="217"/>
      <c r="H1" s="217"/>
    </row>
    <row r="2" spans="1:8">
      <c r="A2" s="48" t="s">
        <v>3201</v>
      </c>
    </row>
    <row r="4" spans="1:8" ht="21.95" customHeight="1">
      <c r="A4" s="218" t="s">
        <v>3202</v>
      </c>
      <c r="B4" s="219"/>
      <c r="D4" s="218" t="s">
        <v>3203</v>
      </c>
      <c r="E4" s="219"/>
      <c r="G4" s="218" t="s">
        <v>3204</v>
      </c>
      <c r="H4" s="219"/>
    </row>
    <row r="5" spans="1:8" ht="35.1" customHeight="1">
      <c r="A5" s="222">
        <f>COUNTIF('Ações InCompany'!E:E,"*maratona*")</f>
        <v>13</v>
      </c>
      <c r="B5" s="221"/>
      <c r="D5" s="220">
        <f>SUM(H8:H100)</f>
        <v>1762</v>
      </c>
      <c r="E5" s="221"/>
      <c r="G5" s="220">
        <f>IFERROR(ROUND(D5/A5,0),"-")</f>
        <v>136</v>
      </c>
      <c r="H5" s="221"/>
    </row>
    <row r="6" spans="1:8" ht="9.9499999999999993" customHeight="1"/>
    <row r="7" spans="1:8" ht="24.95" customHeight="1" thickBot="1">
      <c r="A7" s="61" t="s">
        <v>3205</v>
      </c>
      <c r="B7" s="61" t="s">
        <v>3206</v>
      </c>
      <c r="C7" s="61" t="s">
        <v>1</v>
      </c>
      <c r="D7" s="61" t="s">
        <v>3207</v>
      </c>
      <c r="E7" s="61" t="s">
        <v>3208</v>
      </c>
      <c r="F7" s="61" t="s">
        <v>3106</v>
      </c>
      <c r="G7" s="61" t="s">
        <v>5</v>
      </c>
      <c r="H7" s="61" t="s">
        <v>3209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>Adiado</v>
      </c>
      <c r="G8" s="50" t="str">
        <v>Jurisdicionados</v>
      </c>
      <c r="H8" s="51">
        <v>0</v>
      </c>
    </row>
    <row r="9" spans="1:8" ht="20.100000000000001" customHeight="1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5" activePane="bottomLeft" state="frozen"/>
      <selection pane="bottomLeft" activeCell="E25" sqref="E2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24" t="s">
        <v>3210</v>
      </c>
      <c r="B1" s="224"/>
      <c r="C1" s="224"/>
      <c r="D1" s="224"/>
      <c r="E1" s="224"/>
      <c r="F1" s="224"/>
    </row>
    <row r="2" spans="1:7">
      <c r="A2" s="225" t="s">
        <v>3211</v>
      </c>
      <c r="B2" s="225"/>
      <c r="C2" s="225"/>
      <c r="D2" s="225"/>
      <c r="E2" s="225"/>
      <c r="F2" s="225"/>
    </row>
    <row r="4" spans="1:7">
      <c r="A4" s="24" t="s">
        <v>19</v>
      </c>
      <c r="B4" s="24" t="s">
        <v>3109</v>
      </c>
      <c r="C4" s="24" t="s">
        <v>3110</v>
      </c>
      <c r="D4" s="24" t="s">
        <v>3212</v>
      </c>
      <c r="E4" s="24" t="s">
        <v>3111</v>
      </c>
      <c r="F4" s="24" t="s">
        <v>3213</v>
      </c>
    </row>
    <row r="5" spans="1:7">
      <c r="A5" t="str" cm="1">
        <f t="array" aca="1" ref="A5:A61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16</v>
      </c>
      <c r="C5" s="25">
        <f ca="1">IF($A5="","",SUMIFS('GECC 2026'!I$2:I$200,'GECC 2026'!F$2:F$200,$A5))</f>
        <v>4.8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20.8</v>
      </c>
      <c r="F5" s="23">
        <f ca="1">IF($A5="","",COUNTIFS('GECC 2026'!F$2:F$200,$A5))</f>
        <v>5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>
      <c r="A11" t="str">
        <f ca="1"/>
        <v>Carina de Souza Mariuba Herthel</v>
      </c>
      <c r="B11" s="25">
        <f ca="1">IF($A11="","",SUMIFS('GECC 2026'!H$2:H$200,'GECC 2026'!F$2:F$200,$A11))</f>
        <v>8</v>
      </c>
      <c r="C11" s="25">
        <f ca="1">IF($A11="","",SUMIFS('GECC 2026'!I$2:I$200,'GECC 2026'!F$2:F$200,$A11))</f>
        <v>2.4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10.4</v>
      </c>
      <c r="F11" s="23">
        <f ca="1">IF($A11="","",COUNTIFS('GECC 2026'!F$2:F$200,$A11))</f>
        <v>1</v>
      </c>
    </row>
    <row r="12" spans="1:7">
      <c r="A12" t="str">
        <f ca="1"/>
        <v>Carlos Antônio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>
      <c r="A13" t="str">
        <f ca="1"/>
        <v>Carolina Pereira de Oliveira</v>
      </c>
      <c r="B13" s="25">
        <f ca="1">IF($A13="","",SUMIFS('GECC 2026'!H$2:H$200,'GECC 2026'!F$2:F$200,$A13))</f>
        <v>1</v>
      </c>
      <c r="C13" s="25">
        <f ca="1">IF($A13="","",SUMIFS('GECC 2026'!I$2:I$200,'GECC 2026'!F$2:F$200,$A13))</f>
        <v>0.3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1.3</v>
      </c>
      <c r="F13" s="23">
        <f ca="1">IF($A13="","",COUNTIFS('GECC 2026'!F$2:F$200,$A13))</f>
        <v>1</v>
      </c>
    </row>
    <row r="14" spans="1:7">
      <c r="A14" t="str">
        <f ca="1"/>
        <v>Cássio Murilo Alves Costa Filho</v>
      </c>
      <c r="B14" s="25">
        <f ca="1">IF($A14="","",SUMIFS('GECC 2026'!H$2:H$200,'GECC 2026'!F$2:F$200,$A14))</f>
        <v>16</v>
      </c>
      <c r="C14" s="25">
        <f ca="1">IF($A14="","",SUMIFS('GECC 2026'!I$2:I$200,'GECC 2026'!F$2:F$200,$A14))</f>
        <v>4.8</v>
      </c>
      <c r="D14" s="100">
        <f ca="1">IF($A14="","",SUMIFS('GECC 2026'!$AE$3:$AE$32,'GECC 2026'!$AD$3:$AD$32,$A14))</f>
        <v>16</v>
      </c>
      <c r="E14" s="92">
        <f ca="1">IF($A14="","",SUMIFS('GECC 2026'!J$2:J$200,'GECC 2026'!F$2:F$200,$A14)+SUMIFS('GECC 2026'!$AE$3:$AE$32,'GECC 2026'!$AD$3:$AD$32,$A14))</f>
        <v>36.799999999999997</v>
      </c>
      <c r="F14" s="23">
        <f ca="1">IF($A14="","",COUNTIFS('GECC 2026'!F$2:F$200,$A14))</f>
        <v>1</v>
      </c>
    </row>
    <row r="15" spans="1:7">
      <c r="A15" t="str">
        <f ca="1"/>
        <v>Cinthia Thais de Carvalho Luz Thomazi</v>
      </c>
      <c r="B15" s="25">
        <f ca="1">IF($A15="","",SUMIFS('GECC 2026'!H$2:H$200,'GECC 2026'!F$2:F$200,$A15))</f>
        <v>37</v>
      </c>
      <c r="C15" s="25">
        <f ca="1">IF($A15="","",SUMIFS('GECC 2026'!I$2:I$200,'GECC 2026'!F$2:F$200,$A15))</f>
        <v>7.5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44.500000000000007</v>
      </c>
      <c r="F15" s="23">
        <f ca="1">IF($A15="","",COUNTIFS('GECC 2026'!F$2:F$200,$A15))</f>
        <v>8</v>
      </c>
    </row>
    <row r="16" spans="1:7">
      <c r="A16" t="str">
        <f ca="1"/>
        <v>Davi Assunção Salvador Nery de Castro</v>
      </c>
      <c r="B16" s="25">
        <f ca="1">IF($A16="","",SUMIFS('GECC 2026'!H$2:H$200,'GECC 2026'!F$2:F$200,$A16))</f>
        <v>12</v>
      </c>
      <c r="C16" s="25">
        <f ca="1">IF($A16="","",SUMIFS('GECC 2026'!I$2:I$200,'GECC 2026'!F$2:F$200,$A16))</f>
        <v>1.2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13.2</v>
      </c>
      <c r="F16" s="23">
        <f ca="1">IF($A16="","",COUNTIFS('GECC 2026'!F$2:F$200,$A16))</f>
        <v>1</v>
      </c>
    </row>
    <row r="17" spans="1:6">
      <c r="A17" t="str">
        <f ca="1"/>
        <v>David da Silva de Araújo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>
      <c r="A18" t="str">
        <f ca="1"/>
        <v>Denise Duarte Guirra Kuhlmann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3.5999999999999996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15.600000000000001</v>
      </c>
      <c r="F18" s="23">
        <f ca="1">IF($A18="","",COUNTIFS('GECC 2026'!F$2:F$200,$A18))</f>
        <v>3</v>
      </c>
    </row>
    <row r="19" spans="1:6">
      <c r="A19" t="str">
        <f ca="1"/>
        <v>Diversos</v>
      </c>
      <c r="B19" s="25">
        <f ca="1">IF($A19="","",SUMIFS('GECC 2026'!H$2:H$200,'GECC 2026'!F$2:F$200,$A19))</f>
        <v>0</v>
      </c>
      <c r="C19" s="25">
        <f ca="1">IF($A19="","",SUMIFS('GECC 2026'!I$2:I$200,'GECC 2026'!F$2:F$200,$A19))</f>
        <v>0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0</v>
      </c>
      <c r="F19" s="23">
        <f ca="1">IF($A19="","",COUNTIFS('GECC 2026'!F$2:F$200,$A19))</f>
        <v>2</v>
      </c>
    </row>
    <row r="20" spans="1:6">
      <c r="A20" t="str">
        <f ca="1"/>
        <v>Douglas Vieira Silva Filho</v>
      </c>
      <c r="B20" s="25">
        <f ca="1">IF($A20="","",SUMIFS('GECC 2026'!H$2:H$200,'GECC 2026'!F$2:F$200,$A20))</f>
        <v>4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5.2</v>
      </c>
      <c r="F20" s="23">
        <f ca="1">IF($A20="","",COUNTIFS('GECC 2026'!F$2:F$200,$A20))</f>
        <v>1</v>
      </c>
    </row>
    <row r="21" spans="1:6">
      <c r="A21" t="str">
        <f ca="1"/>
        <v>Elvis Aaron Teixeira dos Santos Lima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1</v>
      </c>
    </row>
    <row r="22" spans="1:6">
      <c r="A22" t="str">
        <f ca="1"/>
        <v>Eustáquio Rabelo de Souza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>
      <c r="A23" t="str">
        <f ca="1"/>
        <v>Felipe da Costa Malaquias</v>
      </c>
      <c r="B23" s="25">
        <f ca="1">IF($A23="","",SUMIFS('GECC 2026'!H$2:H$200,'GECC 2026'!F$2:F$200,$A23))</f>
        <v>16</v>
      </c>
      <c r="C23" s="25">
        <f ca="1">IF($A23="","",SUMIFS('GECC 2026'!I$2:I$200,'GECC 2026'!F$2:F$200,$A23))</f>
        <v>24.099999999999998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40.1</v>
      </c>
      <c r="F23" s="23">
        <f ca="1">IF($A23="","",COUNTIFS('GECC 2026'!F$2:F$200,$A23))</f>
        <v>3</v>
      </c>
    </row>
    <row r="24" spans="1:6">
      <c r="A24" t="str">
        <f ca="1"/>
        <v>Felipe Ramos Barbosa</v>
      </c>
      <c r="B24" s="25">
        <f ca="1">IF($A24="","",SUMIFS('GECC 2026'!H$2:H$200,'GECC 2026'!F$2:F$200,$A24))</f>
        <v>1</v>
      </c>
      <c r="C24" s="25">
        <f ca="1">IF($A24="","",SUMIFS('GECC 2026'!I$2:I$200,'GECC 2026'!F$2:F$200,$A24))</f>
        <v>0.3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1.3</v>
      </c>
      <c r="F24" s="23">
        <f ca="1">IF($A24="","",COUNTIFS('GECC 2026'!F$2:F$200,$A24))</f>
        <v>1</v>
      </c>
    </row>
    <row r="25" spans="1:6">
      <c r="A25" t="str">
        <f ca="1"/>
        <v>Fernanda Viana de Souza</v>
      </c>
      <c r="B25" s="25">
        <f ca="1">IF($A25="","",SUMIFS('GECC 2026'!H$2:H$200,'GECC 2026'!F$2:F$200,$A25))</f>
        <v>29</v>
      </c>
      <c r="C25" s="25">
        <f ca="1">IF($A25="","",SUMIFS('GECC 2026'!I$2:I$200,'GECC 2026'!F$2:F$200,$A25))</f>
        <v>8.7000000000000011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37.699999999999996</v>
      </c>
      <c r="F25" s="23">
        <f ca="1">IF($A25="","",COUNTIFS('GECC 2026'!F$2:F$200,$A25))</f>
        <v>8</v>
      </c>
    </row>
    <row r="26" spans="1:6">
      <c r="A26" t="str">
        <f ca="1"/>
        <v>Flávio José Fonseca de Souza</v>
      </c>
      <c r="B26" s="25">
        <f ca="1">IF($A26="","",SUMIFS('GECC 2026'!H$2:H$200,'GECC 2026'!F$2:F$200,$A26))</f>
        <v>8</v>
      </c>
      <c r="C26" s="25">
        <f ca="1">IF($A26="","",SUMIFS('GECC 2026'!I$2:I$200,'GECC 2026'!F$2:F$200,$A26))</f>
        <v>2.4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10.4</v>
      </c>
      <c r="F26" s="23">
        <f ca="1">IF($A26="","",COUNTIFS('GECC 2026'!F$2:F$200,$A26))</f>
        <v>1</v>
      </c>
    </row>
    <row r="27" spans="1:6">
      <c r="A27" t="str">
        <f ca="1"/>
        <v>Gabriel Heller</v>
      </c>
      <c r="B27" s="25">
        <f ca="1">IF($A27="","",SUMIFS('GECC 2026'!H$2:H$200,'GECC 2026'!F$2:F$200,$A27))</f>
        <v>4</v>
      </c>
      <c r="C27" s="25">
        <f ca="1">IF($A27="","",SUMIFS('GECC 2026'!I$2:I$200,'GECC 2026'!F$2:F$200,$A27))</f>
        <v>33.200000000000003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37.200000000000003</v>
      </c>
      <c r="F27" s="23">
        <f ca="1">IF($A27="","",COUNTIFS('GECC 2026'!F$2:F$200,$A27))</f>
        <v>3</v>
      </c>
    </row>
    <row r="28" spans="1:6">
      <c r="A28" t="str">
        <f ca="1"/>
        <v>Guilherme Bride Fernandes</v>
      </c>
      <c r="B28" s="25">
        <f ca="1">IF($A28="","",SUMIFS('GECC 2026'!H$2:H$200,'GECC 2026'!F$2:F$200,$A28))</f>
        <v>0</v>
      </c>
      <c r="C28" s="25">
        <f ca="1">IF($A28="","",SUMIFS('GECC 2026'!I$2:I$200,'GECC 2026'!F$2:F$200,$A28))</f>
        <v>0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0</v>
      </c>
      <c r="F28" s="23">
        <f ca="1">IF($A28="","",COUNTIFS('GECC 2026'!F$2:F$200,$A28))</f>
        <v>1</v>
      </c>
    </row>
    <row r="29" spans="1:6">
      <c r="A29" t="str">
        <f ca="1"/>
        <v>Gustavo Takahashi</v>
      </c>
      <c r="B29" s="25">
        <f ca="1">IF($A29="","",SUMIFS('GECC 2026'!H$2:H$200,'GECC 2026'!F$2:F$200,$A29))</f>
        <v>49</v>
      </c>
      <c r="C29" s="25">
        <f ca="1">IF($A29="","",SUMIFS('GECC 2026'!I$2:I$200,'GECC 2026'!F$2:F$200,$A29))</f>
        <v>4.8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53.8</v>
      </c>
      <c r="F29" s="23">
        <f ca="1">IF($A29="","",COUNTIFS('GECC 2026'!F$2:F$200,$A29))</f>
        <v>7</v>
      </c>
    </row>
    <row r="30" spans="1:6">
      <c r="A30" t="str">
        <f ca="1"/>
        <v>Hamilton de Jesus Lopes Neto</v>
      </c>
      <c r="B30" s="25">
        <f ca="1">IF($A30="","",SUMIFS('GECC 2026'!H$2:H$200,'GECC 2026'!F$2:F$200,$A30))</f>
        <v>12</v>
      </c>
      <c r="C30" s="25">
        <f ca="1">IF($A30="","",SUMIFS('GECC 2026'!I$2:I$200,'GECC 2026'!F$2:F$200,$A30))</f>
        <v>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13.2</v>
      </c>
      <c r="F30" s="23">
        <f ca="1">IF($A30="","",COUNTIFS('GECC 2026'!F$2:F$200,$A30))</f>
        <v>1</v>
      </c>
    </row>
    <row r="31" spans="1:6">
      <c r="A31" t="str">
        <f ca="1"/>
        <v>Igor Queiroz</v>
      </c>
      <c r="B31" s="25">
        <f ca="1">IF($A31="","",SUMIFS('GECC 2026'!H$2:H$200,'GECC 2026'!F$2:F$200,$A31))</f>
        <v>1</v>
      </c>
      <c r="C31" s="25">
        <f ca="1">IF($A31="","",SUMIFS('GECC 2026'!I$2:I$200,'GECC 2026'!F$2:F$200,$A31))</f>
        <v>0.3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1.3</v>
      </c>
      <c r="F31" s="23">
        <f ca="1">IF($A31="","",COUNTIFS('GECC 2026'!F$2:F$200,$A31))</f>
        <v>1</v>
      </c>
    </row>
    <row r="32" spans="1:6">
      <c r="A32" t="str">
        <f ca="1"/>
        <v>Indio Artiaga do Brasil Rabelo</v>
      </c>
      <c r="B32" s="25">
        <f ca="1">IF($A32="","",SUMIFS('GECC 2026'!H$2:H$200,'GECC 2026'!F$2:F$200,$A32))</f>
        <v>16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20.8</v>
      </c>
      <c r="F32" s="23">
        <f ca="1">IF($A32="","",COUNTIFS('GECC 2026'!F$2:F$200,$A32))</f>
        <v>2</v>
      </c>
    </row>
    <row r="33" spans="1:6">
      <c r="A33" t="str">
        <f ca="1"/>
        <v>Isabel Cristina Ribeiro</v>
      </c>
      <c r="B33" s="25">
        <f ca="1">IF($A33="","",SUMIFS('GECC 2026'!H$2:H$200,'GECC 2026'!F$2:F$200,$A33))</f>
        <v>20</v>
      </c>
      <c r="C33" s="25">
        <f ca="1">IF($A33="","",SUMIFS('GECC 2026'!I$2:I$200,'GECC 2026'!F$2:F$200,$A33))</f>
        <v>6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26</v>
      </c>
      <c r="F33" s="23">
        <f ca="1">IF($A33="","",COUNTIFS('GECC 2026'!F$2:F$200,$A33))</f>
        <v>1</v>
      </c>
    </row>
    <row r="34" spans="1:6">
      <c r="A34" t="str">
        <f ca="1"/>
        <v>Isac Mendes Caixeta de Pamplona Araújo</v>
      </c>
      <c r="B34" s="25">
        <f ca="1">IF($A34="","",SUMIFS('GECC 2026'!H$2:H$200,'GECC 2026'!F$2:F$200,$A34))</f>
        <v>20</v>
      </c>
      <c r="C34" s="25">
        <f ca="1">IF($A34="","",SUMIFS('GECC 2026'!I$2:I$200,'GECC 2026'!F$2:F$200,$A34))</f>
        <v>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26</v>
      </c>
      <c r="F34" s="23">
        <f ca="1">IF($A34="","",COUNTIFS('GECC 2026'!F$2:F$200,$A34))</f>
        <v>3</v>
      </c>
    </row>
    <row r="35" spans="1:6">
      <c r="A35" t="str">
        <f ca="1"/>
        <v>Jamile Medeiros Fon</v>
      </c>
      <c r="B35" s="25">
        <f ca="1">IF($A35="","",SUMIFS('GECC 2026'!H$2:H$200,'GECC 2026'!F$2:F$200,$A35))</f>
        <v>4</v>
      </c>
      <c r="C35" s="25">
        <f ca="1">IF($A35="","",SUMIFS('GECC 2026'!I$2:I$200,'GECC 2026'!F$2:F$200,$A35))</f>
        <v>1.2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5.2</v>
      </c>
      <c r="F35" s="23">
        <f ca="1">IF($A35="","",COUNTIFS('GECC 2026'!F$2:F$200,$A35))</f>
        <v>1</v>
      </c>
    </row>
    <row r="36" spans="1:6">
      <c r="A36" t="str">
        <f ca="1"/>
        <v>Josdeyvi Magalhães Russi</v>
      </c>
      <c r="B36" s="25">
        <f ca="1">IF($A36="","",SUMIFS('GECC 2026'!H$2:H$200,'GECC 2026'!F$2:F$200,$A36))</f>
        <v>9</v>
      </c>
      <c r="C36" s="25">
        <f ca="1">IF($A36="","",SUMIFS('GECC 2026'!I$2:I$200,'GECC 2026'!F$2:F$200,$A36))</f>
        <v>2.6999999999999997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11.7</v>
      </c>
      <c r="F36" s="23">
        <f ca="1">IF($A36="","",COUNTIFS('GECC 2026'!F$2:F$200,$A36))</f>
        <v>1</v>
      </c>
    </row>
    <row r="37" spans="1:6">
      <c r="A37" t="str">
        <f ca="1"/>
        <v>José Roberto Alcuri Júnior</v>
      </c>
      <c r="B37" s="25">
        <f ca="1">IF($A37="","",SUMIFS('GECC 2026'!H$2:H$200,'GECC 2026'!F$2:F$200,$A37))</f>
        <v>1</v>
      </c>
      <c r="C37" s="25">
        <f ca="1">IF($A37="","",SUMIFS('GECC 2026'!I$2:I$200,'GECC 2026'!F$2:F$200,$A37))</f>
        <v>0.3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1.3</v>
      </c>
      <c r="F37" s="23">
        <f ca="1">IF($A37="","",COUNTIFS('GECC 2026'!F$2:F$200,$A37))</f>
        <v>2</v>
      </c>
    </row>
    <row r="38" spans="1:6">
      <c r="A38" t="str">
        <f ca="1"/>
        <v>Karine Caroline de Oliveira</v>
      </c>
      <c r="B38" s="25">
        <f ca="1">IF($A38="","",SUMIFS('GECC 2026'!H$2:H$200,'GECC 2026'!F$2:F$200,$A38))</f>
        <v>8</v>
      </c>
      <c r="C38" s="25">
        <f ca="1">IF($A38="","",SUMIFS('GECC 2026'!I$2:I$200,'GECC 2026'!F$2:F$200,$A38))</f>
        <v>2.4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10.4</v>
      </c>
      <c r="F38" s="23">
        <f ca="1">IF($A38="","",COUNTIFS('GECC 2026'!F$2:F$200,$A38))</f>
        <v>2</v>
      </c>
    </row>
    <row r="39" spans="1:6">
      <c r="A39" t="str">
        <f ca="1"/>
        <v>Leonardo de Melo</v>
      </c>
      <c r="B39" s="25">
        <f ca="1">IF($A39="","",SUMIFS('GECC 2026'!H$2:H$200,'GECC 2026'!F$2:F$200,$A39))</f>
        <v>0</v>
      </c>
      <c r="C39" s="25">
        <f ca="1">IF($A39="","",SUMIFS('GECC 2026'!I$2:I$200,'GECC 2026'!F$2:F$200,$A39))</f>
        <v>0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0</v>
      </c>
      <c r="F39" s="23">
        <f ca="1">IF($A39="","",COUNTIFS('GECC 2026'!F$2:F$200,$A39))</f>
        <v>2</v>
      </c>
    </row>
    <row r="40" spans="1:6">
      <c r="A40" t="str">
        <f ca="1"/>
        <v>Leonardo José Alves Leal Neri</v>
      </c>
      <c r="B40" s="25">
        <f ca="1">IF($A40="","",SUMIFS('GECC 2026'!H$2:H$200,'GECC 2026'!F$2:F$200,$A40))</f>
        <v>40</v>
      </c>
      <c r="C40" s="25">
        <f ca="1">IF($A40="","",SUMIFS('GECC 2026'!I$2:I$200,'GECC 2026'!F$2:F$200,$A40))</f>
        <v>12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52</v>
      </c>
      <c r="F40" s="23">
        <f ca="1">IF($A40="","",COUNTIFS('GECC 2026'!F$2:F$200,$A40))</f>
        <v>2</v>
      </c>
    </row>
    <row r="41" spans="1:6">
      <c r="A41" t="str">
        <f ca="1"/>
        <v>Luciana Alvim</v>
      </c>
      <c r="B41" s="25">
        <f ca="1">IF($A41="","",SUMIFS('GECC 2026'!H$2:H$200,'GECC 2026'!F$2:F$200,$A41))</f>
        <v>72</v>
      </c>
      <c r="C41" s="25">
        <f ca="1">IF($A41="","",SUMIFS('GECC 2026'!I$2:I$200,'GECC 2026'!F$2:F$200,$A41))</f>
        <v>77.599999999999994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149.6</v>
      </c>
      <c r="F41" s="23">
        <f ca="1">IF($A41="","",COUNTIFS('GECC 2026'!F$2:F$200,$A41))</f>
        <v>7</v>
      </c>
    </row>
    <row r="42" spans="1:6">
      <c r="A42" t="str">
        <f ca="1"/>
        <v>Luiz Felipe Tenório de Lima Gondim</v>
      </c>
      <c r="B42" s="25">
        <f ca="1">IF($A42="","",SUMIFS('GECC 2026'!H$2:H$200,'GECC 2026'!F$2:F$200,$A42))</f>
        <v>20</v>
      </c>
      <c r="C42" s="25">
        <f ca="1">IF($A42="","",SUMIFS('GECC 2026'!I$2:I$200,'GECC 2026'!F$2:F$200,$A42))</f>
        <v>6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26</v>
      </c>
      <c r="F42" s="23">
        <f ca="1">IF($A42="","",COUNTIFS('GECC 2026'!F$2:F$200,$A42))</f>
        <v>5</v>
      </c>
    </row>
    <row r="43" spans="1:6">
      <c r="A43" t="str">
        <f ca="1"/>
        <v>Marcelo Bálbio Moraes</v>
      </c>
      <c r="B43" s="25">
        <f ca="1">IF($A43="","",SUMIFS('GECC 2026'!H$2:H$200,'GECC 2026'!F$2:F$200,$A43))</f>
        <v>0</v>
      </c>
      <c r="C43" s="25">
        <f ca="1">IF($A43="","",SUMIFS('GECC 2026'!I$2:I$200,'GECC 2026'!F$2:F$200,$A43))</f>
        <v>0</v>
      </c>
      <c r="D43" s="100">
        <f ca="1">IF($A43="","",SUMIFS('GECC 2026'!$AE$3:$AE$32,'GECC 2026'!$AD$3:$AD$32,$A43))</f>
        <v>16</v>
      </c>
      <c r="E43" s="92">
        <f ca="1">IF($A43="","",SUMIFS('GECC 2026'!J$2:J$200,'GECC 2026'!F$2:F$200,$A43)+SUMIFS('GECC 2026'!$AE$3:$AE$32,'GECC 2026'!$AD$3:$AD$32,$A43))</f>
        <v>16</v>
      </c>
      <c r="F43" s="23">
        <f ca="1">IF($A43="","",COUNTIFS('GECC 2026'!F$2:F$200,$A43))</f>
        <v>0</v>
      </c>
    </row>
    <row r="44" spans="1:6">
      <c r="A44" t="str">
        <f ca="1"/>
        <v>Marcelo Silva Santana</v>
      </c>
      <c r="B44" s="25">
        <f ca="1">IF($A44="","",SUMIFS('GECC 2026'!H$2:H$200,'GECC 2026'!F$2:F$200,$A44))</f>
        <v>12</v>
      </c>
      <c r="C44" s="25">
        <f ca="1">IF($A44="","",SUMIFS('GECC 2026'!I$2:I$200,'GECC 2026'!F$2:F$200,$A44))</f>
        <v>1.44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13.440000000000001</v>
      </c>
      <c r="F44" s="23">
        <f ca="1">IF($A44="","",COUNTIFS('GECC 2026'!F$2:F$200,$A44))</f>
        <v>2</v>
      </c>
    </row>
    <row r="45" spans="1:6">
      <c r="A45" t="str">
        <f ca="1"/>
        <v>Mauri Siqueira Montessi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>
      <c r="A46" t="str">
        <f ca="1"/>
        <v>Michel Martins de Morais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Paulo José Góes Daltro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0</v>
      </c>
      <c r="E47" s="92">
        <f ca="1">IF($A47="","",SUMIFS('GECC 2026'!J$2:J$200,'GECC 2026'!F$2:F$200,$A47)+SUMIFS('GECC 2026'!$AE$3:$AE$32,'GECC 2026'!$AD$3:$AD$32,$A47))</f>
        <v>0</v>
      </c>
      <c r="F47" s="23">
        <f ca="1">IF($A47="","",COUNTIFS('GECC 2026'!F$2:F$200,$A47))</f>
        <v>2</v>
      </c>
    </row>
    <row r="48" spans="1:6">
      <c r="A48" t="str">
        <f ca="1"/>
        <v>Priscila Nolasco de Oliveira</v>
      </c>
      <c r="B48" s="25">
        <f ca="1">IF($A48="","",SUMIFS('GECC 2026'!H$2:H$200,'GECC 2026'!F$2:F$200,$A48))</f>
        <v>20</v>
      </c>
      <c r="C48" s="25">
        <f ca="1">IF($A48="","",SUMIFS('GECC 2026'!I$2:I$200,'GECC 2026'!F$2:F$200,$A48))</f>
        <v>6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26</v>
      </c>
      <c r="F48" s="23">
        <f ca="1">IF($A48="","",COUNTIFS('GECC 2026'!F$2:F$200,$A48))</f>
        <v>5</v>
      </c>
    </row>
    <row r="49" spans="1:6">
      <c r="A49" t="str">
        <f ca="1"/>
        <v>Reinaldo Alencar</v>
      </c>
      <c r="B49" s="25">
        <f ca="1">IF($A49="","",SUMIFS('GECC 2026'!H$2:H$200,'GECC 2026'!F$2:F$200,$A49))</f>
        <v>48</v>
      </c>
      <c r="C49" s="25">
        <f ca="1">IF($A49="","",SUMIFS('GECC 2026'!I$2:I$200,'GECC 2026'!F$2:F$200,$A49))</f>
        <v>7.1999999999999993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55.2</v>
      </c>
      <c r="F49" s="23">
        <f ca="1">IF($A49="","",COUNTIFS('GECC 2026'!F$2:F$200,$A49))</f>
        <v>3</v>
      </c>
    </row>
    <row r="50" spans="1:6">
      <c r="A50" t="str">
        <f ca="1"/>
        <v>Renan Dias da Silva</v>
      </c>
      <c r="B50" s="25">
        <f ca="1">IF($A50="","",SUMIFS('GECC 2026'!H$2:H$200,'GECC 2026'!F$2:F$200,$A50))</f>
        <v>4</v>
      </c>
      <c r="C50" s="25">
        <f ca="1">IF($A50="","",SUMIFS('GECC 2026'!I$2:I$200,'GECC 2026'!F$2:F$200,$A50))</f>
        <v>1.2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5.2</v>
      </c>
      <c r="F50" s="23">
        <f ca="1">IF($A50="","",COUNTIFS('GECC 2026'!F$2:F$200,$A50))</f>
        <v>1</v>
      </c>
    </row>
    <row r="51" spans="1:6">
      <c r="A51" t="str">
        <f ca="1"/>
        <v>Rogério Ribeiro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>
      <c r="A52" t="str">
        <f ca="1"/>
        <v>Rômulo Miranda Alvim</v>
      </c>
      <c r="B52" s="25">
        <f ca="1">IF($A52="","",SUMIFS('GECC 2026'!H$2:H$200,'GECC 2026'!F$2:F$200,$A52))</f>
        <v>24</v>
      </c>
      <c r="C52" s="25">
        <f ca="1">IF($A52="","",SUMIFS('GECC 2026'!I$2:I$200,'GECC 2026'!F$2:F$200,$A52))</f>
        <v>3.6</v>
      </c>
      <c r="D52" s="100">
        <f ca="1">IF($A52="","",SUMIFS('GECC 2026'!$AE$3:$AE$32,'GECC 2026'!$AD$3:$AD$32,$A52))</f>
        <v>16</v>
      </c>
      <c r="E52" s="92">
        <f ca="1">IF($A52="","",SUMIFS('GECC 2026'!J$2:J$200,'GECC 2026'!F$2:F$200,$A52)+SUMIFS('GECC 2026'!$AE$3:$AE$32,'GECC 2026'!$AD$3:$AD$32,$A52))</f>
        <v>43.6</v>
      </c>
      <c r="F52" s="23">
        <f ca="1">IF($A52="","",COUNTIFS('GECC 2026'!F$2:F$200,$A52))</f>
        <v>2</v>
      </c>
    </row>
    <row r="53" spans="1:6">
      <c r="A53" t="str">
        <f ca="1"/>
        <v>Sara Cristina Lins Ramos</v>
      </c>
      <c r="B53" s="25">
        <f ca="1">IF($A53="","",SUMIFS('GECC 2026'!H$2:H$200,'GECC 2026'!F$2:F$200,$A53))</f>
        <v>8</v>
      </c>
      <c r="C53" s="25">
        <f ca="1">IF($A53="","",SUMIFS('GECC 2026'!I$2:I$200,'GECC 2026'!F$2:F$200,$A53))</f>
        <v>2.4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10.4</v>
      </c>
      <c r="F53" s="23">
        <f ca="1">IF($A53="","",COUNTIFS('GECC 2026'!F$2:F$200,$A53))</f>
        <v>1</v>
      </c>
    </row>
    <row r="54" spans="1:6">
      <c r="A54" t="str">
        <f ca="1"/>
        <v>Servidores, colaboradores e estagiários do TCDF</v>
      </c>
      <c r="B54" s="25">
        <f ca="1">IF($A54="","",SUMIFS('GECC 2026'!H$2:H$200,'GECC 2026'!F$2:F$200,$A54))</f>
        <v>0</v>
      </c>
      <c r="C54" s="25">
        <f ca="1">IF($A54="","",SUMIFS('GECC 2026'!I$2:I$200,'GECC 2026'!F$2:F$200,$A54))</f>
        <v>0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0</v>
      </c>
      <c r="F54" s="23">
        <f ca="1">IF($A54="","",COUNTIFS('GECC 2026'!F$2:F$200,$A54))</f>
        <v>1</v>
      </c>
    </row>
    <row r="55" spans="1:6">
      <c r="A55" t="str">
        <f ca="1"/>
        <v>Silvia Lima Damasceno Carvalho</v>
      </c>
      <c r="B55" s="25">
        <f ca="1">IF($A55="","",SUMIFS('GECC 2026'!H$2:H$200,'GECC 2026'!F$2:F$200,$A55))</f>
        <v>21</v>
      </c>
      <c r="C55" s="25">
        <f ca="1">IF($A55="","",SUMIFS('GECC 2026'!I$2:I$200,'GECC 2026'!F$2:F$200,$A55))</f>
        <v>6.3000000000000007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27.299999999999997</v>
      </c>
      <c r="F55" s="23">
        <f ca="1">IF($A55="","",COUNTIFS('GECC 2026'!F$2:F$200,$A55))</f>
        <v>6</v>
      </c>
    </row>
    <row r="56" spans="1:6">
      <c r="A56" t="str">
        <f ca="1"/>
        <v>Tarsila Firmino Ely</v>
      </c>
      <c r="B56" s="25">
        <f ca="1">IF($A56="","",SUMIFS('GECC 2026'!H$2:H$200,'GECC 2026'!F$2:F$200,$A56))</f>
        <v>88</v>
      </c>
      <c r="C56" s="25">
        <f ca="1">IF($A56="","",SUMIFS('GECC 2026'!I$2:I$200,'GECC 2026'!F$2:F$200,$A56))</f>
        <v>83.6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171.6</v>
      </c>
      <c r="F56" s="23">
        <f ca="1">IF($A56="","",COUNTIFS('GECC 2026'!F$2:F$200,$A56))</f>
        <v>7</v>
      </c>
    </row>
    <row r="57" spans="1:6">
      <c r="A57" t="str">
        <f ca="1"/>
        <v>Thiago Magalhães de Oliveira</v>
      </c>
      <c r="B57" s="25">
        <f ca="1">IF($A57="","",SUMIFS('GECC 2026'!H$2:H$200,'GECC 2026'!F$2:F$200,$A57))</f>
        <v>4</v>
      </c>
      <c r="C57" s="25">
        <f ca="1">IF($A57="","",SUMIFS('GECC 2026'!I$2:I$200,'GECC 2026'!F$2:F$200,$A57))</f>
        <v>1.2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5.2</v>
      </c>
      <c r="F57" s="23">
        <f ca="1">IF($A57="","",COUNTIFS('GECC 2026'!F$2:F$200,$A57))</f>
        <v>1</v>
      </c>
    </row>
    <row r="58" spans="1:6">
      <c r="A58" t="str">
        <f ca="1"/>
        <v>Túllio Herbeth Teixeira Moraes</v>
      </c>
      <c r="B58" s="25">
        <f ca="1">IF($A58="","",SUMIFS('GECC 2026'!H$2:H$200,'GECC 2026'!F$2:F$200,$A58))</f>
        <v>9</v>
      </c>
      <c r="C58" s="25">
        <f ca="1">IF($A58="","",SUMIFS('GECC 2026'!I$2:I$200,'GECC 2026'!F$2:F$200,$A58))</f>
        <v>2.6999999999999997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11.7</v>
      </c>
      <c r="F58" s="23">
        <f ca="1">IF($A58="","",COUNTIFS('GECC 2026'!F$2:F$200,$A58))</f>
        <v>3</v>
      </c>
    </row>
    <row r="59" spans="1:6">
      <c r="A59" t="str">
        <f ca="1"/>
        <v>Valéria Feitoza</v>
      </c>
      <c r="B59" s="25">
        <f ca="1">IF($A59="","",SUMIFS('GECC 2026'!H$2:H$200,'GECC 2026'!F$2:F$200,$A59))</f>
        <v>0</v>
      </c>
      <c r="C59" s="25">
        <f ca="1">IF($A59="","",SUMIFS('GECC 2026'!I$2:I$200,'GECC 2026'!F$2:F$200,$A59))</f>
        <v>0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0</v>
      </c>
      <c r="F59" s="23">
        <f ca="1">IF($A59="","",COUNTIFS('GECC 2026'!F$2:F$200,$A59))</f>
        <v>2</v>
      </c>
    </row>
    <row r="60" spans="1:6">
      <c r="A60" t="str">
        <f ca="1"/>
        <v>Wibys Pereira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>
      <c r="A61" t="str">
        <f ca="1"/>
        <v>Yasmin Carla Marchioro Silverio</v>
      </c>
      <c r="B61" s="25">
        <f ca="1">IF($A61="","",SUMIFS('GECC 2026'!H$2:H$200,'GECC 2026'!F$2:F$200,$A61))</f>
        <v>8</v>
      </c>
      <c r="C61" s="25">
        <f ca="1">IF($A61="","",SUMIFS('GECC 2026'!I$2:I$200,'GECC 2026'!F$2:F$200,$A61))</f>
        <v>2.4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10.4</v>
      </c>
      <c r="F61" s="23">
        <f ca="1">IF($A61="","",COUNTIFS('GECC 2026'!F$2:F$200,$A61))</f>
        <v>2</v>
      </c>
    </row>
    <row r="62" spans="1:6">
      <c r="B62" s="25" t="str">
        <f>IF($A62="","",SUMIFS('GECC 2026'!H$2:H$200,'GECC 2026'!F$2:F$200,$A62))</f>
        <v/>
      </c>
      <c r="C62" s="25" t="str">
        <f>IF($A62="","",SUMIFS('GECC 2026'!I$2:I$200,'GECC 2026'!F$2:F$200,$A62))</f>
        <v/>
      </c>
      <c r="D62" s="100" t="str">
        <f>IF($A62="","",SUMIFS('GECC 2026'!$AE$3:$AE$32,'GECC 2026'!$AD$3:$AD$32,$A62))</f>
        <v/>
      </c>
      <c r="E62" s="92" t="str">
        <f>IF($A62="","",SUMIFS('GECC 2026'!J$2:J$200,'GECC 2026'!F$2:F$200,$A62)+SUMIFS('GECC 2026'!$AE$3:$AE$32,'GECC 2026'!$AD$3:$AD$32,$A62))</f>
        <v/>
      </c>
      <c r="F62" s="23" t="str">
        <f>IF($A62="","",COUNTIFS('GECC 2026'!F$2:F$200,$A62))</f>
        <v/>
      </c>
    </row>
    <row r="63" spans="1:6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3149</v>
      </c>
      <c r="B105" s="94">
        <f ca="1">SUM(B5:B100)</f>
        <v>847</v>
      </c>
      <c r="C105" s="94">
        <f ca="1">SUM(C5:C100)</f>
        <v>374.44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138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7" t="s">
        <v>3214</v>
      </c>
      <c r="B1" s="117" t="s">
        <v>3215</v>
      </c>
      <c r="C1" s="117" t="s">
        <v>3216</v>
      </c>
      <c r="D1" s="117" t="s">
        <v>3217</v>
      </c>
      <c r="E1" s="117" t="s">
        <v>3218</v>
      </c>
      <c r="F1" s="117" t="s">
        <v>3219</v>
      </c>
      <c r="G1" s="117" t="s">
        <v>10</v>
      </c>
      <c r="H1" s="117" t="s">
        <v>3220</v>
      </c>
      <c r="I1" s="117" t="s">
        <v>3221</v>
      </c>
      <c r="J1" s="117" t="s">
        <v>3222</v>
      </c>
      <c r="K1" s="117" t="s">
        <v>3223</v>
      </c>
      <c r="L1" s="117" t="s">
        <v>3224</v>
      </c>
      <c r="N1" s="117" t="s">
        <v>3225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3226</v>
      </c>
      <c r="L2" t="str">
        <f>IF(K2="","",IFERROR(INDEX(Tabela2[Curso],MATCH(K2,Tabela2[ID],0)),""))</f>
        <v/>
      </c>
      <c r="N2" s="117" t="s">
        <v>3105</v>
      </c>
      <c r="O2" s="117" t="s">
        <v>4</v>
      </c>
      <c r="P2" s="117" t="s">
        <v>3227</v>
      </c>
      <c r="Q2" s="117" t="s">
        <v>3228</v>
      </c>
      <c r="R2" s="117" t="s">
        <v>3229</v>
      </c>
      <c r="S2" s="117" t="s">
        <v>3230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3226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3226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3226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3226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3226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3226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3226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3226</v>
      </c>
      <c r="L10" t="str">
        <f>IF(K10="","",IFERROR(INDEX(Tabela2[Curso],MATCH(K10,Tabela2[ID],0)),""))</f>
        <v/>
      </c>
      <c r="N10" s="111" t="s">
        <v>3231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3226</v>
      </c>
      <c r="L11" t="str">
        <f>IF(K11="","",IFERROR(INDEX(Tabela2[Curso],MATCH(K11,Tabela2[ID],0)),""))</f>
        <v/>
      </c>
      <c r="N11" s="210" t="s">
        <v>3232</v>
      </c>
      <c r="O11" s="210" t="s">
        <v>3233</v>
      </c>
      <c r="P11" s="210" t="s">
        <v>3234</v>
      </c>
      <c r="Q11" s="210" t="s">
        <v>3217</v>
      </c>
      <c r="R11" s="210" t="s">
        <v>3218</v>
      </c>
      <c r="S11" s="210" t="s">
        <v>3235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3226</v>
      </c>
      <c r="L12" t="str">
        <f>IF(K12="","",IFERROR(INDEX(Tabela2[Curso],MATCH(K12,Tabela2[ID],0)),""))</f>
        <v/>
      </c>
      <c r="N12" t="s">
        <v>3236</v>
      </c>
      <c r="O12" t="s">
        <v>2753</v>
      </c>
      <c r="P12" t="s">
        <v>3237</v>
      </c>
      <c r="Q12">
        <v>0</v>
      </c>
      <c r="R12">
        <v>0</v>
      </c>
      <c r="S12" t="s">
        <v>3238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3226</v>
      </c>
      <c r="L13" t="str">
        <f>IF(K13="","",IFERROR(INDEX(Tabela2[Curso],MATCH(K13,Tabela2[ID],0)),""))</f>
        <v/>
      </c>
      <c r="N13" t="s">
        <v>3239</v>
      </c>
      <c r="O13" t="s">
        <v>2686</v>
      </c>
      <c r="P13" t="s">
        <v>3240</v>
      </c>
      <c r="Q13">
        <v>0</v>
      </c>
      <c r="R13">
        <v>0</v>
      </c>
      <c r="S13" t="s">
        <v>3241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3226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3226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3226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3226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3226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3226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3226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3226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3226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3226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3226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3226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3226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3226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3226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3226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3226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3226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3226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3226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3226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3226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3226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3226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3226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3226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3226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3226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3226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3226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3226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3226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3226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3226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3226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3226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3226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3226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3226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3226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3226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3226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3226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3226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3226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3226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3226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3226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3226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3226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3226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3226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6690115-09EE-4E0D-A489-D3FB288E822F}"/>
</file>

<file path=customXml/itemProps2.xml><?xml version="1.0" encoding="utf-8"?>
<ds:datastoreItem xmlns:ds="http://schemas.openxmlformats.org/officeDocument/2006/customXml" ds:itemID="{F95AF67B-67F3-479D-896A-04A7BBE7C81F}"/>
</file>

<file path=customXml/itemProps3.xml><?xml version="1.0" encoding="utf-8"?>
<ds:datastoreItem xmlns:ds="http://schemas.openxmlformats.org/officeDocument/2006/customXml" ds:itemID="{09E963D1-4255-41FD-98AB-5B82B7F67BB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Raphael Felipe De Sousa</cp:lastModifiedBy>
  <cp:revision/>
  <dcterms:created xsi:type="dcterms:W3CDTF">2024-04-02T18:43:15Z</dcterms:created>
  <dcterms:modified xsi:type="dcterms:W3CDTF">2026-09-11T20:47:56Z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