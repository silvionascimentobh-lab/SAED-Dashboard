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8" documentId="13_ncr:1_{6A2CC3E2-FAFB-4D8F-B284-5E8FB5045DFE}" xr6:coauthVersionLast="47" xr6:coauthVersionMax="47" xr10:uidLastSave="{675615DB-9A00-40AB-B344-25A8E5D83F5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<sst xmlns="http://schemas.openxmlformats.org/spreadsheetml/2006/main" count="7198" uniqueCount="3168">
  <si>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</si>
  <si>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</si>
  <si>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</si>
  <si>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</si>
  <si>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</si>
  <si>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</si>
  <si>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</si>
  <si>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</si>
  <si>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</si>
  <si>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</si>
  <si>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</si>
  <si>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</si>
  <si>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</si>
  <si>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</si>
  <si>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</si>
  <si>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</si>
  <si>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</si>
  <si>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</si>
  <si>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</si>
  <si>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</si>
  <si>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</si>
  <si>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</si>
  <si>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</si>
  <si>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</si>
  <si>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</si>
  <si>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</si>
  <si>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</si>
  <si>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</si>
  <si>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</si>
  <si>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</si>
  <si>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</si>
  <si>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</si>
  <si>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</si>
  <si>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</si>
  <si>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</si>
  <si>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</si>
  <si>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</si>
  <si>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</si>
  <si>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</si>
  <si>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</si>
  <si>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</si>
  <si>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</si>
  <si>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</si>
  <si>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</si>
  <si>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</si>
  <si>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</si>
  <si>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</si>
  <si>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</si>
  <si>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</si>
  <si>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</si>
  <si>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</si>
  <si>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</si>
  <si>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</si>
  <si>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</si>
  <si>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</si>
  <si>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</si>
  <si>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</si>
  <si>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</si>
  <si>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</si>
  <si>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</si>
  <si>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</si>
  <si>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</si>
  <si>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</si>
  <si>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</si>
  <si>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</si>
  <si>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</si>
  <si>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</si>
  <si>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</si>
  <si>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</si>
  <si>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</si>
  <si>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</si>
  <si>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</si>
  <si>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</si>
  <si>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</si>
  <si>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</si>
  <si>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</si>
  <si>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</si>
  <si>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</si>
  <si>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</si>
  <si>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</si>
  <si>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</si>
  <si>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</si>
  <si>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</si>
  <si>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</si>
  <si>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</si>
  <si>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</si>
  <si>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</si>
  <si>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</si>
  <si>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</si>
  <si>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</si>
  <si>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</si>
  <si>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</si>
  <si>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</si>
  <si>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</si>
  <si>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</si>
  <si>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</si>
  <si>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</si>
  <si>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</si>
  <si>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</si>
  <si>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</si>
  <si>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</si>
  <si>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</si>
  <si>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</si>
  <si>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</si>
  <si>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</si>
  <si>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</si>
  <si>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</si>
  <si>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</si>
  <si>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</si>
  <si>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</si>
  <si>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</si>
  <si>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</si>
  <si>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</si>
  <si>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</si>
  <si>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</si>
  <si>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</si>
  <si>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</si>
  <si>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</si>
  <si>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</si>
  <si>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</si>
  <si>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</si>
  <si>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</si>
  <si>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</si>
  <si>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</si>
  <si>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</si>
  <si>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</si>
  <si>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</si>
  <si>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</si>
  <si>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</si>
  <si>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</si>
  <si>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</si>
  <si>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</si>
  <si>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</si>
  <si>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</si>
  <si>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</si>
  <si>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</si>
  <si>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</si>
  <si>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</si>
  <si>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</si>
  <si>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</si>
  <si>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</si>
  <si>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</si>
  <si>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</si>
  <si>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</si>
  <si>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</si>
  <si>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</si>
  <si>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</si>
  <si>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</si>
  <si>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</si>
  <si>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</si>
  <si>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</si>
  <si>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</si>
  <si>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</si>
  <si>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</si>
  <si>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</si>
  <si>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</si>
  <si>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</si>
  <si>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</si>
  <si>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</si>
  <si>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</si>
  <si>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</si>
  <si>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</si>
  <si>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</si>
  <si>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</si>
  <si>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</si>
  <si>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</si>
  <si>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</si>
  <si>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</si>
  <si>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</si>
  <si>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</si>
  <si>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</si>
  <si>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</si>
  <si>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</si>
  <si>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</si>
  <si>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</si>
  <si>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</si>
  <si>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</si>
  <si>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</si>
  <si>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</si>
  <si>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</si>
  <si>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</si>
  <si>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</si>
  <si>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</si>
  <si>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</si>
  <si>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</si>
  <si>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</si>
  <si>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</si>
  <si>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</si>
  <si>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</si>
  <si>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</si>
  <si>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</si>
  <si>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</si>
  <si>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</si>
  <si>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</si>
  <si>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</si>
  <si>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</si>
  <si>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</si>
  <si>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</si>
  <si>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</si>
  <si>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</si>
  <si>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</si>
  <si>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</si>
  <si>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</si>
  <si>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</si>
  <si>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</si>
  <si>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</si>
  <si>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</si>
  <si>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</si>
  <si>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</si>
  <si>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</si>
  <si>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</si>
  <si>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</si>
  <si>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</si>
  <si>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</si>
  <si>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</si>
  <si>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</si>
  <si>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</si>
  <si>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</si>
  <si>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</si>
  <si>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</si>
  <si>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</si>
  <si>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</si>
  <si>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</si>
  <si>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</si>
  <si>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</si>
  <si>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</si>
  <si>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</si>
  <si>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</si>
  <si>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</si>
  <si>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</si>
  <si>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</si>
  <si>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</si>
  <si>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</si>
  <si>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</si>
  <si>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</si>
  <si>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</si>
  <si>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</si>
  <si>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</si>
  <si>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</si>
  <si>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</si>
  <si>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</si>
  <si>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</si>
  <si>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</si>
  <si>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</si>
  <si>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</si>
  <si>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</si>
  <si>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</si>
  <si>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</si>
  <si>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</si>
  <si>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</si>
  <si>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</si>
  <si>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</si>
  <si>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</si>
  <si>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</si>
  <si>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</si>
  <si>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</si>
  <si>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</si>
  <si>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</si>
  <si>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</si>
  <si>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</si>
  <si>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</si>
  <si>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</si>
  <si>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</si>
  <si>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</si>
  <si>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</si>
  <si>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</si>
  <si>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</si>
  <si>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</si>
  <si>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</si>
  <si>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</si>
  <si>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</si>
  <si>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</si>
  <si>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</si>
  <si>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</si>
  <si>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</si>
  <si>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</si>
  <si>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</si>
  <si>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</si>
  <si>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</si>
  <si>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</si>
  <si>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</si>
  <si>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</si>
  <si>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</si>
  <si>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</si>
  <si>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</si>
  <si>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</si>
  <si>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</si>
  <si>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</si>
  <si>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</si>
  <si>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</si>
  <si>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</si>
  <si>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</si>
  <si>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</si>
  <si>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</si>
  <si>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</si>
  <si>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</si>
  <si>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</si>
  <si>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</si>
  <si>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</si>
  <si>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</si>
  <si>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</si>
  <si>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</si>
  <si>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</si>
  <si>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</si>
  <si>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</si>
  <si>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</si>
  <si>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</si>
  <si>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</si>
  <si>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</si>
  <si>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</si>
  <si>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</si>
  <si>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</si>
  <si>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</si>
  <si>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</si>
  <si>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</si>
  <si>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</si>
  <si>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</si>
  <si>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</si>
  <si>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</si>
  <si>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</si>
  <si>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</si>
  <si>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</si>
  <si>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</si>
  <si>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</si>
  <si>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</si>
  <si>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</si>
  <si>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</si>
  <si>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</si>
  <si>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</si>
  <si>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</si>
  <si>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</si>
  <si>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</si>
  <si>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</si>
  <si>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</si>
  <si>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</si>
  <si>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</si>
  <si>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</si>
  <si>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</si>
  <si>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</si>
  <si>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</si>
  <si>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</si>
  <si>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</si>
  <si>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</si>
  <si>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</si>
  <si>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</si>
  <si>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</si>
  <si>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</si>
  <si>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</si>
  <si>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</si>
  <si>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</si>
  <si>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</si>
  <si>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</si>
  <si>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</si>
  <si>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</si>
  <si>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</si>
  <si>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</si>
  <si>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</si>
  <si>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</si>
  <si>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</si>
  <si>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</si>
  <si>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</si>
  <si>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</si>
  <si>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</si>
  <si>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</si>
  <si>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</si>
  <si>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</si>
  <si>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</si>
  <si>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</si>
  <si>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</si>
  <si>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</si>
  <si>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</si>
  <si>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</si>
  <si>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</si>
  <si>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</si>
  <si>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</si>
  <si>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</si>
  <si>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</si>
  <si>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</si>
  <si>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</si>
  <si>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</si>
  <si>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</si>
  <si>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</si>
  <si>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</si>
  <si>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</si>
  <si>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</si>
  <si>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</si>
  <si>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</si>
  <si>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</si>
  <si>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</si>
  <si>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</si>
  <si>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</si>
  <si>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</si>
  <si>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</si>
  <si>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</si>
  <si>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</si>
  <si>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</si>
  <si>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</si>
  <si>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</si>
  <si>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</si>
  <si>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</si>
  <si>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</si>
  <si>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</si>
  <si>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</si>
  <si>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</si>
  <si>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</si>
  <si>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</si>
  <si>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</si>
  <si>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</si>
  <si>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</si>
  <si>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</si>
  <si>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</si>
  <si>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</si>
  <si>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</si>
  <si>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</si>
  <si>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</si>
  <si>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</si>
  <si>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</si>
  <si>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</si>
  <si>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</si>
  <si>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</si>
  <si>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</si>
  <si>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</si>
  <si>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</si>
  <si>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</si>
  <si>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</si>
  <si>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</si>
  <si>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</si>
  <si>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</si>
  <si>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</si>
  <si>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</si>
  <si>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</si>
  <si>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</si>
  <si>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</si>
  <si>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</si>
  <si>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</si>
  <si>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</si>
  <si>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</si>
  <si>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</si>
  <si>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</si>
  <si>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</si>
  <si>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</si>
  <si>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</si>
  <si>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</si>
  <si>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</si>
  <si>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</si>
  <si>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</si>
  <si>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</si>
  <si>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</si>
  <si>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</si>
  <si>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</si>
  <si>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</si>
  <si>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</si>
  <si>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</si>
  <si>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</si>
  <si>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</si>
  <si>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</si>
  <si>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</si>
  <si>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</si>
  <si>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</si>
  <si>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</si>
  <si>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</si>
  <si>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</si>
  <si>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</si>
  <si>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</si>
  <si>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</si>
  <si>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</si>
  <si>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</si>
  <si>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</si>
  <si>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</si>
  <si>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</si>
  <si>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</si>
  <si>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</si>
  <si>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</si>
  <si>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</si>
  <si>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</si>
  <si>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</si>
  <si>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</si>
  <si>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</si>
  <si>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</si>
  <si>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</si>
  <si>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</si>
  <si>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</si>
  <si>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</si>
  <si>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</si>
  <si>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</si>
  <si>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</si>
  <si>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</si>
  <si>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</si>
  <si>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</si>
  <si>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</si>
  <si>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</si>
  <si>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</si>
  <si>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</si>
  <si>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</si>
  <si>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</si>
  <si>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</si>
  <si>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</si>
  <si>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</si>
  <si>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</si>
  <si>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</si>
  <si>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</si>
  <si>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</si>
  <si>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</si>
  <si>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</si>
  <si>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</si>
  <si>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</si>
  <si>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</si>
  <si>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</si>
  <si>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</si>
  <si>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</si>
  <si>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</si>
  <si>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</si>
  <si>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</si>
  <si>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</si>
  <si>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</si>
  <si>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</si>
  <si>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</si>
  <si>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</si>
  <si>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</si>
  <si>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</si>
  <si>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</si>
  <si>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</si>
  <si>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</si>
  <si>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</si>
  <si>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</si>
  <si>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</si>
  <si>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</si>
  <si>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</si>
  <si>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</si>
  <si>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</si>
  <si>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</si>
  <si>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</si>
  <si>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</si>
  <si>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</si>
  <si>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</si>
  <si>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</si>
  <si>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</si>
  <si>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</si>
  <si>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</si>
  <si>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</si>
  <si>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</si>
  <si>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</si>
  <si>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</si>
  <si>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</si>
  <si>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</si>
  <si>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</si>
  <si>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</si>
  <si>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</si>
  <si>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</si>
  <si>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</si>
  <si>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</si>
  <si>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</si>
  <si>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</si>
  <si>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</si>
  <si>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</si>
  <si>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</si>
  <si>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</si>
  <si>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</si>
  <si>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</si>
  <si>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</si>
  <si>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</si>
  <si>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</si>
  <si>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</si>
  <si>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</si>
  <si>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</si>
  <si>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</si>
  <si>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</si>
  <si>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</si>
  <si>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</si>
  <si>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</si>
  <si>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</si>
  <si>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</si>
  <si>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</si>
  <si>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</si>
  <si>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</si>
  <si>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</si>
  <si>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</si>
  <si>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</si>
  <si>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</si>
  <si>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</si>
  <si>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</si>
  <si>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</si>
  <si>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</si>
  <si>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</si>
  <si>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</si>
  <si>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</si>
  <si>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</si>
  <si>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</si>
  <si>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</si>
  <si>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</si>
  <si>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</si>
  <si>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</si>
  <si>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</si>
  <si>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</si>
  <si>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</si>
  <si>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</si>
  <si>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</si>
  <si>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</si>
  <si>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</si>
  <si>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</si>
  <si>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</si>
  <si>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</si>
  <si>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</si>
  <si>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</si>
  <si>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</si>
  <si>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</si>
  <si>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</si>
  <si>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</si>
  <si>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</si>
  <si>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</si>
  <si>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</si>
  <si>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</si>
  <si>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</si>
  <si>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</si>
  <si>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</si>
  <si>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</si>
  <si>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</si>
  <si>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</si>
  <si>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</si>
  <si>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</si>
  <si>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</si>
  <si>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</si>
  <si>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</si>
  <si>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</si>
  <si>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</si>
  <si>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</si>
  <si>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</si>
  <si>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</si>
  <si>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</si>
  <si>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</si>
  <si>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</si>
  <si>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</si>
  <si>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</si>
  <si>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</si>
  <si>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</si>
  <si>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</si>
  <si>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</si>
  <si>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</si>
  <si>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</si>
  <si>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</si>
  <si>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</si>
  <si>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</si>
  <si>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</si>
  <si>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</si>
  <si>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</si>
  <si>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</si>
  <si>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</si>
  <si>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</si>
  <si>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</si>
  <si>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</si>
  <si>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</si>
  <si>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</si>
  <si>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</si>
  <si>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</si>
  <si>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</si>
  <si>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</si>
  <si>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</si>
  <si>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</si>
  <si>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</si>
  <si>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</si>
  <si>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</si>
  <si>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</si>
  <si>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</si>
  <si>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</si>
  <si>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</si>
  <si>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</si>
  <si>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</si>
  <si>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</si>
  <si>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</si>
  <si>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</si>
  <si>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</si>
  <si>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</si>
  <si>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</si>
  <si>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</si>
  <si>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</si>
  <si>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</si>
  <si>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</si>
  <si>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</si>
  <si>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</si>
  <si>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</si>
  <si>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</si>
  <si>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</si>
  <si>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</si>
  <si>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</si>
  <si>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</si>
  <si>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</si>
  <si>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</si>
  <si>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</si>
  <si>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</si>
  <si>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</si>
  <si>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</si>
  <si>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</si>
  <si>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</si>
  <si>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</si>
  <si>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</si>
  <si>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</si>
  <si>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</si>
  <si>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</si>
  <si>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</si>
  <si>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</si>
  <si>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</si>
  <si>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</si>
  <si>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</si>
  <si>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</si>
  <si>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</si>
  <si>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</si>
  <si>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</si>
  <si>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</si>
  <si>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</si>
  <si>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</si>
  <si>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</si>
  <si>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</si>
  <si>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</si>
  <si>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</si>
  <si>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</si>
  <si>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</si>
  <si>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</si>
  <si>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</si>
  <si>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</si>
  <si>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</si>
  <si>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</si>
  <si>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</si>
  <si>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</si>
  <si>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</si>
  <si>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</si>
  <si>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</si>
  <si>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</si>
  <si>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</si>
  <si>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</si>
  <si>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</si>
  <si>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</si>
  <si>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</si>
  <si>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</si>
  <si>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</si>
  <si>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</si>
  <si>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</si>
  <si>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</si>
  <si>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</si>
  <si>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</si>
  <si>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</si>
  <si>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</si>
  <si>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</si>
  <si>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</si>
  <si>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</si>
  <si>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</si>
  <si>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</si>
  <si>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</si>
  <si>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</si>
  <si>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</si>
  <si>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</si>
  <si>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</si>
  <si>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</si>
  <si>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</si>
  <si>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</si>
  <si>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</si>
  <si>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</si>
  <si>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</si>
  <si>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</si>
  <si>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</si>
  <si>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</si>
  <si>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</si>
  <si>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</si>
  <si>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</si>
  <si>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</si>
  <si>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</si>
  <si>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</si>
  <si>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</si>
  <si>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</si>
  <si>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</si>
  <si>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</si>
  <si>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</si>
  <si>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</si>
  <si>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</si>
  <si>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</si>
  <si>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</si>
  <si>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</si>
  <si>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</si>
  <si>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</si>
  <si>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</si>
  <si>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</si>
  <si>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</si>
  <si>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</si>
  <si>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</si>
  <si>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</si>
  <si>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</si>
  <si>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</si>
  <si>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</si>
  <si>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</si>
  <si>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</si>
  <si>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</si>
  <si>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</si>
  <si>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</si>
  <si>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</si>
  <si>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</si>
  <si>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</si>
  <si>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</si>
  <si>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</si>
  <si>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</si>
  <si>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</si>
  <si>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</si>
  <si>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</si>
  <si>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</si>
  <si>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</si>
  <si>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</si>
  <si>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</si>
  <si>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</si>
  <si>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</si>
  <si>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</si>
  <si>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</si>
  <si>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</si>
  <si>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</si>
  <si>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</si>
  <si>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</si>
  <si>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</si>
  <si>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</si>
  <si>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</si>
  <si>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</si>
  <si>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</si>
  <si>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</si>
  <si>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</si>
  <si>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</si>
  <si>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</si>
  <si>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</si>
  <si>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</si>
  <si>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</si>
  <si>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</si>
  <si>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</si>
  <si>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</si>
  <si>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</si>
  <si>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</si>
  <si>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</si>
  <si>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</si>
  <si>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</si>
  <si>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</si>
  <si>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</si>
  <si>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</si>
  <si>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</si>
  <si>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</si>
  <si>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</si>
  <si>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</si>
  <si>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</si>
  <si>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</si>
  <si>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</si>
  <si>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</si>
  <si>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</si>
  <si>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</si>
  <si>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</si>
  <si>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</si>
  <si>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</si>
  <si>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</si>
  <si>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</si>
  <si>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</si>
  <si>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</si>
  <si>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</si>
  <si>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</si>
  <si>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</si>
  <si>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</si>
  <si>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</si>
  <si>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</si>
  <si>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</si>
  <si>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</si>
  <si>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</si>
  <si>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</si>
  <si>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</si>
  <si>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</si>
  <si>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</si>
  <si>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</si>
  <si>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</si>
  <si>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</si>
  <si>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</si>
  <si>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</si>
  <si>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</si>
  <si>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</si>
  <si>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</si>
  <si>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</si>
  <si>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</si>
  <si>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</si>
  <si>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</si>
  <si>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</si>
  <si>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</si>
  <si>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</si>
  <si>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</si>
  <si>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</si>
  <si>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</si>
  <si>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</si>
  <si>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</si>
  <si>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</si>
  <si>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</si>
  <si>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</si>
  <si>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</si>
  <si>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</si>
  <si>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</si>
  <si>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</si>
  <si>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</si>
  <si>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</si>
  <si>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</si>
  <si>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</si>
  <si>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</si>
  <si>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</si>
  <si>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</si>
  <si>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</si>
  <si>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</si>
  <si>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</si>
  <si>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</si>
  <si>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</si>
  <si>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</si>
  <si>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</si>
  <si>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</si>
  <si>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</si>
  <si>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</si>
  <si>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</si>
  <si>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</si>
  <si>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</si>
  <si>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</si>
  <si>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</si>
  <si>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</si>
  <si>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</si>
  <si>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</si>
  <si>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</si>
  <si>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</si>
  <si>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</si>
  <si>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</si>
  <si>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</si>
  <si>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</si>
  <si>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</si>
  <si>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</si>
  <si>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</si>
  <si>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</si>
  <si>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</si>
  <si>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</si>
  <si>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</si>
  <si>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</si>
  <si>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</si>
  <si>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</si>
  <si>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</si>
  <si>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</si>
  <si>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</si>
  <si>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</si>
  <si>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</si>
  <si>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</si>
  <si>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</si>
  <si>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</si>
  <si>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</si>
  <si>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</si>
  <si>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</si>
  <si>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</si>
  <si>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</si>
  <si>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</si>
  <si>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</si>
  <si>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</si>
  <si>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</si>
  <si>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</si>
  <si>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</si>
  <si>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</si>
  <si>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</si>
  <si>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</si>
  <si>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</si>
  <si>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</si>
  <si>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</si>
  <si>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</si>
  <si>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</si>
  <si>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</si>
  <si>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</si>
  <si>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</si>
  <si>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</si>
  <si>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</si>
  <si>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</si>
  <si>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</si>
  <si>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</si>
  <si>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</si>
  <si>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</si>
  <si>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</si>
  <si>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</si>
  <si>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</si>
  <si>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</si>
  <si>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</si>
  <si>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</si>
  <si>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</si>
  <si>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</si>
  <si>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</si>
  <si>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</si>
  <si>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</si>
  <si>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</si>
  <si>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</si>
  <si>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</si>
  <si>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</si>
  <si>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</si>
  <si>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</si>
  <si>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</si>
  <si>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</si>
  <si>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</si>
  <si>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</si>
  <si>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</si>
  <si>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</si>
  <si>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</si>
  <si>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</si>
  <si>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</si>
  <si>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</si>
  <si>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</si>
  <si>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</si>
  <si>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</si>
  <si>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</si>
  <si>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</si>
  <si>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</si>
  <si>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</si>
  <si>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</si>
  <si>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</si>
  <si>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</si>
  <si>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</si>
  <si>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</si>
  <si>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</si>
  <si>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</si>
  <si>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</si>
  <si>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</si>
  <si>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</si>
  <si>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</si>
  <si>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</si>
  <si>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</si>
  <si>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</si>
  <si>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</si>
  <si>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</si>
  <si>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</si>
  <si>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</si>
  <si>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</si>
  <si>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</si>
  <si>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</si>
  <si>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</si>
  <si>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</si>
  <si>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</si>
  <si>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</si>
  <si>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</si>
  <si>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</si>
  <si>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</si>
  <si>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</si>
  <si>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</si>
  <si>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</si>
  <si>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</si>
  <si>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</si>
  <si>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</si>
  <si>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</si>
  <si>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</si>
  <si>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</si>
  <si>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</si>
  <si>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</si>
  <si>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</si>
  <si>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</si>
  <si>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</si>
  <si>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</si>
  <si>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</si>
  <si>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</si>
  <si>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</si>
  <si>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</si>
  <si>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</si>
  <si>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</si>
  <si>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</si>
  <si>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</si>
  <si>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</si>
  <si>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</si>
  <si>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</si>
  <si>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</si>
  <si>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</si>
  <si>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</si>
  <si>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</si>
  <si>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</si>
  <si>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</si>
  <si>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</si>
  <si>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</si>
  <si>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</si>
  <si>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</si>
  <si>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</si>
  <si>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</si>
  <si>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</si>
  <si>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</si>
  <si>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</si>
  <si>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</si>
  <si>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</si>
  <si>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</si>
  <si>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</si>
  <si>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</si>
  <si>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</si>
  <si>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</si>
  <si>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</si>
  <si>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</si>
  <si>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</si>
  <si>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</si>
  <si>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</si>
  <si>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</si>
  <si>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</si>
  <si>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</si>
  <si>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</si>
  <si>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</si>
  <si>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</si>
  <si>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</si>
  <si>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</si>
  <si>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</si>
  <si>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</si>
  <si>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</si>
  <si>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</si>
  <si>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</si>
  <si>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</si>
  <si>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</si>
  <si>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</si>
  <si>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</si>
  <si>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</si>
  <si>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</si>
  <si>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</si>
  <si>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</si>
  <si>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</si>
  <si>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</si>
  <si>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</si>
  <si>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</si>
  <si>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</si>
  <si>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</si>
  <si>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</si>
  <si>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</si>
  <si>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</si>
  <si>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</si>
  <si>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</si>
  <si>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</si>
  <si>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</si>
  <si>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</si>
  <si>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</si>
  <si>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</si>
  <si>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</si>
  <si>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</si>
  <si>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</si>
  <si>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</si>
  <si>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</si>
  <si>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</si>
  <si>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</si>
  <si>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</si>
  <si>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</si>
  <si>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</si>
  <si>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</si>
  <si>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</si>
  <si>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</si>
  <si>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</si>
  <si>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</si>
  <si>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</si>
  <si>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</si>
  <si>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</si>
  <si>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</si>
  <si>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</si>
  <si>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</si>
  <si>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</si>
  <si>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</si>
  <si>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</si>
  <si>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</si>
  <si>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</si>
  <si>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</si>
  <si>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</si>
  <si>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</si>
  <si>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</si>
  <si>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</si>
  <si>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</si>
  <si>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</si>
  <si>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</si>
  <si>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</si>
  <si>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</si>
  <si>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</si>
  <si>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</si>
  <si>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</si>
  <si>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</si>
  <si>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</si>
  <si>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</si>
  <si>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</si>
  <si>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</si>
  <si>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</si>
  <si>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</si>
  <si>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</si>
  <si>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</si>
  <si>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</si>
  <si>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</si>
  <si>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</si>
  <si>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</si>
  <si>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</si>
  <si>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</si>
  <si>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</si>
  <si>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</si>
  <si>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</si>
  <si>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</si>
  <si>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</si>
  <si>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</si>
  <si>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</si>
  <si>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</si>
  <si>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</si>
  <si>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</si>
  <si>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</si>
  <si>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</si>
  <si>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</si>
  <si>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</si>
  <si>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</si>
  <si>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</si>
  <si>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</si>
  <si>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</si>
  <si>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</si>
  <si>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</si>
  <si>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</si>
  <si>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</si>
  <si>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</si>
  <si>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</si>
  <si>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</si>
  <si>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</si>
  <si>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</si>
  <si>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</si>
  <si>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</si>
  <si>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</si>
  <si>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</si>
  <si>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</si>
  <si>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</si>
  <si>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</si>
  <si>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</si>
  <si>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</si>
  <si>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</si>
  <si>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</si>
  <si>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</si>
  <si>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</si>
  <si>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</si>
  <si>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</si>
  <si>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</si>
  <si>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</si>
  <si>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</si>
  <si>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</si>
  <si>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</si>
  <si>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</si>
  <si>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</si>
  <si>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</si>
  <si>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</si>
  <si>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</si>
  <si>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</si>
  <si>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</si>
  <si>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</si>
  <si>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</si>
  <si>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</si>
  <si>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</si>
  <si>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</si>
  <si>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</si>
  <si>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</si>
  <si>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</si>
  <si>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</si>
  <si>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</si>
  <si>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</si>
  <si>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</si>
  <si>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</si>
  <si>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</si>
  <si>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</si>
  <si>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</si>
  <si>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</si>
  <si>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</si>
  <si>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</si>
  <si>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</si>
  <si>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</si>
  <si>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</si>
  <si>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</si>
  <si>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</si>
  <si>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</si>
  <si>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</si>
  <si>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</si>
  <si>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</si>
  <si>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</si>
  <si>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</si>
  <si>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</si>
  <si>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</si>
  <si>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</si>
  <si>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</si>
  <si>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</si>
  <si>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</si>
  <si>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</si>
  <si>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</si>
  <si>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</si>
  <si>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</si>
  <si>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</si>
  <si>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</si>
  <si>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</si>
  <si>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</si>
  <si>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</si>
  <si>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</si>
  <si>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</si>
  <si>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</si>
  <si>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</si>
  <si>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</si>
  <si>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</si>
  <si>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</si>
  <si>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</si>
  <si>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</si>
  <si>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</si>
  <si>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</si>
  <si>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</si>
  <si>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</si>
  <si>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</si>
  <si>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</si>
  <si>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</si>
  <si>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</si>
  <si>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</si>
  <si>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</si>
  <si>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</si>
  <si>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</si>
  <si>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</si>
  <si>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</si>
  <si>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</si>
  <si>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</si>
  <si>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</si>
  <si>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</si>
  <si>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</si>
  <si>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</si>
  <si>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</si>
  <si>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</si>
  <si>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</si>
  <si>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</si>
  <si>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</si>
  <si>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</si>
  <si>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</si>
  <si>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</si>
  <si>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</si>
  <si>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</si>
  <si>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</si>
  <si>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</si>
  <si>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</si>
  <si>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</si>
  <si>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</si>
  <si>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</si>
  <si>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</si>
  <si>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</si>
  <si>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</si>
  <si>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</si>
  <si>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</si>
  <si>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</si>
  <si>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</si>
  <si>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</si>
  <si>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</si>
  <si>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</si>
  <si>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</si>
  <si>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</si>
  <si>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</si>
  <si>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</si>
  <si>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</si>
  <si>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</si>
  <si>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</si>
  <si>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</si>
  <si>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</si>
  <si>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</si>
  <si>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</si>
  <si>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</si>
  <si>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</si>
  <si>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</si>
  <si>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</si>
  <si>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</si>
  <si>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</si>
  <si>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</si>
  <si>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</si>
  <si>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</si>
  <si>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</si>
  <si>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</si>
  <si>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</si>
  <si>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</si>
  <si>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</si>
  <si>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</si>
  <si>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</si>
  <si>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</si>
  <si>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</si>
  <si>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</si>
  <si>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</si>
  <si>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</si>
  <si>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</si>
  <si>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</si>
  <si>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</si>
  <si>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</si>
  <si>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</si>
  <si>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</si>
  <si>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</si>
  <si>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</si>
  <si>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</si>
  <si>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</si>
  <si>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</si>
  <si>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</si>
  <si>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</si>
  <si>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</si>
  <si>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</si>
  <si>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</si>
  <si>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</si>
  <si>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</si>
  <si>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</si>
  <si>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</si>
  <si>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</si>
  <si>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</si>
  <si>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</si>
  <si>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</si>
  <si>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</si>
  <si>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</si>
  <si>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</si>
  <si>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</si>
  <si>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</si>
  <si>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</si>
  <si>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</si>
  <si>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</si>
  <si>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</si>
  <si>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</si>
  <si>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</si>
  <si>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</si>
  <si>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</si>
  <si>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</si>
  <si>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</si>
  <si>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</si>
  <si>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</si>
  <si>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</si>
  <si>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</si>
  <si>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</si>
  <si>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</si>
  <si>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</si>
  <si>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</si>
  <si>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</si>
  <si>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</si>
  <si>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</si>
  <si>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</si>
  <si>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</si>
  <si>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</si>
  <si>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</si>
  <si>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</si>
  <si>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</si>
  <si>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</si>
  <si>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</si>
  <si>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</si>
  <si>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</si>
  <si>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</si>
  <si>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</si>
  <si>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</si>
  <si>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</si>
  <si>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</si>
  <si>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</si>
  <si>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</si>
  <si>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</si>
  <si>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</si>
  <si>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</si>
  <si>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</si>
  <si>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</si>
  <si>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</si>
  <si>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</si>
  <si>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</si>
  <si>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</si>
  <si>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</si>
  <si>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</si>
  <si>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</si>
  <si>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</si>
  <si>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</si>
  <si>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</si>
  <si>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</si>
  <si>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</si>
  <si>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</si>
  <si>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</si>
  <si>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</si>
  <si>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</si>
  <si>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</si>
  <si>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</si>
  <si>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</si>
  <si>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</si>
  <si>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</si>
  <si>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</si>
  <si>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</si>
  <si>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</si>
  <si>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</si>
  <si>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</si>
  <si>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</si>
  <si>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</si>
  <si>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</si>
  <si>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</si>
  <si>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</si>
  <si>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</si>
  <si>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</si>
  <si>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</si>
  <si>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</si>
  <si>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</si>
  <si>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</si>
  <si>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</si>
  <si>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</si>
  <si>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</si>
  <si>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</si>
  <si>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</si>
  <si>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</si>
  <si>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</si>
  <si>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</si>
  <si>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</si>
  <si>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</si>
  <si>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</si>
  <si>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</si>
  <si>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</si>
  <si>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</si>
  <si>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</si>
  <si>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</si>
  <si>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</si>
  <si>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</si>
  <si>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</si>
  <si>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</si>
  <si>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</si>
  <si>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</si>
  <si>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</si>
  <si>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</si>
  <si>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</si>
  <si>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</si>
  <si>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</si>
  <si>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</si>
  <si>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</si>
  <si>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</si>
  <si>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</si>
  <si>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</si>
  <si>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</si>
  <si>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</si>
  <si>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</si>
  <si>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</si>
  <si>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</si>
  <si>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</si>
  <si>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</si>
  <si>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</si>
  <si>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</si>
  <si>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</si>
  <si>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</si>
  <si>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</si>
  <si>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</si>
  <si>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</si>
  <si>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</si>
  <si>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</si>
  <si>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</si>
  <si>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</si>
  <si>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</si>
  <si>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</si>
  <si>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</si>
  <si>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</si>
  <si>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</si>
  <si>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</si>
  <si>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</si>
  <si>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</si>
  <si>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</si>
  <si>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</si>
  <si>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</si>
  <si>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</si>
  <si>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</si>
  <si>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</si>
  <si>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</si>
  <si>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</si>
  <si>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</si>
  <si>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</si>
  <si>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</si>
  <si>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</si>
  <si>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</si>
  <si>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</si>
  <si>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</si>
  <si>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</si>
  <si>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</si>
  <si>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</si>
  <si>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</si>
  <si>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</si>
  <si>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</si>
  <si>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</si>
  <si>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</si>
  <si>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</si>
  <si>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</si>
  <si>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</si>
  <si>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</si>
  <si>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</si>
  <si>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</si>
  <si>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</si>
  <si>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</si>
  <si>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</si>
  <si>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</si>
  <si>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</si>
  <si>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</si>
  <si>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</si>
  <si>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</si>
  <si>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</si>
  <si>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</si>
  <si>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</si>
  <si>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</si>
  <si>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</si>
  <si>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</si>
  <si>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</si>
  <si>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</si>
  <si>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</si>
  <si>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</si>
  <si>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</si>
  <si>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</si>
  <si>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</si>
  <si>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</si>
  <si>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</si>
  <si>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</si>
  <si>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</si>
  <si>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</si>
  <si>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</si>
  <si>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</si>
  <si>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</si>
  <si>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</si>
  <si>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</si>
  <si>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</si>
  <si>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</si>
  <si>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</si>
  <si>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</si>
  <si>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</si>
  <si>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</si>
  <si>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</si>
  <si>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</si>
  <si>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</si>
  <si>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</si>
  <si>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</si>
  <si>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</si>
  <si>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</si>
  <si>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</si>
  <si>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</si>
  <si>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</si>
  <si>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</si>
  <si>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</si>
  <si>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</si>
  <si>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</si>
  <si>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</si>
  <si>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</si>
  <si>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</si>
  <si>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</si>
  <si>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</si>
  <si>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</si>
  <si>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</si>
  <si>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</si>
  <si>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</si>
  <si>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</si>
  <si>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</si>
  <si>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</si>
  <si>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</si>
  <si>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</si>
  <si>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</si>
  <si>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</si>
  <si>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</si>
  <si>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</si>
  <si>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</si>
  <si>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</si>
  <si>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</si>
  <si>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</si>
  <si>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</si>
  <si>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</si>
  <si>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</si>
  <si>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</si>
  <si>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</si>
  <si>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</si>
  <si>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</si>
  <si>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</si>
  <si>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</si>
  <si>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</si>
  <si>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</si>
  <si>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</si>
  <si>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</si>
  <si>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</si>
  <si>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</si>
  <si>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</si>
  <si>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</si>
  <si>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</si>
  <si>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</si>
  <si>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</si>
  <si>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</si>
  <si>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</si>
  <si>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</si>
  <si>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</si>
  <si>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</si>
  <si>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</si>
  <si>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</si>
  <si>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</si>
  <si>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</si>
  <si>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</si>
  <si>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</si>
  <si>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</si>
  <si>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</si>
  <si>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</si>
  <si>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</si>
  <si>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</si>
  <si>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</si>
  <si>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</si>
  <si>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</si>
  <si>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</si>
  <si>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</si>
  <si>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</si>
  <si>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</si>
  <si>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</si>
  <si>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</si>
  <si>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</si>
  <si>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</si>
  <si>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</si>
  <si>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</si>
  <si>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</si>
  <si>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</si>
  <si>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</si>
  <si>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</si>
  <si>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</si>
  <si>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</si>
  <si>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</si>
  <si>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</si>
  <si>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</si>
  <si>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</si>
  <si>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</si>
  <si>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</si>
  <si>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</si>
  <si>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</si>
  <si>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</si>
  <si>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</si>
  <si>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</si>
  <si>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</si>
  <si>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</si>
  <si>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</si>
  <si>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</si>
  <si>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</si>
  <si>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</si>
  <si>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</si>
  <si>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</si>
  <si>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</si>
  <si>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</si>
  <si>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</si>
  <si>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</si>
  <si>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</si>
  <si>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</si>
  <si>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</si>
  <si>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</si>
  <si>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</si>
  <si>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</si>
  <si>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</si>
  <si>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</si>
  <si>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</si>
  <si>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</si>
  <si>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</si>
  <si>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</si>
  <si>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</si>
  <si>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</si>
  <si>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</si>
  <si>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</si>
  <si>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</si>
  <si>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</si>
  <si>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</si>
  <si>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</si>
  <si>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</si>
  <si>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</si>
  <si>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</si>
  <si>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</si>
  <si>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</si>
  <si>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</si>
  <si>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</si>
  <si>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</si>
  <si>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</si>
  <si>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</si>
  <si>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</si>
  <si>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</si>
  <si>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</si>
  <si>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</si>
  <si>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</si>
  <si>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</si>
  <si>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</si>
  <si>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</si>
  <si>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</si>
  <si>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</si>
  <si>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</si>
  <si>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</si>
  <si>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</si>
  <si>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</si>
  <si>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</si>
  <si>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</si>
  <si>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</si>
  <si>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</si>
  <si>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</si>
  <si>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</si>
  <si>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</si>
  <si>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</si>
  <si>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</si>
  <si>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</si>
  <si>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</si>
  <si>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</si>
  <si>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</si>
  <si>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</si>
  <si>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</si>
  <si>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</si>
  <si>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</si>
  <si>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</si>
  <si>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</si>
  <si>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</si>
  <si>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</si>
  <si>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</si>
  <si>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</si>
  <si>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</si>
  <si>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</si>
  <si>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</si>
  <si>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</si>
  <si>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</si>
  <si>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</si>
  <si>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</si>
  <si>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</si>
  <si>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</si>
  <si>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</si>
  <si>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</si>
  <si>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</si>
  <si>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</si>
  <si>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</si>
  <si>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</si>
  <si>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</si>
  <si>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</si>
  <si>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</si>
  <si>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</si>
  <si>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</si>
  <si>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</si>
  <si>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</si>
  <si>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</si>
  <si>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</si>
  <si>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</si>
  <si>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</si>
  <si>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</si>
  <si>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</si>
  <si>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</si>
  <si>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</si>
  <si>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</si>
  <si>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</si>
  <si>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</si>
  <si>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</si>
  <si>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</si>
  <si>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</si>
  <si>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</si>
  <si>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</si>
  <si>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</si>
  <si>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</si>
  <si>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</si>
  <si>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</si>
  <si>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</si>
  <si>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</si>
  <si>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</si>
  <si>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</si>
  <si>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</si>
  <si>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</si>
  <si>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</si>
  <si>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</si>
  <si>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</si>
  <si>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</si>
  <si>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</si>
  <si>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</si>
  <si>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</si>
  <si>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</si>
  <si>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</si>
  <si>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</si>
  <si>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</si>
  <si>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</si>
  <si>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</si>
  <si>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</si>
  <si>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</si>
  <si>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</si>
  <si>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</si>
  <si>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</si>
  <si>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</si>
  <si>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</si>
  <si>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</si>
  <si>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</si>
  <si>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</si>
  <si>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</si>
  <si>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</si>
  <si>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</si>
  <si>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</si>
  <si>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</si>
  <si>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</si>
  <si>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</si>
  <si>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</si>
  <si>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</si>
  <si>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</si>
  <si>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</si>
  <si>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</si>
  <si>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</si>
  <si>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</si>
  <si>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</si>
  <si>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</si>
  <si>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</si>
  <si>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</si>
  <si>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</si>
  <si>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</si>
  <si>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</si>
  <si>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</si>
  <si>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</si>
  <si>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</si>
  <si>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</si>
  <si>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</si>
  <si>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</si>
  <si>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</si>
  <si>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</si>
  <si>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</si>
  <si>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</si>
  <si>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</si>
  <si>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</si>
  <si>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</si>
  <si>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</si>
  <si>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</si>
  <si>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</si>
  <si>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</si>
  <si>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</si>
  <si>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</si>
  <si>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</si>
  <si>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</si>
  <si>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</si>
  <si>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</si>
  <si>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</si>
  <si>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</si>
  <si>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</si>
  <si>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</si>
  <si>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</si>
  <si>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</si>
  <si>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</si>
  <si>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</si>
  <si>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</si>
  <si>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</si>
  <si>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</si>
  <si>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</si>
  <si>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</si>
  <si>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</si>
  <si>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</si>
  <si>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</si>
  <si>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</si>
  <si>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</si>
  <si>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</si>
  <si>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</si>
  <si>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</si>
  <si>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</si>
  <si>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</si>
  <si>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</si>
  <si>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</si>
  <si>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</si>
  <si>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</si>
  <si>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</si>
  <si>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</si>
  <si>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</si>
  <si>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</si>
  <si>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</si>
  <si>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</si>
  <si>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</si>
  <si>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</si>
  <si>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</si>
  <si>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</si>
  <si>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</si>
  <si>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</si>
  <si>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</si>
  <si>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</si>
  <si>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</si>
  <si>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</si>
  <si>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</si>
  <si>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</si>
  <si>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</si>
  <si>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</si>
  <si>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</si>
  <si>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</si>
  <si>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</si>
  <si>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</si>
  <si>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</si>
  <si>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</si>
  <si>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</si>
  <si>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</si>
  <si>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</si>
  <si>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</si>
  <si>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</si>
  <si>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</si>
  <si>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</si>
  <si>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</si>
  <si>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</si>
  <si>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</si>
  <si>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</si>
  <si>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</si>
  <si>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</si>
  <si>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</si>
  <si>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</si>
  <si>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</si>
  <si>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</si>
  <si>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</si>
  <si>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</si>
  <si>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</si>
  <si>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</si>
  <si>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</si>
  <si>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</si>
  <si>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</si>
  <si>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</si>
  <si>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</si>
  <si>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</si>
  <si>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</si>
  <si>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</si>
  <si>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</si>
  <si>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</si>
  <si>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</si>
  <si>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</si>
  <si>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</si>
  <si>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</si>
  <si>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</si>
  <si>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</si>
  <si>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</si>
  <si>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</si>
  <si>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</si>
  <si>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</si>
  <si>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</si>
  <si>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</si>
  <si>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</si>
  <si>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</si>
  <si>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</si>
  <si>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</si>
  <si>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</si>
  <si>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</si>
  <si>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</si>
  <si>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</si>
  <si>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</si>
  <si>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</si>
  <si>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</si>
  <si>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</si>
  <si>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</si>
  <si>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</si>
  <si>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</si>
  <si>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</si>
  <si>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</si>
  <si>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</si>
  <si>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</si>
  <si>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</si>
  <si>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</si>
  <si>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</si>
  <si>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</si>
  <si>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</si>
  <si>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</si>
  <si>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</si>
  <si>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</si>
  <si>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</si>
  <si>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</si>
  <si>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</si>
  <si>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</si>
  <si>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</si>
  <si>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</si>
  <si>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</si>
  <si>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</si>
  <si>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</si>
  <si>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</si>
  <si>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</si>
  <si>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</si>
  <si>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</si>
  <si>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</si>
  <si>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</si>
  <si>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</si>
  <si>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</si>
  <si>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</si>
  <si>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</si>
  <si>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</si>
  <si>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</si>
  <si>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</si>
  <si>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</si>
  <si>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</si>
  <si>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</si>
  <si>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</si>
  <si>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</si>
  <si>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</si>
  <si>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</si>
  <si>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</si>
  <si>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</si>
  <si>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</si>
  <si>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</si>
  <si>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</si>
  <si>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</si>
  <si>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</si>
  <si>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</si>
  <si>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</si>
  <si>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</si>
  <si>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</si>
  <si>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</si>
  <si>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</si>
  <si>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</si>
  <si>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</si>
  <si>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</si>
  <si>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</si>
  <si>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</si>
  <si>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</si>
  <si>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</si>
  <si>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</si>
  <si>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</si>
  <si>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</si>
  <si>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</si>
  <si>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</si>
  <si>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</si>
  <si>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</si>
  <si>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</si>
  <si>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</si>
  <si>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</si>
  <si>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</si>
  <si>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</si>
  <si>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</si>
  <si>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</si>
  <si>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</si>
  <si>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</si>
  <si>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</si>
  <si>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</si>
  <si>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</si>
  <si>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</si>
  <si>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</si>
  <si>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</si>
  <si>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</si>
  <si>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</si>
  <si>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</si>
  <si>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</si>
  <si>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</si>
  <si>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</si>
  <si>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</si>
  <si>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</si>
  <si>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</si>
  <si>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</si>
  <si>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</si>
  <si>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</si>
  <si>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</si>
  <si>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</si>
  <si>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</si>
  <si>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</si>
  <si>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</si>
  <si>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</si>
  <si>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</si>
  <si>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</si>
  <si>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</si>
  <si>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</si>
  <si>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</si>
  <si>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</si>
  <si>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</si>
  <si>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</si>
  <si>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</si>
  <si>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</si>
  <si>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</si>
  <si>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</si>
  <si>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</si>
  <si>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</si>
  <si>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</si>
  <si>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</si>
  <si>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</si>
  <si>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</si>
  <si>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</si>
  <si>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</si>
  <si>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</si>
  <si>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</si>
  <si>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</si>
  <si>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</si>
  <si>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</si>
  <si>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</si>
  <si>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</si>
  <si>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</si>
  <si>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</si>
  <si>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</si>
  <si>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</si>
  <si>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</si>
  <si>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</si>
  <si>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</si>
  <si>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</si>
  <si>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</si>
  <si>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</si>
  <si>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</si>
  <si>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</si>
  <si>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</si>
  <si>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</si>
  <si>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</si>
  <si>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</si>
  <si>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</si>
  <si>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</si>
  <si>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</si>
  <si>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</si>
  <si>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</si>
  <si>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</si>
  <si>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</si>
  <si>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</si>
  <si>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</si>
  <si>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</si>
  <si>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</si>
  <si>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</si>
  <si>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</si>
  <si>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</si>
  <si>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</si>
  <si>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</si>
  <si>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</si>
  <si>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</si>
  <si>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</si>
  <si>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</si>
  <si>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</si>
  <si>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</si>
  <si>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</si>
  <si>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</si>
  <si>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</si>
  <si>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</si>
  <si>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</si>
  <si>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</si>
  <si>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</si>
  <si>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</si>
  <si>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</si>
  <si>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</si>
  <si>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</si>
  <si>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</si>
  <si>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</si>
  <si>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</si>
  <si>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</si>
  <si>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</si>
  <si>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</si>
  <si>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</si>
  <si>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</si>
  <si>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</si>
  <si>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</si>
  <si>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</si>
  <si>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</si>
  <si>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</si>
  <si>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</si>
  <si>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</si>
  <si>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</si>
  <si>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</si>
  <si>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</si>
  <si>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</si>
  <si>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</si>
  <si>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</si>
  <si>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</si>
  <si>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</si>
  <si>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</si>
  <si>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</si>
  <si>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</si>
  <si>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</si>
  <si>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</si>
  <si>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</si>
  <si>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</si>
  <si>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</si>
  <si>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</si>
  <si>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</si>
  <si>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</si>
  <si>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</si>
  <si>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</si>
  <si>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</si>
  <si>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</si>
  <si>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</si>
  <si>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</si>
  <si>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</si>
  <si>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</si>
  <si>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</si>
  <si>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</si>
  <si>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</si>
  <si>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</si>
  <si>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</si>
  <si>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</si>
  <si>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</si>
  <si>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</si>
  <si>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</si>
  <si>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</si>
  <si>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</si>
  <si>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</si>
  <si>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</si>
  <si>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</si>
  <si>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</si>
  <si>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</si>
  <si>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</si>
  <si>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</si>
  <si>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</si>
  <si>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</si>
  <si>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</si>
  <si>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</si>
  <si>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</si>
  <si>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</si>
  <si>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</si>
  <si>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</si>
  <si>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</si>
  <si>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</si>
  <si>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</si>
  <si>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</si>
  <si>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</si>
  <si>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</si>
  <si>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</si>
  <si>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</si>
  <si>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</si>
  <si>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</si>
  <si>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</si>
  <si>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</si>
  <si>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</si>
  <si>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</si>
  <si>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</si>
  <si>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</si>
  <si>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</si>
  <si>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</si>
  <si>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</si>
  <si>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</si>
  <si>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</si>
  <si>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</si>
  <si>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</si>
  <si>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</si>
  <si>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</si>
  <si>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</si>
  <si>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</si>
  <si>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</si>
  <si>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</si>
  <si>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</si>
  <si>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</si>
  <si>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</si>
  <si>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</si>
  <si>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</si>
  <si>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</si>
  <si>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</si>
  <si>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</si>
  <si>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</si>
  <si>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</si>
  <si>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</si>
  <si>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</si>
  <si>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</si>
  <si>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</si>
  <si>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</si>
  <si>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</si>
  <si>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</si>
  <si>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</si>
  <si>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</si>
  <si>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</si>
  <si>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</si>
  <si>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</si>
  <si>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</si>
  <si>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</si>
  <si>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</si>
  <si>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</si>
  <si>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</si>
  <si>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</si>
  <si>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</si>
  <si>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</si>
  <si>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</si>
  <si>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</si>
  <si>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</si>
  <si>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</si>
  <si>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</si>
  <si>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</si>
  <si>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</si>
  <si>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</si>
  <si>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</si>
  <si>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</si>
  <si>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</si>
  <si>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</si>
  <si>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</si>
  <si>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</si>
  <si>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</si>
  <si>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</si>
  <si>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</si>
  <si>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</si>
  <si>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</si>
  <si>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</si>
  <si>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</si>
  <si>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</si>
  <si>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</si>
  <si>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</si>
  <si>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</si>
  <si>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</si>
  <si>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</si>
  <si>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</si>
  <si>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</si>
  <si>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</si>
  <si>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</si>
  <si>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</si>
  <si>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</si>
  <si>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</si>
  <si>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</si>
  <si>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</si>
  <si>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</si>
  <si>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</si>
  <si>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</si>
  <si>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</si>
  <si>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</si>
  <si>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</si>
  <si>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</si>
  <si>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</si>
  <si>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</si>
  <si>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</si>
  <si>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</si>
  <si>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</si>
  <si>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</si>
  <si>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</si>
  <si>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</si>
  <si>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</si>
  <si>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</si>
  <si>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</si>
  <si>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</si>
  <si>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</si>
  <si>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</si>
  <si>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</si>
  <si>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</si>
  <si>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</si>
  <si>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</si>
  <si>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</si>
  <si>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</si>
  <si>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</si>
  <si>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</si>
  <si>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</si>
  <si>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</si>
  <si>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</si>
  <si>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</si>
  <si>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</si>
  <si>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</si>
  <si>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</si>
  <si>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</si>
  <si>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</si>
  <si>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</si>
  <si>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</si>
  <si>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</si>
  <si>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</si>
  <si>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</si>
  <si>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</si>
  <si>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</si>
  <si>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</si>
  <si>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</si>
  <si>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</si>
  <si>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</si>
  <si>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</si>
  <si>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</si>
  <si>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</si>
  <si>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</si>
  <si>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</si>
  <si>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</si>
  <si>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</si>
  <si>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</si>
  <si>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</si>
  <si>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</si>
  <si>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</si>
  <si>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</si>
  <si>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</si>
  <si>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</si>
  <si>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</si>
  <si>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</si>
  <si>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</si>
  <si>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</si>
  <si>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</si>
  <si>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</si>
  <si>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</si>
  <si>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</si>
  <si>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</si>
  <si>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</si>
  <si>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</si>
  <si>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</si>
  <si>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</si>
  <si>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</si>
  <si>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</si>
  <si>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</si>
  <si>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</si>
  <si>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</si>
  <si>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</si>
  <si>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</si>
  <si>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</si>
  <si>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</si>
  <si>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</si>
  <si>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</si>
  <si>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</si>
  <si>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</si>
  <si>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</si>
  <si>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</si>
  <si>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</si>
  <si>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</si>
  <si>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</si>
  <si>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</si>
  <si>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</si>
  <si>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</si>
  <si>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</si>
  <si>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</si>
  <si>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</si>
  <si>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</si>
  <si>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</si>
  <si>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</si>
  <si>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</si>
  <si>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</si>
  <si>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</si>
  <si>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</si>
  <si>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</si>
  <si>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</si>
  <si>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</si>
  <si>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</si>
  <si>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</si>
  <si>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</si>
  <si>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</si>
  <si>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</si>
  <si>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</si>
  <si>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</si>
  <si>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</si>
  <si>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</si>
  <si>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</si>
  <si>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</si>
  <si>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</si>
  <si>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</si>
  <si>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</si>
  <si>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</si>
  <si>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</si>
  <si>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</si>
  <si>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</si>
  <si>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</si>
  <si>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</si>
  <si>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</si>
  <si>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</si>
  <si>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</si>
  <si>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</si>
  <si>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</si>
  <si>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</si>
  <si>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</si>
  <si>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</si>
  <si>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</si>
  <si>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</si>
  <si>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</si>
  <si>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</si>
  <si>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</si>
  <si>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</si>
  <si>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</si>
  <si>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</si>
  <si>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</si>
  <si>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</si>
  <si>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</si>
  <si>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</si>
  <si>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</si>
  <si>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</si>
  <si>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</si>
  <si>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</si>
  <si>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</si>
  <si>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</si>
  <si>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</si>
  <si>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</si>
  <si>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</si>
  <si>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</si>
  <si>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</si>
  <si>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</si>
  <si>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</si>
  <si>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</si>
  <si>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</si>
  <si>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</si>
  <si>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</si>
  <si>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</si>
  <si>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</si>
  <si>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</si>
  <si>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</si>
  <si>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</si>
  <si>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</si>
  <si>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</si>
  <si>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</si>
  <si>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</si>
  <si>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</si>
  <si>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</si>
  <si>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</si>
  <si>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</si>
  <si>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</si>
  <si>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</si>
  <si>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</si>
  <si>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</si>
  <si>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</si>
  <si>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</si>
  <si>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</si>
  <si>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</si>
  <si>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</si>
  <si>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</si>
  <si>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</si>
  <si>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</si>
  <si>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</si>
  <si>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</si>
  <si>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</si>
  <si>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</si>
  <si>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</si>
  <si>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</si>
  <si>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</si>
  <si>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</si>
  <si>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</si>
  <si>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</si>
  <si>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</si>
  <si>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</si>
  <si>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</si>
  <si>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</si>
  <si>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</si>
  <si>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</si>
  <si>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</si>
  <si>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</si>
  <si>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</si>
  <si>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</si>
  <si>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</si>
  <si>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</si>
  <si>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</si>
  <si>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</si>
  <si>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</si>
  <si>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</si>
  <si>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</si>
  <si>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</si>
  <si>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</si>
  <si>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</si>
  <si>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</si>
  <si>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</si>
  <si>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</si>
  <si>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</si>
  <si>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</si>
  <si>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</si>
  <si>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</si>
  <si>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</si>
  <si>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</si>
  <si>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</si>
  <si>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</si>
  <si>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</si>
  <si>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</si>
  <si>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</si>
  <si>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</si>
  <si>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</si>
  <si>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</si>
  <si>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</si>
  <si>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</si>
  <si>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</si>
  <si>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</si>
  <si>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</si>
  <si>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</si>
  <si>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</si>
  <si>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</si>
  <si>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</si>
  <si>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</si>
  <si>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</si>
  <si>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</si>
  <si>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</si>
  <si>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</si>
  <si>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</si>
  <si>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</si>
  <si>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</si>
  <si>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</si>
  <si>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</si>
  <si>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</si>
  <si>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</si>
  <si>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</si>
  <si>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</si>
  <si>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</si>
  <si>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</si>
  <si>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</si>
  <si>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</si>
  <si>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</si>
  <si>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</si>
  <si>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</si>
  <si>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</si>
  <si>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</si>
  <si>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</si>
  <si>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</si>
  <si>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</si>
  <si>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</si>
  <si>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</si>
  <si>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</si>
  <si>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</si>
  <si>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</si>
  <si>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</si>
  <si>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</si>
  <si>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</si>
  <si>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</si>
  <si>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</si>
  <si>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</si>
  <si>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</si>
  <si>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</si>
  <si>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</si>
  <si>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</si>
  <si>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</si>
  <si>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</si>
  <si>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</si>
  <si>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</si>
  <si>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</si>
  <si>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</si>
  <si>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</si>
  <si>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</si>
  <si>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</si>
  <si>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</si>
  <si>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</si>
  <si>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</si>
  <si>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</si>
  <si>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</si>
  <si>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</si>
  <si>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</si>
  <si>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</si>
  <si>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</si>
  <si>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</si>
  <si>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</si>
  <si>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</si>
  <si>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</si>
  <si>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</si>
  <si>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</si>
  <si>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</si>
  <si>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</si>
  <si>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</si>
  <si>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</si>
  <si>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</si>
  <si>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</si>
  <si>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</si>
  <si>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</si>
  <si>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</si>
  <si>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</si>
  <si>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</si>
  <si>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</si>
  <si>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</si>
  <si>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</si>
  <si>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</si>
  <si>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</si>
  <si>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</si>
  <si>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</si>
  <si>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</si>
  <si>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</si>
  <si>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</si>
  <si>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</si>
  <si>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</si>
  <si>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</si>
  <si>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</si>
  <si>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</si>
  <si>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</si>
  <si>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</si>
  <si>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</si>
  <si>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</si>
  <si>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</si>
  <si>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</si>
  <si>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</si>
  <si>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</si>
  <si>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</si>
  <si>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</si>
  <si>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</si>
  <si>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</si>
  <si>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</si>
  <si>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</si>
  <si>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</si>
  <si>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</si>
  <si>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</si>
  <si>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</si>
  <si>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</si>
  <si>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</si>
  <si>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</si>
  <si>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</si>
  <si>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</si>
  <si>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</si>
  <si>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</si>
  <si>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</si>
  <si>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</si>
  <si>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</si>
  <si>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</si>
  <si>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</si>
  <si>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</si>
  <si>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</si>
  <si>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</si>
  <si>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</si>
  <si>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</si>
  <si>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</si>
  <si>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</si>
  <si>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</si>
  <si>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</si>
  <si>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</si>
  <si>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</si>
  <si>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</si>
  <si>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</si>
  <si>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</si>
  <si>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</si>
  <si>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</si>
  <si>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</si>
  <si>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</si>
  <si>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</si>
  <si>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</si>
  <si>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</si>
  <si>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</si>
  <si>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</si>
  <si>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</si>
  <si>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</si>
  <si>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</si>
  <si>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</si>
  <si>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</si>
  <si>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</si>
  <si>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</si>
  <si>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</si>
  <si>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</si>
  <si>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</si>
  <si>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</si>
  <si>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</si>
  <si>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</si>
  <si>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</si>
  <si>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</si>
  <si>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</si>
  <si>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</si>
  <si>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</si>
  <si>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</si>
  <si>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</si>
  <si>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</si>
  <si>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</si>
  <si>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</si>
  <si>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</si>
  <si>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</si>
  <si>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</si>
  <si>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</si>
  <si>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</si>
  <si>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</si>
  <si>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</si>
  <si>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</si>
  <si>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</si>
  <si>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</si>
  <si>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</si>
  <si>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</si>
  <si>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</si>
  <si>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</si>
  <si>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</si>
  <si>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</si>
  <si>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</si>
  <si>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</si>
  <si>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</si>
  <si>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</si>
  <si>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</si>
  <si>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</si>
  <si>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</si>
  <si>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</si>
  <si>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</si>
  <si>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</si>
  <si>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</si>
  <si>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</si>
  <si>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</si>
  <si>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</si>
  <si>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</si>
  <si>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</si>
  <si>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</si>
  <si>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</si>
  <si>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</si>
  <si>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</si>
  <si>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</si>
  <si>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</si>
  <si>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</si>
  <si>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</si>
  <si>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</si>
  <si>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</si>
  <si>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</si>
  <si>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</si>
  <si>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</si>
  <si>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</si>
  <si>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</si>
  <si>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</si>
  <si>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</si>
  <si>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</si>
  <si>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</si>
  <si>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</si>
  <si>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</si>
  <si>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</si>
  <si>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</si>
  <si>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</si>
  <si>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</si>
  <si>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</si>
  <si>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</si>
  <si>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</si>
  <si>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</si>
  <si>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</si>
  <si>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</si>
  <si>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</si>
  <si>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</si>
  <si>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</si>
  <si>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</si>
  <si>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</si>
  <si>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</si>
  <si>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</si>
  <si>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</si>
  <si>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</si>
  <si>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</si>
  <si>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</si>
  <si>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</si>
  <si>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</si>
  <si>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</si>
  <si>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</si>
  <si>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</si>
  <si>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</si>
  <si>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</si>
  <si>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</si>
  <si>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</si>
  <si>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</si>
  <si>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</si>
  <si>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</si>
  <si>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</si>
  <si>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</si>
  <si>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</si>
  <si>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</si>
  <si>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</si>
  <si>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</si>
  <si>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</si>
  <si>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</si>
  <si>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</si>
  <si>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</si>
  <si>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</si>
  <si>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</si>
  <si>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</si>
  <si>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</si>
  <si>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</si>
  <si>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</si>
  <si>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</si>
  <si>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</si>
  <si>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</si>
  <si>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</si>
  <si>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</si>
  <si>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</si>
  <si>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</si>
  <si>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</si>
  <si>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</si>
  <si>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</si>
  <si>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</si>
  <si>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</si>
  <si>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</si>
  <si>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</si>
  <si>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</si>
  <si>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</si>
  <si>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</si>
  <si>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</si>
  <si>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</si>
  <si>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</si>
  <si>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</si>
  <si>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</si>
  <si>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</si>
  <si>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</si>
  <si>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</si>
  <si>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</si>
  <si>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</si>
  <si>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</si>
  <si>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</si>
  <si>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</si>
  <si>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</si>
  <si>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</si>
  <si>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</si>
  <si>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</si>
  <si>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</si>
  <si>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</si>
  <si>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</si>
  <si>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</si>
  <si>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</si>
  <si>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</si>
  <si>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</si>
  <si>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</si>
  <si>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</si>
  <si>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</si>
  <si>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</si>
  <si>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</si>
  <si>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</si>
  <si>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</si>
  <si>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</si>
  <si>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</si>
  <si>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</si>
  <si>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</si>
  <si>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</si>
  <si>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</si>
  <si>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</si>
  <si>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</si>
  <si>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</si>
  <si>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</si>
  <si>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</si>
  <si>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</si>
  <si>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</si>
  <si>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</si>
  <si>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</si>
  <si>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</si>
  <si>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</si>
  <si>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</si>
  <si>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</si>
  <si>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</si>
  <si>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</si>
  <si>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</si>
  <si>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</si>
  <si>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</si>
  <si>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</si>
  <si>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</si>
  <si>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</si>
  <si>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</si>
  <si>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</si>
  <si>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</si>
  <si>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</si>
  <si>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</si>
  <si>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</si>
  <si>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</si>
  <si>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</si>
  <si>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</si>
  <si>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</si>
  <si>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</si>
  <si>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</si>
  <si>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</si>
  <si>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</si>
  <si>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</si>
  <si>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</si>
  <si>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</si>
  <si>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</si>
  <si>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</si>
  <si>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</si>
  <si>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</si>
  <si>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</si>
  <si>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</si>
  <si>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</si>
  <si>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</si>
  <si>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</si>
  <si>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</si>
  <si>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</si>
  <si>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</si>
  <si>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</si>
  <si>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</si>
  <si>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</si>
  <si>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</si>
  <si>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</si>
  <si>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</si>
  <si>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</si>
  <si>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</si>
  <si>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</si>
  <si>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</si>
  <si>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</si>
  <si>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</si>
  <si>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</si>
  <si>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</si>
  <si>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</si>
  <si>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</si>
  <si>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</si>
  <si>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</si>
  <si>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</si>
  <si>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</si>
  <si>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</si>
  <si>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</si>
  <si>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</si>
  <si>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</si>
  <si>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</si>
  <si>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</si>
  <si>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</si>
  <si>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</si>
  <si>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</si>
  <si>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</si>
  <si>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</si>
  <si>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</si>
  <si>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</si>
  <si>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</si>
  <si>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</si>
  <si>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</si>
  <si>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</si>
  <si>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</si>
  <si>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</si>
  <si>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</si>
  <si>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</si>
  <si>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</si>
  <si>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</si>
  <si>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</si>
  <si>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</si>
  <si>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</si>
  <si>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</si>
  <si>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</si>
  <si>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</si>
  <si>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</si>
  <si>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</si>
  <si>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</si>
  <si>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</si>
  <si>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</si>
  <si>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</si>
  <si>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</si>
  <si>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</si>
  <si>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</si>
  <si>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</si>
  <si>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</si>
  <si>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</si>
  <si>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</si>
  <si>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</si>
  <si>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</si>
  <si>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</si>
  <si>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</si>
  <si>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</si>
  <si>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</si>
  <si>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</si>
  <si>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</si>
  <si>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</si>
  <si>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</si>
  <si>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</si>
  <si>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</si>
  <si>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</si>
  <si>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</si>
  <si>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</si>
  <si>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</si>
  <si>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</si>
  <si>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</si>
  <si>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</si>
  <si>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</si>
  <si>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</si>
  <si>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</si>
  <si>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</si>
  <si>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</si>
  <si>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</si>
  <si>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</si>
  <si>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</si>
  <si>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</si>
  <si>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</si>
  <si>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</si>
  <si>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</si>
  <si>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</si>
  <si>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</si>
  <si>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</si>
  <si>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</si>
  <si>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</si>
  <si>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</si>
  <si>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</si>
  <si>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</si>
  <si>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</si>
  <si>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</si>
  <si>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</si>
  <si>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</si>
  <si>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</si>
  <si>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</si>
  <si>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</si>
  <si>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</si>
  <si>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</si>
  <si>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</si>
  <si>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</si>
  <si>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</si>
  <si>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</si>
  <si>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</si>
  <si>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</si>
  <si>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</si>
  <si>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</si>
  <si>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</si>
  <si>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</si>
  <si>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</si>
  <si>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</si>
  <si>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</si>
  <si>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</si>
  <si>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</si>
  <si>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</si>
  <si>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</si>
  <si>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</si>
  <si>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</si>
  <si>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</si>
  <si>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</si>
  <si>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</si>
  <si>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</si>
  <si>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</si>
  <si>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</si>
  <si>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</si>
  <si>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</si>
  <si>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</si>
  <si>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</si>
  <si>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</si>
  <si>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</si>
  <si>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</si>
  <si>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</si>
  <si>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</si>
  <si>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</si>
  <si>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</si>
  <si>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</si>
  <si>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</si>
  <si>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</si>
  <si>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</si>
  <si>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</si>
  <si>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</si>
  <si>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</si>
  <si>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</si>
  <si>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</si>
  <si>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</si>
  <si>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</si>
  <si>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</si>
  <si>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</si>
  <si>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</si>
  <si>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</si>
  <si>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</si>
  <si>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</si>
  <si>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</si>
  <si>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</si>
  <si>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</si>
  <si>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</si>
  <si>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</si>
  <si>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</si>
  <si>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</si>
  <si>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</si>
  <si>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</si>
  <si>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</si>
  <si>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</si>
  <si>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</si>
  <si>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</si>
  <si>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</si>
  <si>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</si>
  <si>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</si>
  <si>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</si>
  <si>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</si>
  <si>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</si>
  <si>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</si>
  <si>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</si>
  <si>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</si>
  <si>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</si>
  <si>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</si>
  <si>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</si>
  <si>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</si>
  <si>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</si>
  <si>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</si>
  <si>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</si>
  <si>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</si>
  <si>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</si>
  <si>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</si>
  <si>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</si>
  <si>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</si>
  <si>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</si>
  <si>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</si>
  <si>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</si>
  <si>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80000/2026</t>
  </si>
  <si>
    <t>teste</t>
  </si>
  <si>
    <t>15/08/2026</t>
  </si>
  <si>
    <t>Adriana Salles; Atricon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</si>
</sst>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48" fillId="0" borderId="1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topLeftCell="E1" zoomScaleNormal="100" workbookViewId="0">
      <pane ySplit="1" topLeftCell="A713" activePane="bottomLeft" state="frozen"/>
      <selection pane="bottomLeft" activeCell="K725" sqref="K72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 t="s">
        <v>2773</v>
      </c>
      <c r="D725" s="183" t="s">
        <v>3164</v>
      </c>
      <c r="E725" s="184" t="s">
        <v>3165</v>
      </c>
      <c r="F725" s="185"/>
      <c r="G725" s="186" t="s">
        <v>75</v>
      </c>
      <c r="H725" s="193" t="s">
        <v>3166</v>
      </c>
      <c r="I725" s="194"/>
      <c r="J725" s="194"/>
      <c r="K725" s="183" t="s">
        <v>38</v>
      </c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>
        <v>10</v>
      </c>
      <c r="T725" s="186" t="s">
        <v>3167</v>
      </c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242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726 A727:C727 E727:T727 A728:T2001">
    <cfRule type="expression" dxfId="7" priority="7">
      <formula>MOD(ROW(),2)=0</formula>
    </cfRule>
  </conditionalFormatting>
  <conditionalFormatting sqref="A2:T726 A727:C727 E727:T727 A728:T2001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1" sqref="D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7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2026-069</v>
      </c>
      <c r="N57" t="str">
        <v>A realizar</v>
      </c>
      <c r="O57" t="str">
        <v>teste</v>
      </c>
      <c r="P57">
        <v>10</v>
      </c>
      <c r="Q57" t="str">
        <v>Adriana Salles; Atricon</v>
      </c>
      <c r="R57">
        <v>2</v>
      </c>
      <c r="S57">
        <v>112</v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T58">
        <v>112</v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A realizar</v>
      </c>
      <c r="D112" t="str">
        <v>teste</v>
      </c>
      <c r="E112">
        <v>10</v>
      </c>
      <c r="F112" t="str">
        <v>Adriana Salles</v>
      </c>
      <c r="G112">
        <v>2</v>
      </c>
      <c r="H112">
        <v>10</v>
      </c>
      <c r="I112">
        <v>3</v>
      </c>
      <c r="J112">
        <v>13</v>
      </c>
      <c r="R112" t="str">
        <v/>
      </c>
      <c r="S112" t="str">
        <v/>
      </c>
    </row>
    <row r="113" spans="1:19" x14ac:dyDescent="0.25">
      <c r="A113">
        <v>2026</v>
      </c>
      <c r="B113" t="str">
        <v>2026-069</v>
      </c>
      <c r="C113" t="str">
        <v>A realizar</v>
      </c>
      <c r="D113" t="str">
        <v>teste</v>
      </c>
      <c r="E113">
        <v>10</v>
      </c>
      <c r="F113" t="str">
        <v>Atricon</v>
      </c>
      <c r="G113">
        <v>2</v>
      </c>
      <c r="H113">
        <v>10</v>
      </c>
      <c r="I113">
        <v>3</v>
      </c>
      <c r="J113">
        <v>13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2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28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7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Adriana Salles</v>
      </c>
      <c r="B8" s="26">
        <f>IF($A8="","",SUMIFS('GECC 2026'!H$2:H$200,'GECC 2026'!F$2:F$200,$A8))</f>
        <v>10</v>
      </c>
      <c r="C8" s="26">
        <f>IF($A8="","",SUMIFS('GECC 2026'!I$2:I$200,'GECC 2026'!F$2:F$200,$A8))</f>
        <v>3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13</v>
      </c>
      <c r="F8" s="24">
        <f>IF($A8="","",COUNTIFS('GECC 2026'!F$2:F$200,$A8))</f>
        <v>1</v>
      </c>
    </row>
    <row r="9" spans="1:7" x14ac:dyDescent="0.25">
      <c r="A9" t="str">
        <v>Alinne Patrícia de Andrade Carvalho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0</v>
      </c>
      <c r="F9" s="24">
        <f>IF($A9="","",COUNTIFS('GECC 2026'!F$2:F$200,$A9))</f>
        <v>1</v>
      </c>
    </row>
    <row r="10" spans="1:7" x14ac:dyDescent="0.25">
      <c r="A10" t="str">
        <v>Arthur Wú</v>
      </c>
      <c r="B10" s="26">
        <f>IF($A10="","",SUMIFS('GECC 2026'!H$2:H$200,'GECC 2026'!F$2:F$200,$A10))</f>
        <v>41</v>
      </c>
      <c r="C10" s="26">
        <f>IF($A10="","",SUMIFS('GECC 2026'!I$2:I$200,'GECC 2026'!F$2:F$200,$A10))</f>
        <v>12.6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53.6</v>
      </c>
      <c r="F10" s="24">
        <f>IF($A10="","",COUNTIFS('GECC 2026'!F$2:F$200,$A10))</f>
        <v>6</v>
      </c>
    </row>
    <row r="11" spans="1:7" x14ac:dyDescent="0.25">
      <c r="A11" t="str">
        <v>Atricon</v>
      </c>
      <c r="B11" s="26">
        <f>IF($A11="","",SUMIFS('GECC 2026'!H$2:H$200,'GECC 2026'!F$2:F$200,$A11))</f>
        <v>10</v>
      </c>
      <c r="C11" s="26">
        <f>IF($A11="","",SUMIFS('GECC 2026'!I$2:I$200,'GECC 2026'!F$2:F$200,$A11))</f>
        <v>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13</v>
      </c>
      <c r="F11" s="24">
        <f>IF($A11="","",COUNTIFS('GECC 2026'!F$2:F$200,$A11))</f>
        <v>1</v>
      </c>
    </row>
    <row r="12" spans="1:7" x14ac:dyDescent="0.25">
      <c r="A12" t="str">
        <v>Carina de Souza Mariuba Herthel</v>
      </c>
      <c r="B12" s="26">
        <f>IF($A12="","",SUMIFS('GECC 2026'!H$2:H$200,'GECC 2026'!F$2:F$200,$A12))</f>
        <v>8</v>
      </c>
      <c r="C12" s="26">
        <f>IF($A12="","",SUMIFS('GECC 2026'!I$2:I$200,'GECC 2026'!F$2:F$200,$A12))</f>
        <v>2.4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10.4</v>
      </c>
      <c r="F12" s="24">
        <f>IF($A12="","",COUNTIFS('GECC 2026'!F$2:F$200,$A12))</f>
        <v>1</v>
      </c>
    </row>
    <row r="13" spans="1:7" x14ac:dyDescent="0.25">
      <c r="A13" t="str">
        <v>Carlos Antônio</v>
      </c>
      <c r="B13" s="26">
        <f>IF($A13="","",SUMIFS('GECC 2026'!H$2:H$200,'GECC 2026'!F$2:F$200,$A13))</f>
        <v>4</v>
      </c>
      <c r="C13" s="26">
        <f>IF($A13="","",SUMIFS('GECC 2026'!I$2:I$200,'GECC 2026'!F$2:F$200,$A13))</f>
        <v>1.2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5.2</v>
      </c>
      <c r="F13" s="24">
        <f>IF($A13="","",COUNTIFS('GECC 2026'!F$2:F$200,$A13))</f>
        <v>1</v>
      </c>
    </row>
    <row r="14" spans="1:7" x14ac:dyDescent="0.25">
      <c r="A14" t="str">
        <v>Carolina Pereira de Oliveira</v>
      </c>
      <c r="B14" s="26">
        <f>IF($A14="","",SUMIFS('GECC 2026'!H$2:H$200,'GECC 2026'!F$2:F$200,$A14))</f>
        <v>1</v>
      </c>
      <c r="C14" s="26">
        <f>IF($A14="","",SUMIFS('GECC 2026'!I$2:I$200,'GECC 2026'!F$2:F$200,$A14))</f>
        <v>0.3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1.3</v>
      </c>
      <c r="F14" s="24">
        <f>IF($A14="","",COUNTIFS('GECC 2026'!F$2:F$200,$A14))</f>
        <v>1</v>
      </c>
    </row>
    <row r="15" spans="1:7" x14ac:dyDescent="0.25">
      <c r="A15" t="str">
        <v>Cássio Murilo Alves Costa Filho</v>
      </c>
      <c r="B15" s="26">
        <f>IF($A15="","",SUMIFS('GECC 2026'!H$2:H$200,'GECC 2026'!F$2:F$200,$A15))</f>
        <v>16</v>
      </c>
      <c r="C15" s="26">
        <f>IF($A15="","",SUMIFS('GECC 2026'!I$2:I$200,'GECC 2026'!F$2:F$200,$A15))</f>
        <v>4.8</v>
      </c>
      <c r="D15" s="101">
        <f>IF($A15="","",SUMIFS('GECC 2026'!$AE$3:$AE$32,'GECC 2026'!$AD$3:$AD$32,$A15))</f>
        <v>16</v>
      </c>
      <c r="E15" s="93">
        <f>IF($A15="","",SUMIFS('GECC 2026'!J$2:J$200,'GECC 2026'!F$2:F$200,$A15)+SUMIFS('GECC 2026'!$AE$3:$AE$32,'GECC 2026'!$AD$3:$AD$32,$A15))</f>
        <v>36.799999999999997</v>
      </c>
      <c r="F15" s="24">
        <f>IF($A15="","",COUNTIFS('GECC 2026'!F$2:F$200,$A15))</f>
        <v>1</v>
      </c>
    </row>
    <row r="16" spans="1:7" x14ac:dyDescent="0.25">
      <c r="A16" t="str">
        <v>Cinthia Thais de Carvalho Luz Thomazi</v>
      </c>
      <c r="B16" s="26">
        <f>IF($A16="","",SUMIFS('GECC 2026'!H$2:H$200,'GECC 2026'!F$2:F$200,$A16))</f>
        <v>37</v>
      </c>
      <c r="C16" s="26">
        <f>IF($A16="","",SUMIFS('GECC 2026'!I$2:I$200,'GECC 2026'!F$2:F$200,$A16))</f>
        <v>7.5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44.5</v>
      </c>
      <c r="F16" s="24">
        <f>IF($A16="","",COUNTIFS('GECC 2026'!F$2:F$200,$A16))</f>
        <v>7</v>
      </c>
    </row>
    <row r="17" spans="1:6" x14ac:dyDescent="0.25">
      <c r="A17" t="str">
        <v>Davi Assunção Salvador Nery de Castro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13.2</v>
      </c>
      <c r="F17" s="24">
        <f>IF($A17="","",COUNTIFS('GECC 2026'!F$2:F$200,$A17))</f>
        <v>1</v>
      </c>
    </row>
    <row r="18" spans="1:6" x14ac:dyDescent="0.25">
      <c r="A18" t="str">
        <v>David da Silva de Araújo</v>
      </c>
      <c r="B18" s="26">
        <f>IF($A18="","",SUMIFS('GECC 2026'!H$2:H$200,'GECC 2026'!F$2:F$200,$A18))</f>
        <v>12</v>
      </c>
      <c r="C18" s="26">
        <f>IF($A18="","",SUMIFS('GECC 2026'!I$2:I$200,'GECC 2026'!F$2:F$200,$A18))</f>
        <v>1.2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13.2</v>
      </c>
      <c r="F18" s="24">
        <f>IF($A18="","",COUNTIFS('GECC 2026'!F$2:F$200,$A18))</f>
        <v>1</v>
      </c>
    </row>
    <row r="19" spans="1:6" x14ac:dyDescent="0.25">
      <c r="A19" t="str">
        <v>Denise Duarte Guirra Kuhlmann</v>
      </c>
      <c r="B19" s="26">
        <f>IF($A19="","",SUMIFS('GECC 2026'!H$2:H$200,'GECC 2026'!F$2:F$200,$A19))</f>
        <v>12</v>
      </c>
      <c r="C19" s="26">
        <f>IF($A19="","",SUMIFS('GECC 2026'!I$2:I$200,'GECC 2026'!F$2:F$200,$A19))</f>
        <v>3.5999999999999996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15.600000000000001</v>
      </c>
      <c r="F19" s="24">
        <f>IF($A19="","",COUNTIFS('GECC 2026'!F$2:F$200,$A19))</f>
        <v>3</v>
      </c>
    </row>
    <row r="20" spans="1:6" x14ac:dyDescent="0.25">
      <c r="A20" t="str">
        <v>Diversos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2</v>
      </c>
    </row>
    <row r="21" spans="1:6" x14ac:dyDescent="0.25">
      <c r="A21" t="str">
        <v>Douglas Vieira Silva Filho</v>
      </c>
      <c r="B21" s="26">
        <f>IF($A21="","",SUMIFS('GECC 2026'!H$2:H$200,'GECC 2026'!F$2:F$200,$A21))</f>
        <v>4</v>
      </c>
      <c r="C21" s="26">
        <f>IF($A21="","",SUMIFS('GECC 2026'!I$2:I$200,'GECC 2026'!F$2:F$200,$A21))</f>
        <v>1.2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5.2</v>
      </c>
      <c r="F21" s="24">
        <f>IF($A21="","",COUNTIFS('GECC 2026'!F$2:F$200,$A21))</f>
        <v>1</v>
      </c>
    </row>
    <row r="22" spans="1:6" x14ac:dyDescent="0.25">
      <c r="A22" t="str">
        <v>Elvis Aaron Teixeira dos Santos Lima</v>
      </c>
      <c r="B22" s="26">
        <f>IF($A22="","",SUMIFS('GECC 2026'!H$2:H$200,'GECC 2026'!F$2:F$200,$A22))</f>
        <v>0</v>
      </c>
      <c r="C22" s="26">
        <f>IF($A22="","",SUMIFS('GECC 2026'!I$2:I$200,'GECC 2026'!F$2:F$200,$A22))</f>
        <v>0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0</v>
      </c>
      <c r="F22" s="24">
        <f>IF($A22="","",COUNTIFS('GECC 2026'!F$2:F$200,$A22))</f>
        <v>1</v>
      </c>
    </row>
    <row r="23" spans="1:6" x14ac:dyDescent="0.25">
      <c r="A23" t="str">
        <v>Eustáquio Rabelo de Souza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Felipe da Costa Malaquias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Felipe Ramos Barbosa</v>
      </c>
      <c r="B25" s="26">
        <f>IF($A25="","",SUMIFS('GECC 2026'!H$2:H$200,'GECC 2026'!F$2:F$200,$A25))</f>
        <v>1</v>
      </c>
      <c r="C25" s="26">
        <f>IF($A25="","",SUMIFS('GECC 2026'!I$2:I$200,'GECC 2026'!F$2:F$200,$A25))</f>
        <v>0.3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1.3</v>
      </c>
      <c r="F25" s="24">
        <f>IF($A25="","",COUNTIFS('GECC 2026'!F$2:F$200,$A25))</f>
        <v>1</v>
      </c>
    </row>
    <row r="26" spans="1:6" x14ac:dyDescent="0.25">
      <c r="A26" t="str">
        <v>Fernanda Viana de Souza</v>
      </c>
      <c r="B26" s="26">
        <f>IF($A26="","",SUMIFS('GECC 2026'!H$2:H$200,'GECC 2026'!F$2:F$200,$A26))</f>
        <v>15</v>
      </c>
      <c r="C26" s="26">
        <f>IF($A26="","",SUMIFS('GECC 2026'!I$2:I$200,'GECC 2026'!F$2:F$200,$A26))</f>
        <v>4.5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19.5</v>
      </c>
      <c r="F26" s="24">
        <f>IF($A26="","",COUNTIFS('GECC 2026'!F$2:F$200,$A26))</f>
        <v>4</v>
      </c>
    </row>
    <row r="27" spans="1:6" x14ac:dyDescent="0.25">
      <c r="A27" t="str">
        <v>Flávio José Fonseca de Souza</v>
      </c>
      <c r="B27" s="26">
        <f>IF($A27="","",SUMIFS('GECC 2026'!H$2:H$200,'GECC 2026'!F$2:F$200,$A27))</f>
        <v>8</v>
      </c>
      <c r="C27" s="26">
        <f>IF($A27="","",SUMIFS('GECC 2026'!I$2:I$200,'GECC 2026'!F$2:F$200,$A27))</f>
        <v>37.299999999999997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45.3</v>
      </c>
      <c r="F27" s="24">
        <f>IF($A27="","",COUNTIFS('GECC 2026'!F$2:F$200,$A27))</f>
        <v>2</v>
      </c>
    </row>
    <row r="28" spans="1:6" x14ac:dyDescent="0.25">
      <c r="A28" t="str">
        <v>Gabriel Heller</v>
      </c>
      <c r="B28" s="26">
        <f>IF($A28="","",SUMIFS('GECC 2026'!H$2:H$200,'GECC 2026'!F$2:F$200,$A28))</f>
        <v>4</v>
      </c>
      <c r="C28" s="26">
        <f>IF($A28="","",SUMIFS('GECC 2026'!I$2:I$200,'GECC 2026'!F$2:F$200,$A28))</f>
        <v>33.200000000000003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37.200000000000003</v>
      </c>
      <c r="F28" s="24">
        <f>IF($A28="","",COUNTIFS('GECC 2026'!F$2:F$200,$A28))</f>
        <v>3</v>
      </c>
    </row>
    <row r="29" spans="1:6" x14ac:dyDescent="0.25">
      <c r="A29" t="str">
        <v>Guilherme Bride Fernandes</v>
      </c>
      <c r="B29" s="26">
        <f>IF($A29="","",SUMIFS('GECC 2026'!H$2:H$200,'GECC 2026'!F$2:F$200,$A29))</f>
        <v>0</v>
      </c>
      <c r="C29" s="26">
        <f>IF($A29="","",SUMIFS('GECC 2026'!I$2:I$200,'GECC 2026'!F$2:F$200,$A29))</f>
        <v>0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0</v>
      </c>
      <c r="F29" s="24">
        <f>IF($A29="","",COUNTIFS('GECC 2026'!F$2:F$200,$A29))</f>
        <v>1</v>
      </c>
    </row>
    <row r="30" spans="1:6" x14ac:dyDescent="0.25">
      <c r="A30" t="str">
        <v>Gustavo Takahashi</v>
      </c>
      <c r="B30" s="26">
        <f>IF($A30="","",SUMIFS('GECC 2026'!H$2:H$200,'GECC 2026'!F$2:F$200,$A30))</f>
        <v>33</v>
      </c>
      <c r="C30" s="26">
        <f>IF($A30="","",SUMIFS('GECC 2026'!I$2:I$200,'GECC 2026'!F$2:F$200,$A30))</f>
        <v>0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33</v>
      </c>
      <c r="F30" s="24">
        <f>IF($A30="","",COUNTIFS('GECC 2026'!F$2:F$200,$A30))</f>
        <v>5</v>
      </c>
    </row>
    <row r="31" spans="1:6" x14ac:dyDescent="0.25">
      <c r="A31" t="str">
        <v>Hamilton de Jesus Lopes Neto</v>
      </c>
      <c r="B31" s="26">
        <f>IF($A31="","",SUMIFS('GECC 2026'!H$2:H$200,'GECC 2026'!F$2:F$200,$A31))</f>
        <v>12</v>
      </c>
      <c r="C31" s="26">
        <f>IF($A31="","",SUMIFS('GECC 2026'!I$2:I$200,'GECC 2026'!F$2:F$200,$A31))</f>
        <v>1.2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13.2</v>
      </c>
      <c r="F31" s="24">
        <f>IF($A31="","",COUNTIFS('GECC 2026'!F$2:F$200,$A31))</f>
        <v>1</v>
      </c>
    </row>
    <row r="32" spans="1:6" x14ac:dyDescent="0.25">
      <c r="A32" t="str">
        <v>Igor Queiroz</v>
      </c>
      <c r="B32" s="26">
        <f>IF($A32="","",SUMIFS('GECC 2026'!H$2:H$200,'GECC 2026'!F$2:F$200,$A32))</f>
        <v>1</v>
      </c>
      <c r="C32" s="26">
        <f>IF($A32="","",SUMIFS('GECC 2026'!I$2:I$200,'GECC 2026'!F$2:F$200,$A32))</f>
        <v>0.3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1.3</v>
      </c>
      <c r="F32" s="24">
        <f>IF($A32="","",COUNTIFS('GECC 2026'!F$2:F$200,$A32))</f>
        <v>1</v>
      </c>
    </row>
    <row r="33" spans="1:6" x14ac:dyDescent="0.25">
      <c r="A33" t="str">
        <v>Indio Artiaga do Brasil Rabelo</v>
      </c>
      <c r="B33" s="26">
        <f>IF($A33="","",SUMIFS('GECC 2026'!H$2:H$200,'GECC 2026'!F$2:F$200,$A33))</f>
        <v>16</v>
      </c>
      <c r="C33" s="26">
        <f>IF($A33="","",SUMIFS('GECC 2026'!I$2:I$200,'GECC 2026'!F$2:F$200,$A33))</f>
        <v>4.8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20.8</v>
      </c>
      <c r="F33" s="24">
        <f>IF($A33="","",COUNTIFS('GECC 2026'!F$2:F$200,$A33))</f>
        <v>2</v>
      </c>
    </row>
    <row r="34" spans="1:6" x14ac:dyDescent="0.25">
      <c r="A34" t="str">
        <v>Isac Mendes Caixeta de Pamplona Araújo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0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0</v>
      </c>
      <c r="F34" s="24">
        <f>IF($A34="","",COUNTIFS('GECC 2026'!F$2:F$200,$A34))</f>
        <v>1</v>
      </c>
    </row>
    <row r="35" spans="1:6" x14ac:dyDescent="0.25">
      <c r="A35" t="str">
        <v>Jamile Medeiros Fon</v>
      </c>
      <c r="B35" s="26">
        <f>IF($A35="","",SUMIFS('GECC 2026'!H$2:H$200,'GECC 2026'!F$2:F$200,$A35))</f>
        <v>4</v>
      </c>
      <c r="C35" s="26">
        <f>IF($A35="","",SUMIFS('GECC 2026'!I$2:I$200,'GECC 2026'!F$2:F$200,$A35))</f>
        <v>1.2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5.2</v>
      </c>
      <c r="F35" s="24">
        <f>IF($A35="","",COUNTIFS('GECC 2026'!F$2:F$200,$A35))</f>
        <v>1</v>
      </c>
    </row>
    <row r="36" spans="1:6" x14ac:dyDescent="0.25">
      <c r="A36" t="str">
        <v>José Roberto Alcuri Júnior</v>
      </c>
      <c r="B36" s="26">
        <f>IF($A36="","",SUMIFS('GECC 2026'!H$2:H$200,'GECC 2026'!F$2:F$200,$A36))</f>
        <v>1</v>
      </c>
      <c r="C36" s="26">
        <f>IF($A36="","",SUMIFS('GECC 2026'!I$2:I$200,'GECC 2026'!F$2:F$200,$A36))</f>
        <v>0.3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1.3</v>
      </c>
      <c r="F36" s="24">
        <f>IF($A36="","",COUNTIFS('GECC 2026'!F$2:F$200,$A36))</f>
        <v>2</v>
      </c>
    </row>
    <row r="37" spans="1:6" x14ac:dyDescent="0.25">
      <c r="A37" t="str">
        <v>Leonardo de Melo</v>
      </c>
      <c r="B37" s="26">
        <f>IF($A37="","",SUMIFS('GECC 2026'!H$2:H$200,'GECC 2026'!F$2:F$200,$A37))</f>
        <v>0</v>
      </c>
      <c r="C37" s="26">
        <f>IF($A37="","",SUMIFS('GECC 2026'!I$2:I$200,'GECC 2026'!F$2:F$200,$A37))</f>
        <v>0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0</v>
      </c>
      <c r="F37" s="24">
        <f>IF($A37="","",COUNTIFS('GECC 2026'!F$2:F$200,$A37))</f>
        <v>2</v>
      </c>
    </row>
    <row r="38" spans="1:6" x14ac:dyDescent="0.25">
      <c r="A38" t="str">
        <v>Leonardo José Alves Leal Neri</v>
      </c>
      <c r="B38" s="26">
        <f>IF($A38="","",SUMIFS('GECC 2026'!H$2:H$200,'GECC 2026'!F$2:F$200,$A38))</f>
        <v>40</v>
      </c>
      <c r="C38" s="26">
        <f>IF($A38="","",SUMIFS('GECC 2026'!I$2:I$200,'GECC 2026'!F$2:F$200,$A38))</f>
        <v>12</v>
      </c>
      <c r="D38" s="101">
        <f>IF($A38="","",SUMIFS('GECC 2026'!$AE$3:$AE$32,'GECC 2026'!$AD$3:$AD$32,$A38))</f>
        <v>0</v>
      </c>
      <c r="E38" s="93">
        <f>IF($A38="","",SUMIFS('GECC 2026'!J$2:J$200,'GECC 2026'!F$2:F$200,$A38)+SUMIFS('GECC 2026'!$AE$3:$AE$32,'GECC 2026'!$AD$3:$AD$32,$A38))</f>
        <v>52</v>
      </c>
      <c r="F38" s="24">
        <f>IF($A38="","",COUNTIFS('GECC 2026'!F$2:F$200,$A38))</f>
        <v>2</v>
      </c>
    </row>
    <row r="39" spans="1:6" x14ac:dyDescent="0.25">
      <c r="A39" t="str">
        <v>Luciana Alvim</v>
      </c>
      <c r="B39" s="26">
        <f>IF($A39="","",SUMIFS('GECC 2026'!H$2:H$200,'GECC 2026'!F$2:F$200,$A39))</f>
        <v>60</v>
      </c>
      <c r="C39" s="26">
        <f>IF($A39="","",SUMIFS('GECC 2026'!I$2:I$200,'GECC 2026'!F$2:F$200,$A39))</f>
        <v>74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134</v>
      </c>
      <c r="F39" s="24">
        <f>IF($A39="","",COUNTIFS('GECC 2026'!F$2:F$200,$A39))</f>
        <v>6</v>
      </c>
    </row>
    <row r="40" spans="1:6" x14ac:dyDescent="0.25">
      <c r="A40" t="str">
        <v>Marcelo Bálbio Moraes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Marcelo Silva Santana</v>
      </c>
      <c r="B41" s="26">
        <f>IF($A41="","",SUMIFS('GECC 2026'!H$2:H$200,'GECC 2026'!F$2:F$200,$A41))</f>
        <v>12</v>
      </c>
      <c r="C41" s="26">
        <f>IF($A41="","",SUMIFS('GECC 2026'!I$2:I$200,'GECC 2026'!F$2:F$200,$A41))</f>
        <v>1.44</v>
      </c>
      <c r="D41" s="101">
        <f>IF($A41="","",SUMIFS('GECC 2026'!$AE$3:$AE$32,'GECC 2026'!$AD$3:$AD$32,$A41))</f>
        <v>0</v>
      </c>
      <c r="E41" s="93">
        <f>IF($A41="","",SUMIFS('GECC 2026'!J$2:J$200,'GECC 2026'!F$2:F$200,$A41)+SUMIFS('GECC 2026'!$AE$3:$AE$32,'GECC 2026'!$AD$3:$AD$32,$A41))</f>
        <v>13.440000000000001</v>
      </c>
      <c r="F41" s="24">
        <f>IF($A41="","",COUNTIFS('GECC 2026'!F$2:F$200,$A41))</f>
        <v>2</v>
      </c>
    </row>
    <row r="42" spans="1:6" x14ac:dyDescent="0.25">
      <c r="A42" t="str">
        <v>Mauri Siqueira Montessi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Michel Martins de Morais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16</v>
      </c>
      <c r="E43" s="93">
        <f>IF($A43="","",SUMIFS('GECC 2026'!J$2:J$200,'GECC 2026'!F$2:F$200,$A43)+SUMIFS('GECC 2026'!$AE$3:$AE$32,'GECC 2026'!$AD$3:$AD$32,$A43))</f>
        <v>16</v>
      </c>
      <c r="F43" s="24">
        <f>IF($A43="","",COUNTIFS('GECC 2026'!F$2:F$200,$A43))</f>
        <v>0</v>
      </c>
    </row>
    <row r="44" spans="1:6" x14ac:dyDescent="0.25">
      <c r="A44" t="str">
        <v>Paulo José Góes Daltro</v>
      </c>
      <c r="B44" s="26">
        <f>IF($A44="","",SUMIFS('GECC 2026'!H$2:H$200,'GECC 2026'!F$2:F$200,$A44))</f>
        <v>0</v>
      </c>
      <c r="C44" s="26">
        <f>IF($A44="","",SUMIFS('GECC 2026'!I$2:I$200,'GECC 2026'!F$2:F$200,$A44))</f>
        <v>0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0</v>
      </c>
      <c r="F44" s="24">
        <f>IF($A44="","",COUNTIFS('GECC 2026'!F$2:F$200,$A44))</f>
        <v>2</v>
      </c>
    </row>
    <row r="45" spans="1:6" x14ac:dyDescent="0.25">
      <c r="A45" t="str">
        <v>Priscila Nolasco de Oliveira</v>
      </c>
      <c r="B45" s="26">
        <f>IF($A45="","",SUMIFS('GECC 2026'!H$2:H$200,'GECC 2026'!F$2:F$200,$A45))</f>
        <v>12</v>
      </c>
      <c r="C45" s="26">
        <f>IF($A45="","",SUMIFS('GECC 2026'!I$2:I$200,'GECC 2026'!F$2:F$200,$A45))</f>
        <v>3.5999999999999996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15.600000000000001</v>
      </c>
      <c r="F45" s="24">
        <f>IF($A45="","",COUNTIFS('GECC 2026'!F$2:F$200,$A45))</f>
        <v>3</v>
      </c>
    </row>
    <row r="46" spans="1:6" x14ac:dyDescent="0.25">
      <c r="A46" t="str">
        <v>Reinaldo Alencar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Renan Dias da Silva</v>
      </c>
      <c r="B47" s="26">
        <f>IF($A47="","",SUMIFS('GECC 2026'!H$2:H$200,'GECC 2026'!F$2:F$200,$A47))</f>
        <v>4</v>
      </c>
      <c r="C47" s="26">
        <f>IF($A47="","",SUMIFS('GECC 2026'!I$2:I$200,'GECC 2026'!F$2:F$200,$A47))</f>
        <v>1.2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5.2</v>
      </c>
      <c r="F47" s="24">
        <f>IF($A47="","",COUNTIFS('GECC 2026'!F$2:F$200,$A47))</f>
        <v>1</v>
      </c>
    </row>
    <row r="48" spans="1:6" x14ac:dyDescent="0.25">
      <c r="A48" t="str">
        <v>Rogério Ribeiro</v>
      </c>
      <c r="B48" s="26">
        <f>IF($A48="","",SUMIFS('GECC 2026'!H$2:H$200,'GECC 2026'!F$2:F$200,$A48))</f>
        <v>48</v>
      </c>
      <c r="C48" s="26">
        <f>IF($A48="","",SUMIFS('GECC 2026'!I$2:I$200,'GECC 2026'!F$2:F$200,$A48))</f>
        <v>7.1999999999999993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55.2</v>
      </c>
      <c r="F48" s="24">
        <f>IF($A48="","",COUNTIFS('GECC 2026'!F$2:F$200,$A48))</f>
        <v>3</v>
      </c>
    </row>
    <row r="49" spans="1:6" x14ac:dyDescent="0.25">
      <c r="A49" t="str">
        <v>Rômulo Miranda Alvim</v>
      </c>
      <c r="B49" s="26">
        <f>IF($A49="","",SUMIFS('GECC 2026'!H$2:H$200,'GECC 2026'!F$2:F$200,$A49))</f>
        <v>24</v>
      </c>
      <c r="C49" s="26">
        <f>IF($A49="","",SUMIFS('GECC 2026'!I$2:I$200,'GECC 2026'!F$2:F$200,$A49))</f>
        <v>3.6</v>
      </c>
      <c r="D49" s="101">
        <f>IF($A49="","",SUMIFS('GECC 2026'!$AE$3:$AE$32,'GECC 2026'!$AD$3:$AD$32,$A49))</f>
        <v>16</v>
      </c>
      <c r="E49" s="93">
        <f>IF($A49="","",SUMIFS('GECC 2026'!J$2:J$200,'GECC 2026'!F$2:F$200,$A49)+SUMIFS('GECC 2026'!$AE$3:$AE$32,'GECC 2026'!$AD$3:$AD$32,$A49))</f>
        <v>43.6</v>
      </c>
      <c r="F49" s="24">
        <f>IF($A49="","",COUNTIFS('GECC 2026'!F$2:F$200,$A49))</f>
        <v>2</v>
      </c>
    </row>
    <row r="50" spans="1:6" x14ac:dyDescent="0.25">
      <c r="A50" t="str">
        <v>Sara Cristina Lins Ramos</v>
      </c>
      <c r="B50" s="26">
        <f>IF($A50="","",SUMIFS('GECC 2026'!H$2:H$200,'GECC 2026'!F$2:F$200,$A50))</f>
        <v>8</v>
      </c>
      <c r="C50" s="26">
        <f>IF($A50="","",SUMIFS('GECC 2026'!I$2:I$200,'GECC 2026'!F$2:F$200,$A50))</f>
        <v>2.4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10.4</v>
      </c>
      <c r="F50" s="24">
        <f>IF($A50="","",COUNTIFS('GECC 2026'!F$2:F$200,$A50))</f>
        <v>1</v>
      </c>
    </row>
    <row r="51" spans="1:6" x14ac:dyDescent="0.25">
      <c r="A51" t="str">
        <v>Servidores, colaboradores e estagiários do TCDF</v>
      </c>
      <c r="B51" s="26">
        <f>IF($A51="","",SUMIFS('GECC 2026'!H$2:H$200,'GECC 2026'!F$2:F$200,$A51))</f>
        <v>0</v>
      </c>
      <c r="C51" s="26">
        <f>IF($A51="","",SUMIFS('GECC 2026'!I$2:I$200,'GECC 2026'!F$2:F$200,$A51))</f>
        <v>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0</v>
      </c>
      <c r="F51" s="24">
        <f>IF($A51="","",COUNTIFS('GECC 2026'!F$2:F$200,$A51))</f>
        <v>1</v>
      </c>
    </row>
    <row r="52" spans="1:6" x14ac:dyDescent="0.25">
      <c r="A52" t="str">
        <v>Silvia Lima Damasceno Carvalho</v>
      </c>
      <c r="B52" s="26">
        <f>IF($A52="","",SUMIFS('GECC 2026'!H$2:H$200,'GECC 2026'!F$2:F$200,$A52))</f>
        <v>21</v>
      </c>
      <c r="C52" s="26">
        <f>IF($A52="","",SUMIFS('GECC 2026'!I$2:I$200,'GECC 2026'!F$2:F$200,$A52))</f>
        <v>6.3000000000000007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27.299999999999997</v>
      </c>
      <c r="F52" s="24">
        <f>IF($A52="","",COUNTIFS('GECC 2026'!F$2:F$200,$A52))</f>
        <v>6</v>
      </c>
    </row>
    <row r="53" spans="1:6" x14ac:dyDescent="0.25">
      <c r="A53" t="str">
        <v>Tarsila Firmino Ely</v>
      </c>
      <c r="B53" s="26">
        <f>IF($A53="","",SUMIFS('GECC 2026'!H$2:H$200,'GECC 2026'!F$2:F$200,$A53))</f>
        <v>76</v>
      </c>
      <c r="C53" s="26">
        <f>IF($A53="","",SUMIFS('GECC 2026'!I$2:I$200,'GECC 2026'!F$2:F$200,$A53))</f>
        <v>79.999999999999986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155.99999999999997</v>
      </c>
      <c r="F53" s="24">
        <f>IF($A53="","",COUNTIFS('GECC 2026'!F$2:F$200,$A53))</f>
        <v>6</v>
      </c>
    </row>
    <row r="54" spans="1:6" x14ac:dyDescent="0.25">
      <c r="A54" t="str">
        <v>Thiago Magalhães de Oliveira</v>
      </c>
      <c r="B54" s="26">
        <f>IF($A54="","",SUMIFS('GECC 2026'!H$2:H$200,'GECC 2026'!F$2:F$200,$A54))</f>
        <v>4</v>
      </c>
      <c r="C54" s="26">
        <f>IF($A54="","",SUMIFS('GECC 2026'!I$2:I$200,'GECC 2026'!F$2:F$200,$A54))</f>
        <v>1.2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5.2</v>
      </c>
      <c r="F54" s="24">
        <f>IF($A54="","",COUNTIFS('GECC 2026'!F$2:F$200,$A54))</f>
        <v>1</v>
      </c>
    </row>
    <row r="55" spans="1:6" x14ac:dyDescent="0.25">
      <c r="A55" t="str">
        <v>Túllio Herbeth Teixeira Moraes</v>
      </c>
      <c r="B55" s="26">
        <f>IF($A55="","",SUMIFS('GECC 2026'!H$2:H$200,'GECC 2026'!F$2:F$200,$A55))</f>
        <v>3</v>
      </c>
      <c r="C55" s="26">
        <f>IF($A55="","",SUMIFS('GECC 2026'!I$2:I$200,'GECC 2026'!F$2:F$200,$A55))</f>
        <v>0.9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3.9</v>
      </c>
      <c r="F55" s="24">
        <f>IF($A55="","",COUNTIFS('GECC 2026'!F$2:F$200,$A55))</f>
        <v>1</v>
      </c>
    </row>
    <row r="56" spans="1:6" x14ac:dyDescent="0.25">
      <c r="A56" t="str">
        <v>Valéria Feitoza</v>
      </c>
      <c r="B56" s="26">
        <f>IF($A56="","",SUMIFS('GECC 2026'!H$2:H$200,'GECC 2026'!F$2:F$200,$A56))</f>
        <v>0</v>
      </c>
      <c r="C56" s="26">
        <f>IF($A56="","",SUMIFS('GECC 2026'!I$2:I$200,'GECC 2026'!F$2:F$200,$A56))</f>
        <v>0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0</v>
      </c>
      <c r="F56" s="24">
        <f>IF($A56="","",COUNTIFS('GECC 2026'!F$2:F$200,$A56))</f>
        <v>1</v>
      </c>
    </row>
    <row r="57" spans="1:6" x14ac:dyDescent="0.25">
      <c r="A57" t="str">
        <v>Wibys Pereira</v>
      </c>
      <c r="B57" s="26">
        <f>IF($A57="","",SUMIFS('GECC 2026'!H$2:H$200,'GECC 2026'!F$2:F$200,$A57))</f>
        <v>4</v>
      </c>
      <c r="C57" s="26">
        <f>IF($A57="","",SUMIFS('GECC 2026'!I$2:I$200,'GECC 2026'!F$2:F$200,$A57))</f>
        <v>1.2</v>
      </c>
      <c r="D57" s="101">
        <f>IF($A57="","",SUMIFS('GECC 2026'!$AE$3:$AE$32,'GECC 2026'!$AD$3:$AD$32,$A57))</f>
        <v>0</v>
      </c>
      <c r="E57" s="93">
        <f>IF($A57="","",SUMIFS('GECC 2026'!J$2:J$200,'GECC 2026'!F$2:F$200,$A57)+SUMIFS('GECC 2026'!$AE$3:$AE$32,'GECC 2026'!$AD$3:$AD$32,$A57))</f>
        <v>5.2</v>
      </c>
      <c r="F57" s="24">
        <f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699</v>
      </c>
      <c r="C105" s="95">
        <f>SUM(C5:C100)</f>
        <v>380.53999999999996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www.w3.org/XML/1998/namespace"/>
    <ds:schemaRef ds:uri="fe686eaa-0658-4f15-b230-9e46c4d089fd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2026-07-31T16:55:28Z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