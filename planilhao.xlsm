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49" documentId="13_ncr:1_{6A2CC3E2-FAFB-4D8F-B284-5E8FB5045DFE}" xr6:coauthVersionLast="47" xr6:coauthVersionMax="47" xr10:uidLastSave="{408B8EE2-17CA-441A-A608-82D51B74935E}"/>
  <bookViews>
    <workbookView xWindow="-120" yWindow="-120" windowWidth="29040" windowHeight="15720" firstSheet="1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A2" i="20" l="1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<sst xmlns="http://schemas.openxmlformats.org/spreadsheetml/2006/main" count="7308" uniqueCount="3216">
  <si>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</si>
  <si>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</si>
  <si>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</si>
  <si>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</si>
  <si>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</si>
  <si>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</si>
  <si>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</si>
  <si>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</si>
  <si>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</si>
  <si>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</si>
  <si>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</si>
  <si>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</si>
  <si>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</si>
  <si>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</si>
  <si>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</si>
  <si>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</si>
  <si>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</si>
  <si>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</si>
  <si>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</si>
  <si>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</si>
  <si>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</si>
  <si>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</si>
  <si>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</si>
  <si>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</si>
  <si>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</si>
  <si>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</si>
  <si>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</si>
  <si>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</si>
  <si>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</si>
  <si>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</si>
  <si>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</si>
  <si>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</si>
  <si>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</si>
  <si>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</si>
  <si>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</si>
  <si>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</si>
  <si>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</si>
  <si>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</si>
  <si>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</si>
  <si>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</si>
  <si>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</si>
  <si>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</si>
  <si>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</si>
  <si>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</si>
  <si>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</si>
  <si>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</si>
  <si>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</si>
  <si>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</si>
  <si>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</si>
  <si>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</si>
  <si>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</si>
  <si>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</si>
  <si>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</si>
  <si>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</si>
  <si>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</si>
  <si>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</si>
  <si>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</si>
  <si>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</si>
  <si>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</si>
  <si>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</si>
  <si>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</si>
  <si>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</si>
  <si>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</si>
  <si>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</si>
  <si>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</si>
  <si>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</si>
  <si>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</si>
  <si>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</si>
  <si>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</si>
  <si>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</si>
  <si>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</si>
  <si>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</si>
  <si>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</si>
  <si>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</si>
  <si>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</si>
  <si>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</si>
  <si>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</si>
  <si>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</si>
  <si>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</si>
  <si>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</si>
  <si>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</si>
  <si>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</si>
  <si>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</si>
  <si>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</si>
  <si>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</si>
  <si>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</si>
  <si>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</si>
  <si>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</si>
  <si>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</si>
  <si>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</si>
  <si>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</si>
  <si>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</si>
  <si>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</si>
  <si>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</si>
  <si>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</si>
  <si>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</si>
  <si>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</si>
  <si>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</si>
  <si>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</si>
  <si>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</si>
  <si>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</si>
  <si>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</si>
  <si>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</si>
  <si>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</si>
  <si>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</si>
  <si>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</si>
  <si>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</si>
  <si>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</si>
  <si>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</si>
  <si>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</si>
  <si>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</si>
  <si>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</si>
  <si>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</si>
  <si>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</si>
  <si>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</si>
  <si>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</si>
  <si>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</si>
  <si>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</si>
  <si>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</si>
  <si>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</si>
  <si>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</si>
  <si>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</si>
  <si>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</si>
  <si>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</si>
  <si>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</si>
  <si>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</si>
  <si>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</si>
  <si>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</si>
  <si>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</si>
  <si>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</si>
  <si>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</si>
  <si>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</si>
  <si>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</si>
  <si>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</si>
  <si>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</si>
  <si>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</si>
  <si>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</si>
  <si>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</si>
  <si>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</si>
  <si>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</si>
  <si>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</si>
  <si>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</si>
  <si>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</si>
  <si>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</si>
  <si>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</si>
  <si>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</si>
  <si>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</si>
  <si>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</si>
  <si>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</si>
  <si>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</si>
  <si>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</si>
  <si>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</si>
  <si>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</si>
  <si>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</si>
  <si>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</si>
  <si>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</si>
  <si>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</si>
  <si>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</si>
  <si>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</si>
  <si>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</si>
  <si>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</si>
  <si>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</si>
  <si>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</si>
  <si>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</si>
  <si>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</si>
  <si>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</si>
  <si>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</si>
  <si>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</si>
  <si>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</si>
  <si>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</si>
  <si>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</si>
  <si>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</si>
  <si>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</si>
  <si>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</si>
  <si>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</si>
  <si>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</si>
  <si>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</si>
  <si>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</si>
  <si>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</si>
  <si>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</si>
  <si>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</si>
  <si>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</si>
  <si>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</si>
  <si>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</si>
  <si>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</si>
  <si>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</si>
  <si>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</si>
  <si>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</si>
  <si>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</si>
  <si>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</si>
  <si>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</si>
  <si>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</si>
  <si>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</si>
  <si>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</si>
  <si>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</si>
  <si>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</si>
  <si>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</si>
  <si>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</si>
  <si>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</si>
  <si>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</si>
  <si>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</si>
  <si>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</si>
  <si>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</si>
  <si>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</si>
  <si>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</si>
  <si>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</si>
  <si>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</si>
  <si>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</si>
  <si>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</si>
  <si>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</si>
  <si>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</si>
  <si>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</si>
  <si>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</si>
  <si>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</si>
  <si>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</si>
  <si>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</si>
  <si>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</si>
  <si>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</si>
  <si>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</si>
  <si>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</si>
  <si>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</si>
  <si>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</si>
  <si>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</si>
  <si>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</si>
  <si>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</si>
  <si>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</si>
  <si>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</si>
  <si>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</si>
  <si>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</si>
  <si>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</si>
  <si>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</si>
  <si>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</si>
  <si>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</si>
  <si>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</si>
  <si>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</si>
  <si>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</si>
  <si>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</si>
  <si>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</si>
  <si>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</si>
  <si>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</si>
  <si>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</si>
  <si>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</si>
  <si>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</si>
  <si>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</si>
  <si>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</si>
  <si>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</si>
  <si>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</si>
  <si>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</si>
  <si>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</si>
  <si>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</si>
  <si>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</si>
  <si>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</si>
  <si>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</si>
  <si>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</si>
  <si>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</si>
  <si>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</si>
  <si>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</si>
  <si>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</si>
  <si>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</si>
  <si>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</si>
  <si>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</si>
  <si>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</si>
  <si>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</si>
  <si>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</si>
  <si>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</si>
  <si>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</si>
  <si>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</si>
  <si>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</si>
  <si>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</si>
  <si>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</si>
  <si>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</si>
  <si>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</si>
  <si>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</si>
  <si>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</si>
  <si>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</si>
  <si>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</si>
  <si>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</si>
  <si>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</si>
  <si>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</si>
  <si>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</si>
  <si>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</si>
  <si>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</si>
  <si>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</si>
  <si>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</si>
  <si>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</si>
  <si>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</si>
  <si>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</si>
  <si>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</si>
  <si>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</si>
  <si>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</si>
  <si>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</si>
  <si>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</si>
  <si>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</si>
  <si>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</si>
  <si>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</si>
  <si>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</si>
  <si>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</si>
  <si>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</si>
  <si>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</si>
  <si>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</si>
  <si>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</si>
  <si>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</si>
  <si>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</si>
  <si>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</si>
  <si>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</si>
  <si>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</si>
  <si>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</si>
  <si>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</si>
  <si>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</si>
  <si>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</si>
  <si>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</si>
  <si>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</si>
  <si>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</si>
  <si>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</si>
  <si>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</si>
  <si>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</si>
  <si>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</si>
  <si>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</si>
  <si>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</si>
  <si>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</si>
  <si>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</si>
  <si>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</si>
  <si>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</si>
  <si>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</si>
  <si>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</si>
  <si>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</si>
  <si>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</si>
  <si>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</si>
  <si>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</si>
  <si>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</si>
  <si>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</si>
  <si>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</si>
  <si>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</si>
  <si>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</si>
  <si>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</si>
  <si>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</si>
  <si>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</si>
  <si>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</si>
  <si>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</si>
  <si>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</si>
  <si>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</si>
  <si>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</si>
  <si>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</si>
  <si>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</si>
  <si>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</si>
  <si>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</si>
  <si>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</si>
  <si>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</si>
  <si>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</si>
  <si>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</si>
  <si>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</si>
  <si>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</si>
  <si>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</si>
  <si>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</si>
  <si>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</si>
  <si>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</si>
  <si>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</si>
  <si>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</si>
  <si>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</si>
  <si>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</si>
  <si>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</si>
  <si>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</si>
  <si>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</si>
  <si>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</si>
  <si>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</si>
  <si>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</si>
  <si>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</si>
  <si>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</si>
  <si>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</si>
  <si>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</si>
  <si>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</si>
  <si>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</si>
  <si>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</si>
  <si>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</si>
  <si>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</si>
  <si>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</si>
  <si>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</si>
  <si>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</si>
  <si>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</si>
  <si>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</si>
  <si>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</si>
  <si>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</si>
  <si>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</si>
  <si>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</si>
  <si>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</si>
  <si>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</si>
  <si>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</si>
  <si>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</si>
  <si>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</si>
  <si>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</si>
  <si>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</si>
  <si>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</si>
  <si>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</si>
  <si>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</si>
  <si>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</si>
  <si>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</si>
  <si>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</si>
  <si>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</si>
  <si>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</si>
  <si>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</si>
  <si>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</si>
  <si>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</si>
  <si>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</si>
  <si>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</si>
  <si>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</si>
  <si>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</si>
  <si>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</si>
  <si>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</si>
  <si>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</si>
  <si>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</si>
  <si>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</si>
  <si>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</si>
  <si>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</si>
  <si>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</si>
  <si>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</si>
  <si>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</si>
  <si>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</si>
  <si>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</si>
  <si>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</si>
  <si>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</si>
  <si>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</si>
  <si>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</si>
  <si>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</si>
  <si>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</si>
  <si>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</si>
  <si>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</si>
  <si>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</si>
  <si>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</si>
  <si>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</si>
  <si>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</si>
  <si>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</si>
  <si>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</si>
  <si>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</si>
  <si>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</si>
  <si>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</si>
  <si>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</si>
  <si>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</si>
  <si>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</si>
  <si>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</si>
  <si>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</si>
  <si>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</si>
  <si>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</si>
  <si>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</si>
  <si>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</si>
  <si>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</si>
  <si>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</si>
  <si>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</si>
  <si>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</si>
  <si>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</si>
  <si>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</si>
  <si>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</si>
  <si>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</si>
  <si>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</si>
  <si>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</si>
  <si>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</si>
  <si>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</si>
  <si>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</si>
  <si>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</si>
  <si>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</si>
  <si>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</si>
  <si>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</si>
  <si>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</si>
  <si>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</si>
  <si>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</si>
  <si>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</si>
  <si>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</si>
  <si>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</si>
  <si>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</si>
  <si>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</si>
  <si>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</si>
  <si>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</si>
  <si>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</si>
  <si>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</si>
  <si>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</si>
  <si>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</si>
  <si>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</si>
  <si>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</si>
  <si>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</si>
  <si>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</si>
  <si>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</si>
  <si>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</si>
  <si>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</si>
  <si>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</si>
  <si>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</si>
  <si>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</si>
  <si>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</si>
  <si>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</si>
  <si>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</si>
  <si>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</si>
  <si>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</si>
  <si>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</si>
  <si>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</si>
  <si>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</si>
  <si>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</si>
  <si>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</si>
  <si>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</si>
  <si>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</si>
  <si>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</si>
  <si>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</si>
  <si>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</si>
  <si>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</si>
  <si>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</si>
  <si>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</si>
  <si>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</si>
  <si>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</si>
  <si>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</si>
  <si>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</si>
  <si>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</si>
  <si>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</si>
  <si>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</si>
  <si>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</si>
  <si>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</si>
  <si>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</si>
  <si>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</si>
  <si>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</si>
  <si>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</si>
  <si>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</si>
  <si>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</si>
  <si>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</si>
  <si>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</si>
  <si>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</si>
  <si>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</si>
  <si>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</si>
  <si>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</si>
  <si>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</si>
  <si>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</si>
  <si>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</si>
  <si>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</si>
  <si>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</si>
  <si>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</si>
  <si>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</si>
  <si>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</si>
  <si>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</si>
  <si>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</si>
  <si>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</si>
  <si>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</si>
  <si>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</si>
  <si>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</si>
  <si>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</si>
  <si>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</si>
  <si>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</si>
  <si>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</si>
  <si>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</si>
  <si>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</si>
  <si>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</si>
  <si>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</si>
  <si>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</si>
  <si>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</si>
  <si>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</si>
  <si>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</si>
  <si>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</si>
  <si>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</si>
  <si>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</si>
  <si>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</si>
  <si>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</si>
  <si>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</si>
  <si>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</si>
  <si>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</si>
  <si>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</si>
  <si>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</si>
  <si>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</si>
  <si>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</si>
  <si>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</si>
  <si>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</si>
  <si>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</si>
  <si>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</si>
  <si>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</si>
  <si>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</si>
  <si>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</si>
  <si>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</si>
  <si>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</si>
  <si>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</si>
  <si>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</si>
  <si>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</si>
  <si>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</si>
  <si>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</si>
  <si>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</si>
  <si>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</si>
  <si>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</si>
  <si>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</si>
  <si>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</si>
  <si>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</si>
  <si>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</si>
  <si>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</si>
  <si>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</si>
  <si>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</si>
  <si>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</si>
  <si>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</si>
  <si>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</si>
  <si>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</si>
  <si>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</si>
  <si>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</si>
  <si>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</si>
  <si>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</si>
  <si>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</si>
  <si>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</si>
  <si>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</si>
  <si>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</si>
  <si>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</si>
  <si>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</si>
  <si>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</si>
  <si>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</si>
  <si>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</si>
  <si>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</si>
  <si>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</si>
  <si>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</si>
  <si>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</si>
  <si>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</si>
  <si>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</si>
  <si>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</si>
  <si>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</si>
  <si>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</si>
  <si>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</si>
  <si>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</si>
  <si>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</si>
  <si>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</si>
  <si>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</si>
  <si>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</si>
  <si>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</si>
  <si>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</si>
  <si>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</si>
  <si>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</si>
  <si>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</si>
  <si>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</si>
  <si>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</si>
  <si>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</si>
  <si>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</si>
  <si>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</si>
  <si>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</si>
  <si>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</si>
  <si>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</si>
  <si>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</si>
  <si>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</si>
  <si>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</si>
  <si>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</si>
  <si>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</si>
  <si>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</si>
  <si>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</si>
  <si>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</si>
  <si>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</si>
  <si>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</si>
  <si>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</si>
  <si>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</si>
  <si>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</si>
  <si>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</si>
  <si>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</si>
  <si>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</si>
  <si>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</si>
  <si>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</si>
  <si>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</si>
  <si>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</si>
  <si>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</si>
  <si>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</si>
  <si>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</si>
  <si>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</si>
  <si>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</si>
  <si>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</si>
  <si>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</si>
  <si>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</si>
  <si>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</si>
  <si>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</si>
  <si>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</si>
  <si>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</si>
  <si>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</si>
  <si>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</si>
  <si>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</si>
  <si>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</si>
  <si>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</si>
  <si>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</si>
  <si>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</si>
  <si>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</si>
  <si>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</si>
  <si>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</si>
  <si>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</si>
  <si>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</si>
  <si>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</si>
  <si>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</si>
  <si>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</si>
  <si>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</si>
  <si>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</si>
  <si>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</si>
  <si>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</si>
  <si>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</si>
  <si>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</si>
  <si>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</si>
  <si>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</si>
  <si>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</si>
  <si>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</si>
  <si>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</si>
  <si>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</si>
  <si>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</si>
  <si>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</si>
  <si>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</si>
  <si>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</si>
  <si>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</si>
  <si>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</si>
  <si>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</si>
  <si>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</si>
  <si>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</si>
  <si>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</si>
  <si>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</si>
  <si>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</si>
  <si>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</si>
  <si>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</si>
  <si>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</si>
  <si>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</si>
  <si>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</si>
  <si>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</si>
  <si>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</si>
  <si>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</si>
  <si>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</si>
  <si>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</si>
  <si>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</si>
  <si>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</si>
  <si>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</si>
  <si>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</si>
  <si>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</si>
  <si>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</si>
  <si>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</si>
  <si>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</si>
  <si>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</si>
  <si>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</si>
  <si>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</si>
  <si>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</si>
  <si>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</si>
  <si>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</si>
  <si>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</si>
  <si>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</si>
  <si>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</si>
  <si>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</si>
  <si>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</si>
  <si>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</si>
  <si>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</si>
  <si>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</si>
  <si>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</si>
  <si>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</si>
  <si>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</si>
  <si>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</si>
  <si>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</si>
  <si>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</si>
  <si>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</si>
  <si>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</si>
  <si>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</si>
  <si>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</si>
  <si>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</si>
  <si>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</si>
  <si>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</si>
  <si>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</si>
  <si>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</si>
  <si>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</si>
  <si>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</si>
  <si>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</si>
  <si>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</si>
  <si>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</si>
  <si>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</si>
  <si>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</si>
  <si>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</si>
  <si>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</si>
  <si>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</si>
  <si>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</si>
  <si>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</si>
  <si>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</si>
  <si>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</si>
  <si>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</si>
  <si>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</si>
  <si>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</si>
  <si>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</si>
  <si>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</si>
  <si>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</si>
  <si>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</si>
  <si>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</si>
  <si>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</si>
  <si>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</si>
  <si>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</si>
  <si>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</si>
  <si>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</si>
  <si>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</si>
  <si>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</si>
  <si>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</si>
  <si>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</si>
  <si>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</si>
  <si>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</si>
  <si>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</si>
  <si>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</si>
  <si>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</si>
  <si>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</si>
  <si>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</si>
  <si>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</si>
  <si>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</si>
  <si>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</si>
  <si>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</si>
  <si>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</si>
  <si>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</si>
  <si>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</si>
  <si>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</si>
  <si>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</si>
  <si>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</si>
  <si>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</si>
  <si>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</si>
  <si>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</si>
  <si>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</si>
  <si>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</si>
  <si>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</si>
  <si>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</si>
  <si>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</si>
  <si>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</si>
  <si>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</si>
  <si>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</si>
  <si>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</si>
  <si>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</si>
  <si>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</si>
  <si>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</si>
  <si>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</si>
  <si>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</si>
  <si>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</si>
  <si>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</si>
  <si>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</si>
  <si>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</si>
  <si>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</si>
  <si>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</si>
  <si>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</si>
  <si>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</si>
  <si>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</si>
  <si>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</si>
  <si>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</si>
  <si>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</si>
  <si>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</si>
  <si>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</si>
  <si>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</si>
  <si>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</si>
  <si>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</si>
  <si>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</si>
  <si>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</si>
  <si>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</si>
  <si>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</si>
  <si>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</si>
  <si>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</si>
  <si>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</si>
  <si>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</si>
  <si>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</si>
  <si>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</si>
  <si>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</si>
  <si>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</si>
  <si>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</si>
  <si>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</si>
  <si>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</si>
  <si>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</si>
  <si>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</si>
  <si>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</si>
  <si>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</si>
  <si>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</si>
  <si>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</si>
  <si>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</si>
  <si>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</si>
  <si>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</si>
  <si>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</si>
  <si>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</si>
  <si>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</si>
  <si>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</si>
  <si>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</si>
  <si>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</si>
  <si>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</si>
  <si>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</si>
  <si>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</si>
  <si>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</si>
  <si>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</si>
  <si>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</si>
  <si>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</si>
  <si>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</si>
  <si>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</si>
  <si>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</si>
  <si>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</si>
  <si>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</si>
  <si>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</si>
  <si>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</si>
  <si>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</si>
  <si>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</si>
  <si>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</si>
  <si>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</si>
  <si>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</si>
  <si>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</si>
  <si>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</si>
  <si>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</si>
  <si>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</si>
  <si>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</si>
  <si>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</si>
  <si>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</si>
  <si>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</si>
  <si>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</si>
  <si>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</si>
  <si>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</si>
  <si>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</si>
  <si>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</si>
  <si>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</si>
  <si>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</si>
  <si>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</si>
  <si>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</si>
  <si>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</si>
  <si>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</si>
  <si>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</si>
  <si>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</si>
  <si>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</si>
  <si>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</si>
  <si>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</si>
  <si>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</si>
  <si>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</si>
  <si>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</si>
  <si>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</si>
  <si>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</si>
  <si>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</si>
  <si>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</si>
  <si>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</si>
  <si>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</si>
  <si>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</si>
  <si>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</si>
  <si>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</si>
  <si>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</si>
  <si>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</si>
  <si>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</si>
  <si>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</si>
  <si>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</si>
  <si>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</si>
  <si>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</si>
  <si>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</si>
  <si>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</si>
  <si>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</si>
  <si>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</si>
  <si>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</si>
  <si>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</si>
  <si>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</si>
  <si>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</si>
  <si>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</si>
  <si>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</si>
  <si>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</si>
  <si>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</si>
  <si>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</si>
  <si>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</si>
  <si>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</si>
  <si>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</si>
  <si>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</si>
  <si>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</si>
  <si>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</si>
  <si>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</si>
  <si>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</si>
  <si>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</si>
  <si>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</si>
  <si>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</si>
  <si>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</si>
  <si>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</si>
  <si>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</si>
  <si>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</si>
  <si>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</si>
  <si>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</si>
  <si>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</si>
  <si>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</si>
  <si>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</si>
  <si>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</si>
  <si>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</si>
  <si>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</si>
  <si>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</si>
  <si>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</si>
  <si>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</si>
  <si>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</si>
  <si>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</si>
  <si>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</si>
  <si>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</si>
  <si>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</si>
  <si>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</si>
  <si>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</si>
  <si>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</si>
  <si>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</si>
  <si>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</si>
  <si>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</si>
  <si>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</si>
  <si>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</si>
  <si>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</si>
  <si>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</si>
  <si>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</si>
  <si>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</si>
  <si>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</si>
  <si>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</si>
  <si>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</si>
  <si>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</si>
  <si>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</si>
  <si>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</si>
  <si>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</si>
  <si>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</si>
  <si>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</si>
  <si>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</si>
  <si>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</si>
  <si>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</si>
  <si>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</si>
  <si>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</si>
  <si>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</si>
  <si>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</si>
  <si>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</si>
  <si>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</si>
  <si>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</si>
  <si>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</si>
  <si>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</si>
  <si>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</si>
  <si>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</si>
  <si>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</si>
  <si>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</si>
  <si>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</si>
  <si>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</si>
  <si>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</si>
  <si>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</si>
  <si>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</si>
  <si>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</si>
  <si>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</si>
  <si>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</si>
  <si>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</si>
  <si>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</si>
  <si>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</si>
  <si>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</si>
  <si>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</si>
  <si>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</si>
  <si>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</si>
  <si>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</si>
  <si>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</si>
  <si>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</si>
  <si>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</si>
  <si>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</si>
  <si>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</si>
  <si>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</si>
  <si>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</si>
  <si>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</si>
  <si>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</si>
  <si>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</si>
  <si>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</si>
  <si>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</si>
  <si>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</si>
  <si>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</si>
  <si>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</si>
  <si>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</si>
  <si>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</si>
  <si>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</si>
  <si>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</si>
  <si>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</si>
  <si>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</si>
  <si>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</si>
  <si>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</si>
  <si>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</si>
  <si>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</si>
  <si>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</si>
  <si>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</si>
  <si>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</si>
  <si>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</si>
  <si>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</si>
  <si>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</si>
  <si>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</si>
  <si>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</si>
  <si>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</si>
  <si>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</si>
  <si>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</si>
  <si>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</si>
  <si>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</si>
  <si>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</si>
  <si>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</si>
  <si>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</si>
  <si>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</si>
  <si>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</si>
  <si>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</si>
  <si>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</si>
  <si>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</si>
  <si>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</si>
  <si>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</si>
  <si>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</si>
  <si>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</si>
  <si>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</si>
  <si>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</si>
  <si>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</si>
  <si>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</si>
  <si>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</si>
  <si>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</si>
  <si>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</si>
  <si>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</si>
  <si>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</si>
  <si>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</si>
  <si>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</si>
  <si>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</si>
  <si>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</si>
  <si>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</si>
  <si>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</si>
  <si>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</si>
  <si>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</si>
  <si>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</si>
  <si>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</si>
  <si>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</si>
  <si>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</si>
  <si>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</si>
  <si>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</si>
  <si>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</si>
  <si>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</si>
  <si>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</si>
  <si>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</si>
  <si>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</si>
  <si>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</si>
  <si>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</si>
  <si>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</si>
  <si>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</si>
  <si>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</si>
  <si>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</si>
  <si>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</si>
  <si>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</si>
  <si>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</si>
  <si>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</si>
  <si>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</si>
  <si>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</si>
  <si>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</si>
  <si>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</si>
  <si>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</si>
  <si>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</si>
  <si>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</si>
  <si>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</si>
  <si>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</si>
  <si>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</si>
  <si>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</si>
  <si>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</si>
  <si>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</si>
  <si>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</si>
  <si>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</si>
  <si>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</si>
  <si>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</si>
  <si>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</si>
  <si>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</si>
  <si>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</si>
  <si>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</si>
  <si>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</si>
  <si>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</si>
  <si>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</si>
  <si>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</si>
  <si>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</si>
  <si>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</si>
  <si>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</si>
  <si>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</si>
  <si>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</si>
  <si>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</si>
  <si>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</si>
  <si>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</si>
  <si>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</si>
  <si>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</si>
  <si>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</si>
  <si>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</si>
  <si>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</si>
  <si>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</si>
  <si>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</si>
  <si>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</si>
  <si>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</si>
  <si>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</si>
  <si>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</si>
  <si>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</si>
  <si>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</si>
  <si>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</si>
  <si>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</si>
  <si>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</si>
  <si>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</si>
  <si>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</si>
  <si>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</si>
  <si>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</si>
  <si>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</si>
  <si>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</si>
  <si>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</si>
  <si>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</si>
  <si>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</si>
  <si>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</si>
  <si>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</si>
  <si>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</si>
  <si>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</si>
  <si>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</si>
  <si>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</si>
  <si>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</si>
  <si>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</si>
  <si>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</si>
  <si>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</si>
  <si>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</si>
  <si>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</si>
  <si>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</si>
  <si>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</si>
  <si>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</si>
  <si>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</si>
  <si>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</si>
  <si>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</si>
  <si>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</si>
  <si>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</si>
  <si>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</si>
  <si>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</si>
  <si>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</si>
  <si>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</si>
  <si>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</si>
  <si>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</si>
  <si>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</si>
  <si>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</si>
  <si>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</si>
  <si>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</si>
  <si>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</si>
  <si>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</si>
  <si>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</si>
  <si>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</si>
  <si>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</si>
  <si>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</si>
  <si>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</si>
  <si>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</si>
  <si>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</si>
  <si>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</si>
  <si>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</si>
  <si>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</si>
  <si>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</si>
  <si>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</si>
  <si>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</si>
  <si>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</si>
  <si>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</si>
  <si>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</si>
  <si>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</si>
  <si>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</si>
  <si>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</si>
  <si>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</si>
  <si>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</si>
  <si>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</si>
  <si>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</si>
  <si>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</si>
  <si>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</si>
  <si>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</si>
  <si>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</si>
  <si>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</si>
  <si>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</si>
  <si>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</si>
  <si>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</si>
  <si>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</si>
  <si>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</si>
  <si>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</si>
  <si>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</si>
  <si>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</si>
  <si>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</si>
  <si>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</si>
  <si>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</si>
  <si>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</si>
  <si>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</si>
  <si>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</si>
  <si>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</si>
  <si>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</si>
  <si>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</si>
  <si>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</si>
  <si>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</si>
  <si>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</si>
  <si>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</si>
  <si>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</si>
  <si>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</si>
  <si>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</si>
  <si>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</si>
  <si>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</si>
  <si>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</si>
  <si>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</si>
  <si>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</si>
  <si>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</si>
  <si>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</si>
  <si>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</si>
  <si>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</si>
  <si>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</si>
  <si>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</si>
  <si>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</si>
  <si>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</si>
  <si>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</si>
  <si>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</si>
  <si>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</si>
  <si>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</si>
  <si>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</si>
  <si>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</si>
  <si>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</si>
  <si>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</si>
  <si>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</si>
  <si>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</si>
  <si>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</si>
  <si>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</si>
  <si>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</si>
  <si>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</si>
  <si>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</si>
  <si>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</si>
  <si>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</si>
  <si>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</si>
  <si>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</si>
  <si>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</si>
  <si>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</si>
  <si>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</si>
  <si>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</si>
  <si>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</si>
  <si>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</si>
  <si>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</si>
  <si>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</si>
  <si>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</si>
  <si>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</si>
  <si>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</si>
  <si>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</si>
  <si>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</si>
  <si>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</si>
  <si>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</si>
  <si>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</si>
  <si>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</si>
  <si>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</si>
  <si>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</si>
  <si>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</si>
  <si>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</si>
  <si>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</si>
  <si>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</si>
  <si>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</si>
  <si>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</si>
  <si>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</si>
  <si>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</si>
  <si>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</si>
  <si>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</si>
  <si>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</si>
  <si>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</si>
  <si>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</si>
  <si>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</si>
  <si>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</si>
  <si>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</si>
  <si>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</si>
  <si>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</si>
  <si>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</si>
  <si>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</si>
  <si>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</si>
  <si>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</si>
  <si>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</si>
  <si>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</si>
  <si>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</si>
  <si>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</si>
  <si>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</si>
  <si>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</si>
  <si>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</si>
  <si>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</si>
  <si>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</si>
  <si>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</si>
  <si>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</si>
  <si>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</si>
  <si>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</si>
  <si>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</si>
  <si>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</si>
  <si>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</si>
  <si>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</si>
  <si>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</si>
  <si>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</si>
  <si>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</si>
  <si>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</si>
  <si>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</si>
  <si>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</si>
  <si>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</si>
  <si>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</si>
  <si>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</si>
  <si>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</si>
  <si>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</si>
  <si>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</si>
  <si>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</si>
  <si>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</si>
  <si>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</si>
  <si>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</si>
  <si>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</si>
  <si>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</si>
  <si>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</si>
  <si>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</si>
  <si>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</si>
  <si>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</si>
  <si>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</si>
  <si>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</si>
  <si>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</si>
  <si>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</si>
  <si>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</si>
  <si>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</si>
  <si>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</si>
  <si>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</si>
  <si>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</si>
  <si>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</si>
  <si>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</si>
  <si>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</si>
  <si>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</si>
  <si>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</si>
  <si>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</si>
  <si>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</si>
  <si>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</si>
  <si>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</si>
  <si>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</si>
  <si>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</si>
  <si>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</si>
  <si>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</si>
  <si>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</si>
  <si>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</si>
  <si>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</si>
  <si>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</si>
  <si>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</si>
  <si>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</si>
  <si>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</si>
  <si>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</si>
  <si>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</si>
  <si>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</si>
  <si>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</si>
  <si>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</si>
  <si>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</si>
  <si>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</si>
  <si>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</si>
  <si>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</si>
  <si>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</si>
  <si>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</si>
  <si>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</si>
  <si>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</si>
  <si>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</si>
  <si>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</si>
  <si>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</si>
  <si>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</si>
  <si>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</si>
  <si>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</si>
  <si>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</si>
  <si>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</si>
  <si>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</si>
  <si>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</si>
  <si>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</si>
  <si>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</si>
  <si>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</si>
  <si>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</si>
  <si>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</si>
  <si>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</si>
  <si>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</si>
  <si>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</si>
  <si>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</si>
  <si>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</si>
  <si>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</si>
  <si>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</si>
  <si>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</si>
  <si>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</si>
  <si>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</si>
  <si>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</si>
  <si>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</si>
  <si>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</si>
  <si>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</si>
  <si>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</si>
  <si>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</si>
  <si>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</si>
  <si>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</si>
  <si>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</si>
  <si>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</si>
  <si>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</si>
  <si>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</si>
  <si>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</si>
  <si>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</si>
  <si>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</si>
  <si>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</si>
  <si>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</si>
  <si>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</si>
  <si>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</si>
  <si>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</si>
  <si>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</si>
  <si>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</si>
  <si>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</si>
  <si>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</si>
  <si>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</si>
  <si>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</si>
  <si>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</si>
  <si>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</si>
  <si>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</si>
  <si>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</si>
  <si>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</si>
  <si>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</si>
  <si>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</si>
  <si>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</si>
  <si>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</si>
  <si>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</si>
  <si>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</si>
  <si>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</si>
  <si>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</si>
  <si>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</si>
  <si>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</si>
  <si>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</si>
  <si>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</si>
  <si>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</si>
  <si>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</si>
  <si>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</si>
  <si>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</si>
  <si>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</si>
  <si>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</si>
  <si>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</si>
  <si>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</si>
  <si>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</si>
  <si>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</si>
  <si>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</si>
  <si>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</si>
  <si>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</si>
  <si>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</si>
  <si>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</si>
  <si>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</si>
  <si>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</si>
  <si>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</si>
  <si>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</si>
  <si>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</si>
  <si>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</si>
  <si>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</si>
  <si>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</si>
  <si>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</si>
  <si>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</si>
  <si>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</si>
  <si>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</si>
  <si>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</si>
  <si>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</si>
  <si>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</si>
  <si>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</si>
  <si>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</si>
  <si>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</si>
  <si>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</si>
  <si>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</si>
  <si>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</si>
  <si>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</si>
  <si>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</si>
  <si>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</si>
  <si>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</si>
  <si>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</si>
  <si>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</si>
  <si>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</si>
  <si>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</si>
  <si>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</si>
  <si>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</si>
  <si>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</si>
  <si>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</si>
  <si>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</si>
  <si>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</si>
  <si>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</si>
  <si>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</si>
  <si>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</si>
  <si>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</si>
  <si>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</si>
  <si>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</si>
  <si>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</si>
  <si>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</si>
  <si>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</si>
  <si>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</si>
  <si>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</si>
  <si>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</si>
  <si>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</si>
  <si>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</si>
  <si>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</si>
  <si>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</si>
  <si>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</si>
  <si>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</si>
  <si>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</si>
  <si>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</si>
  <si>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</si>
  <si>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</si>
  <si>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</si>
  <si>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</si>
  <si>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</si>
  <si>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</si>
  <si>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</si>
  <si>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</si>
  <si>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</si>
  <si>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</si>
  <si>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</si>
  <si>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</si>
  <si>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</si>
  <si>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</si>
  <si>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</si>
  <si>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</si>
  <si>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</si>
  <si>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</si>
  <si>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</si>
  <si>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</si>
  <si>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</si>
  <si>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</si>
  <si>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</si>
  <si>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</si>
  <si>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</si>
  <si>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</si>
  <si>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</si>
  <si>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</si>
  <si>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</si>
  <si>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</si>
  <si>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</si>
  <si>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</si>
  <si>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</si>
  <si>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</si>
  <si>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</si>
  <si>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</si>
  <si>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</si>
  <si>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</si>
  <si>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</si>
  <si>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</si>
  <si>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</si>
  <si>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</si>
  <si>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</si>
  <si>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</si>
  <si>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</si>
  <si>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</si>
  <si>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</si>
  <si>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</si>
  <si>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</si>
  <si>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</si>
  <si>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</si>
  <si>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</si>
  <si>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</si>
  <si>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</si>
  <si>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</si>
  <si>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</si>
  <si>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</si>
  <si>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</si>
  <si>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</si>
  <si>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</si>
  <si>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</si>
  <si>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</si>
  <si>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</si>
  <si>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</si>
  <si>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</si>
  <si>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</si>
  <si>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</si>
  <si>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</si>
  <si>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</si>
  <si>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</si>
  <si>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</si>
  <si>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</si>
  <si>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</si>
  <si>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</si>
  <si>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</si>
  <si>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</si>
  <si>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</si>
  <si>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</si>
  <si>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</si>
  <si>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</si>
  <si>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</si>
  <si>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</si>
  <si>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</si>
  <si>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</si>
  <si>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</si>
  <si>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</si>
  <si>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</si>
  <si>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</si>
  <si>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</si>
  <si>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</si>
  <si>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</si>
  <si>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</si>
  <si>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</si>
  <si>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</si>
  <si>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</si>
  <si>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</si>
  <si>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</si>
  <si>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</si>
  <si>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</si>
  <si>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</si>
  <si>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</si>
  <si>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</si>
  <si>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</si>
  <si>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</si>
  <si>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</si>
  <si>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</si>
  <si>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</si>
  <si>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</si>
  <si>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</si>
  <si>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</si>
  <si>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</si>
  <si>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</si>
  <si>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</si>
  <si>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</si>
  <si>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</si>
  <si>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</si>
  <si>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</si>
  <si>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</si>
  <si>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</si>
  <si>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</si>
  <si>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</si>
  <si>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</si>
  <si>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</si>
  <si>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</si>
  <si>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</si>
  <si>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</si>
  <si>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</si>
  <si>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</si>
  <si>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</si>
  <si>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</si>
  <si>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</si>
  <si>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</si>
  <si>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</si>
  <si>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</si>
  <si>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</si>
  <si>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</si>
  <si>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</si>
  <si>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</si>
  <si>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</si>
  <si>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</si>
  <si>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</si>
  <si>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</si>
  <si>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</si>
  <si>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</si>
  <si>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</si>
  <si>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</si>
  <si>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</si>
  <si>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</si>
  <si>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</si>
  <si>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</si>
  <si>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</si>
  <si>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</si>
  <si>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</si>
  <si>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</si>
  <si>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</si>
  <si>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</si>
  <si>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</si>
  <si>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</si>
  <si>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</si>
  <si>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</si>
  <si>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</si>
  <si>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</si>
  <si>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</si>
  <si>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</si>
  <si>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</si>
  <si>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</si>
  <si>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</si>
  <si>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</si>
  <si>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</si>
  <si>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</si>
  <si>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</si>
  <si>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</si>
  <si>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</si>
  <si>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</si>
  <si>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</si>
  <si>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</si>
  <si>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</si>
  <si>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</si>
  <si>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</si>
  <si>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</si>
  <si>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</si>
  <si>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</si>
  <si>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</si>
  <si>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</si>
  <si>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</si>
  <si>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</si>
  <si>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</si>
  <si>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</si>
  <si>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</si>
  <si>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</si>
  <si>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</si>
  <si>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</si>
  <si>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</si>
  <si>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</si>
  <si>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</si>
  <si>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</si>
  <si>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</si>
  <si>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</si>
  <si>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</si>
  <si>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</si>
  <si>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</si>
  <si>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</si>
  <si>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</si>
  <si>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</si>
  <si>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</si>
  <si>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</si>
  <si>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</si>
  <si>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</si>
  <si>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</si>
  <si>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</si>
  <si>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</si>
  <si>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</si>
  <si>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</si>
  <si>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</si>
  <si>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</si>
  <si>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</si>
  <si>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</si>
  <si>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</si>
  <si>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</si>
  <si>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</si>
  <si>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</si>
  <si>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</si>
  <si>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</si>
  <si>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</si>
  <si>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</si>
  <si>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</si>
  <si>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</si>
  <si>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</si>
  <si>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</si>
  <si>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</si>
  <si>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</si>
  <si>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</si>
  <si>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</si>
  <si>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</si>
  <si>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</si>
  <si>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</si>
  <si>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</si>
  <si>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</si>
  <si>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</si>
  <si>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</si>
  <si>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</si>
  <si>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</si>
  <si>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</si>
  <si>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</si>
  <si>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</si>
  <si>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</si>
  <si>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</si>
  <si>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</si>
  <si>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</si>
  <si>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</si>
  <si>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</si>
  <si>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</si>
  <si>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</si>
  <si>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</si>
  <si>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</si>
  <si>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</si>
  <si>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</si>
  <si>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</si>
  <si>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</si>
  <si>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</si>
  <si>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</si>
  <si>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</si>
  <si>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</si>
  <si>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</si>
  <si>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</si>
  <si>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</si>
  <si>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</si>
  <si>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</si>
  <si>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</si>
  <si>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</si>
  <si>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</si>
  <si>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</si>
  <si>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</si>
  <si>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</si>
  <si>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</si>
  <si>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</si>
  <si>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</si>
  <si>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</si>
  <si>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</si>
  <si>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</si>
  <si>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</si>
  <si>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</si>
  <si>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</si>
  <si>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</si>
  <si>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</si>
  <si>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</si>
  <si>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</si>
  <si>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</si>
  <si>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</si>
  <si>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</si>
  <si>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</si>
  <si>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</si>
  <si>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</si>
  <si>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</si>
  <si>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</si>
  <si>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</si>
  <si>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</si>
  <si>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</si>
  <si>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</si>
  <si>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</si>
  <si>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</si>
  <si>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</si>
  <si>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</si>
  <si>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</si>
  <si>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</si>
  <si>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</si>
  <si>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</si>
  <si>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</si>
  <si>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</si>
  <si>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</si>
  <si>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</si>
  <si>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</si>
  <si>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</si>
  <si>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</si>
  <si>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</si>
  <si>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</si>
  <si>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</si>
  <si>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</si>
  <si>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</si>
  <si>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</si>
  <si>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</si>
  <si>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</si>
  <si>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</si>
  <si>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</si>
  <si>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</si>
  <si>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</si>
  <si>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</si>
  <si>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</si>
  <si>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</si>
  <si>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</si>
  <si>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</si>
  <si>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</si>
  <si>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</si>
  <si>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</si>
  <si>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</si>
  <si>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</si>
  <si>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</si>
  <si>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</si>
  <si>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</si>
  <si>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</si>
  <si>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</si>
  <si>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</si>
  <si>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</si>
  <si>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</si>
  <si>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</si>
  <si>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</si>
  <si>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</si>
  <si>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</si>
  <si>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</si>
  <si>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</si>
  <si>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</si>
  <si>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</si>
  <si>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</si>
  <si>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</si>
  <si>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</si>
  <si>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</si>
  <si>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</si>
  <si>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</si>
  <si>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</si>
  <si>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</si>
  <si>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</si>
  <si>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</si>
  <si>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</si>
  <si>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</si>
  <si>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</si>
  <si>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</si>
  <si>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</si>
  <si>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</si>
  <si>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</si>
  <si>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</si>
  <si>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</si>
  <si>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</si>
  <si>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</si>
  <si>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</si>
  <si>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</si>
  <si>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</si>
  <si>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</si>
  <si>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</si>
  <si>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</si>
  <si>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</si>
  <si>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</si>
  <si>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</si>
  <si>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</si>
  <si>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</si>
  <si>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</si>
  <si>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</si>
  <si>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</si>
  <si>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</si>
  <si>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</si>
  <si>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</si>
  <si>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</si>
  <si>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</si>
  <si>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</si>
  <si>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</si>
  <si>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</si>
  <si>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</si>
  <si>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</si>
  <si>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</si>
  <si>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</si>
  <si>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</si>
  <si>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</si>
  <si>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</si>
  <si>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</si>
  <si>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</si>
  <si>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</si>
  <si>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</si>
  <si>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</si>
  <si>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</si>
  <si>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</si>
  <si>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</si>
  <si>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</si>
  <si>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</si>
  <si>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</si>
  <si>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</si>
  <si>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</si>
  <si>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</si>
  <si>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</si>
  <si>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</si>
  <si>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</si>
  <si>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</si>
  <si>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</si>
  <si>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</si>
  <si>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</si>
  <si>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</si>
  <si>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</si>
  <si>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</si>
  <si>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</si>
  <si>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</si>
  <si>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</si>
  <si>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</si>
  <si>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</si>
  <si>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</si>
  <si>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</si>
  <si>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</si>
  <si>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</si>
  <si>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</si>
  <si>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</si>
  <si>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</si>
  <si>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</si>
  <si>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</si>
  <si>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</si>
  <si>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</si>
  <si>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</si>
  <si>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</si>
  <si>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</si>
  <si>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</si>
  <si>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</si>
  <si>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</si>
  <si>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</si>
  <si>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</si>
  <si>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</si>
  <si>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</si>
  <si>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</si>
  <si>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</si>
  <si>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</si>
  <si>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</si>
  <si>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</si>
  <si>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</si>
  <si>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</si>
  <si>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</si>
  <si>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</si>
  <si>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</si>
  <si>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</si>
  <si>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</si>
  <si>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</si>
  <si>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</si>
  <si>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</si>
  <si>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</si>
  <si>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</si>
  <si>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</si>
  <si>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</si>
  <si>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</si>
  <si>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</si>
  <si>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</si>
  <si>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</si>
  <si>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</si>
  <si>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</si>
  <si>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</si>
  <si>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</si>
  <si>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</si>
  <si>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</si>
  <si>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</si>
  <si>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</si>
  <si>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</si>
  <si>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</si>
  <si>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</si>
  <si>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</si>
  <si>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</si>
  <si>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</si>
  <si>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</si>
  <si>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</si>
  <si>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</si>
  <si>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</si>
  <si>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</si>
  <si>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</si>
  <si>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</si>
  <si>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</si>
  <si>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</si>
  <si>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</si>
  <si>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</si>
  <si>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</si>
  <si>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</si>
  <si>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</si>
  <si>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</si>
  <si>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</si>
  <si>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</si>
  <si>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</si>
  <si>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</si>
  <si>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</si>
  <si>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</si>
  <si>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</si>
  <si>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</si>
  <si>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</si>
  <si>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</si>
  <si>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</si>
  <si>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</si>
  <si>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</si>
  <si>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</si>
  <si>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</si>
  <si>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</si>
  <si>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</si>
  <si>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</si>
  <si>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</si>
  <si>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</si>
  <si>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</si>
  <si>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</si>
  <si>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</si>
  <si>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</si>
  <si>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</si>
  <si>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</si>
  <si>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</si>
  <si>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</si>
  <si>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</si>
  <si>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</si>
  <si>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</si>
  <si>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</si>
  <si>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</si>
  <si>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</si>
  <si>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</si>
  <si>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</si>
  <si>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</si>
  <si>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</si>
  <si>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</si>
  <si>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</si>
  <si>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</si>
  <si>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</si>
  <si>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</si>
  <si>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</si>
  <si>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</si>
  <si>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</si>
  <si>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</si>
  <si>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</si>
  <si>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</si>
  <si>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</si>
  <si>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</si>
  <si>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</si>
  <si>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</si>
  <si>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</si>
  <si>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</si>
  <si>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</si>
  <si>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</si>
  <si>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</si>
  <si>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</si>
  <si>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</si>
  <si>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</si>
  <si>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</si>
  <si>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</si>
  <si>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</si>
  <si>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</si>
  <si>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</si>
  <si>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</si>
  <si>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</si>
  <si>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</si>
  <si>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</si>
  <si>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</si>
  <si>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</si>
  <si>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</si>
  <si>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</si>
  <si>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</si>
  <si>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</si>
  <si>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</si>
  <si>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</si>
  <si>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</si>
  <si>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</si>
  <si>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</si>
  <si>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</si>
  <si>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</si>
  <si>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</si>
  <si>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</si>
  <si>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</si>
  <si>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</si>
  <si>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</si>
  <si>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</si>
  <si>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</si>
  <si>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</si>
  <si>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</si>
  <si>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</si>
  <si>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</si>
  <si>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</si>
  <si>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</si>
  <si>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</si>
  <si>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</si>
  <si>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</si>
  <si>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</si>
  <si>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</si>
  <si>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</si>
  <si>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</si>
  <si>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</si>
  <si>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</si>
  <si>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</si>
  <si>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</si>
  <si>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</si>
  <si>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</si>
  <si>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</si>
  <si>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</si>
  <si>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</si>
  <si>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</si>
  <si>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</si>
  <si>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</si>
  <si>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</si>
  <si>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</si>
  <si>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</si>
  <si>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</si>
  <si>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</si>
  <si>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</si>
  <si>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</si>
  <si>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</si>
  <si>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</si>
  <si>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</si>
  <si>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</si>
  <si>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</si>
  <si>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</si>
  <si>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</si>
  <si>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</si>
  <si>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</si>
  <si>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</si>
  <si>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</si>
  <si>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</si>
  <si>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</si>
  <si>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</si>
  <si>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</si>
  <si>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</si>
  <si>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</si>
  <si>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</si>
  <si>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</si>
  <si>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</si>
  <si>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</si>
  <si>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</si>
  <si>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</si>
  <si>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</si>
  <si>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</si>
  <si>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</si>
  <si>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</si>
  <si>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</si>
  <si>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</si>
  <si>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</si>
  <si>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</si>
  <si>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</si>
  <si>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</si>
  <si>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</si>
  <si>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</si>
  <si>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</si>
  <si>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</si>
  <si>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</si>
  <si>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</si>
  <si>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</si>
  <si>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</si>
  <si>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</si>
  <si>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</si>
  <si>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</si>
  <si>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</si>
  <si>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</si>
  <si>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</si>
  <si>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</si>
  <si>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</si>
  <si>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</si>
  <si>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</si>
  <si>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</si>
  <si>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</si>
  <si>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</si>
  <si>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</si>
  <si>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</si>
  <si>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</si>
  <si>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</si>
  <si>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</si>
  <si>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</si>
  <si>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</si>
  <si>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</si>
  <si>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</si>
  <si>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</si>
  <si>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</si>
  <si>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</si>
  <si>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</si>
  <si>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</si>
  <si>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</si>
  <si>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</si>
  <si>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</si>
  <si>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</si>
  <si>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</si>
  <si>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</si>
  <si>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</si>
  <si>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</si>
  <si>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</si>
  <si>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</si>
  <si>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</si>
  <si>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</si>
  <si>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</si>
  <si>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</si>
  <si>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</si>
  <si>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</si>
  <si>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</si>
  <si>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</si>
  <si>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</si>
  <si>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</si>
  <si>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</si>
  <si>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</si>
  <si>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</si>
  <si>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</si>
  <si>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</si>
  <si>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</si>
  <si>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</si>
  <si>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</si>
  <si>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</si>
  <si>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</si>
  <si>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</si>
  <si>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</si>
  <si>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</si>
  <si>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</si>
  <si>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</si>
  <si>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</si>
  <si>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</si>
  <si>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</si>
  <si>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</si>
  <si>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</si>
  <si>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</si>
  <si>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</si>
  <si>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</si>
  <si>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</si>
  <si>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</si>
  <si>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</si>
  <si>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</si>
  <si>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</si>
  <si>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</si>
  <si>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</si>
  <si>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</si>
  <si>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</si>
  <si>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</si>
  <si>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</si>
  <si>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</si>
  <si>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</si>
  <si>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</si>
  <si>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</si>
  <si>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</si>
  <si>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</si>
  <si>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</si>
  <si>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</si>
  <si>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</si>
  <si>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</si>
  <si>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</si>
  <si>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</si>
  <si>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</si>
  <si>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</si>
  <si>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</si>
  <si>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</si>
  <si>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</si>
  <si>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</si>
  <si>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</si>
  <si>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</si>
  <si>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</si>
  <si>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</si>
  <si>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</si>
  <si>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</si>
  <si>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</si>
  <si>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</si>
  <si>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</si>
  <si>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</si>
  <si>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</si>
  <si>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</si>
  <si>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</si>
  <si>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</si>
  <si>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</si>
  <si>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</si>
  <si>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</si>
  <si>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</si>
  <si>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</si>
  <si>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</si>
  <si>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</si>
  <si>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</si>
  <si>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</si>
  <si>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</si>
  <si>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</si>
  <si>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</si>
  <si>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</si>
  <si>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</si>
  <si>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</si>
  <si>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</si>
  <si>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</si>
  <si>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</si>
  <si>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</si>
  <si>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</si>
  <si>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</si>
  <si>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</si>
  <si>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</si>
  <si>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</si>
  <si>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</si>
  <si>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</si>
  <si>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</si>
  <si>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</si>
  <si>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</si>
  <si>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</si>
  <si>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</si>
  <si>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</si>
  <si>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</si>
  <si>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</si>
  <si>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</si>
  <si>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</si>
  <si>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</si>
  <si>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</si>
  <si>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</si>
  <si>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</si>
  <si>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</si>
  <si>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</si>
  <si>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</si>
  <si>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</si>
  <si>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</si>
  <si>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</si>
  <si>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</si>
  <si>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</si>
  <si>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</si>
  <si>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</si>
  <si>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</si>
  <si>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</si>
  <si>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</si>
  <si>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</si>
  <si>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</si>
  <si>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</si>
  <si>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</si>
  <si>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</si>
  <si>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</si>
  <si>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</si>
  <si>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</si>
  <si>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</si>
  <si>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</si>
  <si>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</si>
  <si>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</si>
  <si>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</si>
  <si>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</si>
  <si>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</si>
  <si>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</si>
  <si>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</si>
  <si>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</si>
  <si>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</si>
  <si>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</si>
  <si>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</si>
  <si>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</si>
  <si>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</si>
  <si>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</si>
  <si>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</si>
  <si>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</si>
  <si>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</si>
  <si>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</si>
  <si>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</si>
  <si>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</si>
  <si>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</si>
  <si>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</si>
  <si>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</si>
  <si>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</si>
  <si>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</si>
  <si>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</si>
  <si>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</si>
  <si>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</si>
  <si>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</si>
  <si>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</si>
  <si>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</si>
  <si>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</si>
  <si>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</si>
  <si>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</si>
  <si>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</si>
  <si>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</si>
  <si>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</si>
  <si>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</si>
  <si>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</si>
  <si>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</si>
  <si>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</si>
  <si>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</si>
  <si>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</si>
  <si>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</si>
  <si>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</si>
  <si>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</si>
  <si>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</si>
  <si>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</si>
  <si>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</si>
  <si>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</si>
  <si>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</si>
  <si>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</si>
  <si>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</si>
  <si>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</si>
  <si>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</si>
  <si>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</si>
  <si>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</si>
  <si>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</si>
  <si>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</si>
  <si>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</si>
  <si>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</si>
  <si>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</si>
  <si>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</si>
  <si>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</si>
  <si>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</si>
  <si>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</si>
  <si>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</si>
  <si>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</si>
  <si>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</si>
  <si>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</si>
  <si>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</si>
  <si>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</si>
  <si>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</si>
  <si>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</si>
  <si>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</si>
  <si>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</si>
  <si>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</si>
  <si>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</si>
  <si>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</si>
  <si>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</si>
  <si>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</si>
  <si>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</si>
  <si>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</si>
  <si>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</si>
  <si>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</si>
  <si>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</si>
  <si>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</si>
  <si>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</si>
  <si>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</si>
  <si>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</si>
  <si>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</si>
  <si>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</si>
  <si>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</si>
  <si>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</si>
  <si>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</si>
  <si>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</si>
  <si>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</si>
  <si>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</si>
  <si>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</si>
  <si>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</si>
  <si>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</si>
  <si>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</si>
  <si>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</si>
  <si>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</si>
  <si>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</si>
  <si>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</si>
  <si>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</si>
  <si>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</si>
  <si>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</si>
  <si>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</si>
  <si>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</si>
  <si>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</si>
  <si>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</si>
  <si>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</si>
  <si>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</si>
  <si>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</si>
  <si>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</si>
  <si>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</si>
  <si>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</si>
  <si>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</si>
  <si>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</si>
  <si>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</si>
  <si>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</si>
  <si>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</si>
  <si>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</si>
  <si>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</si>
  <si>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</si>
  <si>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</si>
  <si>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</si>
  <si>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</si>
  <si>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</si>
  <si>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</si>
  <si>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</si>
  <si>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</si>
  <si>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</si>
  <si>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</si>
  <si>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</si>
  <si>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</si>
  <si>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</si>
  <si>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</si>
  <si>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</si>
  <si>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</si>
  <si>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</si>
  <si>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</si>
  <si>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</si>
  <si>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</si>
  <si>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</si>
  <si>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</si>
  <si>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</si>
  <si>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</si>
  <si>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</si>
  <si>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</si>
  <si>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</si>
  <si>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</si>
  <si>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</si>
  <si>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</si>
  <si>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</si>
  <si>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</si>
  <si>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</si>
  <si>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</si>
  <si>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</si>
  <si>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</si>
  <si>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</si>
  <si>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</si>
  <si>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</si>
  <si>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</si>
  <si>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</si>
  <si>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</si>
  <si>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</si>
  <si>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</si>
  <si>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</si>
  <si>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</si>
  <si>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</si>
  <si>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</si>
  <si>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</si>
  <si>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</si>
  <si>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</si>
  <si>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</si>
  <si>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</si>
  <si>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</si>
  <si>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</si>
  <si>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</si>
  <si>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</si>
  <si>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</si>
  <si>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</si>
  <si>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</si>
  <si>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</si>
  <si>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</si>
  <si>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</si>
  <si>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</si>
  <si>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</si>
  <si>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</si>
  <si>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</si>
  <si>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</si>
  <si>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</si>
  <si>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</si>
  <si>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</si>
  <si>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</si>
  <si>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</si>
  <si>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</si>
  <si>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</si>
  <si>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</si>
  <si>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</si>
  <si>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</si>
  <si>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</si>
  <si>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</si>
  <si>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</si>
  <si>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</si>
  <si>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</si>
  <si>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</si>
  <si>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</si>
  <si>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</si>
  <si>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</si>
  <si>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</si>
  <si>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</si>
  <si>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</si>
  <si>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</si>
  <si>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</si>
  <si>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</si>
  <si>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</si>
  <si>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</si>
  <si>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</si>
  <si>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</si>
  <si>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</si>
  <si>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</si>
  <si>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</si>
  <si>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</si>
  <si>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</si>
  <si>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</si>
  <si>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</si>
  <si>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</si>
  <si>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</si>
  <si>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</si>
  <si>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</si>
  <si>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</si>
  <si>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</si>
  <si>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</si>
  <si>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</si>
  <si>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</si>
  <si>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</si>
  <si>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</si>
  <si>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</si>
  <si>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</si>
  <si>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</si>
  <si>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</si>
  <si>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</si>
  <si>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</si>
  <si>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</si>
  <si>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</si>
  <si>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</si>
  <si>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</si>
  <si>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</si>
  <si>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</si>
  <si>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</si>
  <si>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</si>
  <si>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</si>
  <si>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</si>
  <si>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</si>
  <si>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</si>
  <si>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</si>
  <si>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</si>
  <si>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</si>
  <si>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</si>
  <si>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</si>
  <si>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</si>
  <si>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</si>
  <si>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</si>
  <si>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</si>
  <si>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</si>
  <si>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</si>
  <si>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</si>
  <si>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</si>
  <si>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</si>
  <si>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</si>
  <si>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</si>
  <si>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</si>
  <si>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</si>
  <si>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</si>
  <si>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</si>
  <si>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</si>
  <si>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</si>
  <si>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</si>
  <si>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</si>
  <si>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</si>
  <si>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</si>
  <si>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</si>
  <si>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</si>
  <si>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</si>
  <si>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</si>
  <si>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</si>
  <si>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</si>
  <si>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</si>
  <si>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</si>
  <si>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</si>
  <si>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</si>
  <si>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</si>
  <si>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</si>
  <si>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</si>
  <si>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</si>
  <si>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</si>
  <si>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</si>
  <si>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</si>
  <si>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</si>
  <si>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</si>
  <si>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</si>
  <si>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</si>
  <si>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</si>
  <si>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</si>
  <si>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</si>
  <si>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</si>
  <si>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</si>
  <si>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</si>
  <si>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</si>
  <si>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</si>
  <si>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</si>
  <si>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</si>
  <si>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</si>
  <si>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</si>
  <si>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</si>
  <si>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</si>
  <si>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</si>
  <si>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</si>
  <si>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</si>
  <si>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</si>
  <si>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</si>
  <si>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</si>
  <si>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</si>
  <si>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</si>
  <si>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</si>
  <si>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</si>
  <si>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</si>
  <si>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</si>
  <si>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</si>
  <si>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</si>
  <si>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</si>
  <si>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</si>
  <si>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</si>
  <si>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</si>
  <si>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</si>
  <si>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</si>
  <si>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</si>
  <si>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</si>
  <si>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</si>
  <si>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</si>
  <si>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</si>
  <si>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</si>
  <si>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</si>
  <si>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</si>
  <si>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</si>
  <si>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</si>
  <si>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</si>
  <si>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</si>
  <si>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</si>
  <si>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</si>
  <si>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</si>
  <si>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</si>
  <si>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</si>
  <si>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</si>
  <si>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</si>
  <si>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</si>
  <si>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</si>
  <si>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</si>
  <si>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</si>
  <si>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</si>
  <si>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</si>
  <si>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</si>
  <si>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</si>
  <si>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</si>
  <si>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</si>
  <si>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</si>
  <si>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</si>
  <si>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</si>
  <si>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</si>
  <si>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</si>
  <si>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</si>
  <si>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</si>
  <si>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</si>
  <si>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</si>
  <si>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</si>
  <si>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</si>
  <si>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</si>
  <si>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</si>
  <si>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</si>
  <si>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</si>
  <si>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</si>
  <si>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</si>
  <si>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</si>
  <si>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</si>
  <si>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</si>
  <si>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</si>
  <si>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</si>
  <si>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</si>
  <si>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</si>
  <si>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</si>
  <si>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</si>
  <si>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</si>
  <si>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</si>
  <si>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</si>
  <si>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</si>
  <si>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</si>
  <si>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</si>
  <si>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</si>
  <si>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</si>
  <si>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</si>
  <si>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</si>
  <si>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</si>
  <si>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</si>
  <si>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</si>
  <si>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</si>
  <si>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</si>
  <si>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</si>
  <si>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</si>
  <si>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</si>
  <si>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</si>
  <si>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</si>
  <si>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</si>
  <si>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</si>
  <si>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</si>
  <si>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</si>
  <si>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</si>
  <si>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</si>
  <si>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</si>
  <si>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</si>
  <si>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</si>
  <si>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</si>
  <si>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</si>
  <si>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</si>
  <si>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</si>
  <si>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</si>
  <si>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</si>
  <si>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</si>
  <si>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</si>
  <si>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</si>
  <si>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</si>
  <si>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</si>
  <si>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</si>
  <si>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</si>
  <si>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</si>
  <si>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</si>
  <si>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</si>
  <si>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</si>
  <si>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</si>
  <si>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</si>
  <si>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</si>
  <si>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</si>
  <si>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</si>
  <si>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</si>
  <si>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</si>
  <si>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</si>
  <si>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</si>
  <si>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</si>
  <si>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</si>
  <si>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</si>
  <si>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</si>
  <si>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</si>
  <si>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</si>
  <si>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</si>
  <si>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</si>
  <si>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</si>
  <si>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</si>
  <si>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</si>
  <si>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</si>
  <si>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</si>
  <si>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</si>
  <si>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</si>
  <si>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</si>
  <si>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</si>
  <si>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</si>
  <si>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</si>
  <si>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</si>
  <si>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</si>
  <si>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</si>
  <si>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</si>
  <si>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</si>
  <si>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</si>
  <si>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</si>
  <si>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</si>
  <si>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</si>
  <si>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</si>
  <si>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</si>
  <si>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</si>
  <si>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</si>
  <si>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</si>
  <si>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</si>
  <si>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</si>
  <si>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</si>
  <si>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</si>
  <si>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</si>
  <si>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</si>
  <si>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</si>
  <si>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</si>
  <si>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</si>
  <si>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</si>
  <si>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</si>
  <si>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</si>
  <si>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</si>
  <si>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</si>
  <si>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</si>
  <si>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</si>
  <si>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</si>
  <si>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</si>
  <si>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</si>
  <si>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</si>
  <si>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</si>
  <si>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</si>
  <si>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</si>
  <si>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</si>
  <si>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</si>
  <si>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</si>
  <si>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</si>
  <si>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</si>
  <si>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</si>
  <si>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</si>
  <si>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</si>
  <si>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</si>
  <si>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</si>
  <si>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</si>
  <si>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</si>
  <si>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</si>
  <si>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</si>
  <si>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</si>
  <si>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</si>
  <si>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</si>
  <si>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</si>
  <si>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</si>
  <si>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</si>
  <si>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</si>
  <si>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</si>
  <si>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</si>
  <si>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</si>
  <si>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</si>
  <si>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</si>
  <si>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</si>
  <si>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</si>
  <si>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</si>
  <si>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</si>
  <si>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</si>
  <si>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</si>
  <si>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</si>
  <si>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</si>
  <si>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</si>
  <si>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</si>
  <si>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</si>
  <si>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</si>
  <si>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</si>
  <si>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</si>
  <si>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</si>
  <si>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</si>
  <si>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Karine Caroline de Oliveira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</si>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</sst>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H714" activePane="bottomLeft" state="frozen"/>
      <selection pane="bottomLeft" activeCell="T2013" sqref="T2013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2" t="s">
        <v>2933</v>
      </c>
    </row>
    <row r="715" spans="1:21" ht="1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30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30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2957</v>
      </c>
    </row>
    <row r="723" spans="1:20" ht="15" hidden="1">
      <c r="A723" s="137" t="s">
        <v>2961</v>
      </c>
      <c r="B723" s="152">
        <v>2026</v>
      </c>
      <c r="C723" s="183" t="s">
        <v>22</v>
      </c>
      <c r="D723" s="183" t="s">
        <v>2962</v>
      </c>
      <c r="E723" s="184" t="s">
        <v>2963</v>
      </c>
      <c r="F723" s="185" t="s">
        <v>88</v>
      </c>
      <c r="G723" s="186" t="s">
        <v>2719</v>
      </c>
      <c r="H723" s="191" t="s">
        <v>2964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2965</v>
      </c>
      <c r="B724" s="151">
        <v>2026</v>
      </c>
      <c r="C724" s="183" t="s">
        <v>22</v>
      </c>
      <c r="D724" s="183" t="s">
        <v>2966</v>
      </c>
      <c r="E724" s="184" t="s">
        <v>2967</v>
      </c>
      <c r="F724" s="185" t="s">
        <v>88</v>
      </c>
      <c r="G724" s="186" t="s">
        <v>2719</v>
      </c>
      <c r="H724" s="191" t="s">
        <v>2968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2969</v>
      </c>
      <c r="B725" s="183">
        <v>2026</v>
      </c>
      <c r="C725" s="183" t="s">
        <v>22</v>
      </c>
      <c r="D725" s="183" t="s">
        <v>2962</v>
      </c>
      <c r="E725" s="184" t="s">
        <v>2970</v>
      </c>
      <c r="F725" s="185"/>
      <c r="G725" s="186" t="s">
        <v>2719</v>
      </c>
      <c r="H725" s="191" t="s">
        <v>2971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2972</v>
      </c>
      <c r="B726" s="183">
        <v>2026</v>
      </c>
      <c r="C726" s="183" t="s">
        <v>2697</v>
      </c>
      <c r="D726" s="183" t="s">
        <v>2962</v>
      </c>
      <c r="E726" s="184" t="s">
        <v>2973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2974</v>
      </c>
      <c r="B727" s="183">
        <v>2026</v>
      </c>
      <c r="C727" s="183" t="s">
        <v>2697</v>
      </c>
      <c r="D727" s="183" t="s">
        <v>2962</v>
      </c>
      <c r="E727" s="180" t="s">
        <v>2975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2976</v>
      </c>
      <c r="B728" s="183">
        <v>2026</v>
      </c>
      <c r="C728" s="183" t="s">
        <v>2697</v>
      </c>
      <c r="D728" s="183" t="s">
        <v>2962</v>
      </c>
      <c r="E728" s="180" t="s">
        <v>2977</v>
      </c>
      <c r="F728" s="185"/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2979</v>
      </c>
      <c r="B729" s="183">
        <v>2026</v>
      </c>
      <c r="C729" s="183" t="s">
        <v>2697</v>
      </c>
      <c r="D729" s="183" t="s">
        <v>2962</v>
      </c>
      <c r="E729" s="180" t="s">
        <v>2980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2981</v>
      </c>
      <c r="B730" s="183">
        <v>2026</v>
      </c>
      <c r="C730" s="183" t="s">
        <v>2697</v>
      </c>
      <c r="D730" s="183" t="s">
        <v>2962</v>
      </c>
      <c r="E730" s="203" t="s">
        <v>2982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2983</v>
      </c>
      <c r="B731" s="183">
        <v>2026</v>
      </c>
      <c r="C731" s="183" t="s">
        <v>2697</v>
      </c>
      <c r="D731" s="183" t="s">
        <v>2962</v>
      </c>
      <c r="E731" s="203" t="s">
        <v>2984</v>
      </c>
      <c r="F731" s="185"/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2986</v>
      </c>
      <c r="B732" s="183">
        <v>2026</v>
      </c>
      <c r="C732" s="183" t="s">
        <v>2697</v>
      </c>
      <c r="D732" s="183"/>
      <c r="E732" s="184" t="s">
        <v>2987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2990</v>
      </c>
      <c r="B734" s="183">
        <v>2026</v>
      </c>
      <c r="C734" s="183" t="s">
        <v>2697</v>
      </c>
      <c r="D734" s="183"/>
      <c r="E734" s="184" t="s">
        <v>2991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/>
      <c r="G735" s="186" t="s">
        <v>206</v>
      </c>
      <c r="H735" s="191" t="s">
        <v>2992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hidden="1">
      <c r="A739" s="191" t="s">
        <v>3006</v>
      </c>
      <c r="B739" s="183">
        <v>2026</v>
      </c>
      <c r="C739" s="183" t="s">
        <v>2697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75" t="s">
        <v>3009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abSelected="1" topLeftCell="A25" workbookViewId="0">
      <selection activeCell="B112" sqref="B112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3021</v>
      </c>
      <c r="H1" s="213" t="s">
        <v>3022</v>
      </c>
    </row>
    <row r="2" spans="1:8">
      <c r="H2" s="212" t="s">
        <v>3023</v>
      </c>
    </row>
    <row r="3" spans="1:8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2933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3045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3046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3047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3048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3049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3050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3051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3052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3053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3054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3056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3057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3058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3059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3060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3061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3062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3063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3064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3065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3066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3067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3068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3069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3070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3071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3072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3073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3074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3075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3076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3077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108</v>
      </c>
      <c r="B109" t="s">
        <v>3078</v>
      </c>
      <c r="D109" t="s">
        <v>3029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3079</v>
      </c>
      <c r="C1" s="19" t="s">
        <v>3080</v>
      </c>
      <c r="D1" s="19" t="s">
        <v>4</v>
      </c>
      <c r="E1" s="19" t="s">
        <v>3081</v>
      </c>
      <c r="F1" s="19" t="s">
        <v>19</v>
      </c>
      <c r="G1" s="19" t="s">
        <v>3082</v>
      </c>
      <c r="H1" s="19" t="s">
        <v>3083</v>
      </c>
      <c r="I1" s="19" t="s">
        <v>3084</v>
      </c>
      <c r="J1" s="19" t="s">
        <v>3085</v>
      </c>
      <c r="L1" s="112" t="s">
        <v>3086</v>
      </c>
      <c r="M1" s="23">
        <v>2026</v>
      </c>
      <c r="U1" s="80" t="s">
        <v>3087</v>
      </c>
      <c r="V1" s="79"/>
      <c r="X1" s="78" t="s">
        <v>3088</v>
      </c>
      <c r="Y1" s="27"/>
      <c r="Z1" s="27"/>
      <c r="AA1" s="27"/>
      <c r="AC1" s="100" t="s">
        <v>3089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3090</v>
      </c>
      <c r="M2" s="107" t="s">
        <v>2929</v>
      </c>
      <c r="X2" s="114" t="s">
        <v>3079</v>
      </c>
      <c r="Y2" s="114" t="s">
        <v>19</v>
      </c>
      <c r="Z2" s="114" t="s">
        <v>3091</v>
      </c>
      <c r="AA2" s="114" t="s">
        <v>3092</v>
      </c>
      <c r="AC2" s="115" t="s">
        <v>1</v>
      </c>
      <c r="AD2" s="115" t="s">
        <v>3093</v>
      </c>
      <c r="AE2" s="115" t="s">
        <v>3094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3095</v>
      </c>
      <c r="M3" s="113" t="s">
        <v>3096</v>
      </c>
      <c r="N3" s="113" t="s">
        <v>3097</v>
      </c>
      <c r="O3" s="113" t="s">
        <v>3098</v>
      </c>
      <c r="P3" s="113" t="s">
        <v>3099</v>
      </c>
      <c r="Q3" s="113" t="s">
        <v>3100</v>
      </c>
      <c r="R3" s="113" t="s">
        <v>3101</v>
      </c>
      <c r="S3" s="113" t="s">
        <v>3102</v>
      </c>
      <c r="T3" s="113" t="s">
        <v>3103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Karine Caroline de Oliveira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3071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3073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3070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3062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2961</v>
      </c>
      <c r="Y68" t="s">
        <v>3057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Karine Caroline de Oliveira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 4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 5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 6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 7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 8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3108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3109</v>
      </c>
      <c r="B4" s="231"/>
      <c r="D4" s="232" t="s">
        <v>3110</v>
      </c>
      <c r="E4" s="233"/>
      <c r="G4" s="45" t="s">
        <v>3111</v>
      </c>
    </row>
    <row r="5" spans="1:7" ht="54.95" customHeight="1" thickBot="1">
      <c r="A5" s="35">
        <f>COUNTIF('Ações InCompany'!B:B,2026)</f>
        <v>86</v>
      </c>
      <c r="B5" s="36" t="s">
        <v>3112</v>
      </c>
      <c r="D5" s="43">
        <f>COUNTIFS('Ações InCompany'!B:B,2026,'Ações InCompany'!C:C,"Realizado")</f>
        <v>53</v>
      </c>
      <c r="E5" s="44" t="s">
        <v>3112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3113</v>
      </c>
      <c r="B8" s="228"/>
      <c r="D8" s="228" t="s">
        <v>3114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3115</v>
      </c>
      <c r="D10" s="28" t="s">
        <v>3116</v>
      </c>
      <c r="E10" s="28" t="s">
        <v>3117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3118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3119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3120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3121</v>
      </c>
      <c r="B14" s="34">
        <f>SUM(B11:B13)</f>
        <v>51</v>
      </c>
      <c r="D14" s="33" t="s">
        <v>3122</v>
      </c>
      <c r="E14" s="34">
        <f>SUM(E11:E13)</f>
        <v>2814</v>
      </c>
    </row>
    <row r="30" spans="1:5" ht="17.25">
      <c r="A30" s="228" t="s">
        <v>3123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3124</v>
      </c>
      <c r="C32" s="28" t="s">
        <v>3125</v>
      </c>
      <c r="D32" s="28" t="s">
        <v>3126</v>
      </c>
      <c r="E32" s="28" t="s">
        <v>3127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3121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3135</v>
      </c>
      <c r="B2" s="12" t="s">
        <v>3136</v>
      </c>
      <c r="C2" s="12" t="s">
        <v>1736</v>
      </c>
      <c r="D2" s="12" t="s">
        <v>3137</v>
      </c>
      <c r="E2" s="12" t="s">
        <v>3138</v>
      </c>
    </row>
    <row r="3" spans="1:5" ht="18" customHeight="1">
      <c r="A3" s="12" t="s">
        <v>3135</v>
      </c>
      <c r="B3" s="12" t="s">
        <v>3136</v>
      </c>
      <c r="C3" s="14" t="s">
        <v>25</v>
      </c>
      <c r="D3" s="12" t="s">
        <v>3139</v>
      </c>
      <c r="E3" s="12" t="s">
        <v>3140</v>
      </c>
    </row>
    <row r="4" spans="1:5" ht="18" customHeight="1">
      <c r="A4" s="12" t="s">
        <v>3135</v>
      </c>
      <c r="B4" s="12" t="s">
        <v>3136</v>
      </c>
      <c r="C4" s="12" t="s">
        <v>75</v>
      </c>
      <c r="D4" s="12" t="s">
        <v>3137</v>
      </c>
      <c r="E4" s="12" t="s">
        <v>3141</v>
      </c>
    </row>
    <row r="5" spans="1:5" ht="18" customHeight="1">
      <c r="A5" s="12" t="s">
        <v>3135</v>
      </c>
      <c r="B5" s="12" t="s">
        <v>3136</v>
      </c>
      <c r="C5" s="12" t="s">
        <v>79</v>
      </c>
      <c r="D5" s="12" t="s">
        <v>3142</v>
      </c>
      <c r="E5" s="12" t="s">
        <v>3143</v>
      </c>
    </row>
    <row r="6" spans="1:5" ht="18" customHeight="1">
      <c r="A6" s="12" t="s">
        <v>3135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3135</v>
      </c>
      <c r="B7" s="12" t="s">
        <v>3146</v>
      </c>
      <c r="C7" s="12" t="s">
        <v>36</v>
      </c>
      <c r="D7" s="12" t="s">
        <v>3147</v>
      </c>
      <c r="E7" s="12" t="s">
        <v>3148</v>
      </c>
    </row>
    <row r="8" spans="1:5" ht="18" customHeight="1">
      <c r="A8" s="12" t="s">
        <v>3135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3135</v>
      </c>
      <c r="B9" s="12" t="s">
        <v>3151</v>
      </c>
      <c r="C9" s="12" t="s">
        <v>464</v>
      </c>
      <c r="D9" s="12" t="s">
        <v>3152</v>
      </c>
      <c r="E9" s="12" t="s">
        <v>3153</v>
      </c>
    </row>
    <row r="10" spans="1:5" ht="18" customHeight="1">
      <c r="A10" s="12" t="s">
        <v>3135</v>
      </c>
      <c r="B10" s="12" t="s">
        <v>3151</v>
      </c>
      <c r="C10" s="12" t="s">
        <v>206</v>
      </c>
      <c r="D10" s="12" t="s">
        <v>24</v>
      </c>
      <c r="E10" s="12" t="s">
        <v>3154</v>
      </c>
    </row>
    <row r="11" spans="1:5" ht="18" customHeight="1">
      <c r="A11" s="12" t="s">
        <v>3135</v>
      </c>
      <c r="B11" s="12" t="s">
        <v>3151</v>
      </c>
      <c r="C11" s="12" t="s">
        <v>371</v>
      </c>
      <c r="D11" s="12" t="s">
        <v>24</v>
      </c>
      <c r="E11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3156</v>
      </c>
      <c r="B1" s="5" t="s">
        <v>10</v>
      </c>
      <c r="C1" s="15" t="s">
        <v>3157</v>
      </c>
      <c r="D1" s="15" t="s">
        <v>3080</v>
      </c>
    </row>
    <row r="2" spans="1:4" ht="21" customHeight="1">
      <c r="A2" s="103" t="s">
        <v>24</v>
      </c>
      <c r="B2" s="103" t="s">
        <v>38</v>
      </c>
      <c r="C2" s="12" t="s">
        <v>3158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3161</v>
      </c>
      <c r="B2" s="12" t="s">
        <v>3136</v>
      </c>
      <c r="C2" s="14" t="s">
        <v>25</v>
      </c>
      <c r="D2" s="12" t="s">
        <v>3137</v>
      </c>
      <c r="E2" s="17" t="s">
        <v>3162</v>
      </c>
    </row>
    <row r="3" spans="1:5" ht="18" customHeight="1">
      <c r="A3" s="12" t="s">
        <v>3161</v>
      </c>
      <c r="B3" s="12" t="s">
        <v>3136</v>
      </c>
      <c r="C3" s="12" t="s">
        <v>75</v>
      </c>
      <c r="D3" s="12" t="s">
        <v>3139</v>
      </c>
      <c r="E3" s="12" t="s">
        <v>3163</v>
      </c>
    </row>
    <row r="4" spans="1:5" ht="18" customHeight="1">
      <c r="A4" s="12" t="s">
        <v>3161</v>
      </c>
      <c r="B4" s="12" t="s">
        <v>3136</v>
      </c>
      <c r="C4" s="12" t="s">
        <v>79</v>
      </c>
      <c r="D4" s="12" t="s">
        <v>3142</v>
      </c>
      <c r="E4" s="12" t="s">
        <v>3164</v>
      </c>
    </row>
    <row r="5" spans="1:5" ht="27.75" customHeight="1">
      <c r="A5" s="12" t="s">
        <v>3161</v>
      </c>
      <c r="B5" s="12" t="s">
        <v>3136</v>
      </c>
      <c r="C5" s="12" t="s">
        <v>2694</v>
      </c>
      <c r="D5" s="17" t="s">
        <v>3165</v>
      </c>
      <c r="E5" s="12" t="s">
        <v>3166</v>
      </c>
    </row>
    <row r="6" spans="1:5" ht="18" customHeight="1">
      <c r="A6" s="12" t="s">
        <v>3161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3161</v>
      </c>
      <c r="B7" s="12" t="s">
        <v>3146</v>
      </c>
      <c r="C7" s="12" t="s">
        <v>2700</v>
      </c>
      <c r="D7" s="12" t="s">
        <v>3167</v>
      </c>
      <c r="E7" s="12" t="s">
        <v>3168</v>
      </c>
    </row>
    <row r="8" spans="1:5" ht="18" customHeight="1">
      <c r="A8" s="12" t="s">
        <v>3161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3161</v>
      </c>
      <c r="B9" s="12" t="s">
        <v>3146</v>
      </c>
      <c r="C9" s="12" t="s">
        <v>2795</v>
      </c>
      <c r="D9" s="12" t="s">
        <v>3169</v>
      </c>
      <c r="E9" s="17" t="s">
        <v>3170</v>
      </c>
    </row>
    <row r="10" spans="1:5" ht="18" customHeight="1">
      <c r="A10" s="12" t="s">
        <v>3161</v>
      </c>
      <c r="B10" s="12" t="s">
        <v>3171</v>
      </c>
      <c r="C10" s="12" t="s">
        <v>3128</v>
      </c>
      <c r="D10" s="12" t="s">
        <v>3172</v>
      </c>
      <c r="E10" s="17" t="s">
        <v>3173</v>
      </c>
    </row>
    <row r="11" spans="1:5" ht="18" customHeight="1">
      <c r="A11" s="12" t="s">
        <v>3161</v>
      </c>
      <c r="B11" s="12" t="s">
        <v>3171</v>
      </c>
      <c r="C11" s="12" t="s">
        <v>206</v>
      </c>
      <c r="D11" s="12" t="s">
        <v>24</v>
      </c>
      <c r="E11" s="12" t="s">
        <v>3154</v>
      </c>
    </row>
    <row r="12" spans="1:5" ht="18" customHeight="1">
      <c r="A12" s="12" t="s">
        <v>3161</v>
      </c>
      <c r="B12" s="12" t="s">
        <v>3171</v>
      </c>
      <c r="C12" s="12" t="s">
        <v>371</v>
      </c>
      <c r="D12" s="12" t="s">
        <v>24</v>
      </c>
      <c r="E12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3174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3175</v>
      </c>
    </row>
    <row r="4" spans="1:8" ht="21.95" customHeight="1">
      <c r="A4" s="235" t="s">
        <v>3176</v>
      </c>
      <c r="B4" s="236"/>
      <c r="D4" s="235" t="s">
        <v>3177</v>
      </c>
      <c r="E4" s="236"/>
      <c r="G4" s="235" t="s">
        <v>3178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3179</v>
      </c>
      <c r="B7" s="62" t="s">
        <v>3180</v>
      </c>
      <c r="C7" s="62" t="s">
        <v>1</v>
      </c>
      <c r="D7" s="62" t="s">
        <v>3181</v>
      </c>
      <c r="E7" s="62" t="s">
        <v>3182</v>
      </c>
      <c r="F7" s="62" t="s">
        <v>3080</v>
      </c>
      <c r="G7" s="62" t="s">
        <v>5</v>
      </c>
      <c r="H7" s="62" t="s">
        <v>3183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3184</v>
      </c>
      <c r="B1" s="241"/>
      <c r="C1" s="241"/>
      <c r="D1" s="241"/>
      <c r="E1" s="241"/>
      <c r="F1" s="241"/>
    </row>
    <row r="2" spans="1:7">
      <c r="A2" s="242" t="s">
        <v>3185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3083</v>
      </c>
      <c r="C4" s="25" t="s">
        <v>3084</v>
      </c>
      <c r="D4" s="25" t="s">
        <v>3186</v>
      </c>
      <c r="E4" s="25" t="s">
        <v>3085</v>
      </c>
      <c r="F4" s="25" t="s">
        <v>3187</v>
      </c>
    </row>
    <row r="5" spans="1:7">
      <c r="A5" t="str" cm="1">
        <f t="array" aca="1" ref="A5:A58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20</v>
      </c>
      <c r="C5" s="26">
        <f ca="1">IF($A5="","",SUMIFS('GECC 2026'!I$2:I$200,'GECC 2026'!F$2:F$200,$A5))</f>
        <v>6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26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4</v>
      </c>
      <c r="C37" s="26">
        <f ca="1">IF($A37="","",SUMIFS('GECC 2026'!I$2:I$200,'GECC 2026'!F$2:F$200,$A37))</f>
        <v>1.2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5.2</v>
      </c>
      <c r="F37" s="24">
        <f ca="1">IF($A37="","",COUNTIFS('GECC 2026'!F$2:F$200,$A37))</f>
        <v>1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Marcelo Bálbio Moraes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Marcelo Silva Santana</v>
      </c>
      <c r="B42" s="26">
        <f ca="1">IF($A42="","",SUMIFS('GECC 2026'!H$2:H$200,'GECC 2026'!F$2:F$200,$A42))</f>
        <v>12</v>
      </c>
      <c r="C42" s="26">
        <f ca="1">IF($A42="","",SUMIFS('GECC 2026'!I$2:I$200,'GECC 2026'!F$2:F$200,$A42))</f>
        <v>1.44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13.440000000000001</v>
      </c>
      <c r="F42" s="24">
        <f ca="1">IF($A42="","",COUNTIFS('GECC 2026'!F$2:F$200,$A42))</f>
        <v>2</v>
      </c>
    </row>
    <row r="43" spans="1:6">
      <c r="A43" t="str">
        <f ca="1"/>
        <v>Mauri Siqueira Montessi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Michel Martins de Morais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Paulo José Góes Daltro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0</v>
      </c>
      <c r="F45" s="24">
        <f ca="1">IF($A45="","",COUNTIFS('GECC 2026'!F$2:F$200,$A45))</f>
        <v>2</v>
      </c>
    </row>
    <row r="46" spans="1:6">
      <c r="A46" t="str">
        <f ca="1"/>
        <v>Priscila Nolasco de Oliveira</v>
      </c>
      <c r="B46" s="26">
        <f ca="1">IF($A46="","",SUMIFS('GECC 2026'!H$2:H$200,'GECC 2026'!F$2:F$200,$A46))</f>
        <v>12</v>
      </c>
      <c r="C46" s="26">
        <f ca="1">IF($A46="","",SUMIFS('GECC 2026'!I$2:I$200,'GECC 2026'!F$2:F$200,$A46))</f>
        <v>3.5999999999999996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15.600000000000001</v>
      </c>
      <c r="F46" s="24">
        <f ca="1">IF($A46="","",COUNTIFS('GECC 2026'!F$2:F$200,$A46))</f>
        <v>3</v>
      </c>
    </row>
    <row r="47" spans="1:6">
      <c r="A47" t="str">
        <f ca="1"/>
        <v>Reinaldo Alencar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>
      <c r="A48" t="str">
        <f ca="1"/>
        <v>Renan Dias da Silva</v>
      </c>
      <c r="B48" s="26">
        <f ca="1">IF($A48="","",SUMIFS('GECC 2026'!H$2:H$200,'GECC 2026'!F$2:F$200,$A48))</f>
        <v>4</v>
      </c>
      <c r="C48" s="26">
        <f ca="1">IF($A48="","",SUMIFS('GECC 2026'!I$2:I$200,'GECC 2026'!F$2:F$200,$A48))</f>
        <v>1.2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5.2</v>
      </c>
      <c r="F48" s="24">
        <f ca="1">IF($A48="","",COUNTIFS('GECC 2026'!F$2:F$200,$A48))</f>
        <v>1</v>
      </c>
    </row>
    <row r="49" spans="1:6">
      <c r="A49" t="str">
        <f ca="1"/>
        <v>Rogério Ribeiro</v>
      </c>
      <c r="B49" s="26">
        <f ca="1">IF($A49="","",SUMIFS('GECC 2026'!H$2:H$200,'GECC 2026'!F$2:F$200,$A49))</f>
        <v>48</v>
      </c>
      <c r="C49" s="26">
        <f ca="1">IF($A49="","",SUMIFS('GECC 2026'!I$2:I$200,'GECC 2026'!F$2:F$200,$A49))</f>
        <v>7.1999999999999993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55.2</v>
      </c>
      <c r="F49" s="24">
        <f ca="1">IF($A49="","",COUNTIFS('GECC 2026'!F$2:F$200,$A49))</f>
        <v>3</v>
      </c>
    </row>
    <row r="50" spans="1:6">
      <c r="A50" t="str">
        <f ca="1"/>
        <v>Rômulo Miranda Alvim</v>
      </c>
      <c r="B50" s="26">
        <f ca="1">IF($A50="","",SUMIFS('GECC 2026'!H$2:H$200,'GECC 2026'!F$2:F$200,$A50))</f>
        <v>24</v>
      </c>
      <c r="C50" s="26">
        <f ca="1">IF($A50="","",SUMIFS('GECC 2026'!I$2:I$200,'GECC 2026'!F$2:F$200,$A50))</f>
        <v>3.6</v>
      </c>
      <c r="D50" s="101">
        <f ca="1">IF($A50="","",SUMIFS('GECC 2026'!$AE$3:$AE$32,'GECC 2026'!$AD$3:$AD$32,$A50))</f>
        <v>16</v>
      </c>
      <c r="E50" s="93">
        <f ca="1">IF($A50="","",SUMIFS('GECC 2026'!J$2:J$200,'GECC 2026'!F$2:F$200,$A50)+SUMIFS('GECC 2026'!$AE$3:$AE$32,'GECC 2026'!$AD$3:$AD$32,$A50))</f>
        <v>43.6</v>
      </c>
      <c r="F50" s="24">
        <f ca="1">IF($A50="","",COUNTIFS('GECC 2026'!F$2:F$200,$A50))</f>
        <v>2</v>
      </c>
    </row>
    <row r="51" spans="1:6">
      <c r="A51" t="str">
        <f ca="1"/>
        <v>Sara Cristina Lins Ramos</v>
      </c>
      <c r="B51" s="26">
        <f ca="1">IF($A51="","",SUMIFS('GECC 2026'!H$2:H$200,'GECC 2026'!F$2:F$200,$A51))</f>
        <v>8</v>
      </c>
      <c r="C51" s="26">
        <f ca="1">IF($A51="","",SUMIFS('GECC 2026'!I$2:I$200,'GECC 2026'!F$2:F$200,$A51))</f>
        <v>2.4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10.4</v>
      </c>
      <c r="F51" s="24">
        <f ca="1">IF($A51="","",COUNTIFS('GECC 2026'!F$2:F$200,$A51))</f>
        <v>1</v>
      </c>
    </row>
    <row r="52" spans="1:6">
      <c r="A52" t="str">
        <f ca="1"/>
        <v>Servidores, colaboradores e estagiários do TCDF</v>
      </c>
      <c r="B52" s="26">
        <f ca="1">IF($A52="","",SUMIFS('GECC 2026'!H$2:H$200,'GECC 2026'!F$2:F$200,$A52))</f>
        <v>0</v>
      </c>
      <c r="C52" s="26">
        <f ca="1">IF($A52="","",SUMIFS('GECC 2026'!I$2:I$200,'GECC 2026'!F$2:F$200,$A52))</f>
        <v>0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0</v>
      </c>
      <c r="F52" s="24">
        <f ca="1">IF($A52="","",COUNTIFS('GECC 2026'!F$2:F$200,$A52))</f>
        <v>1</v>
      </c>
    </row>
    <row r="53" spans="1:6">
      <c r="A53" t="str">
        <f ca="1"/>
        <v>Silvia Lima Damasceno Carvalho</v>
      </c>
      <c r="B53" s="26">
        <f ca="1">IF($A53="","",SUMIFS('GECC 2026'!H$2:H$200,'GECC 2026'!F$2:F$200,$A53))</f>
        <v>21</v>
      </c>
      <c r="C53" s="26">
        <f ca="1">IF($A53="","",SUMIFS('GECC 2026'!I$2:I$200,'GECC 2026'!F$2:F$200,$A53))</f>
        <v>6.3000000000000007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27.299999999999997</v>
      </c>
      <c r="F53" s="24">
        <f ca="1">IF($A53="","",COUNTIFS('GECC 2026'!F$2:F$200,$A53))</f>
        <v>6</v>
      </c>
    </row>
    <row r="54" spans="1:6">
      <c r="A54" t="str">
        <f ca="1"/>
        <v>Tarsila Firmino Ely</v>
      </c>
      <c r="B54" s="26">
        <f ca="1">IF($A54="","",SUMIFS('GECC 2026'!H$2:H$200,'GECC 2026'!F$2:F$200,$A54))</f>
        <v>88</v>
      </c>
      <c r="C54" s="26">
        <f ca="1">IF($A54="","",SUMIFS('GECC 2026'!I$2:I$200,'GECC 2026'!F$2:F$200,$A54))</f>
        <v>83.6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171.6</v>
      </c>
      <c r="F54" s="24">
        <f ca="1">IF($A54="","",COUNTIFS('GECC 2026'!F$2:F$200,$A54))</f>
        <v>7</v>
      </c>
    </row>
    <row r="55" spans="1:6">
      <c r="A55" t="str">
        <f ca="1"/>
        <v>Thiago Magalhães de Oliveira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A56" t="str">
        <f ca="1"/>
        <v>Túllio Herbeth Teixeira Moraes</v>
      </c>
      <c r="B56" s="26">
        <f ca="1">IF($A56="","",SUMIFS('GECC 2026'!H$2:H$200,'GECC 2026'!F$2:F$200,$A56))</f>
        <v>9</v>
      </c>
      <c r="C56" s="26">
        <f ca="1">IF($A56="","",SUMIFS('GECC 2026'!I$2:I$200,'GECC 2026'!F$2:F$200,$A56))</f>
        <v>2.6999999999999997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11.7</v>
      </c>
      <c r="F56" s="24">
        <f ca="1">IF($A56="","",COUNTIFS('GECC 2026'!F$2:F$200,$A56))</f>
        <v>3</v>
      </c>
    </row>
    <row r="57" spans="1:6">
      <c r="A57" t="str">
        <f ca="1"/>
        <v>Valéria Feitoza</v>
      </c>
      <c r="B57" s="26">
        <f ca="1">IF($A57="","",SUMIFS('GECC 2026'!H$2:H$200,'GECC 2026'!F$2:F$200,$A57))</f>
        <v>2</v>
      </c>
      <c r="C57" s="26">
        <f ca="1">IF($A57="","",SUMIFS('GECC 2026'!I$2:I$200,'GECC 2026'!F$2:F$200,$A57))</f>
        <v>0.6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2.6</v>
      </c>
      <c r="F57" s="24">
        <f ca="1">IF($A57="","",COUNTIFS('GECC 2026'!F$2:F$200,$A57))</f>
        <v>2</v>
      </c>
    </row>
    <row r="58" spans="1:6">
      <c r="A58" t="str">
        <f ca="1"/>
        <v>Wibys Pereira</v>
      </c>
      <c r="B58" s="26">
        <f ca="1">IF($A58="","",SUMIFS('GECC 2026'!H$2:H$200,'GECC 2026'!F$2:F$200,$A58))</f>
        <v>4</v>
      </c>
      <c r="C58" s="26">
        <f ca="1">IF($A58="","",SUMIFS('GECC 2026'!I$2:I$200,'GECC 2026'!F$2:F$200,$A58))</f>
        <v>1.2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5.2</v>
      </c>
      <c r="F58" s="24">
        <f ca="1">IF($A58="","",COUNTIFS('GECC 2026'!F$2:F$200,$A58))</f>
        <v>1</v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3122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3188</v>
      </c>
      <c r="B1" s="123" t="s">
        <v>3189</v>
      </c>
      <c r="C1" s="123" t="s">
        <v>3190</v>
      </c>
      <c r="D1" s="123" t="s">
        <v>3191</v>
      </c>
      <c r="E1" s="123" t="s">
        <v>3192</v>
      </c>
      <c r="F1" s="123" t="s">
        <v>3193</v>
      </c>
      <c r="G1" s="123" t="s">
        <v>10</v>
      </c>
      <c r="H1" s="123" t="s">
        <v>3194</v>
      </c>
      <c r="I1" s="123" t="s">
        <v>3195</v>
      </c>
      <c r="J1" s="123" t="s">
        <v>3196</v>
      </c>
      <c r="K1" s="123" t="s">
        <v>3197</v>
      </c>
      <c r="L1" s="123" t="s">
        <v>3198</v>
      </c>
      <c r="N1" s="124" t="s">
        <v>3199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3200</v>
      </c>
      <c r="L2" t="str">
        <f>IF(K2="","",IFERROR(INDEX(Tabela2[Curso],MATCH(K2,Tabela2[ID],0)),""))</f>
        <v/>
      </c>
      <c r="N2" s="123" t="s">
        <v>3079</v>
      </c>
      <c r="O2" s="123" t="s">
        <v>4</v>
      </c>
      <c r="P2" s="123" t="s">
        <v>3201</v>
      </c>
      <c r="Q2" s="123" t="s">
        <v>3202</v>
      </c>
      <c r="R2" s="123" t="s">
        <v>3203</v>
      </c>
      <c r="S2" s="123" t="s">
        <v>3204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3200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3200</v>
      </c>
      <c r="L10" t="str">
        <f>IF(K10="","",IFERROR(INDEX(Tabela2[Curso],MATCH(K10,Tabela2[ID],0)),""))</f>
        <v/>
      </c>
      <c r="N10" s="122" t="s">
        <v>3205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3200</v>
      </c>
      <c r="L11" t="str">
        <f>IF(K11="","",IFERROR(INDEX(Tabela2[Curso],MATCH(K11,Tabela2[ID],0)),""))</f>
        <v/>
      </c>
      <c r="N11" s="125" t="s">
        <v>3206</v>
      </c>
      <c r="O11" s="125" t="s">
        <v>3207</v>
      </c>
      <c r="P11" s="125" t="s">
        <v>3208</v>
      </c>
      <c r="Q11" s="125" t="s">
        <v>3191</v>
      </c>
      <c r="R11" s="125" t="s">
        <v>3192</v>
      </c>
      <c r="S11" s="125" t="s">
        <v>3209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3200</v>
      </c>
      <c r="L12" t="str">
        <f>IF(K12="","",IFERROR(INDEX(Tabela2[Curso],MATCH(K12,Tabela2[ID],0)),""))</f>
        <v/>
      </c>
      <c r="N12" t="s">
        <v>3210</v>
      </c>
      <c r="O12" t="s">
        <v>2755</v>
      </c>
      <c r="P12" t="s">
        <v>3211</v>
      </c>
      <c r="Q12">
        <v>0</v>
      </c>
      <c r="R12">
        <v>0</v>
      </c>
      <c r="S12" t="s">
        <v>3212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3200</v>
      </c>
      <c r="L13" t="str">
        <f>IF(K13="","",IFERROR(INDEX(Tabela2[Curso],MATCH(K13,Tabela2[ID],0)),""))</f>
        <v/>
      </c>
      <c r="N13" t="s">
        <v>3213</v>
      </c>
      <c r="O13" t="s">
        <v>2686</v>
      </c>
      <c r="P13" t="s">
        <v>3214</v>
      </c>
      <c r="Q13">
        <v>0</v>
      </c>
      <c r="R13">
        <v>0</v>
      </c>
      <c r="S13" t="s">
        <v>3215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0C07A846-7927-4130-BFB7-172DFD21A0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2026-08-28T17:14:55Z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