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61" documentId="8_{454372C2-A99E-4E47-A759-72B38925853E}" xr6:coauthVersionLast="47" xr6:coauthVersionMax="47" xr10:uidLastSave="{2429EB29-6426-4982-B07D-F27E114121CE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D37" i="23" l="1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A5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<sst xmlns="http://schemas.openxmlformats.org/spreadsheetml/2006/main" count="6265" uniqueCount="2418">
  <si>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</si>
  <si>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</si>
  <si>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</si>
  <si>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</si>
  <si>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</si>
  <si>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</si>
  <si>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</si>
  <si>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</si>
  <si>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</si>
  <si>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</si>
  <si>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</si>
  <si>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</si>
  <si>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</si>
  <si>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</si>
  <si>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</si>
  <si>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</si>
  <si>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</si>
  <si>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</si>
  <si>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</si>
  <si>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</si>
  <si>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</si>
  <si>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</si>
  <si>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</si>
  <si>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</si>
  <si>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</si>
  <si>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</si>
  <si>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</si>
  <si>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</si>
  <si>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</si>
  <si>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</si>
  <si>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</si>
  <si>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</si>
  <si>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</si>
  <si>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</si>
  <si>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</si>
  <si>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</si>
  <si>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</si>
  <si>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</si>
  <si>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</si>
  <si>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</si>
  <si>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</si>
  <si>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</si>
  <si>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</si>
  <si>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</si>
  <si>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</si>
  <si>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</si>
  <si>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</si>
  <si>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</si>
  <si>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</si>
  <si>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</si>
  <si>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</si>
  <si>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</si>
  <si>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</si>
  <si>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</si>
  <si>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</si>
  <si>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</si>
  <si>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</si>
  <si>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</si>
  <si>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</si>
  <si>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</si>
  <si>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</si>
  <si>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</si>
  <si>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</si>
  <si>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</si>
  <si>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</si>
  <si>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</si>
  <si>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</si>
  <si>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</si>
  <si>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</si>
  <si>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</si>
  <si>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</si>
  <si>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</si>
  <si>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</si>
  <si>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</si>
  <si>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</si>
  <si>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</si>
  <si>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</si>
  <si>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</si>
  <si>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</si>
  <si>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</si>
  <si>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</si>
  <si>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</si>
  <si>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</si>
  <si>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</si>
  <si>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</si>
  <si>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</si>
  <si>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</si>
  <si>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</si>
  <si>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</si>
  <si>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</si>
  <si>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</si>
  <si>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</si>
  <si>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</si>
  <si>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</si>
  <si>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</si>
  <si>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</si>
  <si>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</si>
  <si>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</si>
  <si>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</si>
  <si>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</si>
  <si>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</si>
  <si>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</si>
  <si>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</si>
  <si>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</si>
  <si>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</si>
  <si>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</si>
  <si>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</si>
  <si>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</si>
  <si>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</si>
  <si>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</si>
  <si>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</si>
  <si>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</si>
  <si>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</si>
  <si>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</si>
  <si>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</si>
  <si>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</si>
  <si>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</si>
  <si>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</si>
  <si>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</si>
  <si>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</si>
  <si>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</si>
  <si>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</si>
  <si>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</si>
  <si>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</si>
  <si>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</si>
  <si>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</si>
  <si>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</si>
  <si>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</si>
  <si>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</si>
  <si>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</si>
  <si>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</si>
  <si>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</si>
  <si>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</si>
  <si>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</si>
  <si>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</si>
  <si>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</si>
  <si>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</si>
  <si>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</si>
  <si>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</si>
  <si>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</si>
  <si>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</si>
  <si>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</si>
  <si>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</si>
  <si>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</si>
  <si>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</si>
  <si>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</si>
  <si>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</si>
  <si>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</si>
  <si>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</si>
  <si>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</si>
  <si>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</si>
  <si>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</si>
  <si>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</si>
  <si>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</si>
  <si>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</si>
  <si>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</si>
  <si>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</si>
  <si>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</si>
  <si>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</si>
  <si>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</si>
  <si>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</si>
  <si>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</si>
  <si>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</si>
  <si>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</si>
  <si>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</si>
  <si>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</si>
  <si>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</si>
  <si>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</si>
  <si>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</si>
  <si>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</si>
  <si>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</si>
  <si>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</si>
  <si>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</si>
  <si>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</si>
  <si>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</si>
  <si>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</si>
  <si>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</si>
  <si>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</si>
  <si>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</si>
  <si>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</si>
  <si>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</si>
  <si>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</si>
  <si>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</si>
  <si>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</si>
  <si>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</si>
  <si>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</si>
  <si>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</si>
  <si>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</si>
  <si>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</si>
  <si>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</si>
  <si>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</si>
  <si>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</si>
  <si>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</si>
  <si>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</si>
  <si>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</si>
  <si>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</si>
  <si>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</si>
  <si>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</si>
  <si>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</si>
  <si>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</si>
  <si>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</si>
  <si>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</si>
  <si>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</si>
  <si>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</si>
  <si>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</si>
  <si>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</si>
  <si>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</si>
  <si>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</si>
  <si>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</si>
  <si>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</si>
  <si>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</si>
  <si>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</si>
  <si>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</si>
  <si>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</si>
  <si>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</si>
  <si>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</si>
  <si>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</si>
  <si>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</si>
  <si>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</si>
  <si>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</si>
  <si>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</si>
  <si>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</si>
  <si>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</si>
  <si>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</si>
  <si>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</si>
  <si>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</si>
  <si>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</si>
  <si>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</si>
  <si>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</si>
  <si>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</si>
  <si>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</si>
  <si>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</si>
  <si>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</si>
  <si>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</si>
  <si>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</si>
  <si>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</si>
  <si>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</si>
  <si>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</si>
  <si>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</si>
  <si>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</si>
  <si>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</si>
  <si>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</si>
  <si>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</si>
  <si>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</si>
  <si>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</si>
  <si>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</si>
  <si>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</si>
  <si>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</si>
  <si>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</si>
  <si>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</si>
  <si>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</si>
  <si>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</si>
  <si>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</si>
  <si>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</si>
  <si>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</si>
  <si>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</si>
  <si>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</si>
  <si>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</si>
  <si>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</si>
  <si>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</si>
  <si>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</si>
  <si>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</si>
  <si>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</si>
  <si>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</si>
  <si>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</si>
  <si>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</si>
  <si>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</si>
  <si>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</si>
  <si>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</si>
  <si>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</si>
  <si>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</si>
  <si>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</si>
  <si>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</si>
  <si>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</si>
  <si>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</si>
  <si>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</si>
  <si>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</si>
  <si>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</si>
  <si>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</si>
  <si>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</si>
  <si>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</si>
  <si>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</si>
  <si>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</si>
  <si>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</si>
  <si>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</si>
  <si>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</si>
  <si>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</si>
  <si>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</si>
  <si>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</si>
  <si>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</si>
  <si>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</si>
  <si>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</si>
  <si>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</si>
  <si>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</si>
  <si>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</si>
  <si>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</si>
  <si>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</si>
  <si>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</si>
  <si>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</si>
  <si>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</si>
  <si>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</si>
  <si>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</si>
  <si>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</si>
  <si>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</si>
  <si>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</si>
  <si>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</si>
  <si>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</si>
  <si>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</si>
  <si>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</si>
  <si>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</si>
  <si>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</si>
  <si>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</si>
  <si>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</si>
  <si>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</si>
  <si>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</si>
  <si>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</si>
  <si>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</si>
  <si>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</si>
  <si>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</si>
  <si>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</si>
  <si>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</si>
  <si>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</si>
  <si>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</si>
  <si>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</si>
  <si>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</si>
  <si>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</si>
  <si>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</si>
  <si>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</si>
  <si>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</si>
  <si>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</si>
  <si>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</si>
  <si>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</si>
  <si>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</si>
  <si>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</si>
  <si>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</si>
  <si>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</si>
  <si>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</si>
  <si>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</si>
  <si>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</si>
  <si>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</si>
  <si>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</si>
  <si>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</si>
  <si>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</si>
  <si>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</si>
  <si>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</si>
  <si>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</si>
  <si>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</si>
  <si>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</si>
  <si>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</si>
  <si>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</si>
  <si>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</si>
  <si>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</si>
  <si>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</si>
  <si>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</si>
  <si>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</si>
  <si>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</si>
  <si>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</si>
  <si>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</si>
  <si>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</si>
  <si>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</si>
  <si>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</si>
  <si>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</si>
  <si>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</si>
  <si>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</si>
  <si>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</si>
  <si>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</si>
  <si>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</si>
  <si>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</si>
  <si>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</si>
  <si>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</si>
  <si>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</si>
  <si>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</si>
  <si>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</si>
  <si>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</si>
  <si>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</si>
  <si>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</si>
  <si>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</si>
  <si>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</si>
  <si>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</si>
  <si>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</si>
  <si>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</si>
  <si>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</si>
  <si>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</si>
  <si>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</si>
  <si>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</si>
  <si>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</si>
  <si>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</si>
  <si>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</si>
  <si>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</si>
  <si>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</si>
  <si>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</si>
  <si>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</si>
  <si>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</si>
  <si>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</si>
  <si>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</si>
  <si>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</si>
  <si>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</si>
  <si>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</si>
  <si>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</si>
  <si>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</si>
  <si>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</si>
  <si>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</si>
  <si>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</si>
  <si>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</si>
  <si>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</si>
  <si>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</si>
  <si>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</si>
  <si>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</si>
  <si>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</si>
  <si>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</si>
  <si>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</si>
  <si>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</si>
  <si>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</si>
  <si>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</si>
  <si>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</si>
  <si>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</si>
  <si>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</si>
  <si>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</si>
  <si>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</si>
  <si>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</si>
  <si>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</si>
  <si>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</si>
  <si>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</si>
  <si>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</si>
  <si>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</si>
  <si>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</si>
  <si>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</si>
  <si>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</si>
  <si>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</si>
  <si>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</si>
  <si>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</si>
  <si>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</si>
  <si>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</si>
  <si>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</si>
  <si>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</si>
  <si>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</si>
  <si>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</si>
  <si>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</si>
  <si>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</si>
  <si>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</si>
  <si>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</si>
  <si>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</si>
  <si>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</si>
  <si>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</si>
  <si>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</si>
  <si>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</si>
  <si>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</si>
  <si>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</si>
  <si>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</si>
  <si>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</si>
  <si>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</si>
  <si>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</si>
  <si>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</si>
  <si>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</si>
  <si>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</si>
  <si>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</si>
  <si>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</si>
  <si>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</si>
  <si>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</si>
  <si>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</si>
  <si>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</si>
  <si>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</si>
  <si>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</si>
  <si>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</si>
  <si>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</si>
  <si>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</si>
  <si>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</si>
  <si>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</si>
  <si>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</si>
  <si>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</si>
  <si>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</si>
  <si>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</si>
  <si>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</si>
  <si>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</si>
  <si>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</si>
  <si>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</si>
  <si>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</si>
  <si>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</si>
  <si>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</si>
  <si>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</si>
  <si>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</si>
  <si>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</si>
  <si>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</si>
  <si>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</si>
  <si>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</si>
  <si>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</si>
  <si>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</si>
  <si>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</si>
  <si>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</si>
  <si>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</si>
  <si>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</si>
  <si>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</si>
  <si>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</si>
  <si>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</si>
  <si>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</si>
  <si>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</si>
  <si>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</si>
  <si>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</si>
  <si>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</si>
  <si>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</si>
  <si>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</si>
  <si>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</si>
  <si>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</si>
  <si>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</si>
  <si>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</si>
  <si>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</si>
  <si>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</si>
  <si>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</si>
  <si>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</si>
  <si>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</si>
  <si>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</si>
  <si>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</si>
  <si>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</si>
  <si>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</si>
  <si>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</si>
  <si>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</si>
  <si>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</si>
  <si>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</si>
  <si>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</si>
  <si>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</si>
  <si>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</si>
  <si>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</si>
  <si>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</si>
  <si>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</si>
  <si>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</si>
  <si>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</si>
  <si>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</si>
  <si>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</si>
  <si>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</si>
  <si>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</si>
  <si>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</si>
  <si>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</si>
  <si>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</si>
  <si>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</si>
  <si>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</si>
  <si>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</si>
  <si>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</si>
  <si>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</si>
  <si>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</si>
  <si>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</si>
  <si>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</si>
  <si>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</si>
  <si>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</si>
  <si>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</si>
  <si>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</si>
  <si>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</si>
  <si>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</si>
  <si>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</si>
  <si>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</si>
  <si>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</si>
  <si>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</si>
  <si>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</si>
  <si>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</si>
  <si>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</si>
  <si>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</si>
  <si>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</si>
  <si>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</si>
  <si>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</si>
  <si>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</si>
  <si>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</si>
  <si>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</si>
  <si>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</si>
  <si>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</si>
  <si>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</si>
  <si>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</si>
  <si>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</si>
  <si>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</si>
  <si>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</si>
  <si>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</si>
  <si>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</si>
  <si>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</si>
  <si>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</si>
  <si>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</si>
  <si>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</si>
  <si>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</si>
  <si>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</si>
  <si>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</si>
  <si>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</si>
  <si>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</si>
  <si>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</si>
  <si>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</si>
  <si>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</si>
  <si>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</si>
  <si>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</si>
  <si>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</si>
  <si>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</si>
  <si>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</si>
  <si>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</si>
  <si>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</si>
  <si>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</si>
  <si>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</si>
  <si>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</si>
  <si>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</si>
  <si>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</si>
  <si>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</si>
  <si>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</si>
  <si>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</si>
  <si>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</si>
  <si>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</si>
  <si>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</si>
  <si>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</si>
  <si>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</si>
  <si>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</si>
  <si>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</si>
  <si>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</si>
  <si>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</si>
  <si>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</si>
  <si>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</si>
  <si>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</si>
  <si>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</si>
  <si>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</si>
  <si>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</si>
  <si>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</si>
  <si>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</si>
  <si>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</si>
  <si>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</si>
  <si>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</si>
  <si>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</si>
  <si>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</si>
  <si>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</si>
  <si>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</si>
  <si>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</si>
  <si>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</si>
  <si>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</si>
  <si>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</si>
  <si>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</si>
  <si>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</si>
  <si>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</si>
  <si>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</si>
  <si>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</si>
  <si>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</si>
  <si>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</si>
  <si>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</si>
  <si>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</si>
  <si>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</si>
  <si>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</si>
  <si>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</si>
  <si>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</si>
  <si>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</si>
  <si>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</si>
  <si>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</si>
  <si>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</si>
  <si>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</si>
  <si>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</si>
  <si>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</si>
  <si>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</si>
  <si>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</si>
  <si>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</si>
  <si>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</si>
  <si>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</si>
  <si>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</si>
  <si>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</si>
  <si>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</si>
  <si>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</si>
  <si>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</si>
  <si>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</si>
  <si>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</si>
  <si>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</si>
  <si>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</si>
  <si>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</si>
  <si>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</si>
  <si>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</si>
  <si>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</si>
  <si>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</si>
  <si>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</si>
  <si>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</si>
  <si>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</si>
  <si>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</si>
  <si>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</si>
  <si>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</si>
  <si>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</si>
  <si>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</si>
  <si>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</si>
  <si>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</si>
  <si>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</si>
  <si>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</si>
  <si>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</si>
  <si>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</si>
  <si>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</si>
  <si>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</si>
  <si>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</si>
  <si>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</si>
  <si>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</si>
  <si>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</si>
  <si>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</si>
  <si>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</si>
  <si>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</si>
  <si>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</si>
  <si>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</si>
  <si>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</si>
  <si>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</si>
  <si>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</si>
  <si>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</si>
  <si>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</si>
  <si>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</si>
  <si>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</si>
  <si>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</si>
  <si>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</si>
  <si>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</si>
  <si>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</si>
  <si>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</si>
  <si>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</si>
  <si>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</si>
  <si>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</si>
  <si>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</si>
  <si>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</si>
  <si>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</si>
  <si>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</si>
  <si>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</si>
  <si>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</si>
  <si>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</si>
  <si>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</si>
  <si>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</si>
  <si>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</si>
  <si>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</si>
  <si>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</si>
  <si>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</si>
  <si>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</si>
  <si>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</si>
  <si>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</si>
  <si>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</si>
  <si>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</si>
  <si>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</si>
  <si>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</si>
  <si>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</si>
  <si>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</si>
  <si>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</si>
  <si>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</si>
  <si>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</si>
  <si>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</si>
  <si>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</si>
  <si>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</si>
  <si>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</si>
  <si>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</si>
  <si>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</si>
  <si>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</si>
  <si>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</si>
  <si>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</si>
  <si>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</si>
  <si>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</si>
  <si>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</si>
  <si>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</si>
  <si>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</si>
  <si>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</si>
  <si>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</si>
  <si>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</si>
  <si>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</si>
  <si>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</si>
  <si>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</si>
  <si>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</si>
  <si>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</si>
  <si>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</si>
  <si>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</si>
  <si>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</si>
  <si>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</si>
  <si>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</si>
  <si>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</si>
  <si>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</si>
  <si>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</si>
  <si>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</si>
  <si>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</si>
  <si>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</si>
  <si>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</si>
  <si>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</si>
  <si>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</si>
  <si>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</si>
  <si>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</si>
  <si>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</si>
  <si>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</si>
  <si>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</si>
  <si>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</si>
  <si>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</si>
  <si>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</si>
  <si>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</si>
  <si>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</si>
  <si>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</si>
  <si>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</si>
  <si>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</si>
  <si>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</si>
  <si>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</si>
  <si>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</si>
  <si>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</si>
  <si>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</si>
  <si>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</si>
  <si>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</si>
  <si>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</si>
  <si>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</si>
  <si>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</si>
  <si>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</si>
  <si>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</si>
  <si>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</si>
  <si>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</si>
  <si>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</si>
  <si>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</si>
  <si>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</si>
  <si>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</si>
  <si>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</si>
  <si>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</si>
  <si>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</si>
  <si>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</si>
  <si>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</si>
  <si>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</si>
  <si>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</si>
  <si>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</si>
  <si>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</si>
  <si>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</si>
  <si>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</si>
  <si>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</si>
  <si>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</si>
  <si>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</si>
  <si>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</si>
  <si>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</si>
  <si>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</si>
  <si>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</si>
  <si>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</si>
  <si>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</si>
  <si>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</si>
  <si>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</si>
  <si>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</si>
  <si>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</si>
  <si>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</si>
  <si>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</si>
  <si>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</si>
  <si>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</si>
  <si>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</si>
  <si>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</si>
  <si>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</si>
  <si>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</si>
  <si>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</si>
  <si>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</si>
  <si>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</si>
  <si>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</si>
  <si>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</si>
  <si>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</si>
  <si>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</si>
  <si>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</si>
  <si>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</si>
  <si>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</si>
  <si>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</si>
  <si>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</si>
  <si>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</si>
  <si>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</si>
  <si>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</si>
  <si>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</si>
  <si>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</si>
  <si>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</si>
  <si>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</si>
  <si>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</si>
  <si>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</si>
  <si>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</si>
  <si>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</si>
  <si>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</si>
  <si>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</si>
  <si>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</si>
  <si>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</si>
  <si>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</si>
  <si>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</si>
  <si>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</si>
  <si>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</si>
  <si>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</si>
  <si>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</si>
  <si>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</si>
  <si>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</si>
  <si>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</si>
  <si>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</si>
  <si>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</si>
  <si>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</si>
  <si>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</si>
  <si>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</si>
  <si>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</si>
  <si>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</si>
  <si>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</si>
  <si>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</si>
  <si>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</si>
  <si>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</si>
  <si>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</si>
  <si>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</si>
  <si>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</si>
  <si>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</si>
  <si>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</si>
  <si>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</si>
  <si>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</si>
  <si>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</si>
  <si>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</si>
  <si>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</si>
  <si>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</si>
  <si>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</si>
  <si>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</si>
  <si>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</si>
  <si>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</si>
  <si>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</si>
  <si>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</si>
  <si>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</si>
  <si>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</si>
  <si>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</si>
  <si>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</si>
  <si>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</si>
  <si>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</si>
  <si>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</si>
  <si>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</si>
  <si>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</si>
  <si>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</si>
  <si>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</si>
  <si>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</si>
  <si>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</si>
  <si>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</si>
  <si>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</si>
  <si>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</si>
  <si>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</si>
  <si>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</si>
  <si>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</si>
  <si>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</si>
  <si>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</si>
  <si>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</si>
  <si>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</si>
  <si>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</si>
  <si>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</si>
  <si>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</si>
  <si>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</si>
  <si>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</si>
  <si>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</si>
  <si>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</si>
  <si>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</si>
  <si>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</si>
  <si>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</si>
  <si>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</si>
  <si>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</si>
  <si>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</si>
  <si>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</si>
  <si>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</si>
  <si>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</si>
  <si>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</si>
  <si>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</si>
  <si>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</si>
  <si>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</si>
  <si>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</si>
  <si>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</si>
  <si>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</si>
  <si>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</si>
  <si>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</si>
  <si>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</si>
  <si>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</si>
  <si>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</si>
  <si>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</si>
  <si>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</si>
  <si>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</si>
  <si>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</si>
  <si>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</si>
  <si>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</si>
  <si>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</si>
  <si>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</si>
  <si>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</si>
  <si>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</si>
  <si>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</si>
  <si>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</si>
  <si>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</si>
  <si>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</si>
  <si>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</si>
  <si>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</si>
  <si>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</si>
  <si>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</si>
  <si>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</si>
  <si>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</si>
  <si>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</si>
  <si>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</si>
  <si>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</si>
  <si>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</si>
  <si>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</si>
  <si>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</si>
  <si>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</si>
  <si>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</si>
  <si>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</si>
  <si>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</si>
  <si>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</si>
  <si>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</si>
  <si>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</si>
  <si>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</si>
  <si>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</si>
  <si>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</si>
  <si>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</si>
  <si>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</si>
  <si>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</si>
  <si>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</si>
  <si>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</si>
  <si>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</si>
  <si>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</si>
  <si>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</si>
  <si>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</si>
  <si>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</si>
  <si>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</si>
  <si>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</si>
  <si>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</si>
  <si>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</si>
  <si>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</si>
  <si>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</si>
  <si>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</si>
  <si>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</si>
  <si>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</si>
  <si>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</si>
  <si>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</si>
  <si>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</si>
  <si>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</si>
  <si>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</si>
  <si>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</si>
  <si>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</si>
  <si>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</si>
  <si>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</si>
  <si>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</si>
  <si>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</si>
  <si>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</si>
  <si>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</si>
  <si>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</si>
  <si>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</si>
  <si>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</si>
  <si>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</si>
  <si>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</si>
  <si>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</si>
  <si>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</si>
  <si>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</si>
  <si>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</si>
  <si>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</si>
  <si>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</si>
  <si>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</si>
  <si>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</si>
  <si>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</si>
  <si>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</si>
  <si>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</si>
  <si>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</si>
  <si>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</si>
  <si>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</si>
  <si>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</si>
  <si>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</si>
  <si>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</si>
  <si>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</si>
  <si>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</si>
  <si>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</si>
  <si>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</si>
  <si>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</si>
  <si>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</si>
  <si>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</si>
  <si>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</si>
  <si>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</si>
  <si>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</si>
  <si>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</si>
  <si>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</si>
  <si>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</si>
  <si>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</si>
  <si>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</si>
  <si>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</si>
  <si>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</si>
  <si>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</si>
  <si>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</si>
  <si>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</si>
  <si>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</si>
  <si>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</si>
  <si>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</si>
  <si>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</si>
  <si>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</si>
  <si>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</si>
  <si>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</si>
  <si>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</si>
  <si>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</si>
  <si>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</si>
  <si>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</si>
  <si>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</si>
  <si>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</si>
  <si>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</si>
  <si>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</si>
  <si>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</si>
  <si>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</si>
  <si>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</si>
  <si>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</si>
  <si>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</si>
  <si>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</si>
  <si>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</si>
  <si>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</si>
  <si>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</si>
  <si>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</si>
  <si>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</si>
  <si>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</si>
  <si>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</si>
  <si>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</si>
  <si>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</si>
  <si>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</si>
  <si>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</si>
  <si>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</si>
  <si>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</si>
  <si>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</si>
  <si>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</si>
  <si>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</si>
  <si>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</si>
  <si>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</si>
  <si>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</si>
  <si>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</si>
  <si>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</si>
  <si>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</si>
  <si>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</si>
  <si>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</si>
  <si>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</si>
  <si>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</si>
  <si>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</si>
  <si>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</si>
  <si>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</si>
  <si>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</si>
  <si>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</si>
  <si>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</si>
  <si>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</si>
  <si>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</si>
  <si>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</si>
  <si>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</si>
  <si>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</si>
  <si>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</si>
  <si>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</si>
  <si>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</si>
  <si>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</si>
  <si>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</si>
  <si>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</si>
  <si>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</si>
  <si>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</si>
  <si>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</si>
  <si>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</si>
  <si>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</si>
  <si>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</si>
  <si>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</si>
  <si>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</si>
  <si>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</si>
  <si>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</si>
  <si>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</si>
  <si>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</si>
  <si>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</si>
  <si>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</si>
  <si>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</si>
  <si>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</si>
  <si>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</si>
  <si>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</si>
  <si>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</si>
  <si>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</si>
  <si>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</si>
  <si>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</si>
  <si>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</si>
  <si>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</si>
  <si>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</si>
  <si>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</si>
  <si>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</si>
  <si>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</si>
  <si>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</si>
  <si>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</si>
  <si>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</si>
  <si>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</si>
  <si>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</si>
  <si>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</si>
  <si>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</si>
  <si>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</si>
  <si>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</si>
  <si>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</si>
  <si>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</si>
  <si>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</si>
  <si>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</si>
  <si>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</si>
  <si>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</si>
  <si>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</si>
  <si>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</si>
  <si>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</si>
  <si>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</si>
  <si>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</si>
  <si>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</si>
  <si>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</si>
  <si>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</si>
  <si>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</si>
  <si>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</si>
  <si>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</si>
  <si>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</si>
  <si>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</si>
  <si>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</si>
  <si>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</si>
  <si>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</si>
  <si>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</si>
  <si>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</si>
  <si>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</si>
  <si>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</si>
  <si>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</si>
  <si>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</si>
  <si>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</si>
  <si>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</si>
  <si>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</si>
  <si>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</si>
  <si>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</si>
  <si>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</si>
  <si>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</si>
  <si>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</si>
  <si>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</si>
  <si>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</si>
  <si>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</si>
  <si>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</si>
  <si>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</si>
  <si>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</si>
  <si>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</si>
  <si>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</si>
  <si>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</si>
  <si>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</si>
  <si>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</si>
  <si>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</si>
  <si>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</si>
  <si>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</si>
  <si>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</si>
  <si>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</si>
  <si>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</si>
  <si>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</si>
  <si>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</si>
  <si>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</si>
  <si>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</si>
  <si>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</si>
  <si>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</si>
  <si>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</si>
  <si>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</si>
  <si>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</si>
  <si>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</si>
  <si>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</si>
  <si>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</si>
  <si>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</si>
  <si>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</si>
  <si>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</si>
  <si>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</si>
  <si>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</si>
  <si>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</si>
  <si>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</si>
  <si>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</si>
  <si>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</si>
  <si>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</si>
  <si>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</si>
  <si>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</si>
  <si>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</si>
  <si>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</si>
  <si>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</si>
  <si>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</si>
  <si>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</si>
  <si>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</si>
  <si>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</si>
  <si>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</si>
  <si>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</si>
  <si>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</si>
  <si>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</si>
  <si>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</si>
  <si>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</si>
  <si>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</si>
  <si>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</si>
  <si>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</si>
  <si>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</si>
  <si>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</si>
  <si>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</si>
  <si>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</si>
  <si>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</si>
  <si>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</si>
  <si>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</si>
  <si>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</si>
  <si>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</si>
  <si>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</si>
  <si>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</si>
  <si>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</si>
  <si>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</si>
  <si>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</si>
  <si>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</si>
  <si>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</si>
  <si>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</si>
  <si>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</si>
  <si>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</si>
  <si>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</si>
  <si>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</si>
  <si>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</si>
  <si>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</si>
  <si>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</si>
  <si>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</si>
  <si>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</si>
  <si>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</si>
  <si>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</si>
  <si>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</si>
  <si>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</si>
  <si>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</si>
  <si>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</si>
  <si>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</si>
  <si>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</si>
  <si>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</si>
  <si>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</si>
  <si>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</si>
  <si>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</si>
  <si>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</si>
  <si>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</si>
  <si>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</si>
  <si>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</si>
  <si>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</si>
  <si>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</si>
  <si>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</si>
  <si>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</si>
  <si>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</si>
  <si>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</si>
  <si>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</si>
  <si>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</si>
  <si>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</si>
  <si>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</si>
  <si>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</si>
  <si>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</si>
  <si>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</si>
  <si>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</si>
  <si>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</si>
  <si>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</si>
  <si>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</si>
  <si>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</si>
  <si>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</si>
  <si>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</si>
  <si>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</si>
  <si>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</si>
  <si>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</si>
  <si>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</si>
  <si>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</si>
  <si>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</si>
  <si>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</si>
  <si>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</si>
  <si>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</si>
  <si>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</si>
  <si>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</si>
  <si>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</si>
  <si>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</si>
  <si>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</si>
  <si>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</si>
  <si>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</si>
  <si>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</si>
  <si>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</si>
  <si>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</si>
  <si>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</si>
  <si>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</si>
  <si>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</si>
  <si>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</si>
  <si>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</si>
  <si>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</si>
  <si>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</si>
  <si>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</si>
  <si>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</si>
  <si>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</si>
  <si>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</si>
  <si>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</si>
  <si>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</si>
  <si>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</si>
  <si>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</si>
  <si>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</si>
  <si>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</si>
  <si>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</si>
  <si>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</si>
  <si>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</si>
  <si>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</si>
  <si>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</si>
  <si>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</si>
  <si>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</si>
  <si>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</si>
  <si>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</si>
  <si>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</si>
  <si>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</si>
  <si>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</si>
  <si>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</si>
  <si>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</si>
  <si>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</si>
  <si>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</si>
  <si>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</si>
  <si>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</si>
  <si>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</si>
  <si>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</si>
  <si>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</si>
  <si>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</si>
  <si>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</si>
  <si>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</si>
  <si>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</si>
  <si>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</si>
  <si>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</si>
  <si>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</si>
  <si>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</si>
  <si>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</si>
  <si>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</si>
  <si>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</si>
  <si>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</si>
  <si>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</si>
  <si>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</si>
  <si>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</si>
  <si>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</si>
  <si>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</si>
  <si>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</si>
  <si>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</si>
  <si>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</si>
  <si>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</si>
  <si>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</si>
  <si>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</si>
  <si>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</si>
  <si>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</si>
  <si>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</si>
  <si>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</si>
  <si>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</si>
  <si>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</si>
  <si>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</si>
  <si>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</si>
  <si>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</si>
  <si>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</si>
  <si>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</si>
  <si>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</si>
  <si>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</si>
  <si>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</si>
  <si>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</si>
  <si>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</si>
  <si>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</si>
  <si>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</si>
  <si>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</si>
  <si>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</si>
  <si>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</si>
  <si>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</si>
  <si>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</si>
  <si>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</si>
  <si>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</si>
  <si>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</si>
  <si>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</si>
  <si>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</si>
  <si>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</si>
  <si>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</si>
  <si>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</si>
  <si>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</si>
  <si>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</si>
  <si>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</si>
  <si>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</si>
  <si>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</si>
  <si>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</si>
  <si>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</si>
  <si>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</si>
  <si>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</si>
  <si>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</si>
  <si>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</si>
  <si>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</si>
  <si>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</si>
  <si>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</si>
  <si>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</si>
  <si>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</si>
  <si>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</si>
  <si>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</si>
  <si>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</si>
  <si>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</si>
  <si>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</si>
  <si>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</si>
  <si>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</si>
  <si>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</si>
  <si>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</si>
  <si>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</si>
  <si>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</si>
  <si>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</si>
  <si>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</si>
  <si>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</si>
  <si>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</si>
  <si>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</si>
  <si>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</si>
  <si>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</si>
  <si>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</si>
  <si>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</si>
  <si>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</si>
  <si>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</si>
  <si>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</si>
  <si>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</si>
  <si>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</si>
  <si>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</si>
  <si>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</si>
  <si>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</si>
  <si>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</si>
  <si>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</si>
  <si>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</si>
  <si>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</si>
  <si>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</si>
  <si>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</si>
  <si>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</si>
  <si>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</si>
  <si>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</si>
  <si>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</si>
  <si>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</si>
  <si>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</si>
  <si>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</si>
  <si>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</si>
  <si>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</si>
  <si>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</si>
  <si>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</si>
  <si>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</si>
  <si>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</si>
  <si>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</si>
  <si>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</si>
  <si>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</si>
  <si>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</si>
  <si>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</si>
  <si>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</si>
  <si>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</si>
  <si>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</si>
  <si>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</si>
  <si>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</si>
  <si>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</si>
  <si>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</si>
  <si>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</si>
  <si>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</si>
  <si>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</si>
  <si>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</si>
  <si>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</si>
  <si>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</si>
  <si>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</si>
  <si>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</si>
  <si>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</si>
  <si>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</si>
  <si>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</si>
  <si>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</si>
  <si>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</si>
  <si>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</si>
  <si>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</si>
  <si>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</si>
  <si>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</si>
  <si>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</si>
  <si>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</si>
  <si>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</si>
  <si>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</si>
  <si>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</si>
  <si>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</si>
  <si>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</si>
  <si>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</si>
  <si>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</si>
  <si>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</si>
  <si>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</si>
  <si>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</si>
  <si>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</si>
  <si>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</si>
  <si>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</si>
  <si>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</si>
  <si>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</si>
  <si>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</si>
  <si>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</si>
  <si>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</si>
  <si>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</si>
  <si>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</si>
  <si>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</si>
  <si>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</si>
  <si>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</si>
  <si>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</si>
  <si>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</si>
  <si>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</si>
  <si>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</si>
  <si>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</si>
  <si>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</si>
  <si>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</si>
  <si>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</si>
  <si>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</si>
  <si>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</si>
  <si>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</si>
  <si>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</si>
  <si>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</si>
  <si>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</si>
  <si>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</si>
  <si>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</si>
  <si>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</si>
  <si>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</si>
  <si>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</si>
  <si>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</si>
  <si>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</si>
  <si>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</si>
  <si>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</si>
  <si>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</si>
  <si>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</si>
  <si>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</si>
  <si>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</si>
  <si>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</si>
  <si>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</si>
  <si>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</si>
  <si>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</si>
  <si>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</si>
  <si>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</si>
  <si>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</si>
  <si>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</si>
  <si>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</si>
  <si>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</si>
  <si>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</si>
  <si>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</si>
  <si>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</si>
  <si>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</si>
  <si>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</si>
  <si>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</si>
  <si>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</si>
  <si>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</si>
  <si>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</si>
  <si>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</si>
  <si>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</si>
  <si>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</si>
  <si>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</si>
  <si>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</si>
  <si>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</si>
  <si>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</si>
  <si>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</si>
  <si>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</si>
  <si>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</si>
  <si>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</si>
  <si>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</si>
  <si>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</si>
  <si>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</si>
  <si>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</si>
  <si>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</si>
  <si>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</si>
  <si>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</si>
  <si>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</si>
  <si>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</si>
  <si>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</si>
  <si>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</si>
  <si>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</si>
  <si>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</si>
  <si>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</si>
  <si>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</si>
  <si>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</si>
  <si>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</si>
  <si>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</si>
  <si>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</si>
  <si>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</si>
  <si>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</si>
  <si>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</si>
  <si>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</si>
  <si>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</si>
  <si>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</si>
  <si>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</si>
  <si>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</si>
  <si>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</si>
  <si>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</si>
  <si>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</si>
  <si>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</si>
  <si>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</si>
  <si>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</si>
  <si>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</si>
  <si>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</si>
  <si>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</si>
  <si>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</si>
  <si>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</si>
  <si>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</si>
  <si>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</si>
  <si>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</si>
  <si>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</si>
  <si>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</si>
  <si>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</si>
  <si>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</si>
  <si>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</si>
  <si>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</si>
  <si>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</si>
  <si>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</si>
  <si>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</si>
  <si>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</si>
  <si>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</si>
  <si>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</si>
  <si>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</si>
  <si>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</si>
  <si>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</si>
  <si>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</si>
  <si>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</si>
  <si>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</si>
  <si>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</si>
  <si>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</si>
  <si>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</si>
  <si>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</si>
  <si>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</si>
  <si>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</si>
  <si>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</si>
  <si>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</si>
  <si>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</si>
  <si>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</si>
  <si>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</si>
  <si>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</si>
  <si>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</si>
  <si>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</si>
  <si>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</si>
  <si>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</si>
  <si>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</si>
  <si>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</si>
  <si>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</si>
  <si>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</si>
  <si>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</si>
  <si>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</si>
  <si>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</si>
  <si>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</si>
  <si>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</si>
  <si>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</si>
  <si>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</si>
  <si>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</si>
  <si>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</si>
  <si>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</si>
  <si>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</si>
  <si>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</si>
  <si>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</si>
  <si>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</si>
  <si>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</si>
  <si>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</si>
  <si>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</si>
  <si>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</si>
  <si>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</si>
  <si>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</si>
  <si>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</si>
  <si>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</si>
  <si>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</si>
  <si>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</si>
  <si>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</si>
  <si>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</si>
  <si>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</si>
  <si>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</si>
  <si>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</si>
  <si>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</si>
  <si>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</si>
  <si>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</si>
  <si>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</si>
  <si>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</si>
  <si>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</si>
  <si>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</si>
  <si>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</si>
  <si>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</si>
  <si>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</si>
  <si>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</si>
  <si>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</si>
  <si>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</si>
  <si>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</si>
  <si>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</si>
  <si>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</si>
  <si>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</si>
  <si>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</si>
  <si>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</si>
  <si>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</si>
  <si>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</si>
  <si>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</si>
  <si>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</si>
  <si>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</si>
  <si>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</si>
  <si>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</si>
  <si>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</si>
  <si>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</si>
  <si>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</si>
  <si>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</si>
  <si>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</si>
  <si>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</si>
  <si>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</si>
  <si>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</si>
  <si>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</si>
  <si>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</si>
  <si>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</si>
  <si>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</si>
  <si>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</si>
  <si>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</si>
  <si>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</si>
  <si>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</si>
  <si>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</si>
  <si>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</si>
  <si>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</si>
  <si>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</si>
  <si>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</si>
  <si>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</si>
  <si>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</si>
  <si>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</si>
  <si>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</si>
  <si>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</si>
  <si>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</si>
  <si>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</si>
  <si>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</si>
  <si>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</si>
  <si>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</si>
  <si>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</si>
  <si>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</si>
  <si>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</si>
  <si>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</si>
  <si>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</si>
  <si>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</si>
  <si>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</si>
  <si>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</si>
  <si>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</si>
  <si>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</si>
  <si>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</si>
  <si>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</si>
  <si>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</si>
  <si>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</si>
  <si>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</si>
  <si>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</si>
  <si>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</si>
  <si>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</si>
  <si>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</si>
  <si>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</si>
  <si>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</si>
  <si>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</si>
  <si>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</si>
  <si>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</si>
  <si>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</si>
  <si>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</si>
  <si>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</si>
  <si>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</si>
  <si>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</si>
  <si>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</si>
  <si>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</si>
  <si>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</si>
  <si>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</si>
  <si>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</si>
  <si>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</si>
  <si>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</si>
  <si>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</si>
  <si>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</si>
  <si>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</si>
  <si>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</si>
  <si>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</si>
  <si>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</si>
  <si>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</si>
  <si>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</si>
  <si>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</si>
  <si>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</si>
  <si>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</si>
  <si>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</si>
  <si>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</si>
  <si>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</si>
  <si>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</si>
  <si>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</si>
  <si>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</si>
  <si>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</si>
  <si>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</si>
  <si>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</si>
  <si>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</si>
  <si>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</si>
  <si>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</si>
  <si>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</si>
  <si>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</si>
  <si>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</si>
  <si>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</si>
  <si>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</si>
  <si>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</si>
  <si>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</si>
  <si>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</si>
  <si>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</si>
  <si>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</si>
  <si>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</si>
  <si>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</si>
  <si>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</si>
  <si>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</si>
  <si>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</si>
  <si>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</si>
  <si>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</si>
  <si>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</si>
  <si>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</si>
  <si>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</si>
  <si>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</si>
  <si>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</si>
  <si>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</si>
  <si>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</si>
  <si>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</si>
  <si>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</si>
  <si>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</si>
  <si>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</si>
  <si>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</si>
  <si>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</si>
  <si>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</si>
  <si>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</si>
  <si>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</si>
  <si>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</si>
  <si>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</si>
  <si>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</si>
  <si>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</si>
  <si>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</si>
  <si>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</si>
  <si>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</si>
  <si>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</si>
  <si>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</si>
  <si>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</si>
  <si>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</si>
  <si>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</si>
  <si>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</si>
  <si>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</si>
  <si>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</si>
  <si>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</si>
  <si>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</si>
  <si>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</si>
  <si>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</si>
  <si>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</si>
  <si>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</si>
  <si>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</si>
  <si>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</si>
  <si>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</si>
  <si>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</si>
  <si>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</si>
  <si>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</si>
  <si>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</si>
  <si>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</si>
  <si>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</si>
  <si>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</si>
  <si>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</si>
  <si>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</si>
  <si>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</si>
  <si>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</si>
  <si>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</si>
  <si>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</si>
  <si>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</si>
  <si>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</si>
  <si>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</si>
  <si>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</si>
  <si>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</si>
  <si>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</si>
  <si>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</si>
  <si>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</si>
  <si>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</si>
  <si>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</si>
  <si>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</si>
  <si>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</si>
  <si>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</si>
  <si>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</si>
  <si>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</si>
  <si>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</si>
  <si>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</si>
  <si>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</si>
  <si>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</si>
  <si>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</si>
  <si>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</si>
  <si>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</si>
  <si>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</si>
  <si>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</si>
  <si>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</si>
  <si>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</si>
  <si>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</si>
  <si>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</si>
  <si>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</si>
  <si>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</si>
  <si>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</si>
  <si>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</si>
  <si>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</si>
  <si>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</si>
  <si>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</si>
  <si>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</si>
  <si>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</si>
  <si>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</si>
  <si>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</si>
  <si>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</si>
  <si>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</si>
  <si>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</si>
  <si>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</si>
  <si>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</si>
  <si>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</si>
  <si>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</si>
  <si>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</si>
  <si>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</si>
  <si>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</si>
  <si>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</si>
  <si>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</si>
  <si>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</si>
  <si>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</si>
  <si>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</si>
  <si>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</si>
  <si>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</si>
  <si>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</si>
  <si>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</si>
  <si>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</si>
  <si>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</si>
  <si>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</si>
  <si>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</si>
  <si>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</si>
  <si>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</si>
  <si>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</si>
  <si>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</si>
  <si>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</si>
  <si>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</si>
  <si>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</si>
  <si>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</si>
  <si>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</si>
  <si>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</si>
  <si>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</si>
  <si>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</si>
  <si>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</si>
  <si>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</si>
  <si>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</si>
  <si>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</si>
  <si>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</si>
  <si>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</si>
  <si>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</si>
  <si>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</si>
  <si>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</si>
  <si>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</si>
  <si>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</si>
  <si>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</si>
  <si>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</si>
  <si>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</si>
  <si>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</si>
  <si>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</si>
  <si>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</si>
  <si>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</si>
  <si>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</si>
  <si>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</si>
  <si>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</si>
  <si>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</si>
  <si>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</si>
  <si>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</si>
  <si>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</si>
  <si>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</si>
  <si>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</si>
  <si>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</si>
  <si>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</si>
  <si>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</si>
  <si>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</si>
  <si>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</si>
  <si>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</si>
  <si>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</si>
  <si>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</si>
  <si>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</si>
  <si>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</si>
  <si>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</si>
  <si>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</si>
  <si>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</si>
  <si>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</si>
  <si>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</si>
  <si>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</si>
  <si>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</si>
  <si>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</si>
  <si>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</si>
  <si>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</si>
  <si>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</si>
  <si>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</si>
  <si>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</si>
  <si>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</si>
  <si>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</si>
  <si>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</si>
  <si>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</si>
  <si>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</si>
  <si>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</si>
  <si>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</si>
  <si>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</si>
  <si>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</si>
  <si>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</si>
  <si>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</si>
  <si>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</si>
  <si>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</si>
  <si>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</si>
  <si>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</si>
  <si>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</si>
  <si>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</si>
  <si>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</si>
  <si>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</si>
  <si>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</si>
  <si>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</si>
  <si>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</si>
  <si>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</si>
  <si>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</si>
  <si>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</si>
  <si>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</si>
  <si>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</si>
  <si>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</si>
  <si>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</si>
  <si>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</si>
  <si>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</si>
  <si>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</si>
  <si>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</si>
  <si>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</si>
  <si>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</si>
  <si>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</si>
  <si>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</si>
  <si>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</si>
  <si>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</si>
  <si>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</si>
  <si>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</si>
  <si>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</si>
  <si>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</si>
  <si>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</si>
  <si>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</si>
  <si>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</si>
  <si>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</si>
  <si>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</si>
  <si>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</si>
  <si>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</si>
  <si>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</si>
  <si>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</si>
  <si>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</si>
  <si>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</si>
  <si>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</si>
  <si>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</si>
  <si>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</si>
  <si>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</si>
  <si>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</si>
  <si>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</si>
  <si>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</si>
  <si>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</si>
  <si>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</si>
  <si>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</si>
  <si>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</si>
  <si>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</si>
  <si>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</si>
  <si>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</si>
  <si>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</si>
  <si>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</si>
  <si>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</si>
  <si>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</si>
  <si>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</si>
  <si>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</si>
  <si>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</si>
  <si>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</si>
  <si>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</si>
  <si>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</si>
  <si>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</si>
  <si>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</si>
  <si>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</si>
  <si>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</si>
  <si>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</si>
  <si>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</si>
  <si>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</si>
  <si>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</si>
  <si>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</si>
  <si>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</si>
  <si>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</si>
  <si>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</si>
  <si>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</si>
  <si>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</si>
  <si>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</si>
  <si>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</si>
  <si>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</si>
  <si>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</si>
  <si>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</si>
  <si>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</si>
  <si>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</si>
  <si>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</si>
  <si>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</si>
  <si>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</si>
  <si>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</si>
  <si>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</si>
  <si>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</si>
  <si>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</si>
  <si>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</si>
  <si>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</si>
  <si>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</si>
  <si>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</si>
  <si>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</si>
  <si>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</si>
  <si>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</si>
  <si>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</si>
  <si>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</si>
  <si>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</si>
  <si>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</si>
  <si>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</si>
  <si>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</si>
  <si>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</si>
  <si>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</si>
  <si>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</si>
  <si>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</si>
  <si>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</si>
  <si>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</si>
  <si>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</si>
  <si>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</si>
  <si>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</si>
  <si>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</si>
  <si>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</si>
  <si>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</si>
  <si>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</si>
  <si>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</si>
  <si>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</si>
  <si>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</si>
  <si>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</si>
  <si>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</si>
  <si>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</si>
  <si>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</si>
  <si>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</si>
  <si>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</si>
  <si>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</si>
  <si>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</si>
  <si>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</si>
  <si>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</si>
  <si>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</si>
  <si>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</si>
  <si>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</si>
  <si>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</si>
  <si>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</si>
  <si>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</si>
  <si>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</si>
  <si>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</si>
  <si>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</si>
  <si>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</si>
  <si>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</si>
  <si>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</si>
  <si>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</si>
  <si>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</si>
  <si>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</si>
  <si>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</si>
  <si>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</si>
  <si>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</si>
  <si>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</si>
  <si>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</si>
  <si>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</si>
  <si>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</si>
  <si>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</si>
  <si>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</si>
  <si>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</si>
  <si>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</si>
  <si>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</si>
  <si>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</si>
  <si>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</si>
  <si>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</si>
  <si>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</si>
  <si>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</si>
  <si>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</si>
  <si>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</si>
  <si>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</si>
  <si>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</si>
  <si>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</si>
  <si>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</si>
  <si>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</si>
  <si>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</si>
  <si>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</si>
  <si>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</si>
  <si>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</si>
  <si>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</si>
  <si>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</si>
  <si>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</si>
  <si>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</si>
  <si>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</si>
  <si>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</si>
  <si>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</si>
  <si>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</si>
  <si>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</si>
  <si>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</si>
  <si>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</si>
  <si>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</si>
  <si>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</si>
  <si>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</si>
  <si>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</si>
  <si>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</si>
  <si>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</si>
  <si>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</si>
  <si>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</si>
  <si>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</si>
  <si>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</si>
  <si>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</si>
  <si>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</si>
  <si>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</si>
  <si>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</si>
  <si>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</si>
  <si>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</si>
  <si>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</si>
  <si>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</si>
  <si>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</si>
  <si>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</si>
  <si>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</si>
  <si>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</si>
  <si>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</si>
  <si>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</si>
  <si>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</si>
  <si>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</si>
  <si>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</si>
  <si>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</si>
  <si>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</si>
  <si>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</si>
  <si>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</si>
  <si>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</si>
  <si>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</si>
  <si>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</si>
  <si>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</si>
  <si>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</si>
  <si>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</si>
  <si>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</si>
  <si>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</si>
  <si>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</si>
  <si>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</si>
  <si>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</si>
  <si>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</si>
  <si>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</si>
  <si>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</si>
  <si>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</si>
  <si>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</si>
  <si>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</si>
  <si>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</si>
  <si>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</si>
  <si>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</si>
  <si>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</si>
  <si>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</si>
  <si>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</si>
  <si>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</si>
  <si>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</si>
  <si>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</si>
  <si>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</si>
  <si>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</si>
  <si>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</si>
  <si>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</si>
  <si>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</si>
  <si>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</si>
  <si>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</si>
  <si>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</si>
  <si>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</si>
  <si>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</si>
  <si>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</si>
  <si>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</si>
  <si>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</si>
  <si>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</si>
  <si>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</si>
  <si>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</si>
  <si>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</si>
  <si>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</si>
  <si>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</si>
  <si>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</si>
  <si>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</si>
  <si>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</si>
  <si>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</si>
  <si>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</si>
  <si>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</si>
  <si>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</si>
  <si>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</si>
  <si>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</si>
  <si>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</si>
  <si>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</si>
  <si>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</si>
  <si>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</si>
  <si>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</si>
  <si>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</si>
  <si>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</si>
  <si>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</si>
  <si>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</si>
  <si>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</si>
  <si>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</si>
  <si>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</si>
  <si>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</si>
  <si>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</si>
  <si>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</si>
  <si>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</si>
  <si>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</si>
  <si>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</si>
  <si>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</si>
  <si>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</si>
  <si>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</si>
  <si>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</si>
  <si>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</si>
  <si>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</si>
  <si>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</si>
  <si>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</si>
  <si>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</si>
  <si>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</si>
  <si>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</si>
  <si>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</si>
  <si>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</si>
  <si>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</si>
  <si>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</si>
  <si>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</si>
  <si>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</si>
  <si>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</si>
  <si>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</si>
  <si>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</si>
  <si>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</si>
  <si>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</si>
  <si>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</si>
  <si>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</si>
  <si>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</si>
  <si>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</si>
  <si>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</si>
  <si>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</si>
  <si>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</si>
  <si>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</si>
  <si>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</si>
  <si>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</si>
  <si>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</si>
  <si>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</si>
  <si>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</si>
  <si>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</si>
  <si>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</si>
  <si>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</si>
  <si>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</si>
  <si>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</si>
  <si>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</si>
  <si>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</si>
  <si>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</si>
  <si>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</si>
  <si>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</si>
  <si>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</si>
  <si>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</si>
  <si>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</si>
  <si>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</si>
  <si>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</si>
  <si>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</si>
  <si>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</si>
  <si>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</si>
  <si>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</si>
  <si>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</si>
  <si>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</si>
  <si>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</si>
  <si>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</si>
  <si>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</si>
  <si>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</si>
  <si>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</si>
  <si>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</si>
  <si>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</si>
  <si>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</si>
  <si>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</si>
  <si>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</si>
  <si>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</si>
  <si>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</si>
  <si>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</si>
  <si>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</si>
  <si>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</si>
  <si>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</si>
  <si>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</si>
  <si>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</si>
  <si>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</si>
  <si>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</si>
  <si>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</si>
  <si>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</si>
  <si>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</si>
  <si>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</si>
  <si>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</si>
  <si>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</si>
  <si>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</si>
  <si>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</si>
  <si>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</si>
  <si>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</si>
  <si>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</si>
  <si>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</si>
  <si>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</si>
  <si>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</si>
  <si>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</si>
  <si>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</si>
  <si>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</si>
  <si>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</si>
  <si>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</si>
  <si>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</si>
  <si>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</si>
  <si>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</si>
  <si>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</si>
  <si>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</si>
  <si>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</si>
  <si>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Elvis Aaron Teixeira dos Santos de Lima</t>
  </si>
  <si>
    <t>2026-025</t>
  </si>
  <si>
    <t>2026-056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</si>
</sst>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0" fontId="33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F1" zoomScaleNormal="100" workbookViewId="0">
      <pane ySplit="1" topLeftCell="A704" activePane="bottomLeft" state="frozen"/>
      <selection pane="bottomLeft" activeCell="K713" sqref="K713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449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9" si="10"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3" si="13"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 t="shared" si="13"/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 t="shared" si="13"/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 t="shared" si="13"/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 t="shared" si="13"/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 t="shared" si="13"/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 t="shared" si="13"/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 t="shared" si="13"/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 t="shared" si="13"/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 t="shared" si="13"/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 t="shared" si="13"/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 t="shared" si="13"/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22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ref="R721:R748" si="14"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5" sqref="D105:J10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2416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2416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2026-056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2026-061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2417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2417</v>
      </c>
      <c r="Y58" s="321" t="s">
        <v>2415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3.6</v>
      </c>
      <c r="J105">
        <v>23.6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20</v>
      </c>
      <c r="I106">
        <v>1.5</v>
      </c>
      <c r="J106">
        <v>21.5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20</v>
      </c>
      <c r="I107">
        <v>1.5</v>
      </c>
      <c r="J107">
        <v>21.5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20</v>
      </c>
      <c r="I108">
        <v>1.5</v>
      </c>
      <c r="J108">
        <v>21.5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20</v>
      </c>
      <c r="C9" s="101">
        <f>IF($A9="","",SUMIFS('GECC 2026'!I$2:I$200,'GECC 2026'!F$2:F$200,$A9))</f>
        <v>1.5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21.5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20</v>
      </c>
      <c r="C19" s="101">
        <f>IF($A19="","",SUMIFS('GECC 2026'!I$2:I$200,'GECC 2026'!F$2:F$200,$A19))</f>
        <v>1.5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21.5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20</v>
      </c>
      <c r="C48" s="101">
        <f>IF($A48="","",SUMIFS('GECC 2026'!I$2:I$200,'GECC 2026'!F$2:F$200,$A48))</f>
        <v>1.5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21.5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1046.9000000000001</v>
      </c>
      <c r="C105" s="205">
        <f>SUM(C5:C100)</f>
        <v>310.15000000000003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2026-07-27T19:17:29Z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