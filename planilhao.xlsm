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69" documentId="8_{454372C2-A99E-4E47-A759-72B38925853E}" xr6:coauthVersionLast="47" xr6:coauthVersionMax="47" xr10:uidLastSave="{B402A88B-7DF7-49CB-8F3E-F40C4DC64355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2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AE33" i="20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13" i="3"/>
  <c r="R701" i="3"/>
  <c r="R710" i="3"/>
  <c r="R708" i="3"/>
  <c r="R706" i="3"/>
  <c r="R705" i="3"/>
  <c r="R704" i="3"/>
  <c r="R709" i="3"/>
  <c r="R718" i="3"/>
  <c r="R717" i="3"/>
  <c r="R703" i="3"/>
  <c r="R676" i="3"/>
  <c r="R716" i="3"/>
  <c r="R715" i="3"/>
  <c r="R712" i="3"/>
  <c r="R711" i="3"/>
  <c r="R693" i="3"/>
  <c r="R721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s="1" a="1"/>
  <c r="A2" i="20" l="1" a="1"/>
  <c r="T4" i="20"/>
  <c r="E105" i="23" l="1"/>
  <c r="A5" i="23" a="1"/>
  <c r="A2" i="20"/>
  <c r="B54" i="23" l="1"/>
  <c r="E53" i="23"/>
  <c r="C54" i="23"/>
  <c r="D54" i="23"/>
  <c r="E54" i="23"/>
  <c r="B53" i="23"/>
  <c r="D53" i="23"/>
  <c r="F53" i="23"/>
  <c r="F54" i="23"/>
  <c r="C53" i="23"/>
  <c r="C52" i="23"/>
  <c r="B52" i="23"/>
  <c r="F52" i="23"/>
  <c r="D52" i="23"/>
  <c r="E52" i="23"/>
  <c r="D37" i="23"/>
  <c r="D45" i="23"/>
  <c r="E17" i="23"/>
  <c r="C32" i="23"/>
  <c r="C17" i="23"/>
  <c r="D14" i="23"/>
  <c r="F22" i="23"/>
  <c r="B36" i="23"/>
  <c r="F17" i="23"/>
  <c r="F40" i="23"/>
  <c r="C25" i="23"/>
  <c r="E16" i="23"/>
  <c r="B12" i="23"/>
  <c r="C15" i="23"/>
  <c r="F28" i="23"/>
  <c r="F13" i="23"/>
  <c r="F35" i="23"/>
  <c r="C6" i="23"/>
  <c r="F15" i="23"/>
  <c r="E50" i="23"/>
  <c r="B18" i="23"/>
  <c r="E28" i="23"/>
  <c r="F34" i="23"/>
  <c r="F26" i="23"/>
  <c r="B49" i="23"/>
  <c r="D36" i="23"/>
  <c r="D7" i="23"/>
  <c r="D10" i="23"/>
  <c r="F23" i="23"/>
  <c r="E38" i="23"/>
  <c r="F10" i="23"/>
  <c r="C41" i="23"/>
  <c r="B29" i="23"/>
  <c r="C36" i="23"/>
  <c r="C21" i="23"/>
  <c r="E34" i="23"/>
  <c r="E26" i="23"/>
  <c r="F11" i="23"/>
  <c r="F36" i="23"/>
  <c r="D35" i="23"/>
  <c r="C33" i="23"/>
  <c r="C22" i="23"/>
  <c r="F51" i="23"/>
  <c r="B47" i="23"/>
  <c r="E9" i="23"/>
  <c r="F32" i="23"/>
  <c r="B30" i="23"/>
  <c r="D39" i="23"/>
  <c r="D8" i="23"/>
  <c r="F44" i="23"/>
  <c r="E8" i="23"/>
  <c r="F33" i="23"/>
  <c r="E44" i="23"/>
  <c r="F39" i="23"/>
  <c r="B14" i="23"/>
  <c r="C29" i="23"/>
  <c r="D40" i="23"/>
  <c r="C48" i="23"/>
  <c r="D34" i="23"/>
  <c r="B31" i="23"/>
  <c r="B23" i="23"/>
  <c r="D31" i="23"/>
  <c r="E31" i="23"/>
  <c r="D38" i="23"/>
  <c r="E51" i="23"/>
  <c r="E45" i="23"/>
  <c r="D48" i="23"/>
  <c r="D13" i="23"/>
  <c r="F48" i="23"/>
  <c r="E21" i="23"/>
  <c r="E49" i="23"/>
  <c r="E41" i="23"/>
  <c r="B39" i="23"/>
  <c r="D6" i="23"/>
  <c r="D33" i="23"/>
  <c r="C18" i="23"/>
  <c r="F31" i="23"/>
  <c r="C13" i="23"/>
  <c r="C23" i="23"/>
  <c r="B40" i="23"/>
  <c r="C8" i="23"/>
  <c r="E7" i="23"/>
  <c r="F16" i="23"/>
  <c r="F38" i="23"/>
  <c r="C45" i="23"/>
  <c r="D47" i="23"/>
  <c r="D30" i="23"/>
  <c r="E33" i="23"/>
  <c r="C24" i="23"/>
  <c r="B41" i="23"/>
  <c r="C10" i="23"/>
  <c r="F27" i="23"/>
  <c r="F43" i="23"/>
  <c r="F6" i="23"/>
  <c r="B21" i="23"/>
  <c r="B25" i="23"/>
  <c r="F46" i="23"/>
  <c r="D18" i="23"/>
  <c r="D26" i="23"/>
  <c r="E37" i="23"/>
  <c r="C34" i="23"/>
  <c r="D32" i="23"/>
  <c r="B22" i="23"/>
  <c r="D23" i="23"/>
  <c r="E23" i="23"/>
  <c r="B13" i="23"/>
  <c r="B43" i="23"/>
  <c r="F14" i="23"/>
  <c r="E13" i="23"/>
  <c r="C26" i="23"/>
  <c r="C40" i="23"/>
  <c r="C12" i="23"/>
  <c r="C28" i="23"/>
  <c r="E29" i="23"/>
  <c r="F12" i="23"/>
  <c r="D25" i="23"/>
  <c r="D42" i="23"/>
  <c r="F18" i="23"/>
  <c r="B11" i="23"/>
  <c r="F19" i="23"/>
  <c r="E35" i="23"/>
  <c r="E14" i="23"/>
  <c r="B48" i="23"/>
  <c r="C9" i="23"/>
  <c r="F20" i="23"/>
  <c r="C46" i="23"/>
  <c r="E46" i="23"/>
  <c r="C50" i="23"/>
  <c r="E15" i="23"/>
  <c r="B26" i="23"/>
  <c r="F30" i="23"/>
  <c r="C19" i="23"/>
  <c r="B45" i="23"/>
  <c r="E39" i="23"/>
  <c r="B9" i="23"/>
  <c r="E12" i="23"/>
  <c r="B6" i="23"/>
  <c r="C7" i="23"/>
  <c r="D9" i="23"/>
  <c r="E47" i="23"/>
  <c r="F47" i="23"/>
  <c r="F41" i="23"/>
  <c r="C16" i="23"/>
  <c r="C47" i="23"/>
  <c r="E10" i="23"/>
  <c r="B17" i="23"/>
  <c r="F9" i="23"/>
  <c r="D43" i="23"/>
  <c r="D44" i="23"/>
  <c r="C11" i="23"/>
  <c r="C43" i="23"/>
  <c r="D15" i="23"/>
  <c r="F49" i="23"/>
  <c r="D19" i="23"/>
  <c r="E36" i="23"/>
  <c r="B44" i="23"/>
  <c r="E20" i="23"/>
  <c r="D21" i="23"/>
  <c r="D20" i="23"/>
  <c r="E24" i="23"/>
  <c r="C44" i="23"/>
  <c r="F42" i="23"/>
  <c r="C35" i="23"/>
  <c r="C30" i="23"/>
  <c r="B15" i="23"/>
  <c r="D12" i="23"/>
  <c r="C49" i="23"/>
  <c r="F8" i="23"/>
  <c r="E22" i="23"/>
  <c r="B42" i="23"/>
  <c r="E27" i="23"/>
  <c r="C38" i="23"/>
  <c r="B33" i="23"/>
  <c r="E40" i="23"/>
  <c r="C20" i="23"/>
  <c r="C31" i="23"/>
  <c r="B37" i="23"/>
  <c r="E30" i="23"/>
  <c r="C51" i="23"/>
  <c r="B32" i="23"/>
  <c r="B16" i="23"/>
  <c r="B51" i="23"/>
  <c r="F45" i="23"/>
  <c r="D16" i="23"/>
  <c r="D46" i="23"/>
  <c r="E42" i="23"/>
  <c r="D11" i="23"/>
  <c r="E32" i="23"/>
  <c r="E43" i="23"/>
  <c r="E19" i="23"/>
  <c r="D41" i="23"/>
  <c r="E18" i="23"/>
  <c r="B27" i="23"/>
  <c r="F25" i="23"/>
  <c r="C42" i="23"/>
  <c r="F7" i="23"/>
  <c r="F50" i="23"/>
  <c r="C27" i="23"/>
  <c r="F37" i="23"/>
  <c r="D28" i="23"/>
  <c r="F21" i="23"/>
  <c r="D24" i="23"/>
  <c r="B38" i="23"/>
  <c r="E48" i="23"/>
  <c r="F29" i="23"/>
  <c r="B24" i="23"/>
  <c r="B28" i="23"/>
  <c r="C14" i="23"/>
  <c r="D51" i="23"/>
  <c r="E11" i="23"/>
  <c r="B35" i="23"/>
  <c r="B10" i="23"/>
  <c r="B8" i="23"/>
  <c r="B50" i="23"/>
  <c r="B19" i="23"/>
  <c r="B20" i="23"/>
  <c r="B34" i="23"/>
  <c r="D27" i="23"/>
  <c r="C37" i="23"/>
  <c r="C39" i="23"/>
  <c r="B7" i="23"/>
  <c r="D22" i="23"/>
  <c r="D29" i="23"/>
  <c r="E6" i="23"/>
  <c r="D17" i="23"/>
  <c r="E25" i="23"/>
  <c r="D50" i="23"/>
  <c r="D49" i="23"/>
  <c r="F24" i="23"/>
  <c r="B46" i="23"/>
  <c r="A5" i="23"/>
  <c r="E5" i="23" l="1"/>
  <c r="D5" i="23"/>
  <c r="G5" i="23"/>
  <c r="C5" i="23"/>
  <c r="C105" i="23" s="1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<sst xmlns="http://schemas.openxmlformats.org/spreadsheetml/2006/main" count="6269" uniqueCount="2417">
  <si>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</si>
  <si>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</si>
  <si>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</si>
  <si>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</si>
  <si>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</si>
  <si>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</si>
  <si>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</si>
  <si>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</si>
  <si>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</si>
  <si>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</si>
  <si>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</si>
  <si>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</si>
  <si>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</si>
  <si>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</si>
  <si>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</si>
  <si>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</si>
  <si>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</si>
  <si>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</si>
  <si>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</si>
  <si>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</si>
  <si>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</si>
  <si>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</si>
  <si>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</si>
  <si>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</si>
  <si>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</si>
  <si>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</si>
  <si>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</si>
  <si>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</si>
  <si>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</si>
  <si>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</si>
  <si>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</si>
  <si>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</si>
  <si>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</si>
  <si>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</si>
  <si>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</si>
  <si>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</si>
  <si>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</si>
  <si>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</si>
  <si>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</si>
  <si>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</si>
  <si>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</si>
  <si>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</si>
  <si>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</si>
  <si>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</si>
  <si>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</si>
  <si>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</si>
  <si>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</si>
  <si>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</si>
  <si>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</si>
  <si>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</si>
  <si>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</si>
  <si>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</si>
  <si>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</si>
  <si>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</si>
  <si>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</si>
  <si>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</si>
  <si>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</si>
  <si>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</si>
  <si>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</si>
  <si>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</si>
  <si>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</si>
  <si>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</si>
  <si>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</si>
  <si>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</si>
  <si>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</si>
  <si>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</si>
  <si>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</si>
  <si>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</si>
  <si>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</si>
  <si>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</si>
  <si>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</si>
  <si>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</si>
  <si>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</si>
  <si>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</si>
  <si>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</si>
  <si>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</si>
  <si>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</si>
  <si>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</si>
  <si>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</si>
  <si>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</si>
  <si>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</si>
  <si>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</si>
  <si>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</si>
  <si>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</si>
  <si>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</si>
  <si>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</si>
  <si>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</si>
  <si>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</si>
  <si>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</si>
  <si>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</si>
  <si>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</si>
  <si>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</si>
  <si>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</si>
  <si>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</si>
  <si>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</si>
  <si>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</si>
  <si>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</si>
  <si>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</si>
  <si>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</si>
  <si>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</si>
  <si>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</si>
  <si>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</si>
  <si>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</si>
  <si>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</si>
  <si>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</si>
  <si>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</si>
  <si>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</si>
  <si>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</si>
  <si>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</si>
  <si>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</si>
  <si>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</si>
  <si>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</si>
  <si>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</si>
  <si>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</si>
  <si>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</si>
  <si>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</si>
  <si>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</si>
  <si>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</si>
  <si>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</si>
  <si>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</si>
  <si>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</si>
  <si>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</si>
  <si>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</si>
  <si>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</si>
  <si>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</si>
  <si>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</si>
  <si>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</si>
  <si>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</si>
  <si>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</si>
  <si>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</si>
  <si>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</si>
  <si>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</si>
  <si>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</si>
  <si>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</si>
  <si>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</si>
  <si>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</si>
  <si>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</si>
  <si>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</si>
  <si>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</si>
  <si>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</si>
  <si>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</si>
  <si>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</si>
  <si>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</si>
  <si>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</si>
  <si>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</si>
  <si>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</si>
  <si>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</si>
  <si>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</si>
  <si>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</si>
  <si>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</si>
  <si>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</si>
  <si>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</si>
  <si>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</si>
  <si>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</si>
  <si>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</si>
  <si>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</si>
  <si>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</si>
  <si>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</si>
  <si>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</si>
  <si>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</si>
  <si>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</si>
  <si>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</si>
  <si>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</si>
  <si>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</si>
  <si>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</si>
  <si>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</si>
  <si>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</si>
  <si>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</si>
  <si>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</si>
  <si>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</si>
  <si>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</si>
  <si>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</si>
  <si>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</si>
  <si>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</si>
  <si>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</si>
  <si>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</si>
  <si>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</si>
  <si>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</si>
  <si>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</si>
  <si>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</si>
  <si>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</si>
  <si>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</si>
  <si>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</si>
  <si>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</si>
  <si>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</si>
  <si>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</si>
  <si>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</si>
  <si>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</si>
  <si>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</si>
  <si>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</si>
  <si>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</si>
  <si>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</si>
  <si>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</si>
  <si>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</si>
  <si>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</si>
  <si>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</si>
  <si>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</si>
  <si>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</si>
  <si>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</si>
  <si>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</si>
  <si>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</si>
  <si>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</si>
  <si>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</si>
  <si>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</si>
  <si>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</si>
  <si>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</si>
  <si>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</si>
  <si>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</si>
  <si>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</si>
  <si>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</si>
  <si>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</si>
  <si>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</si>
  <si>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</si>
  <si>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</si>
  <si>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</si>
  <si>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</si>
  <si>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</si>
  <si>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</si>
  <si>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</si>
  <si>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</si>
  <si>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</si>
  <si>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</si>
  <si>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</si>
  <si>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</si>
  <si>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</si>
  <si>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</si>
  <si>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</si>
  <si>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</si>
  <si>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</si>
  <si>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</si>
  <si>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</si>
  <si>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</si>
  <si>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</si>
  <si>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</si>
  <si>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</si>
  <si>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</si>
  <si>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</si>
  <si>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</si>
  <si>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</si>
  <si>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</si>
  <si>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</si>
  <si>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</si>
  <si>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</si>
  <si>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</si>
  <si>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</si>
  <si>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</si>
  <si>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</si>
  <si>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</si>
  <si>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</si>
  <si>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</si>
  <si>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</si>
  <si>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</si>
  <si>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</si>
  <si>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</si>
  <si>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</si>
  <si>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</si>
  <si>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</si>
  <si>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</si>
  <si>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</si>
  <si>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</si>
  <si>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</si>
  <si>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</si>
  <si>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</si>
  <si>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</si>
  <si>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</si>
  <si>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</si>
  <si>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</si>
  <si>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</si>
  <si>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</si>
  <si>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</si>
  <si>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</si>
  <si>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</si>
  <si>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</si>
  <si>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</si>
  <si>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</si>
  <si>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</si>
  <si>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</si>
  <si>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</si>
  <si>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</si>
  <si>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</si>
  <si>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</si>
  <si>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</si>
  <si>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</si>
  <si>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</si>
  <si>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</si>
  <si>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</si>
  <si>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</si>
  <si>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</si>
  <si>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</si>
  <si>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</si>
  <si>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</si>
  <si>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</si>
  <si>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</si>
  <si>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</si>
  <si>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</si>
  <si>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</si>
  <si>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</si>
  <si>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</si>
  <si>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</si>
  <si>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</si>
  <si>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</si>
  <si>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</si>
  <si>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</si>
  <si>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</si>
  <si>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</si>
  <si>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</si>
  <si>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</si>
  <si>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</si>
  <si>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</si>
  <si>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</si>
  <si>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</si>
  <si>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</si>
  <si>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</si>
  <si>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</si>
  <si>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</si>
  <si>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</si>
  <si>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</si>
  <si>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</si>
  <si>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</si>
  <si>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</si>
  <si>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</si>
  <si>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</si>
  <si>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</si>
  <si>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</si>
  <si>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</si>
  <si>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</si>
  <si>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</si>
  <si>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</si>
  <si>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</si>
  <si>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</si>
  <si>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</si>
  <si>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</si>
  <si>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</si>
  <si>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</si>
  <si>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</si>
  <si>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</si>
  <si>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</si>
  <si>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</si>
  <si>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</si>
  <si>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</si>
  <si>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</si>
  <si>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</si>
  <si>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</si>
  <si>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</si>
  <si>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</si>
  <si>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</si>
  <si>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</si>
  <si>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</si>
  <si>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</si>
  <si>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</si>
  <si>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</si>
  <si>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</si>
  <si>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</si>
  <si>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</si>
  <si>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</si>
  <si>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</si>
  <si>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</si>
  <si>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</si>
  <si>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</si>
  <si>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</si>
  <si>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</si>
  <si>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</si>
  <si>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</si>
  <si>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</si>
  <si>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</si>
  <si>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</si>
  <si>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</si>
  <si>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</si>
  <si>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</si>
  <si>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</si>
  <si>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</si>
  <si>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</si>
  <si>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</si>
  <si>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</si>
  <si>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</si>
  <si>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</si>
  <si>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</si>
  <si>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</si>
  <si>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</si>
  <si>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</si>
  <si>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</si>
  <si>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</si>
  <si>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</si>
  <si>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</si>
  <si>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</si>
  <si>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</si>
  <si>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</si>
  <si>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</si>
  <si>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</si>
  <si>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</si>
  <si>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</si>
  <si>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</si>
  <si>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</si>
  <si>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</si>
  <si>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</si>
  <si>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</si>
  <si>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</si>
  <si>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</si>
  <si>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</si>
  <si>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</si>
  <si>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</si>
  <si>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</si>
  <si>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</si>
  <si>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</si>
  <si>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</si>
  <si>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</si>
  <si>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</si>
  <si>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</si>
  <si>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</si>
  <si>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</si>
  <si>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</si>
  <si>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</si>
  <si>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</si>
  <si>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</si>
  <si>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</si>
  <si>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</si>
  <si>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</si>
  <si>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</si>
  <si>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</si>
  <si>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</si>
  <si>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</si>
  <si>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</si>
  <si>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</si>
  <si>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</si>
  <si>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</si>
  <si>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</si>
  <si>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</si>
  <si>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</si>
  <si>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</si>
  <si>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</si>
  <si>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</si>
  <si>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</si>
  <si>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</si>
  <si>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</si>
  <si>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</si>
  <si>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</si>
  <si>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</si>
  <si>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</si>
  <si>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</si>
  <si>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</si>
  <si>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</si>
  <si>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</si>
  <si>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</si>
  <si>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</si>
  <si>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</si>
  <si>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</si>
  <si>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</si>
  <si>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</si>
  <si>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</si>
  <si>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</si>
  <si>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</si>
  <si>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</si>
  <si>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</si>
  <si>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</si>
  <si>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</si>
  <si>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</si>
  <si>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</si>
  <si>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</si>
  <si>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</si>
  <si>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</si>
  <si>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</si>
  <si>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</si>
  <si>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</si>
  <si>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</si>
  <si>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</si>
  <si>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</si>
  <si>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</si>
  <si>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</si>
  <si>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</si>
  <si>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</si>
  <si>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</si>
  <si>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</si>
  <si>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</si>
  <si>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</si>
  <si>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</si>
  <si>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</si>
  <si>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</si>
  <si>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</si>
  <si>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</si>
  <si>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</si>
  <si>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</si>
  <si>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</si>
  <si>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</si>
  <si>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</si>
  <si>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</si>
  <si>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</si>
  <si>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</si>
  <si>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</si>
  <si>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</si>
  <si>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</si>
  <si>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</si>
  <si>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</si>
  <si>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</si>
  <si>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</si>
  <si>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</si>
  <si>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</si>
  <si>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</si>
  <si>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</si>
  <si>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</si>
  <si>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</si>
  <si>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</si>
  <si>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</si>
  <si>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</si>
  <si>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</si>
  <si>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</si>
  <si>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</si>
  <si>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</si>
  <si>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</si>
  <si>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</si>
  <si>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</si>
  <si>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</si>
  <si>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</si>
  <si>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</si>
  <si>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</si>
  <si>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</si>
  <si>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</si>
  <si>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</si>
  <si>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</si>
  <si>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</si>
  <si>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</si>
  <si>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</si>
  <si>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</si>
  <si>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</si>
  <si>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</si>
  <si>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</si>
  <si>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</si>
  <si>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</si>
  <si>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</si>
  <si>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</si>
  <si>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</si>
  <si>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</si>
  <si>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</si>
  <si>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</si>
  <si>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</si>
  <si>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</si>
  <si>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</si>
  <si>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</si>
  <si>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</si>
  <si>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</si>
  <si>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</si>
  <si>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</si>
  <si>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</si>
  <si>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</si>
  <si>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</si>
  <si>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</si>
  <si>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</si>
  <si>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</si>
  <si>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</si>
  <si>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</si>
  <si>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</si>
  <si>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</si>
  <si>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</si>
  <si>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</si>
  <si>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</si>
  <si>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</si>
  <si>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</si>
  <si>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</si>
  <si>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</si>
  <si>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</si>
  <si>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</si>
  <si>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</si>
  <si>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</si>
  <si>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</si>
  <si>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</si>
  <si>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</si>
  <si>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</si>
  <si>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</si>
  <si>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</si>
  <si>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</si>
  <si>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</si>
  <si>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</si>
  <si>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</si>
  <si>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</si>
  <si>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</si>
  <si>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</si>
  <si>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</si>
  <si>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</si>
  <si>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</si>
  <si>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</si>
  <si>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</si>
  <si>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</si>
  <si>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</si>
  <si>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</si>
  <si>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</si>
  <si>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</si>
  <si>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</si>
  <si>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</si>
  <si>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</si>
  <si>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</si>
  <si>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</si>
  <si>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</si>
  <si>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</si>
  <si>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</si>
  <si>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</si>
  <si>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</si>
  <si>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</si>
  <si>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</si>
  <si>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</si>
  <si>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</si>
  <si>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</si>
  <si>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</si>
  <si>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</si>
  <si>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</si>
  <si>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</si>
  <si>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</si>
  <si>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</si>
  <si>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</si>
  <si>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</si>
  <si>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</si>
  <si>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</si>
  <si>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</si>
  <si>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</si>
  <si>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</si>
  <si>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</si>
  <si>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</si>
  <si>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</si>
  <si>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</si>
  <si>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</si>
  <si>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</si>
  <si>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</si>
  <si>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</si>
  <si>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</si>
  <si>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</si>
  <si>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</si>
  <si>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</si>
  <si>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</si>
  <si>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</si>
  <si>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</si>
  <si>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</si>
  <si>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</si>
  <si>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</si>
  <si>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</si>
  <si>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</si>
  <si>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</si>
  <si>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</si>
  <si>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</si>
  <si>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</si>
  <si>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</si>
  <si>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</si>
  <si>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</si>
  <si>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</si>
  <si>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</si>
  <si>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</si>
  <si>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</si>
  <si>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</si>
  <si>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</si>
  <si>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</si>
  <si>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</si>
  <si>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</si>
  <si>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</si>
  <si>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</si>
  <si>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</si>
  <si>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</si>
  <si>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</si>
  <si>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</si>
  <si>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</si>
  <si>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</si>
  <si>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</si>
  <si>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</si>
  <si>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</si>
  <si>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</si>
  <si>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</si>
  <si>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</si>
  <si>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</si>
  <si>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</si>
  <si>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</si>
  <si>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</si>
  <si>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</si>
  <si>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</si>
  <si>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</si>
  <si>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</si>
  <si>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</si>
  <si>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</si>
  <si>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</si>
  <si>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</si>
  <si>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</si>
  <si>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</si>
  <si>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</si>
  <si>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</si>
  <si>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</si>
  <si>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</si>
  <si>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</si>
  <si>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</si>
  <si>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</si>
  <si>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</si>
  <si>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</si>
  <si>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</si>
  <si>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</si>
  <si>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</si>
  <si>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</si>
  <si>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</si>
  <si>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</si>
  <si>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</si>
  <si>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</si>
  <si>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</si>
  <si>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</si>
  <si>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</si>
  <si>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</si>
  <si>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</si>
  <si>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</si>
  <si>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</si>
  <si>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</si>
  <si>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</si>
  <si>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</si>
  <si>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</si>
  <si>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</si>
  <si>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</si>
  <si>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</si>
  <si>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</si>
  <si>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</si>
  <si>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</si>
  <si>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</si>
  <si>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</si>
  <si>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</si>
  <si>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</si>
  <si>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</si>
  <si>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</si>
  <si>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</si>
  <si>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</si>
  <si>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</si>
  <si>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</si>
  <si>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</si>
  <si>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</si>
  <si>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</si>
  <si>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</si>
  <si>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</si>
  <si>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</si>
  <si>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</si>
  <si>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</si>
  <si>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</si>
  <si>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</si>
  <si>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</si>
  <si>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</si>
  <si>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</si>
  <si>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</si>
  <si>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</si>
  <si>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</si>
  <si>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</si>
  <si>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</si>
  <si>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</si>
  <si>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</si>
  <si>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</si>
  <si>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</si>
  <si>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</si>
  <si>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</si>
  <si>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</si>
  <si>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</si>
  <si>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</si>
  <si>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</si>
  <si>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</si>
  <si>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</si>
  <si>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</si>
  <si>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</si>
  <si>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</si>
  <si>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</si>
  <si>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</si>
  <si>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</si>
  <si>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</si>
  <si>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</si>
  <si>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</si>
  <si>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</si>
  <si>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</si>
  <si>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</si>
  <si>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</si>
  <si>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</si>
  <si>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</si>
  <si>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</si>
  <si>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</si>
  <si>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</si>
  <si>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</si>
  <si>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</si>
  <si>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</si>
  <si>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</si>
  <si>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</si>
  <si>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</si>
  <si>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</si>
  <si>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</si>
  <si>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</si>
  <si>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</si>
  <si>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</si>
  <si>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</si>
  <si>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</si>
  <si>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</si>
  <si>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</si>
  <si>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</si>
  <si>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</si>
  <si>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</si>
  <si>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</si>
  <si>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</si>
  <si>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</si>
  <si>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</si>
  <si>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</si>
  <si>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</si>
  <si>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</si>
  <si>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</si>
  <si>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</si>
  <si>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</si>
  <si>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</si>
  <si>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</si>
  <si>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</si>
  <si>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</si>
  <si>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</si>
  <si>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</si>
  <si>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</si>
  <si>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</si>
  <si>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</si>
  <si>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</si>
  <si>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</si>
  <si>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</si>
  <si>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</si>
  <si>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</si>
  <si>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</si>
  <si>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</si>
  <si>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</si>
  <si>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</si>
  <si>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</si>
  <si>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</si>
  <si>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</si>
  <si>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</si>
  <si>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</si>
  <si>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</si>
  <si>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</si>
  <si>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</si>
  <si>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</si>
  <si>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</si>
  <si>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</si>
  <si>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</si>
  <si>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</si>
  <si>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</si>
  <si>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</si>
  <si>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</si>
  <si>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</si>
  <si>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</si>
  <si>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</si>
  <si>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</si>
  <si>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</si>
  <si>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</si>
  <si>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</si>
  <si>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</si>
  <si>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</si>
  <si>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</si>
  <si>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</si>
  <si>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</si>
  <si>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</si>
  <si>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</si>
  <si>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</si>
  <si>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</si>
  <si>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</si>
  <si>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</si>
  <si>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</si>
  <si>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</si>
  <si>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</si>
  <si>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</si>
  <si>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</si>
  <si>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</si>
  <si>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</si>
  <si>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</si>
  <si>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</si>
  <si>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</si>
  <si>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</si>
  <si>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</si>
  <si>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</si>
  <si>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</si>
  <si>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</si>
  <si>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</si>
  <si>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</si>
  <si>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</si>
  <si>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</si>
  <si>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</si>
  <si>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</si>
  <si>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</si>
  <si>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</si>
  <si>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</si>
  <si>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</si>
  <si>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</si>
  <si>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</si>
  <si>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</si>
  <si>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</si>
  <si>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</si>
  <si>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</si>
  <si>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</si>
  <si>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</si>
  <si>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</si>
  <si>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</si>
  <si>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</si>
  <si>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</si>
  <si>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</si>
  <si>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</si>
  <si>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</si>
  <si>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</si>
  <si>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</si>
  <si>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</si>
  <si>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</si>
  <si>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</si>
  <si>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</si>
  <si>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</si>
  <si>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</si>
  <si>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</si>
  <si>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</si>
  <si>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</si>
  <si>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</si>
  <si>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</si>
  <si>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</si>
  <si>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</si>
  <si>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</si>
  <si>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</si>
  <si>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</si>
  <si>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</si>
  <si>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</si>
  <si>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</si>
  <si>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</si>
  <si>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</si>
  <si>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</si>
  <si>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</si>
  <si>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</si>
  <si>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</si>
  <si>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</si>
  <si>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</si>
  <si>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</si>
  <si>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</si>
  <si>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</si>
  <si>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</si>
  <si>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</si>
  <si>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</si>
  <si>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</si>
  <si>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</si>
  <si>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</si>
  <si>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</si>
  <si>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</si>
  <si>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</si>
  <si>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</si>
  <si>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</si>
  <si>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</si>
  <si>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</si>
  <si>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</si>
  <si>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</si>
  <si>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</si>
  <si>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</si>
  <si>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</si>
  <si>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</si>
  <si>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</si>
  <si>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</si>
  <si>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</si>
  <si>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</si>
  <si>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</si>
  <si>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</si>
  <si>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</si>
  <si>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</si>
  <si>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</si>
  <si>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</si>
  <si>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</si>
  <si>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</si>
  <si>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</si>
  <si>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</si>
  <si>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</si>
  <si>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</si>
  <si>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</si>
  <si>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</si>
  <si>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</si>
  <si>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</si>
  <si>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</si>
  <si>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</si>
  <si>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</si>
  <si>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</si>
  <si>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</si>
  <si>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</si>
  <si>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</si>
  <si>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</si>
  <si>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</si>
  <si>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</si>
  <si>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</si>
  <si>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</si>
  <si>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</si>
  <si>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</si>
  <si>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</si>
  <si>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</si>
  <si>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</si>
  <si>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</si>
  <si>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</si>
  <si>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</si>
  <si>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</si>
  <si>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</si>
  <si>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</si>
  <si>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</si>
  <si>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</si>
  <si>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</si>
  <si>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</si>
  <si>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</si>
  <si>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</si>
  <si>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</si>
  <si>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</si>
  <si>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</si>
  <si>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</si>
  <si>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</si>
  <si>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</si>
  <si>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</si>
  <si>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</si>
  <si>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</si>
  <si>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</si>
  <si>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</si>
  <si>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</si>
  <si>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</si>
  <si>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</si>
  <si>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</si>
  <si>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</si>
  <si>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</si>
  <si>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</si>
  <si>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</si>
  <si>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</si>
  <si>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</si>
  <si>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</si>
  <si>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</si>
  <si>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</si>
  <si>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</si>
  <si>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</si>
  <si>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</si>
  <si>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</si>
  <si>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</si>
  <si>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</si>
  <si>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</si>
  <si>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</si>
  <si>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</si>
  <si>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</si>
  <si>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</si>
  <si>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</si>
  <si>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</si>
  <si>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</si>
  <si>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</si>
  <si>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</si>
  <si>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</si>
  <si>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</si>
  <si>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</si>
  <si>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</si>
  <si>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</si>
  <si>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</si>
  <si>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</si>
  <si>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</si>
  <si>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</si>
  <si>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</si>
  <si>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</si>
  <si>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</si>
  <si>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</si>
  <si>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</si>
  <si>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</si>
  <si>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</si>
  <si>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</si>
  <si>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</si>
  <si>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</si>
  <si>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</si>
  <si>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</si>
  <si>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</si>
  <si>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</si>
  <si>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</si>
  <si>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</si>
  <si>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</si>
  <si>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</si>
  <si>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</si>
  <si>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</si>
  <si>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</si>
  <si>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</si>
  <si>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</si>
  <si>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</si>
  <si>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</si>
  <si>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</si>
  <si>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</si>
  <si>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</si>
  <si>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</si>
  <si>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</si>
  <si>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</si>
  <si>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</si>
  <si>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</si>
  <si>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</si>
  <si>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</si>
  <si>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</si>
  <si>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</si>
  <si>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</si>
  <si>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</si>
  <si>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</si>
  <si>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</si>
  <si>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</si>
  <si>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</si>
  <si>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</si>
  <si>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</si>
  <si>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</si>
  <si>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</si>
  <si>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</si>
  <si>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</si>
  <si>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</si>
  <si>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</si>
  <si>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</si>
  <si>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</si>
  <si>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</si>
  <si>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</si>
  <si>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</si>
  <si>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</si>
  <si>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</si>
  <si>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</si>
  <si>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</si>
  <si>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</si>
  <si>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</si>
  <si>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</si>
  <si>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</si>
  <si>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</si>
  <si>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</si>
  <si>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</si>
  <si>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</si>
  <si>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</si>
  <si>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</si>
  <si>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</si>
  <si>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</si>
  <si>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</si>
  <si>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</si>
  <si>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</si>
  <si>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</si>
  <si>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</si>
  <si>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</si>
  <si>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</si>
  <si>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</si>
  <si>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</si>
  <si>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</si>
  <si>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</si>
  <si>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</si>
  <si>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</si>
  <si>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</si>
  <si>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</si>
  <si>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</si>
  <si>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</si>
  <si>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</si>
  <si>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</si>
  <si>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</si>
  <si>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</si>
  <si>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</si>
  <si>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</si>
  <si>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</si>
  <si>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</si>
  <si>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</si>
  <si>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</si>
  <si>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</si>
  <si>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</si>
  <si>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</si>
  <si>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</si>
  <si>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</si>
  <si>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</si>
  <si>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</si>
  <si>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</si>
  <si>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</si>
  <si>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</si>
  <si>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</si>
  <si>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</si>
  <si>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</si>
  <si>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</si>
  <si>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</si>
  <si>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</si>
  <si>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</si>
  <si>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</si>
  <si>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</si>
  <si>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</si>
  <si>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</si>
  <si>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</si>
  <si>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</si>
  <si>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</si>
  <si>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</si>
  <si>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</si>
  <si>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</si>
  <si>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</si>
  <si>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</si>
  <si>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</si>
  <si>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</si>
  <si>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</si>
  <si>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</si>
  <si>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</si>
  <si>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</si>
  <si>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</si>
  <si>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</si>
  <si>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</si>
  <si>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</si>
  <si>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</si>
  <si>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</si>
  <si>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</si>
  <si>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</si>
  <si>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</si>
  <si>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</si>
  <si>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</si>
  <si>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</si>
  <si>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</si>
  <si>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</si>
  <si>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</si>
  <si>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</si>
  <si>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</si>
  <si>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</si>
  <si>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</si>
  <si>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</si>
  <si>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</si>
  <si>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</si>
  <si>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</si>
  <si>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</si>
  <si>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</si>
  <si>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</si>
  <si>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</si>
  <si>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</si>
  <si>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</si>
  <si>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</si>
  <si>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</si>
  <si>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</si>
  <si>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</si>
  <si>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</si>
  <si>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</si>
  <si>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</si>
  <si>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</si>
  <si>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</si>
  <si>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</si>
  <si>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</si>
  <si>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</si>
  <si>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</si>
  <si>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</si>
  <si>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</si>
  <si>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</si>
  <si>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</si>
  <si>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</si>
  <si>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</si>
  <si>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</si>
  <si>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</si>
  <si>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</si>
  <si>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</si>
  <si>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</si>
  <si>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</si>
  <si>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</si>
  <si>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</si>
  <si>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</si>
  <si>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</si>
  <si>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</si>
  <si>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</si>
  <si>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</si>
  <si>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</si>
  <si>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</si>
  <si>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</si>
  <si>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</si>
  <si>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</si>
  <si>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</si>
  <si>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</si>
  <si>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</si>
  <si>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</si>
  <si>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</si>
  <si>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</si>
  <si>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</si>
  <si>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</si>
  <si>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</si>
  <si>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</si>
  <si>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</si>
  <si>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</si>
  <si>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</si>
  <si>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</si>
  <si>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</si>
  <si>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</si>
  <si>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</si>
  <si>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</si>
  <si>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</si>
  <si>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</si>
  <si>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</si>
  <si>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</si>
  <si>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</si>
  <si>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</si>
  <si>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</si>
  <si>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</si>
  <si>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</si>
  <si>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</si>
  <si>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</si>
  <si>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</si>
  <si>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</si>
  <si>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</si>
  <si>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</si>
  <si>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</si>
  <si>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</si>
  <si>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</si>
  <si>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</si>
  <si>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</si>
  <si>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</si>
  <si>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</si>
  <si>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</si>
  <si>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</si>
  <si>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</si>
  <si>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</si>
  <si>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</si>
  <si>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</si>
  <si>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</si>
  <si>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</si>
  <si>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</si>
  <si>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</si>
  <si>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</si>
  <si>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</si>
  <si>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</si>
  <si>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</si>
  <si>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</si>
  <si>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</si>
  <si>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</si>
  <si>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</si>
  <si>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</si>
  <si>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</si>
  <si>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</si>
  <si>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</si>
  <si>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</si>
  <si>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</si>
  <si>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</si>
  <si>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</si>
  <si>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</si>
  <si>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</si>
  <si>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</si>
  <si>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</si>
  <si>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</si>
  <si>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</si>
  <si>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</si>
  <si>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</si>
  <si>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</si>
  <si>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</si>
  <si>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</si>
  <si>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</si>
  <si>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</si>
  <si>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</si>
  <si>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</si>
  <si>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</si>
  <si>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</si>
  <si>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</si>
  <si>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</si>
  <si>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</si>
  <si>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</si>
  <si>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</si>
  <si>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</si>
  <si>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</si>
  <si>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</si>
  <si>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</si>
  <si>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</si>
  <si>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</si>
  <si>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</si>
  <si>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</si>
  <si>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</si>
  <si>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</si>
  <si>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</si>
  <si>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</si>
  <si>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</si>
  <si>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</si>
  <si>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</si>
  <si>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</si>
  <si>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</si>
  <si>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</si>
  <si>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</si>
  <si>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</si>
  <si>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</si>
  <si>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</si>
  <si>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</si>
  <si>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</si>
  <si>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</si>
  <si>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</si>
  <si>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</si>
  <si>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</si>
  <si>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</si>
  <si>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</si>
  <si>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</si>
  <si>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</si>
  <si>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</si>
  <si>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</si>
  <si>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</si>
  <si>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</si>
  <si>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</si>
  <si>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</si>
  <si>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</si>
  <si>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</si>
  <si>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</si>
  <si>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</si>
  <si>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</si>
  <si>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</si>
  <si>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</si>
  <si>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</si>
  <si>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</si>
  <si>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</si>
  <si>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</si>
  <si>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</si>
  <si>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</si>
  <si>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</si>
  <si>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</si>
  <si>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</si>
  <si>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</si>
  <si>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</si>
  <si>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</si>
  <si>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</si>
  <si>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</si>
  <si>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</si>
  <si>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</si>
  <si>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</si>
  <si>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</si>
  <si>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</si>
  <si>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</si>
  <si>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</si>
  <si>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</si>
  <si>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</si>
  <si>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</si>
  <si>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</si>
  <si>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</si>
  <si>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</si>
  <si>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</si>
  <si>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</si>
  <si>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</si>
  <si>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</si>
  <si>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</si>
  <si>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</si>
  <si>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</si>
  <si>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</si>
  <si>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</si>
  <si>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</si>
  <si>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</si>
  <si>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</si>
  <si>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</si>
  <si>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</si>
  <si>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</si>
  <si>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</si>
  <si>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</si>
  <si>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</si>
  <si>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</si>
  <si>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</si>
  <si>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</si>
  <si>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</si>
  <si>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</si>
  <si>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</si>
  <si>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</si>
  <si>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</si>
  <si>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</si>
  <si>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</si>
  <si>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</si>
  <si>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</si>
  <si>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</si>
  <si>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</si>
  <si>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</si>
  <si>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</si>
  <si>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</si>
  <si>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</si>
  <si>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</si>
  <si>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</si>
  <si>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</si>
  <si>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</si>
  <si>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</si>
  <si>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</si>
  <si>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</si>
  <si>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</si>
  <si>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</si>
  <si>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</si>
  <si>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</si>
  <si>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</si>
  <si>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</si>
  <si>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</si>
  <si>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</si>
  <si>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</si>
  <si>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</si>
  <si>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</si>
  <si>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</si>
  <si>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</si>
  <si>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</si>
  <si>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</si>
  <si>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</si>
  <si>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</si>
  <si>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</si>
  <si>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</si>
  <si>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</si>
  <si>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</si>
  <si>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</si>
  <si>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</si>
  <si>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</si>
  <si>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</si>
  <si>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</si>
  <si>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</si>
  <si>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</si>
  <si>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</si>
  <si>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</si>
  <si>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</si>
  <si>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</si>
  <si>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</si>
  <si>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</si>
  <si>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</si>
  <si>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</si>
  <si>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</si>
  <si>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</si>
  <si>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</si>
  <si>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</si>
  <si>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</si>
  <si>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</si>
  <si>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</si>
  <si>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</si>
  <si>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</si>
  <si>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</si>
  <si>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</si>
  <si>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</si>
  <si>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</si>
  <si>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</si>
  <si>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</si>
  <si>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</si>
  <si>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</si>
  <si>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</si>
  <si>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</si>
  <si>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</si>
  <si>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</si>
  <si>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</si>
  <si>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</si>
  <si>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</si>
  <si>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</si>
  <si>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</si>
  <si>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</si>
  <si>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</si>
  <si>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</si>
  <si>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</si>
  <si>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</si>
  <si>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</si>
  <si>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</si>
  <si>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</si>
  <si>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</si>
  <si>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</si>
  <si>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</si>
  <si>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</si>
  <si>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</si>
  <si>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</si>
  <si>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</si>
  <si>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</si>
  <si>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</si>
  <si>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</si>
  <si>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</si>
  <si>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</si>
  <si>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</si>
  <si>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</si>
  <si>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</si>
  <si>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</si>
  <si>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</si>
  <si>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</si>
  <si>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</si>
  <si>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</si>
  <si>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</si>
  <si>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</si>
  <si>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</si>
  <si>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</si>
  <si>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</si>
  <si>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</si>
  <si>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</si>
  <si>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</si>
  <si>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</si>
  <si>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</si>
  <si>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</si>
  <si>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</si>
  <si>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</si>
  <si>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</si>
  <si>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</si>
  <si>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</si>
  <si>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</si>
  <si>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</si>
  <si>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</si>
  <si>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</si>
  <si>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</si>
  <si>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</si>
  <si>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</si>
  <si>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</si>
  <si>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</si>
  <si>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</si>
  <si>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</si>
  <si>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</si>
  <si>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</si>
  <si>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</si>
  <si>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</si>
  <si>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</si>
  <si>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</si>
  <si>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</si>
  <si>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</si>
  <si>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</si>
  <si>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</si>
  <si>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</si>
  <si>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</si>
  <si>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</si>
  <si>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</si>
  <si>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</si>
  <si>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</si>
  <si>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</si>
  <si>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</si>
  <si>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</si>
  <si>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</si>
  <si>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</si>
  <si>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</si>
  <si>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</si>
  <si>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</si>
  <si>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</si>
  <si>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</si>
  <si>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</si>
  <si>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</si>
  <si>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</si>
  <si>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</si>
  <si>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</si>
  <si>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</si>
  <si>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</si>
  <si>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</si>
  <si>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</si>
  <si>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</si>
  <si>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</si>
  <si>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</si>
  <si>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</si>
  <si>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</si>
  <si>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</si>
  <si>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</si>
  <si>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</si>
  <si>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</si>
  <si>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</si>
  <si>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</si>
  <si>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</si>
  <si>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</si>
  <si>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</si>
  <si>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</si>
  <si>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</si>
  <si>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</si>
  <si>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</si>
  <si>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</si>
  <si>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</si>
  <si>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</si>
  <si>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</si>
  <si>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</si>
  <si>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</si>
  <si>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</si>
  <si>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</si>
  <si>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</si>
  <si>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</si>
  <si>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</si>
  <si>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</si>
  <si>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</si>
  <si>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</si>
  <si>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</si>
  <si>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</si>
  <si>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</si>
  <si>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</si>
  <si>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</si>
  <si>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</si>
  <si>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</si>
  <si>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</si>
  <si>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</si>
  <si>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</si>
  <si>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</si>
  <si>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</si>
  <si>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</si>
  <si>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</si>
  <si>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</si>
  <si>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</si>
  <si>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</si>
  <si>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</si>
  <si>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</si>
  <si>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</si>
  <si>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</si>
  <si>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</si>
  <si>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</si>
  <si>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</si>
  <si>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</si>
  <si>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</si>
  <si>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</si>
  <si>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</si>
  <si>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</si>
  <si>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</si>
  <si>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</si>
  <si>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</si>
  <si>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</si>
  <si>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</si>
  <si>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</si>
  <si>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</si>
  <si>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</si>
  <si>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</si>
  <si>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</si>
  <si>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</si>
  <si>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</si>
  <si>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</si>
  <si>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</si>
  <si>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</si>
  <si>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</si>
  <si>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</si>
  <si>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</si>
  <si>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</si>
  <si>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</si>
  <si>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</si>
  <si>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</si>
  <si>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</si>
  <si>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</si>
  <si>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</si>
  <si>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</si>
  <si>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</si>
  <si>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</si>
  <si>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</si>
  <si>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</si>
  <si>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</si>
  <si>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</si>
  <si>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</si>
  <si>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</si>
  <si>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</si>
  <si>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</si>
  <si>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</si>
  <si>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</si>
  <si>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</si>
  <si>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</si>
  <si>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</si>
  <si>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</si>
  <si>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</si>
  <si>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</si>
  <si>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</si>
  <si>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</si>
  <si>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</si>
  <si>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</si>
  <si>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</si>
  <si>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</si>
  <si>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</si>
  <si>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</si>
  <si>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</si>
  <si>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</si>
  <si>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</si>
  <si>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</si>
  <si>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</si>
  <si>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</si>
  <si>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</si>
  <si>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</si>
  <si>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</si>
  <si>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</si>
  <si>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</si>
  <si>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</si>
  <si>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</si>
  <si>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</si>
  <si>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</si>
  <si>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</si>
  <si>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</si>
  <si>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</si>
  <si>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</si>
  <si>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</si>
  <si>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</si>
  <si>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</si>
  <si>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</si>
  <si>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</si>
  <si>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</si>
  <si>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</si>
  <si>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</si>
  <si>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</si>
  <si>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</si>
  <si>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</si>
  <si>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</si>
  <si>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</si>
  <si>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</si>
  <si>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</si>
  <si>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</si>
  <si>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</si>
  <si>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</si>
  <si>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</si>
  <si>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</si>
  <si>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</si>
  <si>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</si>
  <si>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</si>
  <si>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</si>
  <si>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</si>
  <si>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</si>
  <si>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</si>
  <si>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</si>
  <si>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</si>
  <si>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</si>
  <si>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</si>
  <si>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</si>
  <si>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</si>
  <si>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</si>
  <si>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</si>
  <si>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</si>
  <si>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</si>
  <si>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</si>
  <si>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</si>
  <si>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</si>
  <si>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</si>
  <si>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</si>
  <si>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</si>
  <si>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</si>
  <si>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</si>
  <si>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</si>
  <si>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</si>
  <si>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</si>
  <si>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</si>
  <si>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</si>
  <si>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</si>
  <si>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</si>
  <si>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</si>
  <si>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</si>
  <si>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</si>
  <si>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</si>
  <si>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</si>
  <si>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</si>
  <si>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</si>
  <si>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</si>
  <si>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</si>
  <si>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</si>
  <si>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</si>
  <si>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</si>
  <si>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</si>
  <si>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</si>
  <si>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</si>
  <si>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</si>
  <si>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</si>
  <si>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</si>
  <si>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</si>
  <si>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</si>
  <si>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</si>
  <si>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</si>
  <si>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</si>
  <si>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</si>
  <si>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</si>
  <si>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</si>
  <si>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</si>
  <si>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</si>
  <si>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</si>
  <si>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</si>
  <si>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</si>
  <si>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</si>
  <si>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</si>
  <si>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</si>
  <si>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</si>
  <si>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</si>
  <si>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</si>
  <si>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</si>
  <si>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</si>
  <si>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</si>
  <si>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</si>
  <si>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</si>
  <si>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</si>
  <si>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</si>
  <si>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</si>
  <si>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</si>
  <si>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</si>
  <si>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</si>
  <si>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</si>
  <si>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</si>
  <si>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</si>
  <si>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</si>
  <si>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</si>
  <si>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</si>
  <si>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</si>
  <si>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</si>
  <si>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</si>
  <si>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</si>
  <si>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</si>
  <si>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</si>
  <si>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</si>
  <si>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</si>
  <si>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</si>
  <si>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</si>
  <si>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</si>
  <si>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</si>
  <si>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</si>
  <si>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</si>
  <si>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</si>
  <si>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</si>
  <si>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</si>
  <si>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</si>
  <si>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</si>
  <si>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</si>
  <si>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</si>
  <si>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</si>
  <si>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</si>
  <si>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</si>
  <si>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</si>
  <si>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</si>
  <si>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</si>
  <si>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</si>
  <si>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</si>
  <si>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</si>
  <si>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</si>
  <si>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</si>
  <si>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</si>
  <si>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</si>
  <si>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</si>
  <si>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</si>
  <si>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</si>
  <si>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</si>
  <si>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</si>
  <si>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</si>
  <si>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</si>
  <si>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</si>
  <si>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</si>
  <si>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</si>
  <si>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</si>
  <si>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</si>
  <si>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</si>
  <si>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</si>
  <si>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</si>
  <si>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</si>
  <si>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</si>
  <si>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</si>
  <si>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</si>
  <si>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</si>
  <si>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</si>
  <si>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</si>
  <si>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</si>
  <si>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</si>
  <si>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</si>
  <si>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</si>
  <si>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</si>
  <si>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</si>
  <si>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</si>
  <si>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</si>
  <si>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</si>
  <si>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</si>
  <si>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</si>
  <si>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</si>
  <si>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</si>
  <si>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</si>
  <si>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</si>
  <si>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</si>
  <si>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</si>
  <si>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</si>
  <si>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</si>
  <si>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</si>
  <si>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</si>
  <si>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</si>
  <si>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</si>
  <si>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</si>
  <si>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</si>
  <si>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</si>
  <si>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</si>
  <si>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</si>
  <si>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</si>
  <si>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</si>
  <si>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</si>
  <si>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</si>
  <si>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</si>
  <si>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</si>
  <si>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</si>
  <si>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</si>
  <si>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</si>
  <si>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</si>
  <si>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</si>
  <si>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</si>
  <si>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</si>
  <si>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</si>
  <si>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</si>
  <si>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</si>
  <si>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</si>
  <si>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</si>
  <si>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</si>
  <si>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</si>
  <si>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</si>
  <si>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</si>
  <si>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</si>
  <si>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</si>
  <si>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</si>
  <si>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</si>
  <si>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</si>
  <si>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</si>
  <si>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</si>
  <si>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</si>
  <si>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</si>
  <si>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</si>
  <si>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</si>
  <si>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</si>
  <si>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</si>
  <si>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</si>
  <si>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</si>
  <si>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</si>
  <si>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</si>
  <si>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</si>
  <si>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</si>
  <si>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</si>
  <si>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</si>
  <si>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</si>
  <si>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</si>
  <si>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</si>
  <si>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</si>
  <si>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</si>
  <si>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</si>
  <si>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</si>
  <si>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</si>
  <si>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</si>
  <si>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</si>
  <si>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</si>
  <si>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</si>
  <si>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</si>
  <si>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</si>
  <si>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</si>
  <si>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</si>
  <si>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</si>
  <si>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</si>
  <si>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</si>
  <si>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</si>
  <si>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</si>
  <si>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</si>
  <si>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</si>
  <si>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</si>
  <si>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</si>
  <si>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</si>
  <si>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</si>
  <si>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</si>
  <si>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</si>
  <si>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</si>
  <si>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</si>
  <si>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</si>
  <si>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</si>
  <si>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</si>
  <si>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</si>
  <si>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</si>
  <si>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</si>
  <si>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</si>
  <si>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</si>
  <si>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</si>
  <si>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</si>
  <si>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</si>
  <si>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</si>
  <si>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</si>
  <si>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</si>
  <si>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</si>
  <si>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</si>
  <si>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</si>
  <si>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</si>
  <si>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</si>
  <si>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</si>
  <si>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</si>
  <si>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</si>
  <si>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</si>
  <si>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</si>
  <si>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</si>
  <si>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</si>
  <si>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</si>
  <si>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</si>
  <si>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</si>
  <si>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</si>
  <si>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</si>
  <si>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</si>
  <si>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</si>
  <si>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</si>
  <si>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</si>
  <si>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</si>
  <si>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</si>
  <si>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</si>
  <si>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</si>
  <si>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</si>
  <si>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</si>
  <si>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</si>
  <si>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</si>
  <si>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</si>
  <si>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</si>
  <si>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</si>
  <si>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</si>
  <si>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</si>
  <si>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</si>
  <si>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</si>
  <si>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</si>
  <si>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</si>
  <si>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</si>
  <si>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</si>
  <si>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</si>
  <si>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</si>
  <si>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</si>
  <si>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</si>
  <si>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</si>
  <si>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</si>
  <si>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</si>
  <si>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</si>
  <si>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</si>
  <si>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</si>
  <si>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</si>
  <si>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</si>
  <si>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</si>
  <si>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</si>
  <si>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</si>
  <si>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</si>
  <si>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</si>
  <si>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</si>
  <si>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</si>
  <si>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</si>
  <si>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</si>
  <si>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</si>
  <si>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</si>
  <si>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</si>
  <si>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</si>
  <si>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</si>
  <si>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</si>
  <si>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</si>
  <si>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</si>
  <si>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</si>
  <si>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</si>
  <si>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</si>
  <si>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</si>
  <si>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</si>
  <si>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</si>
  <si>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</si>
  <si>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</si>
  <si>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</si>
  <si>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</si>
  <si>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</si>
  <si>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</si>
  <si>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</si>
  <si>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</si>
  <si>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</si>
  <si>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</si>
  <si>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</si>
  <si>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</si>
  <si>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</si>
  <si>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</si>
  <si>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</si>
  <si>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</si>
  <si>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</si>
  <si>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</si>
  <si>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</si>
  <si>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</si>
  <si>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</si>
  <si>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</si>
  <si>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</si>
  <si>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</si>
  <si>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</si>
  <si>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</si>
  <si>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</si>
  <si>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</si>
  <si>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</si>
  <si>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</si>
  <si>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</si>
  <si>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</si>
  <si>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</si>
  <si>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</si>
  <si>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</si>
  <si>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</si>
  <si>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</si>
  <si>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</si>
  <si>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</si>
  <si>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</si>
  <si>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</si>
  <si>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</si>
  <si>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</si>
  <si>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</si>
  <si>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</si>
  <si>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</si>
  <si>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</si>
  <si>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</si>
  <si>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</si>
  <si>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</si>
  <si>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</si>
  <si>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</si>
  <si>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</si>
  <si>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</si>
  <si>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</si>
  <si>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</si>
  <si>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</si>
  <si>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</si>
  <si>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</si>
  <si>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</si>
  <si>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</si>
  <si>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</si>
  <si>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</si>
  <si>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</si>
  <si>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</si>
  <si>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</si>
  <si>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</si>
  <si>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</si>
  <si>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</si>
  <si>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</si>
  <si>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</si>
  <si>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</si>
  <si>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</si>
  <si>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</si>
  <si>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</si>
  <si>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</si>
  <si>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</si>
  <si>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</si>
  <si>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</si>
  <si>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</si>
  <si>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</si>
  <si>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</si>
  <si>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</si>
  <si>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</si>
  <si>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</si>
  <si>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</si>
  <si>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</si>
  <si>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</si>
  <si>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</si>
  <si>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</si>
  <si>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</si>
  <si>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</si>
  <si>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</si>
  <si>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</si>
  <si>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</si>
  <si>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</si>
  <si>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</si>
  <si>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</si>
  <si>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</si>
  <si>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</si>
  <si>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</si>
  <si>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</si>
  <si>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</si>
  <si>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</si>
  <si>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</si>
  <si>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</si>
  <si>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</si>
  <si>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</si>
  <si>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</si>
  <si>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</si>
  <si>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</si>
  <si>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</si>
  <si>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</si>
  <si>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</si>
  <si>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</si>
  <si>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</si>
  <si>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</si>
  <si>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</si>
  <si>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</si>
  <si>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</si>
  <si>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</si>
  <si>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</si>
  <si>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</si>
  <si>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</si>
  <si>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</si>
  <si>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</si>
  <si>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</si>
  <si>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</si>
  <si>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</si>
  <si>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</si>
  <si>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</si>
  <si>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</si>
  <si>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</si>
  <si>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</si>
  <si>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</si>
  <si>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</si>
  <si>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</si>
  <si>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</si>
  <si>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</si>
  <si>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</si>
  <si>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</si>
  <si>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</si>
  <si>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</si>
  <si>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</si>
  <si>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</si>
  <si>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</si>
  <si>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</si>
  <si>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</si>
  <si>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</si>
  <si>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</si>
  <si>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</si>
  <si>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</si>
  <si>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</si>
  <si>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</si>
  <si>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</si>
  <si>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</si>
  <si>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</si>
  <si>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</si>
  <si>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</si>
  <si>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</si>
  <si>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</si>
  <si>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</si>
  <si>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</si>
  <si>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</si>
  <si>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</si>
  <si>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</si>
  <si>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</si>
  <si>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</si>
  <si>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</si>
  <si>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</si>
  <si>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</si>
  <si>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</si>
  <si>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</si>
  <si>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</si>
  <si>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</si>
  <si>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</si>
  <si>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</si>
  <si>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</si>
  <si>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</si>
  <si>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</si>
  <si>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</si>
  <si>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</si>
  <si>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</si>
  <si>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</si>
  <si>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</si>
  <si>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</si>
  <si>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</si>
  <si>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</si>
  <si>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</si>
  <si>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</si>
  <si>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</si>
  <si>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</si>
  <si>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</si>
  <si>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</si>
  <si>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</si>
  <si>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</si>
  <si>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</si>
  <si>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</si>
  <si>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</si>
  <si>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</si>
  <si>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</si>
  <si>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</si>
  <si>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</si>
  <si>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</si>
  <si>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</si>
  <si>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</si>
  <si>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</si>
  <si>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</si>
  <si>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</si>
  <si>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</si>
  <si>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</si>
  <si>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</si>
  <si>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</si>
  <si>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</si>
  <si>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</si>
  <si>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</si>
  <si>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</si>
  <si>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</si>
  <si>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</si>
  <si>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</si>
  <si>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</si>
  <si>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</si>
  <si>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</si>
  <si>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</si>
  <si>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</si>
  <si>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</si>
  <si>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</si>
  <si>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</si>
  <si>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</si>
  <si>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</si>
  <si>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</si>
  <si>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</si>
  <si>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</si>
  <si>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</si>
  <si>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</si>
  <si>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</si>
  <si>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</si>
  <si>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</si>
  <si>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</si>
  <si>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</si>
  <si>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</si>
  <si>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</si>
  <si>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</si>
  <si>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</si>
  <si>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</si>
  <si>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</si>
  <si>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</si>
  <si>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</si>
  <si>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</si>
  <si>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</si>
  <si>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</si>
  <si>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</si>
  <si>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</si>
  <si>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</si>
  <si>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</si>
  <si>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</si>
  <si>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</si>
  <si>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</si>
  <si>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</si>
  <si>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</si>
  <si>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</si>
  <si>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</si>
  <si>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</si>
  <si>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</si>
  <si>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</si>
  <si>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</si>
  <si>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</si>
  <si>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</si>
  <si>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</si>
  <si>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</si>
  <si>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</si>
  <si>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</si>
  <si>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</si>
  <si>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</si>
  <si>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</si>
  <si>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</si>
  <si>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</si>
  <si>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</si>
  <si>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</si>
  <si>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</si>
  <si>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</si>
  <si>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</si>
  <si>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</si>
  <si>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</si>
  <si>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</si>
  <si>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</si>
  <si>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</si>
  <si>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</si>
  <si>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</si>
  <si>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</si>
  <si>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</si>
  <si>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</si>
  <si>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</si>
  <si>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</si>
  <si>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</si>
  <si>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</si>
  <si>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</si>
  <si>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</si>
  <si>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</si>
  <si>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</si>
  <si>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</si>
  <si>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</si>
  <si>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</si>
  <si>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</si>
  <si>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</si>
  <si>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</si>
  <si>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</si>
  <si>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</si>
  <si>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</si>
  <si>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</si>
  <si>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</si>
  <si>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</si>
  <si>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</si>
  <si>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</si>
  <si>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</si>
  <si>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</si>
  <si>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</si>
  <si>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</si>
  <si>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</si>
  <si>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</si>
  <si>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</si>
  <si>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</si>
  <si>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</si>
  <si>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</si>
  <si>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</si>
  <si>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</si>
  <si>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</si>
  <si>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</si>
  <si>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</si>
  <si>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</si>
  <si>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</si>
  <si>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</si>
  <si>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</si>
  <si>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</si>
  <si>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</si>
  <si>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</si>
  <si>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</si>
  <si>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2026-025</t>
  </si>
  <si>
    <t>2026-056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</si>
</sst>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169" fontId="54" fillId="4" borderId="2" xfId="0" applyNumberFormat="1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70" fontId="33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zoomScaleNormal="100" workbookViewId="0">
      <pane ySplit="1" topLeftCell="A677" activePane="bottomLeft" state="frozen"/>
      <selection pane="bottomLeft" activeCell="A681" sqref="A681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392" si="6"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1" si="10"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 t="shared" si="10"/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 t="shared" si="10"/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 t="shared" si="10"/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 t="shared" si="10"/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 t="shared" si="10"/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 t="shared" si="10"/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 t="shared" si="10"/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 t="shared" si="10"/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 t="shared" si="10"/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 t="shared" si="10"/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 t="shared" si="10"/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 t="shared" si="10"/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 t="shared" si="10"/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 t="shared" si="10"/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 t="shared" si="10"/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 t="shared" ref="R643:R650" si="11"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 t="shared" si="11"/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 t="shared" si="11"/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 t="shared" si="11"/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 t="shared" si="11"/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 t="shared" si="11"/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 t="shared" si="11"/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 t="shared" si="11"/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 t="shared" ref="R662:R668" si="12"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 t="shared" si="12"/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 t="shared" si="12"/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 t="shared" si="12"/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 t="shared" si="12"/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 t="shared" si="12"/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 t="shared" si="12"/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 t="shared" ref="R697:R713" si="13"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/>
      <c r="P698" s="254"/>
      <c r="Q698" s="254"/>
      <c r="R698" s="254">
        <f t="shared" si="13"/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 t="shared" si="13"/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 t="shared" si="13"/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16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 t="shared" si="13"/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 t="shared" si="13"/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 t="shared" si="13"/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2378</v>
      </c>
      <c r="E704" s="237" t="s">
        <v>2399</v>
      </c>
      <c r="F704" s="241" t="s">
        <v>51</v>
      </c>
      <c r="G704" s="243" t="s">
        <v>59</v>
      </c>
      <c r="H704" s="245" t="s">
        <v>2381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 t="shared" si="13"/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2383</v>
      </c>
      <c r="E705" s="239" t="s">
        <v>2401</v>
      </c>
      <c r="F705" s="242" t="s">
        <v>51</v>
      </c>
      <c r="G705" s="244" t="s">
        <v>59</v>
      </c>
      <c r="H705" s="246" t="s">
        <v>2381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 t="shared" si="13"/>
        <v>0</v>
      </c>
      <c r="S705" s="236">
        <v>4</v>
      </c>
      <c r="T705" s="244" t="s">
        <v>2385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2386</v>
      </c>
      <c r="E706" s="237" t="s">
        <v>2402</v>
      </c>
      <c r="F706" s="241" t="s">
        <v>51</v>
      </c>
      <c r="G706" s="243" t="s">
        <v>59</v>
      </c>
      <c r="H706" s="245" t="s">
        <v>2387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 t="shared" si="13"/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2377</v>
      </c>
      <c r="E707" s="239" t="s">
        <v>2379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 t="shared" si="13"/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2388</v>
      </c>
      <c r="E708" s="239" t="s">
        <v>2403</v>
      </c>
      <c r="F708" s="242" t="s">
        <v>51</v>
      </c>
      <c r="G708" s="244" t="s">
        <v>59</v>
      </c>
      <c r="H708" s="246" t="s">
        <v>2380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 t="shared" si="13"/>
        <v>0</v>
      </c>
      <c r="S708" s="236">
        <v>4</v>
      </c>
      <c r="T708" s="244" t="s">
        <v>2390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2373</v>
      </c>
      <c r="E709" s="237" t="s">
        <v>2398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 t="shared" si="13"/>
        <v>0</v>
      </c>
      <c r="S709" s="235">
        <v>4</v>
      </c>
      <c r="T709" s="243" t="s">
        <v>2376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2391</v>
      </c>
      <c r="E710" s="237" t="s">
        <v>2404</v>
      </c>
      <c r="F710" s="241" t="s">
        <v>51</v>
      </c>
      <c r="G710" s="243" t="s">
        <v>59</v>
      </c>
      <c r="H710" s="245" t="s">
        <v>2374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 t="shared" si="13"/>
        <v>0</v>
      </c>
      <c r="S710" s="235">
        <v>4</v>
      </c>
      <c r="T710" s="243" t="s">
        <v>2393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 t="shared" si="13"/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 t="shared" si="13"/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234" t="s">
        <v>2102</v>
      </c>
      <c r="D713" s="236" t="s">
        <v>2408</v>
      </c>
      <c r="E713" s="239" t="s">
        <v>2409</v>
      </c>
      <c r="F713" s="242" t="s">
        <v>51</v>
      </c>
      <c r="G713" s="244" t="s">
        <v>59</v>
      </c>
      <c r="H713" s="320" t="s">
        <v>2410</v>
      </c>
      <c r="I713" s="248">
        <v>46259</v>
      </c>
      <c r="J713" s="248">
        <v>46268</v>
      </c>
      <c r="K713" s="236" t="s">
        <v>32</v>
      </c>
      <c r="L713" s="302"/>
      <c r="M713" s="250"/>
      <c r="N713" s="252">
        <v>30</v>
      </c>
      <c r="O713" s="255"/>
      <c r="P713" s="255"/>
      <c r="Q713" s="255"/>
      <c r="R713" s="255">
        <f t="shared" si="13"/>
        <v>0</v>
      </c>
      <c r="S713" s="236">
        <v>20</v>
      </c>
      <c r="T713" s="244" t="s">
        <v>2414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47" t="s">
        <v>2102</v>
      </c>
      <c r="D714" s="21" t="s">
        <v>2114</v>
      </c>
      <c r="E714" s="81" t="s">
        <v>2115</v>
      </c>
      <c r="F714" s="28" t="s">
        <v>66</v>
      </c>
      <c r="G714" s="19" t="s">
        <v>2072</v>
      </c>
      <c r="H714" s="35" t="s">
        <v>2407</v>
      </c>
      <c r="I714" s="36">
        <v>46273</v>
      </c>
      <c r="J714" s="36">
        <v>46283</v>
      </c>
      <c r="K714" s="21" t="s">
        <v>25</v>
      </c>
      <c r="L714" s="297">
        <v>25200</v>
      </c>
      <c r="M714" s="183"/>
      <c r="N714" s="40">
        <v>60</v>
      </c>
      <c r="O714" s="22"/>
      <c r="P714" s="22"/>
      <c r="Q714" s="22"/>
      <c r="R714" s="22">
        <f>SUM(O714:Q714)</f>
        <v>0</v>
      </c>
      <c r="S714" s="21">
        <v>32</v>
      </c>
      <c r="T714" s="19" t="s">
        <v>2116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2186</v>
      </c>
      <c r="I715" s="247">
        <v>46289</v>
      </c>
      <c r="J715" s="247">
        <v>46289</v>
      </c>
      <c r="K715" s="235" t="s">
        <v>32</v>
      </c>
      <c r="L715" s="302"/>
      <c r="M715" s="250"/>
      <c r="N715" s="251">
        <v>80</v>
      </c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40" t="s">
        <v>2181</v>
      </c>
      <c r="F716" s="242" t="s">
        <v>66</v>
      </c>
      <c r="G716" s="244" t="s">
        <v>2072</v>
      </c>
      <c r="H716" s="246" t="s">
        <v>2187</v>
      </c>
      <c r="I716" s="248">
        <v>46290</v>
      </c>
      <c r="J716" s="248">
        <v>46290</v>
      </c>
      <c r="K716" s="236" t="s">
        <v>32</v>
      </c>
      <c r="L716" s="302"/>
      <c r="M716" s="250"/>
      <c r="N716" s="252">
        <v>80</v>
      </c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5" t="s">
        <v>2084</v>
      </c>
      <c r="E717" s="237" t="s">
        <v>2181</v>
      </c>
      <c r="F717" s="241" t="s">
        <v>66</v>
      </c>
      <c r="G717" s="243" t="s">
        <v>2072</v>
      </c>
      <c r="H717" s="245" t="s">
        <v>2193</v>
      </c>
      <c r="I717" s="247">
        <v>46303</v>
      </c>
      <c r="J717" s="247">
        <v>46303</v>
      </c>
      <c r="K717" s="235" t="s">
        <v>32</v>
      </c>
      <c r="L717" s="302"/>
      <c r="M717" s="250"/>
      <c r="N717" s="251"/>
      <c r="O717" s="254"/>
      <c r="P717" s="254"/>
      <c r="Q717" s="254"/>
      <c r="R717" s="254">
        <f>IF(B717="","",SUM(O717:Q717))</f>
        <v>0</v>
      </c>
      <c r="S717" s="235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6" t="s">
        <v>2084</v>
      </c>
      <c r="E718" s="240" t="s">
        <v>2181</v>
      </c>
      <c r="F718" s="242" t="s">
        <v>66</v>
      </c>
      <c r="G718" s="244" t="s">
        <v>2072</v>
      </c>
      <c r="H718" s="246" t="s">
        <v>2194</v>
      </c>
      <c r="I718" s="248">
        <v>46304</v>
      </c>
      <c r="J718" s="248">
        <v>46274</v>
      </c>
      <c r="K718" s="236" t="s">
        <v>32</v>
      </c>
      <c r="L718" s="302"/>
      <c r="M718" s="250"/>
      <c r="N718" s="252"/>
      <c r="O718" s="255"/>
      <c r="P718" s="255"/>
      <c r="Q718" s="255"/>
      <c r="R718" s="255">
        <f>IF(B718="","",SUM(O718:Q718))</f>
        <v>0</v>
      </c>
      <c r="S718" s="236">
        <v>4</v>
      </c>
      <c r="T718" s="260" t="s">
        <v>2185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9">
        <v>2026</v>
      </c>
      <c r="C719" s="234" t="s">
        <v>2102</v>
      </c>
      <c r="D719" s="235" t="s">
        <v>2117</v>
      </c>
      <c r="E719" s="237" t="s">
        <v>2118</v>
      </c>
      <c r="F719" s="241" t="s">
        <v>51</v>
      </c>
      <c r="G719" s="243" t="s">
        <v>59</v>
      </c>
      <c r="H719" s="245" t="s">
        <v>2119</v>
      </c>
      <c r="I719" s="247">
        <v>46321</v>
      </c>
      <c r="J719" s="247">
        <v>46322</v>
      </c>
      <c r="K719" s="249" t="s">
        <v>25</v>
      </c>
      <c r="L719" s="302"/>
      <c r="M719" s="250"/>
      <c r="N719" s="251">
        <v>170</v>
      </c>
      <c r="O719" s="254"/>
      <c r="P719" s="254"/>
      <c r="Q719" s="254"/>
      <c r="R719" s="254">
        <f>IF(B719="","",SUM(O719:Q719))</f>
        <v>0</v>
      </c>
      <c r="S719" s="235">
        <v>14</v>
      </c>
      <c r="T719" s="257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3">
        <v>2026</v>
      </c>
      <c r="C720" s="69" t="s">
        <v>2102</v>
      </c>
      <c r="D720" s="176" t="s">
        <v>2110</v>
      </c>
      <c r="E720" s="177" t="s">
        <v>2111</v>
      </c>
      <c r="F720" s="73" t="s">
        <v>51</v>
      </c>
      <c r="G720" s="44" t="s">
        <v>59</v>
      </c>
      <c r="H720" s="178" t="s">
        <v>2112</v>
      </c>
      <c r="I720" s="179">
        <v>46335</v>
      </c>
      <c r="J720" s="179">
        <v>46335</v>
      </c>
      <c r="K720" s="63" t="s">
        <v>25</v>
      </c>
      <c r="L720" s="322"/>
      <c r="M720" s="185"/>
      <c r="N720" s="180">
        <v>170</v>
      </c>
      <c r="O720" s="181"/>
      <c r="P720" s="181"/>
      <c r="Q720" s="181"/>
      <c r="R720" s="181">
        <f>SUM(O720:Q720)</f>
        <v>0</v>
      </c>
      <c r="S720" s="176">
        <v>14</v>
      </c>
      <c r="T720" s="44" t="s">
        <v>365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5" t="s">
        <v>2173</v>
      </c>
      <c r="E721" s="237" t="s">
        <v>2174</v>
      </c>
      <c r="F721" s="241" t="s">
        <v>51</v>
      </c>
      <c r="G721" s="243" t="s">
        <v>59</v>
      </c>
      <c r="H721" s="245" t="s">
        <v>2145</v>
      </c>
      <c r="I721" s="247" t="s">
        <v>2175</v>
      </c>
      <c r="J721" s="247" t="s">
        <v>2176</v>
      </c>
      <c r="K721" s="235" t="s">
        <v>32</v>
      </c>
      <c r="L721" s="302"/>
      <c r="M721" s="250"/>
      <c r="N721" s="251"/>
      <c r="O721" s="254"/>
      <c r="P721" s="254"/>
      <c r="Q721" s="254"/>
      <c r="R721" s="254">
        <f t="shared" ref="R721:R748" si="14">IF(B721="","",SUM(O721:Q721))</f>
        <v>0</v>
      </c>
      <c r="S721" s="235">
        <v>17.45</v>
      </c>
      <c r="T721" s="243" t="s">
        <v>2177</v>
      </c>
    </row>
    <row r="722" spans="1:20" ht="22.5" customHeight="1" x14ac:dyDescent="0.25">
      <c r="A722" s="189" t="str">
        <f>IF(B722="","",B722&amp;"-"&amp;TEXT(COUNTIF(B$2:B722,B722),"000"))</f>
        <v>2026-065</v>
      </c>
      <c r="B722" s="69">
        <v>2026</v>
      </c>
      <c r="C722" s="234" t="s">
        <v>2102</v>
      </c>
      <c r="D722" s="236" t="s">
        <v>2397</v>
      </c>
      <c r="E722" s="238" t="s">
        <v>2405</v>
      </c>
      <c r="F722" s="242" t="s">
        <v>51</v>
      </c>
      <c r="G722" s="244" t="s">
        <v>59</v>
      </c>
      <c r="H722" s="317" t="s">
        <v>2394</v>
      </c>
      <c r="I722" s="318" t="s">
        <v>2394</v>
      </c>
      <c r="J722" s="318" t="s">
        <v>2394</v>
      </c>
      <c r="K722" s="236" t="s">
        <v>32</v>
      </c>
      <c r="L722" s="302">
        <v>3520</v>
      </c>
      <c r="M722" s="250"/>
      <c r="N722" s="252">
        <v>30</v>
      </c>
      <c r="O722" s="255"/>
      <c r="P722" s="255"/>
      <c r="Q722" s="255"/>
      <c r="R722" s="319">
        <f t="shared" si="14"/>
        <v>0</v>
      </c>
      <c r="S722" s="236">
        <v>4</v>
      </c>
      <c r="T722" s="244" t="s">
        <v>2396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 t="shared" si="14"/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 t="shared" si="14"/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 t="shared" si="14"/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 t="shared" si="14"/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 t="shared" si="14"/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 t="shared" si="14"/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 t="shared" si="14"/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 t="shared" si="14"/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 t="shared" si="14"/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 t="shared" si="14"/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 t="shared" si="14"/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 t="shared" si="14"/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 t="shared" si="14"/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 t="shared" si="14"/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 t="shared" si="14"/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 t="shared" si="14"/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 t="shared" si="14"/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 t="shared" si="14"/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 t="shared" si="14"/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 t="shared" si="14"/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 t="shared" si="14"/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 t="shared" si="14"/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 t="shared" si="14"/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 t="shared" si="14"/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 t="shared" si="14"/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 t="shared" si="14"/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K69" sqref="K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2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6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2415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2415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2026-056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107</v>
      </c>
      <c r="T50">
        <v>103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112</v>
      </c>
      <c r="T51">
        <v>107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117</v>
      </c>
      <c r="T52">
        <v>112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122</v>
      </c>
      <c r="T53">
        <v>117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2026-061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127</v>
      </c>
      <c r="T54">
        <v>122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129</v>
      </c>
      <c r="T55">
        <v>127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2026-065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131</v>
      </c>
      <c r="T56">
        <v>129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131</v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X58" t="s">
        <v>2416</v>
      </c>
      <c r="Y58" s="321" t="s">
        <v>2413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X59" t="s">
        <v>2416</v>
      </c>
      <c r="Y59" t="s">
        <v>2412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2416</v>
      </c>
      <c r="Y60" t="s">
        <v>2411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Curso de formação sobre "Programa de Descentralização Progressiva das Ações de Saúde - PDPAS</v>
      </c>
      <c r="E105">
        <v>20</v>
      </c>
      <c r="F105" t="str">
        <v>Tarsila Firmino Ely</v>
      </c>
      <c r="G105">
        <v>4</v>
      </c>
      <c r="H105">
        <v>20</v>
      </c>
      <c r="I105">
        <v>3.6</v>
      </c>
      <c r="J105">
        <v>23.6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Curso de formação sobre "Programa de Descentralização Progressiva das Ações de Saúde - PDPAS</v>
      </c>
      <c r="E106">
        <v>20</v>
      </c>
      <c r="F106" t="str">
        <v>Sara Cristina Lins Ramos</v>
      </c>
      <c r="G106">
        <v>4</v>
      </c>
      <c r="H106">
        <v>8</v>
      </c>
      <c r="I106">
        <v>2.4</v>
      </c>
      <c r="J106">
        <v>10.4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Curso de formação sobre "Programa de Descentralização Progressiva das Ações de Saúde - PDPAS</v>
      </c>
      <c r="E107">
        <v>20</v>
      </c>
      <c r="F107" t="str">
        <v>Carina de Souza Mariuba Herthel</v>
      </c>
      <c r="G107">
        <v>4</v>
      </c>
      <c r="H107">
        <v>8</v>
      </c>
      <c r="I107">
        <v>2.4</v>
      </c>
      <c r="J107">
        <v>10.4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Curso de formação sobre "Programa de Descentralização Progressiva das Ações de Saúde - PDPAS</v>
      </c>
      <c r="E108">
        <v>20</v>
      </c>
      <c r="F108" t="str">
        <v>Elvis Aaron Teixeira dos Santos Lima</v>
      </c>
      <c r="G108">
        <v>4</v>
      </c>
      <c r="H108">
        <v>0</v>
      </c>
      <c r="I108">
        <v>0</v>
      </c>
      <c r="J108">
        <v>0</v>
      </c>
      <c r="R108" t="str">
        <v/>
      </c>
      <c r="S108" t="str">
        <v/>
      </c>
    </row>
    <row r="109" spans="1:19" x14ac:dyDescent="0.25">
      <c r="A109">
        <v>2026</v>
      </c>
      <c r="B109" t="str">
        <v>2026-058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2026-064</v>
      </c>
      <c r="C129" t="str">
        <v>A realizar</v>
      </c>
      <c r="D129" t="str">
        <v>Contratações de TIC com base na jurisprudência do TCDF - EAD</v>
      </c>
      <c r="E129">
        <v>17.45</v>
      </c>
      <c r="F129" t="str">
        <v>Flávio José Fonseca de Souza</v>
      </c>
      <c r="G129">
        <v>2</v>
      </c>
      <c r="H129">
        <v>17.45</v>
      </c>
      <c r="I129">
        <v>5.2349999999999994</v>
      </c>
      <c r="J129">
        <v>22.684999999999999</v>
      </c>
      <c r="R129" t="str">
        <v/>
      </c>
      <c r="S129" t="str">
        <v/>
      </c>
    </row>
    <row r="130" spans="1:19" x14ac:dyDescent="0.25">
      <c r="A130">
        <v>2026</v>
      </c>
      <c r="B130" t="str">
        <v>2026-064</v>
      </c>
      <c r="C130" t="str">
        <v>A realizar</v>
      </c>
      <c r="D130" t="str">
        <v>Contratações de TIC com base na jurisprudência do TCDF - EAD</v>
      </c>
      <c r="E130">
        <v>17.45</v>
      </c>
      <c r="F130" t="str">
        <v>Felipe da Costa Malaquias</v>
      </c>
      <c r="G130">
        <v>2</v>
      </c>
      <c r="H130">
        <v>17.45</v>
      </c>
      <c r="I130">
        <v>5.2349999999999994</v>
      </c>
      <c r="J130">
        <v>22.684999999999999</v>
      </c>
      <c r="R130" t="str">
        <v/>
      </c>
      <c r="S130" t="str">
        <v/>
      </c>
    </row>
    <row r="131" spans="1:19" x14ac:dyDescent="0.25">
      <c r="A131">
        <v>2026</v>
      </c>
      <c r="B131" t="str">
        <v>2026-065</v>
      </c>
      <c r="C131" t="str">
        <v>A realizar</v>
      </c>
      <c r="D131" t="str">
        <v>Oficina Temática - SEMAT: Matriz de Riscos em contratos de obras e serviços de engenharia</v>
      </c>
      <c r="E131">
        <v>4</v>
      </c>
      <c r="F131" t="str">
        <v>Silvia Lima Damasceno Carvalho</v>
      </c>
      <c r="G131">
        <v>2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2026-065</v>
      </c>
      <c r="C132" t="str">
        <v>A realizar</v>
      </c>
      <c r="D132" t="str">
        <v>Oficina Temática - SEMAT: Matriz de Riscos em contratos de obras e serviços de engenharia</v>
      </c>
      <c r="E132">
        <v>4</v>
      </c>
      <c r="F132" t="str">
        <v>Renan Dias da Silva</v>
      </c>
      <c r="G132">
        <v>2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R133" t="str">
        <v/>
      </c>
      <c r="S133" t="str">
        <v/>
      </c>
    </row>
    <row r="134" spans="1:19" x14ac:dyDescent="0.25">
      <c r="R134" t="str">
        <v/>
      </c>
      <c r="S134" t="str">
        <v/>
      </c>
    </row>
    <row r="135" spans="1:19" x14ac:dyDescent="0.25">
      <c r="R135" t="str">
        <v/>
      </c>
      <c r="S135" t="str">
        <v/>
      </c>
    </row>
    <row r="136" spans="1:19" x14ac:dyDescent="0.25">
      <c r="R136" t="str">
        <v/>
      </c>
      <c r="S136" t="str">
        <v/>
      </c>
    </row>
    <row r="137" spans="1:19" x14ac:dyDescent="0.25"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2291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6" t="s">
        <v>2292</v>
      </c>
      <c r="B4" s="327"/>
      <c r="D4" s="328" t="s">
        <v>2293</v>
      </c>
      <c r="E4" s="329"/>
      <c r="G4" s="123" t="s">
        <v>2294</v>
      </c>
    </row>
    <row r="5" spans="1:7" ht="54.95" customHeight="1" thickBot="1" x14ac:dyDescent="0.75">
      <c r="A5" s="113">
        <f>COUNTIF('Ações InCompany'!B:B,2026)</f>
        <v>65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24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3" t="s">
        <v>2296</v>
      </c>
      <c r="B8" s="323"/>
      <c r="D8" s="323" t="s">
        <v>2297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1776</v>
      </c>
    </row>
    <row r="30" spans="1:5" ht="17.25" x14ac:dyDescent="0.3">
      <c r="A30" s="323" t="s">
        <v>2306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0.34426229508196721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4.9180327868852458E-2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9.8360655737704916E-2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3.2786885245901641E-2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3.2786885245901641E-2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0.22950819672131148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6.5573770491803282E-2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0.11475409836065574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3.2786885245901641E-2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24</v>
      </c>
      <c r="D45" s="119">
        <f>SUM(D33:D44)</f>
        <v>61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2356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8" t="s">
        <v>2357</v>
      </c>
    </row>
    <row r="4" spans="1:8" ht="21.95" customHeight="1" x14ac:dyDescent="0.25">
      <c r="A4" s="331" t="s">
        <v>2358</v>
      </c>
      <c r="B4" s="332"/>
      <c r="D4" s="331" t="s">
        <v>2359</v>
      </c>
      <c r="E4" s="332"/>
      <c r="G4" s="331" t="s">
        <v>2360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6" t="s">
        <v>2366</v>
      </c>
      <c r="B1" s="336"/>
      <c r="C1" s="336"/>
      <c r="D1" s="336"/>
      <c r="E1" s="336"/>
      <c r="F1" s="336"/>
    </row>
    <row r="2" spans="1:7" x14ac:dyDescent="0.25">
      <c r="A2" s="337" t="s">
        <v>2367</v>
      </c>
      <c r="B2" s="337"/>
      <c r="C2" s="337"/>
      <c r="D2" s="337"/>
      <c r="E2" s="337"/>
      <c r="F2" s="337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4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Carina de Souza Mariuba Herthel</v>
      </c>
      <c r="B9" s="101">
        <f>IF($A9="","",SUMIFS('GECC 2026'!H$2:H$200,'GECC 2026'!F$2:F$200,$A9))</f>
        <v>8</v>
      </c>
      <c r="C9" s="101">
        <f>IF($A9="","",SUMIFS('GECC 2026'!I$2:I$200,'GECC 2026'!F$2:F$200,$A9))</f>
        <v>2.4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10.4</v>
      </c>
      <c r="F9" s="99">
        <f>IF($A9="","",COUNTIFS('GECC 2026'!F$2:F$200,$A9))</f>
        <v>1</v>
      </c>
    </row>
    <row r="10" spans="1:7" x14ac:dyDescent="0.25">
      <c r="A10" t="str">
        <v>Carlos Antônio</v>
      </c>
      <c r="B10" s="101">
        <f>IF($A10="","",SUMIFS('GECC 2026'!H$2:H$200,'GECC 2026'!F$2:F$200,$A10))</f>
        <v>4</v>
      </c>
      <c r="C10" s="101">
        <f>IF($A10="","",SUMIFS('GECC 2026'!I$2:I$200,'GECC 2026'!F$2:F$200,$A10))</f>
        <v>1.2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5.2</v>
      </c>
      <c r="F10" s="99">
        <f>IF($A10="","",COUNTIFS('GECC 2026'!F$2:F$200,$A10))</f>
        <v>1</v>
      </c>
    </row>
    <row r="11" spans="1:7" x14ac:dyDescent="0.25">
      <c r="A11" t="str">
        <v>Carolina Pereira de Oliveira</v>
      </c>
      <c r="B11" s="101">
        <f>IF($A11="","",SUMIFS('GECC 2026'!H$2:H$200,'GECC 2026'!F$2:F$200,$A11))</f>
        <v>8</v>
      </c>
      <c r="C11" s="101">
        <f>IF($A11="","",SUMIFS('GECC 2026'!I$2:I$200,'GECC 2026'!F$2:F$200,$A11))</f>
        <v>0.24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8.24</v>
      </c>
      <c r="F11" s="99">
        <f>IF($A11="","",COUNTIFS('GECC 2026'!F$2:F$200,$A11))</f>
        <v>1</v>
      </c>
    </row>
    <row r="12" spans="1:7" x14ac:dyDescent="0.25">
      <c r="A12" t="str">
        <v>Cássio Murilo Alves Costa Filho</v>
      </c>
      <c r="B12" s="101">
        <f>IF($A12="","",SUMIFS('GECC 2026'!H$2:H$200,'GECC 2026'!F$2:F$200,$A12))</f>
        <v>16</v>
      </c>
      <c r="C12" s="101">
        <f>IF($A12="","",SUMIFS('GECC 2026'!I$2:I$200,'GECC 2026'!F$2:F$200,$A12))</f>
        <v>4.8</v>
      </c>
      <c r="D12" s="214">
        <f>IF($A12="","",SUMIFS('GECC 2026'!$AE$3:$AE$32,'GECC 2026'!$AD$3:$AD$32,$A12))</f>
        <v>16</v>
      </c>
      <c r="E12" s="203">
        <f>IF($A12="","",SUMIFS('GECC 2026'!J$2:J$200,'GECC 2026'!F$2:F$200,$A12)+SUMIFS('GECC 2026'!$AE$3:$AE$32,'GECC 2026'!$AD$3:$AD$32,$A12))</f>
        <v>36.799999999999997</v>
      </c>
      <c r="F12" s="99">
        <f>IF($A12="","",COUNTIFS('GECC 2026'!F$2:F$200,$A12))</f>
        <v>1</v>
      </c>
    </row>
    <row r="13" spans="1:7" x14ac:dyDescent="0.25">
      <c r="A13" t="str">
        <v>Cinthia Thais de Carvalho Luz Thomazi</v>
      </c>
      <c r="B13" s="101">
        <f>IF($A13="","",SUMIFS('GECC 2026'!H$2:H$200,'GECC 2026'!F$2:F$200,$A13))</f>
        <v>76</v>
      </c>
      <c r="C13" s="101">
        <f>IF($A13="","",SUMIFS('GECC 2026'!I$2:I$200,'GECC 2026'!F$2:F$200,$A13))</f>
        <v>11.879999999999999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87.88000000000001</v>
      </c>
      <c r="F13" s="99">
        <f>IF($A13="","",COUNTIFS('GECC 2026'!F$2:F$200,$A13))</f>
        <v>12</v>
      </c>
    </row>
    <row r="14" spans="1:7" x14ac:dyDescent="0.25">
      <c r="A14" t="str">
        <v>Davi Assunção Salvador Nery de Castro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David da Silva de Araújo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Denise Duarte Guirra Kuhlmann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2.6399999999999997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14.64</v>
      </c>
      <c r="F16" s="99">
        <f>IF($A16="","",COUNTIFS('GECC 2026'!F$2:F$200,$A16))</f>
        <v>3</v>
      </c>
    </row>
    <row r="17" spans="1:6" x14ac:dyDescent="0.25">
      <c r="A17" t="str">
        <v>Diversos</v>
      </c>
      <c r="B17" s="101">
        <f>IF($A17="","",SUMIFS('GECC 2026'!H$2:H$200,'GECC 2026'!F$2:F$200,$A17))</f>
        <v>24</v>
      </c>
      <c r="C17" s="101">
        <f>IF($A17="","",SUMIFS('GECC 2026'!I$2:I$200,'GECC 2026'!F$2:F$200,$A17))</f>
        <v>7.2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31.2</v>
      </c>
      <c r="F17" s="99">
        <f>IF($A17="","",COUNTIFS('GECC 2026'!F$2:F$200,$A17))</f>
        <v>2</v>
      </c>
    </row>
    <row r="18" spans="1:6" x14ac:dyDescent="0.25">
      <c r="A18" t="str">
        <v>Douglas Vieira Silva Filho</v>
      </c>
      <c r="B18" s="101">
        <f>IF($A18="","",SUMIFS('GECC 2026'!H$2:H$200,'GECC 2026'!F$2:F$200,$A18))</f>
        <v>4</v>
      </c>
      <c r="C18" s="101">
        <f>IF($A18="","",SUMIFS('GECC 2026'!I$2:I$200,'GECC 2026'!F$2:F$200,$A18))</f>
        <v>0.6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4.5999999999999996</v>
      </c>
      <c r="F18" s="99">
        <f>IF($A18="","",COUNTIFS('GECC 2026'!F$2:F$200,$A18))</f>
        <v>1</v>
      </c>
    </row>
    <row r="19" spans="1:6" x14ac:dyDescent="0.25">
      <c r="A19" t="str">
        <v>Elvis Aaron Teixeira dos Santos Lima</v>
      </c>
      <c r="B19" s="101">
        <f>IF($A19="","",SUMIFS('GECC 2026'!H$2:H$200,'GECC 2026'!F$2:F$200,$A19))</f>
        <v>0</v>
      </c>
      <c r="C19" s="101">
        <f>IF($A19="","",SUMIFS('GECC 2026'!I$2:I$200,'GECC 2026'!F$2:F$200,$A19))</f>
        <v>0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0</v>
      </c>
      <c r="F19" s="99">
        <f>IF($A19="","",COUNTIFS('GECC 2026'!F$2:F$200,$A19))</f>
        <v>1</v>
      </c>
    </row>
    <row r="20" spans="1:6" x14ac:dyDescent="0.25">
      <c r="A20" t="str">
        <v>Eustáquio Rabelo de Souza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Felipe da Costa Malaquias</v>
      </c>
      <c r="B21" s="101">
        <f>IF($A21="","",SUMIFS('GECC 2026'!H$2:H$200,'GECC 2026'!F$2:F$200,$A21))</f>
        <v>25.45</v>
      </c>
      <c r="C21" s="101">
        <f>IF($A21="","",SUMIFS('GECC 2026'!I$2:I$200,'GECC 2026'!F$2:F$200,$A21))</f>
        <v>7.6349999999999998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33.085000000000001</v>
      </c>
      <c r="F21" s="99">
        <f>IF($A21="","",COUNTIFS('GECC 2026'!F$2:F$200,$A21))</f>
        <v>2</v>
      </c>
    </row>
    <row r="22" spans="1:6" x14ac:dyDescent="0.25">
      <c r="A22" t="str">
        <v>Felipe Ramos Barbosa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0.24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8.24</v>
      </c>
      <c r="F22" s="99">
        <f>IF($A22="","",COUNTIFS('GECC 2026'!F$2:F$200,$A22))</f>
        <v>1</v>
      </c>
    </row>
    <row r="23" spans="1:6" x14ac:dyDescent="0.25">
      <c r="A23" t="str">
        <v>Fernanda Viana de Souza</v>
      </c>
      <c r="B23" s="101">
        <f>IF($A23="","",SUMIFS('GECC 2026'!H$2:H$200,'GECC 2026'!F$2:F$200,$A23))</f>
        <v>39</v>
      </c>
      <c r="C23" s="101">
        <f>IF($A23="","",SUMIFS('GECC 2026'!I$2:I$200,'GECC 2026'!F$2:F$200,$A23))</f>
        <v>8.370000000000001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47.370000000000012</v>
      </c>
      <c r="F23" s="99">
        <f>IF($A23="","",COUNTIFS('GECC 2026'!F$2:F$200,$A23))</f>
        <v>10</v>
      </c>
    </row>
    <row r="24" spans="1:6" x14ac:dyDescent="0.25">
      <c r="A24" t="str">
        <v>Flávio José Fonseca de Souza</v>
      </c>
      <c r="B24" s="101">
        <f>IF($A24="","",SUMIFS('GECC 2026'!H$2:H$200,'GECC 2026'!F$2:F$200,$A24))</f>
        <v>25.45</v>
      </c>
      <c r="C24" s="101">
        <f>IF($A24="","",SUMIFS('GECC 2026'!I$2:I$200,'GECC 2026'!F$2:F$200,$A24))</f>
        <v>7.6349999999999998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33.085000000000001</v>
      </c>
      <c r="F24" s="99">
        <f>IF($A24="","",COUNTIFS('GECC 2026'!F$2:F$200,$A24))</f>
        <v>2</v>
      </c>
    </row>
    <row r="25" spans="1:6" x14ac:dyDescent="0.25">
      <c r="A25" t="str">
        <v>Gabriel Heller</v>
      </c>
      <c r="B25" s="101">
        <f>IF($A25="","",SUMIFS('GECC 2026'!H$2:H$200,'GECC 2026'!F$2:F$200,$A25))</f>
        <v>28</v>
      </c>
      <c r="C25" s="101">
        <f>IF($A25="","",SUMIFS('GECC 2026'!I$2:I$200,'GECC 2026'!F$2:F$200,$A25))</f>
        <v>5.52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33.520000000000003</v>
      </c>
      <c r="F25" s="99">
        <f>IF($A25="","",COUNTIFS('GECC 2026'!F$2:F$200,$A25))</f>
        <v>2</v>
      </c>
    </row>
    <row r="26" spans="1:6" x14ac:dyDescent="0.25">
      <c r="A26" t="str">
        <v>Guilherme Bride Fernandes</v>
      </c>
      <c r="B26" s="101">
        <f>IF($A26="","",SUMIFS('GECC 2026'!H$2:H$200,'GECC 2026'!F$2:F$200,$A26))</f>
        <v>8</v>
      </c>
      <c r="C26" s="101">
        <f>IF($A26="","",SUMIFS('GECC 2026'!I$2:I$200,'GECC 2026'!F$2:F$200,$A26))</f>
        <v>0.24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8.24</v>
      </c>
      <c r="F26" s="99">
        <f>IF($A26="","",COUNTIFS('GECC 2026'!F$2:F$200,$A26))</f>
        <v>1</v>
      </c>
    </row>
    <row r="27" spans="1:6" x14ac:dyDescent="0.25">
      <c r="A27" t="str">
        <v>Gustavo Takahashi</v>
      </c>
      <c r="B27" s="101">
        <f>IF($A27="","",SUMIFS('GECC 2026'!H$2:H$200,'GECC 2026'!F$2:F$200,$A27))</f>
        <v>33</v>
      </c>
      <c r="C27" s="101">
        <f>IF($A27="","",SUMIFS('GECC 2026'!I$2:I$200,'GECC 2026'!F$2:F$200,$A27))</f>
        <v>3.5999999999999996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36.599999999999994</v>
      </c>
      <c r="F27" s="99">
        <f>IF($A27="","",COUNTIFS('GECC 2026'!F$2:F$200,$A27))</f>
        <v>5</v>
      </c>
    </row>
    <row r="28" spans="1:6" x14ac:dyDescent="0.25">
      <c r="A28" t="str">
        <v>Hamilton de Jesus Lopes Neto</v>
      </c>
      <c r="B28" s="101">
        <f>IF($A28="","",SUMIFS('GECC 2026'!H$2:H$200,'GECC 2026'!F$2:F$200,$A28))</f>
        <v>12</v>
      </c>
      <c r="C28" s="101">
        <f>IF($A28="","",SUMIFS('GECC 2026'!I$2:I$200,'GECC 2026'!F$2:F$200,$A28))</f>
        <v>1.2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13.2</v>
      </c>
      <c r="F28" s="99">
        <f>IF($A28="","",COUNTIFS('GECC 2026'!F$2:F$200,$A28))</f>
        <v>1</v>
      </c>
    </row>
    <row r="29" spans="1:6" x14ac:dyDescent="0.25">
      <c r="A29" t="str">
        <v>Igor Queiroz</v>
      </c>
      <c r="B29" s="101">
        <f>IF($A29="","",SUMIFS('GECC 2026'!H$2:H$200,'GECC 2026'!F$2:F$200,$A29))</f>
        <v>8</v>
      </c>
      <c r="C29" s="101">
        <f>IF($A29="","",SUMIFS('GECC 2026'!I$2:I$200,'GECC 2026'!F$2:F$200,$A29))</f>
        <v>0.24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8.24</v>
      </c>
      <c r="F29" s="99">
        <f>IF($A29="","",COUNTIFS('GECC 2026'!F$2:F$200,$A29))</f>
        <v>1</v>
      </c>
    </row>
    <row r="30" spans="1:6" x14ac:dyDescent="0.25">
      <c r="A30" t="str">
        <v>Indio Artiaga do Brasil Rabelo</v>
      </c>
      <c r="B30" s="101">
        <f>IF($A30="","",SUMIFS('GECC 2026'!H$2:H$200,'GECC 2026'!F$2:F$200,$A30))</f>
        <v>16</v>
      </c>
      <c r="C30" s="101">
        <f>IF($A30="","",SUMIFS('GECC 2026'!I$2:I$200,'GECC 2026'!F$2:F$200,$A30))</f>
        <v>2.4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18.399999999999999</v>
      </c>
      <c r="F30" s="99">
        <f>IF($A30="","",COUNTIFS('GECC 2026'!F$2:F$200,$A30))</f>
        <v>2</v>
      </c>
    </row>
    <row r="31" spans="1:6" x14ac:dyDescent="0.25">
      <c r="A31" t="str">
        <v>Jamile Medeiros Fon</v>
      </c>
      <c r="B31" s="101">
        <f>IF($A31="","",SUMIFS('GECC 2026'!H$2:H$200,'GECC 2026'!F$2:F$200,$A31))</f>
        <v>4</v>
      </c>
      <c r="C31" s="101">
        <f>IF($A31="","",SUMIFS('GECC 2026'!I$2:I$200,'GECC 2026'!F$2:F$200,$A31))</f>
        <v>0.6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4.5999999999999996</v>
      </c>
      <c r="F31" s="99">
        <f>IF($A31="","",COUNTIFS('GECC 2026'!F$2:F$200,$A31))</f>
        <v>1</v>
      </c>
    </row>
    <row r="32" spans="1:6" x14ac:dyDescent="0.25">
      <c r="A32" t="str">
        <v>José Roberto Alcuri Júnior</v>
      </c>
      <c r="B32" s="101">
        <f>IF($A32="","",SUMIFS('GECC 2026'!H$2:H$200,'GECC 2026'!F$2:F$200,$A32))</f>
        <v>12</v>
      </c>
      <c r="C32" s="101">
        <f>IF($A32="","",SUMIFS('GECC 2026'!I$2:I$200,'GECC 2026'!F$2:F$200,$A32))</f>
        <v>0.84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12.84</v>
      </c>
      <c r="F32" s="99">
        <f>IF($A32="","",COUNTIFS('GECC 2026'!F$2:F$200,$A32))</f>
        <v>2</v>
      </c>
    </row>
    <row r="33" spans="1:6" x14ac:dyDescent="0.25">
      <c r="A33" t="str">
        <v>Leonardo de Melo</v>
      </c>
      <c r="B33" s="101">
        <f>IF($A33="","",SUMIFS('GECC 2026'!H$2:H$200,'GECC 2026'!F$2:F$200,$A33))</f>
        <v>16</v>
      </c>
      <c r="C33" s="101">
        <f>IF($A33="","",SUMIFS('GECC 2026'!I$2:I$200,'GECC 2026'!F$2:F$200,$A33))</f>
        <v>2.4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18.399999999999999</v>
      </c>
      <c r="F33" s="99">
        <f>IF($A33="","",COUNTIFS('GECC 2026'!F$2:F$200,$A33))</f>
        <v>2</v>
      </c>
    </row>
    <row r="34" spans="1:6" x14ac:dyDescent="0.25">
      <c r="A34" t="str">
        <v>Leonardo José Alves Leal Neri</v>
      </c>
      <c r="B34" s="101">
        <f>IF($A34="","",SUMIFS('GECC 2026'!H$2:H$200,'GECC 2026'!F$2:F$200,$A34))</f>
        <v>40</v>
      </c>
      <c r="C34" s="101">
        <f>IF($A34="","",SUMIFS('GECC 2026'!I$2:I$200,'GECC 2026'!F$2:F$200,$A34))</f>
        <v>12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52</v>
      </c>
      <c r="F34" s="99">
        <f>IF($A34="","",COUNTIFS('GECC 2026'!F$2:F$200,$A34))</f>
        <v>2</v>
      </c>
    </row>
    <row r="35" spans="1:6" x14ac:dyDescent="0.25">
      <c r="A35" t="str">
        <v>Luciana Alvim</v>
      </c>
      <c r="B35" s="101">
        <f>IF($A35="","",SUMIFS('GECC 2026'!H$2:H$200,'GECC 2026'!F$2:F$200,$A35))</f>
        <v>60</v>
      </c>
      <c r="C35" s="101">
        <f>IF($A35="","",SUMIFS('GECC 2026'!I$2:I$200,'GECC 2026'!F$2:F$200,$A35))</f>
        <v>74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134</v>
      </c>
      <c r="F35" s="99">
        <f>IF($A35="","",COUNTIFS('GECC 2026'!F$2:F$200,$A35))</f>
        <v>6</v>
      </c>
    </row>
    <row r="36" spans="1:6" x14ac:dyDescent="0.25">
      <c r="A36" t="str">
        <v>Luiz Felipe Tenório de Lima Gondim</v>
      </c>
      <c r="B36" s="101">
        <f>IF($A36="","",SUMIFS('GECC 2026'!H$2:H$200,'GECC 2026'!F$2:F$200,$A36))</f>
        <v>24</v>
      </c>
      <c r="C36" s="101">
        <f>IF($A36="","",SUMIFS('GECC 2026'!I$2:I$200,'GECC 2026'!F$2:F$200,$A36))</f>
        <v>5.28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29.279999999999998</v>
      </c>
      <c r="F36" s="99">
        <f>IF($A36="","",COUNTIFS('GECC 2026'!F$2:F$200,$A36))</f>
        <v>6</v>
      </c>
    </row>
    <row r="37" spans="1:6" x14ac:dyDescent="0.25">
      <c r="A37" t="str">
        <v>Marcelo Bálbio Moraes</v>
      </c>
      <c r="B37" s="101">
        <f>IF($A37="","",SUMIFS('GECC 2026'!H$2:H$200,'GECC 2026'!F$2:F$200,$A37))</f>
        <v>0</v>
      </c>
      <c r="C37" s="101">
        <f>IF($A37="","",SUMIFS('GECC 2026'!I$2:I$200,'GECC 2026'!F$2:F$200,$A37))</f>
        <v>0</v>
      </c>
      <c r="D37" s="214">
        <f>IF($A37="","",SUMIFS('GECC 2026'!$AE$3:$AE$32,'GECC 2026'!$AD$3:$AD$32,$A37))</f>
        <v>16</v>
      </c>
      <c r="E37" s="203">
        <f>IF($A37="","",SUMIFS('GECC 2026'!J$2:J$200,'GECC 2026'!F$2:F$200,$A37)+SUMIFS('GECC 2026'!$AE$3:$AE$32,'GECC 2026'!$AD$3:$AD$32,$A37))</f>
        <v>16</v>
      </c>
      <c r="F37" s="99">
        <f>IF($A37="","",COUNTIFS('GECC 2026'!F$2:F$200,$A37))</f>
        <v>0</v>
      </c>
    </row>
    <row r="38" spans="1:6" x14ac:dyDescent="0.25">
      <c r="A38" t="str">
        <v>Marcelo Santana</v>
      </c>
      <c r="B38" s="101">
        <f>IF($A38="","",SUMIFS('GECC 2026'!H$2:H$200,'GECC 2026'!F$2:F$200,$A38))</f>
        <v>8</v>
      </c>
      <c r="C38" s="101">
        <f>IF($A38="","",SUMIFS('GECC 2026'!I$2:I$200,'GECC 2026'!F$2:F$200,$A38))</f>
        <v>0.24</v>
      </c>
      <c r="D38" s="214">
        <f>IF($A38="","",SUMIFS('GECC 2026'!$AE$3:$AE$32,'GECC 2026'!$AD$3:$AD$32,$A38))</f>
        <v>0</v>
      </c>
      <c r="E38" s="203">
        <f>IF($A38="","",SUMIFS('GECC 2026'!J$2:J$200,'GECC 2026'!F$2:F$200,$A38)+SUMIFS('GECC 2026'!$AE$3:$AE$32,'GECC 2026'!$AD$3:$AD$32,$A38))</f>
        <v>8.24</v>
      </c>
      <c r="F38" s="99">
        <f>IF($A38="","",COUNTIFS('GECC 2026'!F$2:F$200,$A38))</f>
        <v>1</v>
      </c>
    </row>
    <row r="39" spans="1:6" x14ac:dyDescent="0.25">
      <c r="A39" t="str">
        <v>Marcelo Silva Santana</v>
      </c>
      <c r="B39" s="101">
        <f>IF($A39="","",SUMIFS('GECC 2026'!H$2:H$200,'GECC 2026'!F$2:F$200,$A39))</f>
        <v>4</v>
      </c>
      <c r="C39" s="101">
        <f>IF($A39="","",SUMIFS('GECC 2026'!I$2:I$200,'GECC 2026'!F$2:F$200,$A39))</f>
        <v>0.6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4.5999999999999996</v>
      </c>
      <c r="F39" s="99">
        <f>IF($A39="","",COUNTIFS('GECC 2026'!F$2:F$200,$A39))</f>
        <v>1</v>
      </c>
    </row>
    <row r="40" spans="1:6" x14ac:dyDescent="0.25">
      <c r="A40" t="str">
        <v>Mauri Siqueira Montessi</v>
      </c>
      <c r="B40" s="101">
        <f>IF($A40="","",SUMIFS('GECC 2026'!H$2:H$200,'GECC 2026'!F$2:F$200,$A40))</f>
        <v>0</v>
      </c>
      <c r="C40" s="101">
        <f>IF($A40="","",SUMIFS('GECC 2026'!I$2:I$200,'GECC 2026'!F$2:F$200,$A40))</f>
        <v>0</v>
      </c>
      <c r="D40" s="214">
        <f>IF($A40="","",SUMIFS('GECC 2026'!$AE$3:$AE$32,'GECC 2026'!$AD$3:$AD$32,$A40))</f>
        <v>16</v>
      </c>
      <c r="E40" s="203">
        <f>IF($A40="","",SUMIFS('GECC 2026'!J$2:J$200,'GECC 2026'!F$2:F$200,$A40)+SUMIFS('GECC 2026'!$AE$3:$AE$32,'GECC 2026'!$AD$3:$AD$32,$A40))</f>
        <v>16</v>
      </c>
      <c r="F40" s="99">
        <f>IF($A40="","",COUNTIFS('GECC 2026'!F$2:F$200,$A40))</f>
        <v>0</v>
      </c>
    </row>
    <row r="41" spans="1:6" x14ac:dyDescent="0.25">
      <c r="A41" t="str">
        <v>Michel Martins de Morais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Paulo José Góes Daltro</v>
      </c>
      <c r="B42" s="101">
        <f>IF($A42="","",SUMIFS('GECC 2026'!H$2:H$200,'GECC 2026'!F$2:F$200,$A42))</f>
        <v>28</v>
      </c>
      <c r="C42" s="101">
        <f>IF($A42="","",SUMIFS('GECC 2026'!I$2:I$200,'GECC 2026'!F$2:F$200,$A42))</f>
        <v>8.3999999999999986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36.4</v>
      </c>
      <c r="F42" s="99">
        <f>IF($A42="","",COUNTIFS('GECC 2026'!F$2:F$200,$A42))</f>
        <v>3</v>
      </c>
    </row>
    <row r="43" spans="1:6" x14ac:dyDescent="0.25">
      <c r="A43" t="str">
        <v>Priscila Nolasco de Oliveira</v>
      </c>
      <c r="B43" s="101">
        <f>IF($A43="","",SUMIFS('GECC 2026'!H$2:H$200,'GECC 2026'!F$2:F$200,$A43))</f>
        <v>36</v>
      </c>
      <c r="C43" s="101">
        <f>IF($A43="","",SUMIFS('GECC 2026'!I$2:I$200,'GECC 2026'!F$2:F$200,$A43))</f>
        <v>6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42.000000000000007</v>
      </c>
      <c r="F43" s="99">
        <f>IF($A43="","",COUNTIFS('GECC 2026'!F$2:F$200,$A43))</f>
        <v>9</v>
      </c>
    </row>
    <row r="44" spans="1:6" x14ac:dyDescent="0.25">
      <c r="A44" t="str">
        <v>Reinaldo Alencar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Renan Dias da Silva</v>
      </c>
      <c r="B45" s="101">
        <f>IF($A45="","",SUMIFS('GECC 2026'!H$2:H$200,'GECC 2026'!F$2:F$200,$A45))</f>
        <v>4</v>
      </c>
      <c r="C45" s="101">
        <f>IF($A45="","",SUMIFS('GECC 2026'!I$2:I$200,'GECC 2026'!F$2:F$200,$A45))</f>
        <v>1.2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5.2</v>
      </c>
      <c r="F45" s="99">
        <f>IF($A45="","",COUNTIFS('GECC 2026'!F$2:F$200,$A45))</f>
        <v>1</v>
      </c>
    </row>
    <row r="46" spans="1:6" x14ac:dyDescent="0.25">
      <c r="A46" t="str">
        <v>Rogério Ribeiro</v>
      </c>
      <c r="B46" s="101">
        <f>IF($A46="","",SUMIFS('GECC 2026'!H$2:H$200,'GECC 2026'!F$2:F$200,$A46))</f>
        <v>56</v>
      </c>
      <c r="C46" s="101">
        <f>IF($A46="","",SUMIFS('GECC 2026'!I$2:I$200,'GECC 2026'!F$2:F$200,$A46))</f>
        <v>7.3199999999999994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63.32</v>
      </c>
      <c r="F46" s="99">
        <f>IF($A46="","",COUNTIFS('GECC 2026'!F$2:F$200,$A46))</f>
        <v>3</v>
      </c>
    </row>
    <row r="47" spans="1:6" x14ac:dyDescent="0.25">
      <c r="A47" t="str">
        <v>Rômulo Miranda Alvim</v>
      </c>
      <c r="B47" s="101">
        <f>IF($A47="","",SUMIFS('GECC 2026'!H$2:H$200,'GECC 2026'!F$2:F$200,$A47))</f>
        <v>32</v>
      </c>
      <c r="C47" s="101">
        <f>IF($A47="","",SUMIFS('GECC 2026'!I$2:I$200,'GECC 2026'!F$2:F$200,$A47))</f>
        <v>3.7199999999999998</v>
      </c>
      <c r="D47" s="214">
        <f>IF($A47="","",SUMIFS('GECC 2026'!$AE$3:$AE$32,'GECC 2026'!$AD$3:$AD$32,$A47))</f>
        <v>16</v>
      </c>
      <c r="E47" s="203">
        <f>IF($A47="","",SUMIFS('GECC 2026'!J$2:J$200,'GECC 2026'!F$2:F$200,$A47)+SUMIFS('GECC 2026'!$AE$3:$AE$32,'GECC 2026'!$AD$3:$AD$32,$A47))</f>
        <v>51.72</v>
      </c>
      <c r="F47" s="99">
        <f>IF($A47="","",COUNTIFS('GECC 2026'!F$2:F$200,$A47))</f>
        <v>2</v>
      </c>
    </row>
    <row r="48" spans="1:6" x14ac:dyDescent="0.25">
      <c r="A48" t="str">
        <v>Sara Cristina Lins Ramos</v>
      </c>
      <c r="B48" s="101">
        <f>IF($A48="","",SUMIFS('GECC 2026'!H$2:H$200,'GECC 2026'!F$2:F$200,$A48))</f>
        <v>8</v>
      </c>
      <c r="C48" s="101">
        <f>IF($A48="","",SUMIFS('GECC 2026'!I$2:I$200,'GECC 2026'!F$2:F$200,$A48))</f>
        <v>2.4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10.4</v>
      </c>
      <c r="F48" s="99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101">
        <f>IF($A49="","",SUMIFS('GECC 2026'!H$2:H$200,'GECC 2026'!F$2:F$200,$A49))</f>
        <v>0</v>
      </c>
      <c r="C49" s="101">
        <f>IF($A49="","",SUMIFS('GECC 2026'!I$2:I$200,'GECC 2026'!F$2:F$200,$A49))</f>
        <v>0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0</v>
      </c>
      <c r="F49" s="99">
        <f>IF($A49="","",COUNTIFS('GECC 2026'!F$2:F$200,$A49))</f>
        <v>1</v>
      </c>
    </row>
    <row r="50" spans="1:6" x14ac:dyDescent="0.25">
      <c r="A50" t="str">
        <v>Silvia Lima Damasceno Carvalho</v>
      </c>
      <c r="B50" s="101">
        <f>IF($A50="","",SUMIFS('GECC 2026'!H$2:H$200,'GECC 2026'!F$2:F$200,$A50))</f>
        <v>28</v>
      </c>
      <c r="C50" s="101">
        <f>IF($A50="","",SUMIFS('GECC 2026'!I$2:I$200,'GECC 2026'!F$2:F$200,$A50))</f>
        <v>3.84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31.84</v>
      </c>
      <c r="F50" s="99">
        <f>IF($A50="","",COUNTIFS('GECC 2026'!F$2:F$200,$A50))</f>
        <v>6</v>
      </c>
    </row>
    <row r="51" spans="1:6" x14ac:dyDescent="0.25">
      <c r="A51" t="str">
        <v>Tarsila Firmino Ely</v>
      </c>
      <c r="B51" s="101">
        <f>IF($A51="","",SUMIFS('GECC 2026'!H$2:H$200,'GECC 2026'!F$2:F$200,$A51))</f>
        <v>76</v>
      </c>
      <c r="C51" s="101">
        <f>IF($A51="","",SUMIFS('GECC 2026'!I$2:I$200,'GECC 2026'!F$2:F$200,$A51))</f>
        <v>79.999999999999986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155.99999999999997</v>
      </c>
      <c r="F51" s="99">
        <f>IF($A51="","",COUNTIFS('GECC 2026'!F$2:F$200,$A51))</f>
        <v>6</v>
      </c>
    </row>
    <row r="52" spans="1:6" x14ac:dyDescent="0.25">
      <c r="A52" t="str">
        <v>Thiago Magalhães de Oliveira</v>
      </c>
      <c r="B52" s="101">
        <f>IF($A52="","",SUMIFS('GECC 2026'!H$2:H$200,'GECC 2026'!F$2:F$200,$A52))</f>
        <v>4</v>
      </c>
      <c r="C52" s="101">
        <f>IF($A52="","",SUMIFS('GECC 2026'!I$2:I$200,'GECC 2026'!F$2:F$200,$A52))</f>
        <v>0.6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4.5999999999999996</v>
      </c>
      <c r="F52" s="99">
        <f>IF($A52="","",COUNTIFS('GECC 2026'!F$2:F$200,$A52))</f>
        <v>1</v>
      </c>
    </row>
    <row r="53" spans="1:6" x14ac:dyDescent="0.25">
      <c r="A53" t="str">
        <v>Túllio Herbeth Teixeira Moraes</v>
      </c>
      <c r="B53" s="101">
        <f>IF($A53="","",SUMIFS('GECC 2026'!H$2:H$200,'GECC 2026'!F$2:F$200,$A53))</f>
        <v>3</v>
      </c>
      <c r="C53" s="101">
        <f>IF($A53="","",SUMIFS('GECC 2026'!I$2:I$200,'GECC 2026'!F$2:F$200,$A53))</f>
        <v>0.44999999999999996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3.45</v>
      </c>
      <c r="F53" s="99">
        <f>IF($A53="","",COUNTIFS('GECC 2026'!F$2:F$200,$A53))</f>
        <v>1</v>
      </c>
    </row>
    <row r="54" spans="1:6" x14ac:dyDescent="0.25">
      <c r="A54" t="str">
        <v>Wibys Pereira</v>
      </c>
      <c r="B54" s="101">
        <f>IF($A54="","",SUMIFS('GECC 2026'!H$2:H$200,'GECC 2026'!F$2:F$200,$A54))</f>
        <v>4</v>
      </c>
      <c r="C54" s="101">
        <f>IF($A54="","",SUMIFS('GECC 2026'!I$2:I$200,'GECC 2026'!F$2:F$200,$A54))</f>
        <v>0.6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4.5999999999999996</v>
      </c>
      <c r="F54" s="99">
        <f>IF($A54="","",COUNTIFS('GECC 2026'!F$2:F$200,$A54))</f>
        <v>1</v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1002.9</v>
      </c>
      <c r="C105" s="205">
        <f>SUM(C5:C100)</f>
        <v>310.45000000000005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2026-07-27T20:30:48Z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