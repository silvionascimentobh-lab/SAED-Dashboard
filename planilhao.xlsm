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58" documentId="13_ncr:1_{6A2CC3E2-FAFB-4D8F-B284-5E8FB5045DFE}" xr6:coauthVersionLast="47" xr6:coauthVersionMax="47" xr10:uidLastSave="{641955FB-A84F-43BD-BECD-6F5C85409FB0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E110" i="28" s="1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E61" i="23" l="1"/>
  <c r="B50" i="23"/>
  <c r="C18" i="23"/>
  <c r="E34" i="23"/>
  <c r="B56" i="23"/>
  <c r="D56" i="23"/>
  <c r="E14" i="23"/>
  <c r="E18" i="23"/>
  <c r="B31" i="23"/>
  <c r="F55" i="23"/>
  <c r="E9" i="23"/>
  <c r="E44" i="23"/>
  <c r="D59" i="23"/>
  <c r="D23" i="23"/>
  <c r="B21" i="23"/>
  <c r="F7" i="23"/>
  <c r="E58" i="23"/>
  <c r="E8" i="23"/>
  <c r="F60" i="23"/>
  <c r="C42" i="23"/>
  <c r="E12" i="23"/>
  <c r="E33" i="23"/>
  <c r="D31" i="23"/>
  <c r="D30" i="23"/>
  <c r="C11" i="23"/>
  <c r="F51" i="23"/>
  <c r="F11" i="23"/>
  <c r="D29" i="23"/>
  <c r="F25" i="23"/>
  <c r="D21" i="23"/>
  <c r="B16" i="23"/>
  <c r="B25" i="23"/>
  <c r="C58" i="23"/>
  <c r="F53" i="23"/>
  <c r="D58" i="23"/>
  <c r="D7" i="23"/>
  <c r="B51" i="23"/>
  <c r="D18" i="23"/>
  <c r="C13" i="23"/>
  <c r="C57" i="23"/>
  <c r="D11" i="23"/>
  <c r="D45" i="23"/>
  <c r="C52" i="23"/>
  <c r="B34" i="23"/>
  <c r="E59" i="23"/>
  <c r="F21" i="23"/>
  <c r="D15" i="23"/>
  <c r="F14" i="23"/>
  <c r="D16" i="23"/>
  <c r="D9" i="23"/>
  <c r="B43" i="23"/>
  <c r="C26" i="23"/>
  <c r="D40" i="23"/>
  <c r="C34" i="23"/>
  <c r="C59" i="23"/>
  <c r="B20" i="23"/>
  <c r="B24" i="23"/>
  <c r="C19" i="23"/>
  <c r="C8" i="23"/>
  <c r="D39" i="23"/>
  <c r="E39" i="23"/>
  <c r="E50" i="23"/>
  <c r="E23" i="23"/>
  <c r="F34" i="23"/>
  <c r="D51" i="23"/>
  <c r="C17" i="23"/>
  <c r="C55" i="23"/>
  <c r="C22" i="23"/>
  <c r="F18" i="23"/>
  <c r="B18" i="23"/>
  <c r="D6" i="23"/>
  <c r="F24" i="23"/>
  <c r="E30" i="23"/>
  <c r="E37" i="23"/>
  <c r="D32" i="23"/>
  <c r="B32" i="23"/>
  <c r="B48" i="23"/>
  <c r="D14" i="23"/>
  <c r="E17" i="23"/>
  <c r="D13" i="23"/>
  <c r="B28" i="23"/>
  <c r="D22" i="23"/>
  <c r="E13" i="23"/>
  <c r="F22" i="23"/>
  <c r="B54" i="23"/>
  <c r="B49" i="23"/>
  <c r="F30" i="23"/>
  <c r="C60" i="23"/>
  <c r="E6" i="23"/>
  <c r="C61" i="23"/>
  <c r="C51" i="23"/>
  <c r="D57" i="23"/>
  <c r="C15" i="23"/>
  <c r="F57" i="23"/>
  <c r="C7" i="23"/>
  <c r="F59" i="23"/>
  <c r="F48" i="23"/>
  <c r="F46" i="23"/>
  <c r="D54" i="23"/>
  <c r="B38" i="23"/>
  <c r="B33" i="23"/>
  <c r="F37" i="23"/>
  <c r="C44" i="23"/>
  <c r="D60" i="23"/>
  <c r="E48" i="23"/>
  <c r="D44" i="23"/>
  <c r="C38" i="23"/>
  <c r="E28" i="23"/>
  <c r="B39" i="23"/>
  <c r="E49" i="23"/>
  <c r="E31" i="23"/>
  <c r="E52" i="23"/>
  <c r="E32" i="23"/>
  <c r="F19" i="23"/>
  <c r="C53" i="23"/>
  <c r="F33" i="23"/>
  <c r="F39" i="23"/>
  <c r="B7" i="23"/>
  <c r="C21" i="23"/>
  <c r="D25" i="23"/>
  <c r="C9" i="23"/>
  <c r="D52" i="23"/>
  <c r="E56" i="23"/>
  <c r="C49" i="23"/>
  <c r="D34" i="23"/>
  <c r="C48" i="23"/>
  <c r="B36" i="23"/>
  <c r="C56" i="23"/>
  <c r="F42" i="23"/>
  <c r="D35" i="23"/>
  <c r="E54" i="23"/>
  <c r="B17" i="23"/>
  <c r="F20" i="23"/>
  <c r="F44" i="23"/>
  <c r="B12" i="23"/>
  <c r="F50" i="23"/>
  <c r="F26" i="23"/>
  <c r="F40" i="23"/>
  <c r="B22" i="23"/>
  <c r="D49" i="23"/>
  <c r="F9" i="23"/>
  <c r="E41" i="23"/>
  <c r="D47" i="23"/>
  <c r="F23" i="23"/>
  <c r="E7" i="23"/>
  <c r="F52" i="23"/>
  <c r="B55" i="23"/>
  <c r="B27" i="23"/>
  <c r="B10" i="23"/>
  <c r="B23" i="23"/>
  <c r="D8" i="23"/>
  <c r="E51" i="23"/>
  <c r="C28" i="23"/>
  <c r="C30" i="23"/>
  <c r="F16" i="23"/>
  <c r="B13" i="23"/>
  <c r="E29" i="23"/>
  <c r="B57" i="23"/>
  <c r="B14" i="23"/>
  <c r="E26" i="23"/>
  <c r="F12" i="23"/>
  <c r="C12" i="23"/>
  <c r="D55" i="23"/>
  <c r="E24" i="23"/>
  <c r="B60" i="23"/>
  <c r="D43" i="23"/>
  <c r="F35" i="23"/>
  <c r="D61" i="23"/>
  <c r="C46" i="23"/>
  <c r="B40" i="23"/>
  <c r="C16" i="23"/>
  <c r="B41" i="23"/>
  <c r="B47" i="23"/>
  <c r="F56" i="23"/>
  <c r="C27" i="23"/>
  <c r="F61" i="23"/>
  <c r="B42" i="23"/>
  <c r="E45" i="23"/>
  <c r="D46" i="23"/>
  <c r="E46" i="23"/>
  <c r="E40" i="23"/>
  <c r="B29" i="23"/>
  <c r="F10" i="23"/>
  <c r="F36" i="23"/>
  <c r="E22" i="23"/>
  <c r="F47" i="23"/>
  <c r="F13" i="23"/>
  <c r="D36" i="23"/>
  <c r="B44" i="23"/>
  <c r="C41" i="23"/>
  <c r="E10" i="23"/>
  <c r="C10" i="23"/>
  <c r="E42" i="23"/>
  <c r="E27" i="23"/>
  <c r="B35" i="23"/>
  <c r="C35" i="23"/>
  <c r="D42" i="23"/>
  <c r="F8" i="23"/>
  <c r="B15" i="23"/>
  <c r="F45" i="23"/>
  <c r="D50" i="23"/>
  <c r="F49" i="23"/>
  <c r="B19" i="23"/>
  <c r="D53" i="23"/>
  <c r="D37" i="23"/>
  <c r="E60" i="23"/>
  <c r="F15" i="23"/>
  <c r="E25" i="23"/>
  <c r="F6" i="23"/>
  <c r="E43" i="23"/>
  <c r="D24" i="23"/>
  <c r="D17" i="23"/>
  <c r="C43" i="23"/>
  <c r="C20" i="23"/>
  <c r="F17" i="23"/>
  <c r="D26" i="23"/>
  <c r="D48" i="23"/>
  <c r="B46" i="23"/>
  <c r="E53" i="23"/>
  <c r="C36" i="23"/>
  <c r="B9" i="23"/>
  <c r="D10" i="23"/>
  <c r="C23" i="23"/>
  <c r="F54" i="23"/>
  <c r="C33" i="23"/>
  <c r="F41" i="23"/>
  <c r="D27" i="23"/>
  <c r="B58" i="23"/>
  <c r="F43" i="23"/>
  <c r="E38" i="23"/>
  <c r="C50" i="23"/>
  <c r="F28" i="23"/>
  <c r="F38" i="23"/>
  <c r="C29" i="23"/>
  <c r="B6" i="23"/>
  <c r="D20" i="23"/>
  <c r="E11" i="23"/>
  <c r="F27" i="23"/>
  <c r="D28" i="23"/>
  <c r="D33" i="23"/>
  <c r="F32" i="23"/>
  <c r="B59" i="23"/>
  <c r="C47" i="23"/>
  <c r="C37" i="23"/>
  <c r="C31" i="23"/>
  <c r="E47" i="23"/>
  <c r="D12" i="23"/>
  <c r="B52" i="23"/>
  <c r="F29" i="23"/>
  <c r="B37" i="23"/>
  <c r="B8" i="23"/>
  <c r="C6" i="23"/>
  <c r="C32" i="23"/>
  <c r="E16" i="23"/>
  <c r="E55" i="23"/>
  <c r="D19" i="23"/>
  <c r="B53" i="23"/>
  <c r="C40" i="23"/>
  <c r="E36" i="23"/>
  <c r="C45" i="23"/>
  <c r="E35" i="23"/>
  <c r="B30" i="23"/>
  <c r="B26" i="23"/>
  <c r="F58" i="23"/>
  <c r="C25" i="23"/>
  <c r="E19" i="23"/>
  <c r="B61" i="23"/>
  <c r="C14" i="23"/>
  <c r="E15" i="23"/>
  <c r="C39" i="23"/>
  <c r="D38" i="23"/>
  <c r="E21" i="23"/>
  <c r="B45" i="23"/>
  <c r="C54" i="23"/>
  <c r="E57" i="23"/>
  <c r="E20" i="23"/>
  <c r="D41" i="23"/>
  <c r="F31" i="23"/>
  <c r="C24" i="23"/>
  <c r="B11" i="23"/>
  <c r="A5" i="23"/>
  <c r="F5" i="23" l="1"/>
  <c r="F105" i="23" s="1"/>
  <c r="B5" i="23"/>
  <c r="B105" i="23" s="1"/>
  <c r="E5" i="23"/>
  <c r="G5" i="23"/>
  <c r="C5" i="23"/>
  <c r="C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<sst xmlns="http://schemas.openxmlformats.org/spreadsheetml/2006/main" count="7397" uniqueCount="3252">
  <si>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</si>
  <si>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</si>
  <si>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</si>
  <si>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</si>
  <si>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</si>
  <si>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</si>
  <si>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</si>
  <si>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</si>
  <si>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</si>
  <si>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</si>
  <si>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</si>
  <si>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</si>
  <si>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</si>
  <si>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</si>
  <si>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</si>
  <si>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</si>
  <si>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</si>
  <si>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</si>
  <si>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</si>
  <si>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</si>
  <si>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</si>
  <si>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</si>
  <si>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</si>
  <si>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</si>
  <si>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</si>
  <si>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</si>
  <si>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</si>
  <si>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</si>
  <si>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</si>
  <si>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</si>
  <si>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</si>
  <si>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</si>
  <si>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</si>
  <si>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</si>
  <si>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</si>
  <si>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</si>
  <si>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</si>
  <si>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</si>
  <si>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</si>
  <si>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</si>
  <si>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</si>
  <si>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</si>
  <si>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</si>
  <si>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</si>
  <si>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</si>
  <si>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</si>
  <si>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</si>
  <si>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</si>
  <si>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</si>
  <si>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</si>
  <si>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</si>
  <si>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</si>
  <si>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</si>
  <si>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</si>
  <si>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</si>
  <si>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</si>
  <si>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</si>
  <si>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</si>
  <si>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</si>
  <si>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</si>
  <si>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</si>
  <si>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</si>
  <si>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</si>
  <si>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</si>
  <si>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</si>
  <si>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</si>
  <si>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</si>
  <si>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</si>
  <si>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</si>
  <si>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</si>
  <si>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</si>
  <si>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</si>
  <si>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</si>
  <si>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</si>
  <si>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</si>
  <si>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</si>
  <si>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</si>
  <si>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</si>
  <si>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</si>
  <si>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</si>
  <si>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</si>
  <si>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</si>
  <si>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</si>
  <si>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</si>
  <si>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</si>
  <si>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</si>
  <si>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</si>
  <si>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</si>
  <si>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</si>
  <si>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</si>
  <si>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</si>
  <si>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</si>
  <si>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</si>
  <si>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</si>
  <si>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</si>
  <si>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</si>
  <si>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</si>
  <si>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</si>
  <si>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</si>
  <si>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</si>
  <si>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</si>
  <si>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</si>
  <si>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</si>
  <si>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</si>
  <si>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</si>
  <si>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</si>
  <si>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</si>
  <si>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</si>
  <si>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</si>
  <si>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</si>
  <si>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</si>
  <si>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</si>
  <si>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</si>
  <si>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</si>
  <si>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</si>
  <si>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</si>
  <si>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</si>
  <si>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</si>
  <si>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</si>
  <si>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</si>
  <si>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</si>
  <si>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</si>
  <si>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</si>
  <si>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</si>
  <si>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</si>
  <si>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</si>
  <si>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</si>
  <si>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</si>
  <si>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</si>
  <si>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</si>
  <si>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</si>
  <si>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</si>
  <si>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</si>
  <si>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</si>
  <si>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</si>
  <si>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</si>
  <si>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</si>
  <si>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</si>
  <si>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</si>
  <si>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</si>
  <si>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</si>
  <si>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</si>
  <si>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</si>
  <si>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</si>
  <si>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</si>
  <si>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</si>
  <si>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</si>
  <si>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</si>
  <si>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</si>
  <si>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</si>
  <si>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</si>
  <si>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</si>
  <si>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</si>
  <si>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</si>
  <si>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</si>
  <si>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</si>
  <si>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</si>
  <si>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</si>
  <si>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</si>
  <si>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</si>
  <si>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</si>
  <si>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</si>
  <si>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</si>
  <si>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</si>
  <si>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</si>
  <si>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</si>
  <si>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</si>
  <si>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</si>
  <si>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</si>
  <si>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</si>
  <si>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</si>
  <si>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</si>
  <si>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</si>
  <si>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</si>
  <si>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</si>
  <si>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</si>
  <si>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</si>
  <si>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</si>
  <si>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</si>
  <si>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</si>
  <si>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</si>
  <si>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</si>
  <si>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</si>
  <si>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</si>
  <si>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</si>
  <si>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</si>
  <si>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</si>
  <si>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</si>
  <si>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</si>
  <si>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</si>
  <si>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</si>
  <si>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</si>
  <si>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</si>
  <si>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</si>
  <si>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</si>
  <si>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</si>
  <si>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</si>
  <si>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</si>
  <si>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</si>
  <si>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</si>
  <si>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</si>
  <si>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</si>
  <si>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</si>
  <si>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</si>
  <si>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</si>
  <si>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</si>
  <si>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</si>
  <si>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</si>
  <si>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</si>
  <si>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</si>
  <si>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</si>
  <si>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</si>
  <si>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</si>
  <si>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</si>
  <si>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</si>
  <si>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</si>
  <si>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</si>
  <si>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</si>
  <si>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</si>
  <si>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</si>
  <si>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</si>
  <si>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</si>
  <si>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</si>
  <si>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</si>
  <si>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</si>
  <si>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</si>
  <si>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</si>
  <si>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</si>
  <si>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</si>
  <si>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</si>
  <si>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</si>
  <si>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</si>
  <si>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</si>
  <si>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</si>
  <si>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</si>
  <si>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</si>
  <si>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</si>
  <si>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</si>
  <si>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</si>
  <si>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</si>
  <si>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</si>
  <si>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</si>
  <si>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</si>
  <si>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</si>
  <si>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</si>
  <si>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</si>
  <si>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</si>
  <si>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</si>
  <si>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</si>
  <si>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</si>
  <si>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</si>
  <si>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</si>
  <si>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</si>
  <si>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</si>
  <si>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</si>
  <si>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</si>
  <si>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</si>
  <si>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</si>
  <si>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</si>
  <si>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</si>
  <si>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</si>
  <si>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</si>
  <si>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</si>
  <si>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</si>
  <si>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</si>
  <si>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</si>
  <si>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</si>
  <si>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</si>
  <si>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</si>
  <si>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</si>
  <si>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</si>
  <si>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</si>
  <si>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</si>
  <si>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</si>
  <si>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</si>
  <si>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</si>
  <si>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</si>
  <si>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</si>
  <si>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</si>
  <si>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</si>
  <si>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</si>
  <si>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</si>
  <si>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</si>
  <si>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</si>
  <si>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</si>
  <si>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</si>
  <si>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</si>
  <si>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</si>
  <si>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</si>
  <si>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</si>
  <si>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</si>
  <si>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</si>
  <si>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</si>
  <si>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</si>
  <si>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</si>
  <si>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</si>
  <si>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</si>
  <si>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</si>
  <si>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</si>
  <si>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</si>
  <si>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</si>
  <si>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</si>
  <si>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</si>
  <si>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</si>
  <si>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</si>
  <si>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</si>
  <si>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</si>
  <si>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</si>
  <si>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</si>
  <si>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</si>
  <si>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</si>
  <si>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</si>
  <si>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</si>
  <si>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</si>
  <si>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</si>
  <si>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</si>
  <si>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</si>
  <si>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</si>
  <si>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</si>
  <si>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</si>
  <si>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</si>
  <si>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</si>
  <si>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</si>
  <si>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</si>
  <si>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</si>
  <si>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</si>
  <si>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</si>
  <si>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</si>
  <si>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</si>
  <si>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</si>
  <si>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</si>
  <si>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</si>
  <si>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</si>
  <si>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</si>
  <si>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</si>
  <si>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</si>
  <si>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</si>
  <si>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</si>
  <si>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</si>
  <si>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</si>
  <si>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</si>
  <si>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</si>
  <si>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</si>
  <si>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</si>
  <si>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</si>
  <si>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</si>
  <si>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</si>
  <si>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</si>
  <si>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</si>
  <si>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</si>
  <si>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</si>
  <si>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</si>
  <si>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</si>
  <si>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</si>
  <si>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</si>
  <si>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</si>
  <si>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</si>
  <si>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</si>
  <si>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</si>
  <si>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</si>
  <si>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</si>
  <si>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</si>
  <si>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</si>
  <si>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</si>
  <si>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</si>
  <si>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</si>
  <si>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</si>
  <si>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</si>
  <si>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</si>
  <si>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</si>
  <si>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</si>
  <si>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</si>
  <si>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</si>
  <si>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</si>
  <si>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</si>
  <si>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</si>
  <si>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</si>
  <si>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</si>
  <si>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</si>
  <si>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</si>
  <si>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</si>
  <si>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</si>
  <si>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</si>
  <si>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</si>
  <si>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</si>
  <si>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</si>
  <si>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</si>
  <si>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</si>
  <si>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</si>
  <si>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</si>
  <si>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</si>
  <si>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</si>
  <si>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</si>
  <si>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</si>
  <si>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</si>
  <si>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</si>
  <si>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</si>
  <si>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</si>
  <si>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</si>
  <si>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</si>
  <si>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</si>
  <si>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</si>
  <si>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</si>
  <si>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</si>
  <si>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</si>
  <si>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</si>
  <si>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</si>
  <si>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</si>
  <si>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</si>
  <si>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</si>
  <si>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</si>
  <si>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</si>
  <si>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</si>
  <si>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</si>
  <si>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</si>
  <si>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</si>
  <si>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</si>
  <si>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</si>
  <si>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</si>
  <si>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</si>
  <si>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</si>
  <si>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</si>
  <si>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</si>
  <si>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</si>
  <si>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</si>
  <si>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</si>
  <si>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</si>
  <si>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</si>
  <si>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</si>
  <si>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</si>
  <si>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</si>
  <si>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</si>
  <si>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</si>
  <si>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</si>
  <si>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</si>
  <si>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</si>
  <si>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</si>
  <si>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</si>
  <si>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</si>
  <si>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</si>
  <si>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</si>
  <si>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</si>
  <si>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</si>
  <si>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</si>
  <si>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</si>
  <si>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</si>
  <si>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</si>
  <si>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</si>
  <si>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</si>
  <si>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</si>
  <si>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</si>
  <si>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</si>
  <si>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</si>
  <si>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</si>
  <si>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</si>
  <si>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</si>
  <si>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</si>
  <si>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</si>
  <si>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</si>
  <si>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</si>
  <si>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</si>
  <si>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</si>
  <si>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</si>
  <si>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</si>
  <si>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</si>
  <si>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</si>
  <si>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</si>
  <si>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</si>
  <si>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</si>
  <si>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</si>
  <si>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</si>
  <si>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</si>
  <si>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</si>
  <si>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</si>
  <si>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</si>
  <si>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</si>
  <si>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</si>
  <si>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</si>
  <si>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</si>
  <si>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</si>
  <si>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</si>
  <si>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</si>
  <si>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</si>
  <si>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</si>
  <si>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</si>
  <si>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</si>
  <si>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</si>
  <si>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</si>
  <si>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</si>
  <si>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</si>
  <si>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</si>
  <si>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</si>
  <si>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</si>
  <si>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</si>
  <si>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</si>
  <si>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</si>
  <si>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</si>
  <si>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</si>
  <si>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</si>
  <si>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</si>
  <si>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</si>
  <si>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</si>
  <si>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</si>
  <si>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</si>
  <si>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</si>
  <si>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</si>
  <si>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</si>
  <si>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</si>
  <si>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</si>
  <si>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</si>
  <si>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</si>
  <si>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</si>
  <si>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</si>
  <si>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</si>
  <si>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</si>
  <si>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</si>
  <si>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</si>
  <si>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</si>
  <si>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</si>
  <si>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</si>
  <si>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</si>
  <si>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</si>
  <si>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</si>
  <si>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</si>
  <si>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</si>
  <si>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</si>
  <si>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</si>
  <si>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</si>
  <si>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</si>
  <si>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</si>
  <si>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</si>
  <si>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</si>
  <si>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</si>
  <si>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</si>
  <si>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</si>
  <si>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</si>
  <si>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</si>
  <si>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</si>
  <si>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</si>
  <si>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</si>
  <si>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</si>
  <si>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</si>
  <si>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</si>
  <si>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</si>
  <si>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</si>
  <si>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</si>
  <si>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</si>
  <si>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</si>
  <si>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</si>
  <si>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</si>
  <si>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</si>
  <si>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</si>
  <si>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</si>
  <si>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</si>
  <si>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</si>
  <si>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</si>
  <si>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</si>
  <si>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</si>
  <si>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</si>
  <si>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</si>
  <si>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</si>
  <si>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</si>
  <si>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</si>
  <si>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</si>
  <si>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</si>
  <si>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</si>
  <si>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</si>
  <si>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</si>
  <si>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</si>
  <si>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</si>
  <si>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</si>
  <si>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</si>
  <si>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</si>
  <si>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</si>
  <si>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</si>
  <si>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</si>
  <si>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</si>
  <si>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</si>
  <si>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</si>
  <si>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</si>
  <si>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</si>
  <si>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</si>
  <si>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</si>
  <si>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</si>
  <si>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</si>
  <si>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</si>
  <si>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</si>
  <si>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</si>
  <si>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</si>
  <si>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</si>
  <si>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</si>
  <si>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</si>
  <si>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</si>
  <si>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</si>
  <si>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</si>
  <si>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</si>
  <si>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</si>
  <si>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</si>
  <si>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</si>
  <si>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</si>
  <si>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</si>
  <si>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</si>
  <si>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</si>
  <si>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</si>
  <si>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</si>
  <si>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</si>
  <si>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</si>
  <si>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</si>
  <si>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</si>
  <si>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</si>
  <si>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</si>
  <si>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</si>
  <si>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</si>
  <si>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</si>
  <si>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</si>
  <si>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</si>
  <si>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</si>
  <si>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</si>
  <si>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</si>
  <si>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</si>
  <si>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</si>
  <si>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</si>
  <si>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</si>
  <si>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</si>
  <si>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</si>
  <si>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</si>
  <si>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</si>
  <si>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</si>
  <si>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</si>
  <si>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</si>
  <si>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</si>
  <si>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</si>
  <si>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</si>
  <si>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</si>
  <si>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</si>
  <si>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</si>
  <si>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</si>
  <si>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</si>
  <si>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</si>
  <si>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</si>
  <si>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</si>
  <si>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</si>
  <si>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</si>
  <si>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</si>
  <si>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</si>
  <si>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</si>
  <si>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</si>
  <si>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</si>
  <si>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</si>
  <si>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</si>
  <si>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</si>
  <si>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</si>
  <si>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</si>
  <si>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</si>
  <si>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</si>
  <si>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</si>
  <si>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</si>
  <si>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</si>
  <si>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</si>
  <si>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</si>
  <si>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</si>
  <si>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</si>
  <si>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</si>
  <si>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</si>
  <si>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</si>
  <si>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</si>
  <si>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</si>
  <si>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</si>
  <si>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</si>
  <si>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</si>
  <si>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</si>
  <si>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</si>
  <si>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</si>
  <si>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</si>
  <si>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</si>
  <si>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</si>
  <si>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</si>
  <si>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</si>
  <si>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</si>
  <si>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</si>
  <si>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</si>
  <si>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</si>
  <si>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</si>
  <si>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</si>
  <si>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</si>
  <si>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</si>
  <si>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</si>
  <si>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</si>
  <si>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</si>
  <si>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</si>
  <si>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</si>
  <si>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</si>
  <si>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</si>
  <si>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</si>
  <si>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</si>
  <si>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</si>
  <si>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</si>
  <si>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</si>
  <si>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</si>
  <si>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</si>
  <si>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</si>
  <si>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</si>
  <si>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</si>
  <si>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</si>
  <si>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</si>
  <si>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</si>
  <si>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</si>
  <si>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</si>
  <si>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</si>
  <si>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</si>
  <si>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</si>
  <si>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</si>
  <si>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</si>
  <si>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</si>
  <si>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</si>
  <si>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</si>
  <si>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</si>
  <si>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</si>
  <si>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</si>
  <si>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</si>
  <si>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</si>
  <si>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</si>
  <si>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</si>
  <si>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</si>
  <si>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</si>
  <si>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</si>
  <si>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</si>
  <si>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</si>
  <si>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</si>
  <si>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</si>
  <si>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</si>
  <si>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</si>
  <si>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</si>
  <si>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</si>
  <si>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</si>
  <si>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</si>
  <si>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</si>
  <si>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</si>
  <si>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</si>
  <si>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</si>
  <si>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</si>
  <si>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</si>
  <si>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</si>
  <si>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</si>
  <si>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</si>
  <si>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</si>
  <si>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</si>
  <si>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</si>
  <si>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</si>
  <si>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</si>
  <si>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</si>
  <si>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</si>
  <si>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</si>
  <si>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</si>
  <si>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</si>
  <si>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</si>
  <si>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</si>
  <si>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</si>
  <si>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</si>
  <si>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</si>
  <si>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</si>
  <si>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</si>
  <si>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</si>
  <si>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</si>
  <si>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</si>
  <si>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</si>
  <si>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</si>
  <si>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</si>
  <si>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</si>
  <si>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</si>
  <si>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</si>
  <si>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</si>
  <si>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</si>
  <si>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</si>
  <si>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</si>
  <si>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</si>
  <si>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</si>
  <si>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</si>
  <si>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</si>
  <si>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</si>
  <si>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</si>
  <si>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</si>
  <si>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</si>
  <si>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</si>
  <si>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</si>
  <si>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</si>
  <si>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</si>
  <si>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</si>
  <si>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</si>
  <si>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</si>
  <si>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</si>
  <si>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</si>
  <si>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</si>
  <si>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</si>
  <si>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</si>
  <si>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</si>
  <si>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</si>
  <si>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</si>
  <si>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</si>
  <si>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</si>
  <si>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</si>
  <si>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</si>
  <si>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</si>
  <si>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</si>
  <si>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</si>
  <si>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</si>
  <si>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</si>
  <si>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</si>
  <si>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</si>
  <si>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</si>
  <si>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</si>
  <si>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</si>
  <si>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</si>
  <si>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</si>
  <si>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</si>
  <si>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</si>
  <si>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</si>
  <si>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</si>
  <si>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</si>
  <si>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</si>
  <si>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</si>
  <si>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</si>
  <si>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</si>
  <si>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</si>
  <si>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</si>
  <si>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</si>
  <si>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</si>
  <si>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</si>
  <si>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</si>
  <si>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</si>
  <si>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</si>
  <si>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</si>
  <si>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</si>
  <si>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</si>
  <si>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</si>
  <si>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</si>
  <si>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</si>
  <si>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</si>
  <si>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</si>
  <si>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</si>
  <si>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</si>
  <si>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</si>
  <si>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</si>
  <si>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</si>
  <si>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</si>
  <si>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</si>
  <si>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</si>
  <si>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</si>
  <si>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</si>
  <si>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</si>
  <si>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</si>
  <si>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</si>
  <si>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</si>
  <si>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</si>
  <si>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</si>
  <si>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</si>
  <si>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</si>
  <si>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</si>
  <si>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</si>
  <si>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</si>
  <si>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</si>
  <si>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</si>
  <si>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</si>
  <si>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</si>
  <si>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</si>
  <si>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</si>
  <si>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</si>
  <si>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</si>
  <si>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</si>
  <si>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</si>
  <si>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</si>
  <si>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</si>
  <si>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</si>
  <si>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</si>
  <si>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</si>
  <si>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</si>
  <si>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</si>
  <si>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</si>
  <si>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</si>
  <si>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</si>
  <si>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</si>
  <si>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</si>
  <si>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</si>
  <si>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</si>
  <si>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</si>
  <si>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</si>
  <si>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</si>
  <si>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</si>
  <si>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</si>
  <si>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</si>
  <si>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</si>
  <si>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</si>
  <si>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</si>
  <si>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</si>
  <si>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</si>
  <si>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</si>
  <si>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</si>
  <si>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</si>
  <si>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</si>
  <si>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</si>
  <si>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</si>
  <si>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</si>
  <si>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</si>
  <si>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</si>
  <si>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</si>
  <si>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</si>
  <si>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</si>
  <si>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</si>
  <si>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</si>
  <si>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</si>
  <si>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</si>
  <si>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</si>
  <si>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</si>
  <si>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</si>
  <si>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</si>
  <si>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</si>
  <si>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</si>
  <si>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</si>
  <si>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</si>
  <si>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</si>
  <si>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</si>
  <si>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</si>
  <si>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</si>
  <si>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</si>
  <si>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</si>
  <si>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</si>
  <si>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</si>
  <si>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</si>
  <si>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</si>
  <si>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</si>
  <si>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</si>
  <si>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</si>
  <si>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</si>
  <si>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</si>
  <si>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</si>
  <si>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</si>
  <si>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</si>
  <si>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</si>
  <si>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</si>
  <si>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</si>
  <si>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</si>
  <si>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</si>
  <si>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</si>
  <si>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</si>
  <si>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</si>
  <si>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</si>
  <si>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</si>
  <si>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</si>
  <si>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</si>
  <si>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</si>
  <si>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</si>
  <si>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</si>
  <si>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</si>
  <si>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</si>
  <si>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</si>
  <si>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</si>
  <si>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</si>
  <si>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</si>
  <si>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</si>
  <si>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</si>
  <si>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</si>
  <si>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</si>
  <si>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</si>
  <si>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</si>
  <si>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</si>
  <si>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</si>
  <si>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</si>
  <si>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</si>
  <si>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</si>
  <si>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</si>
  <si>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</si>
  <si>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</si>
  <si>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</si>
  <si>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</si>
  <si>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</si>
  <si>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</si>
  <si>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</si>
  <si>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</si>
  <si>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</si>
  <si>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</si>
  <si>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</si>
  <si>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</si>
  <si>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</si>
  <si>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</si>
  <si>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</si>
  <si>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</si>
  <si>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</si>
  <si>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</si>
  <si>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</si>
  <si>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</si>
  <si>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</si>
  <si>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</si>
  <si>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</si>
  <si>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</si>
  <si>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</si>
  <si>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</si>
  <si>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</si>
  <si>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</si>
  <si>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</si>
  <si>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</si>
  <si>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</si>
  <si>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</si>
  <si>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</si>
  <si>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</si>
  <si>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</si>
  <si>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</si>
  <si>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</si>
  <si>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</si>
  <si>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</si>
  <si>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</si>
  <si>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</si>
  <si>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</si>
  <si>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</si>
  <si>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</si>
  <si>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</si>
  <si>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</si>
  <si>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</si>
  <si>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</si>
  <si>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</si>
  <si>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</si>
  <si>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</si>
  <si>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</si>
  <si>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</si>
  <si>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</si>
  <si>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</si>
  <si>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</si>
  <si>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</si>
  <si>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</si>
  <si>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</si>
  <si>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</si>
  <si>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</si>
  <si>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</si>
  <si>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</si>
  <si>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</si>
  <si>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</si>
  <si>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</si>
  <si>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</si>
  <si>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</si>
  <si>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</si>
  <si>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</si>
  <si>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</si>
  <si>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</si>
  <si>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</si>
  <si>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</si>
  <si>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</si>
  <si>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</si>
  <si>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</si>
  <si>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</si>
  <si>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</si>
  <si>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</si>
  <si>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</si>
  <si>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</si>
  <si>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</si>
  <si>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</si>
  <si>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</si>
  <si>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</si>
  <si>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</si>
  <si>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</si>
  <si>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</si>
  <si>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</si>
  <si>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</si>
  <si>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</si>
  <si>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</si>
  <si>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</si>
  <si>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</si>
  <si>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</si>
  <si>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</si>
  <si>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</si>
  <si>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</si>
  <si>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</si>
  <si>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</si>
  <si>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</si>
  <si>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</si>
  <si>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</si>
  <si>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</si>
  <si>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</si>
  <si>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</si>
  <si>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</si>
  <si>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</si>
  <si>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</si>
  <si>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</si>
  <si>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</si>
  <si>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</si>
  <si>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</si>
  <si>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</si>
  <si>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</si>
  <si>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</si>
  <si>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</si>
  <si>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</si>
  <si>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</si>
  <si>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</si>
  <si>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</si>
  <si>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</si>
  <si>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</si>
  <si>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</si>
  <si>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</si>
  <si>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</si>
  <si>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</si>
  <si>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</si>
  <si>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</si>
  <si>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</si>
  <si>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</si>
  <si>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</si>
  <si>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</si>
  <si>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</si>
  <si>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</si>
  <si>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</si>
  <si>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</si>
  <si>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</si>
  <si>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</si>
  <si>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</si>
  <si>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</si>
  <si>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</si>
  <si>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</si>
  <si>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</si>
  <si>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</si>
  <si>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</si>
  <si>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</si>
  <si>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</si>
  <si>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</si>
  <si>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</si>
  <si>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</si>
  <si>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</si>
  <si>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</si>
  <si>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</si>
  <si>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</si>
  <si>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</si>
  <si>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</si>
  <si>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</si>
  <si>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</si>
  <si>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</si>
  <si>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</si>
  <si>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</si>
  <si>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</si>
  <si>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</si>
  <si>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</si>
  <si>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</si>
  <si>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</si>
  <si>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</si>
  <si>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</si>
  <si>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</si>
  <si>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</si>
  <si>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</si>
  <si>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</si>
  <si>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</si>
  <si>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</si>
  <si>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</si>
  <si>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</si>
  <si>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</si>
  <si>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</si>
  <si>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</si>
  <si>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</si>
  <si>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</si>
  <si>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</si>
  <si>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</si>
  <si>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</si>
  <si>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</si>
  <si>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</si>
  <si>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</si>
  <si>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</si>
  <si>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</si>
  <si>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</si>
  <si>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</si>
  <si>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</si>
  <si>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</si>
  <si>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</si>
  <si>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</si>
  <si>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</si>
  <si>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</si>
  <si>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</si>
  <si>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</si>
  <si>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</si>
  <si>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</si>
  <si>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</si>
  <si>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</si>
  <si>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</si>
  <si>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</si>
  <si>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</si>
  <si>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</si>
  <si>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</si>
  <si>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</si>
  <si>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</si>
  <si>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</si>
  <si>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</si>
  <si>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</si>
  <si>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</si>
  <si>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</si>
  <si>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</si>
  <si>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</si>
  <si>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</si>
  <si>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</si>
  <si>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</si>
  <si>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</si>
  <si>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</si>
  <si>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</si>
  <si>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</si>
  <si>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</si>
  <si>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</si>
  <si>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</si>
  <si>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</si>
  <si>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</si>
  <si>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</si>
  <si>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</si>
  <si>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</si>
  <si>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</si>
  <si>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</si>
  <si>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</si>
  <si>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</si>
  <si>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</si>
  <si>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</si>
  <si>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</si>
  <si>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</si>
  <si>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</si>
  <si>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</si>
  <si>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</si>
  <si>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</si>
  <si>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</si>
  <si>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</si>
  <si>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</si>
  <si>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</si>
  <si>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</si>
  <si>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</si>
  <si>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</si>
  <si>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</si>
  <si>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</si>
  <si>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</si>
  <si>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</si>
  <si>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</si>
  <si>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</si>
  <si>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</si>
  <si>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</si>
  <si>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</si>
  <si>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</si>
  <si>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</si>
  <si>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</si>
  <si>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</si>
  <si>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</si>
  <si>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</si>
  <si>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</si>
  <si>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</si>
  <si>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</si>
  <si>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</si>
  <si>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</si>
  <si>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</si>
  <si>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</si>
  <si>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</si>
  <si>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</si>
  <si>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</si>
  <si>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</si>
  <si>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</si>
  <si>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</si>
  <si>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</si>
  <si>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</si>
  <si>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</si>
  <si>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</si>
  <si>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</si>
  <si>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</si>
  <si>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</si>
  <si>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</si>
  <si>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</si>
  <si>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</si>
  <si>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</si>
  <si>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</si>
  <si>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</si>
  <si>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</si>
  <si>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</si>
  <si>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</si>
  <si>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</si>
  <si>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</si>
  <si>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</si>
  <si>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</si>
  <si>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</si>
  <si>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</si>
  <si>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</si>
  <si>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</si>
  <si>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</si>
  <si>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</si>
  <si>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</si>
  <si>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</si>
  <si>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</si>
  <si>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</si>
  <si>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</si>
  <si>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</si>
  <si>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</si>
  <si>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</si>
  <si>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</si>
  <si>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</si>
  <si>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</si>
  <si>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</si>
  <si>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</si>
  <si>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</si>
  <si>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</si>
  <si>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</si>
  <si>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</si>
  <si>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</si>
  <si>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</si>
  <si>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</si>
  <si>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</si>
  <si>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</si>
  <si>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</si>
  <si>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</si>
  <si>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</si>
  <si>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</si>
  <si>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</si>
  <si>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</si>
  <si>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</si>
  <si>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</si>
  <si>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</si>
  <si>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</si>
  <si>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</si>
  <si>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</si>
  <si>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</si>
  <si>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</si>
  <si>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</si>
  <si>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</si>
  <si>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</si>
  <si>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</si>
  <si>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</si>
  <si>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</si>
  <si>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</si>
  <si>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</si>
  <si>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</si>
  <si>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</si>
  <si>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</si>
  <si>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</si>
  <si>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</si>
  <si>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</si>
  <si>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</si>
  <si>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</si>
  <si>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</si>
  <si>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</si>
  <si>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</si>
  <si>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</si>
  <si>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</si>
  <si>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</si>
  <si>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</si>
  <si>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</si>
  <si>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</si>
  <si>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</si>
  <si>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</si>
  <si>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</si>
  <si>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</si>
  <si>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</si>
  <si>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</si>
  <si>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</si>
  <si>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</si>
  <si>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</si>
  <si>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</si>
  <si>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</si>
  <si>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</si>
  <si>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</si>
  <si>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</si>
  <si>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</si>
  <si>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</si>
  <si>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</si>
  <si>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</si>
  <si>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</si>
  <si>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</si>
  <si>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</si>
  <si>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</si>
  <si>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</si>
  <si>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</si>
  <si>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</si>
  <si>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</si>
  <si>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</si>
  <si>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</si>
  <si>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</si>
  <si>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</si>
  <si>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</si>
  <si>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</si>
  <si>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</si>
  <si>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</si>
  <si>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</si>
  <si>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</si>
  <si>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</si>
  <si>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</si>
  <si>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</si>
  <si>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</si>
  <si>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</si>
  <si>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</si>
  <si>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</si>
  <si>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</si>
  <si>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</si>
  <si>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</si>
  <si>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</si>
  <si>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</si>
  <si>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</si>
  <si>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</si>
  <si>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</si>
  <si>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</si>
  <si>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</si>
  <si>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</si>
  <si>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</si>
  <si>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</si>
  <si>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</si>
  <si>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</si>
  <si>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</si>
  <si>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</si>
  <si>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</si>
  <si>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</si>
  <si>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</si>
  <si>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</si>
  <si>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</si>
  <si>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</si>
  <si>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</si>
  <si>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</si>
  <si>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</si>
  <si>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</si>
  <si>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</si>
  <si>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</si>
  <si>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</si>
  <si>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</si>
  <si>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</si>
  <si>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</si>
  <si>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</si>
  <si>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</si>
  <si>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</si>
  <si>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</si>
  <si>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</si>
  <si>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</si>
  <si>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</si>
  <si>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</si>
  <si>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</si>
  <si>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</si>
  <si>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</si>
  <si>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</si>
  <si>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</si>
  <si>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</si>
  <si>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</si>
  <si>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</si>
  <si>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</si>
  <si>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</si>
  <si>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</si>
  <si>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</si>
  <si>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</si>
  <si>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</si>
  <si>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</si>
  <si>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</si>
  <si>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</si>
  <si>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</si>
  <si>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</si>
  <si>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</si>
  <si>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</si>
  <si>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</si>
  <si>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</si>
  <si>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</si>
  <si>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</si>
  <si>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</si>
  <si>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</si>
  <si>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</si>
  <si>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</si>
  <si>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</si>
  <si>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</si>
  <si>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</si>
  <si>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</si>
  <si>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</si>
  <si>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</si>
  <si>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</si>
  <si>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</si>
  <si>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</si>
  <si>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</si>
  <si>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</si>
  <si>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</si>
  <si>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</si>
  <si>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</si>
  <si>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</si>
  <si>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</si>
  <si>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</si>
  <si>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</si>
  <si>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</si>
  <si>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</si>
  <si>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</si>
  <si>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</si>
  <si>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</si>
  <si>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</si>
  <si>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</si>
  <si>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</si>
  <si>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</si>
  <si>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</si>
  <si>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</si>
  <si>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</si>
  <si>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</si>
  <si>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</si>
  <si>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</si>
  <si>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</si>
  <si>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</si>
  <si>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</si>
  <si>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</si>
  <si>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</si>
  <si>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</si>
  <si>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</si>
  <si>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</si>
  <si>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</si>
  <si>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</si>
  <si>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</si>
  <si>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</si>
  <si>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</si>
  <si>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</si>
  <si>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</si>
  <si>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</si>
  <si>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</si>
  <si>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</si>
  <si>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</si>
  <si>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</si>
  <si>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</si>
  <si>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</si>
  <si>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</si>
  <si>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</si>
  <si>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</si>
  <si>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</si>
  <si>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</si>
  <si>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</si>
  <si>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</si>
  <si>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</si>
  <si>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</si>
  <si>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</si>
  <si>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</si>
  <si>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</si>
  <si>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</si>
  <si>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</si>
  <si>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</si>
  <si>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</si>
  <si>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</si>
  <si>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</si>
  <si>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</si>
  <si>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</si>
  <si>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</si>
  <si>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</si>
  <si>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</si>
  <si>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</si>
  <si>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</si>
  <si>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</si>
  <si>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</si>
  <si>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</si>
  <si>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</si>
  <si>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</si>
  <si>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</si>
  <si>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</si>
  <si>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</si>
  <si>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</si>
  <si>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</si>
  <si>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</si>
  <si>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</si>
  <si>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</si>
  <si>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</si>
  <si>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</si>
  <si>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</si>
  <si>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</si>
  <si>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</si>
  <si>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</si>
  <si>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</si>
  <si>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</si>
  <si>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</si>
  <si>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</si>
  <si>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</si>
  <si>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</si>
  <si>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</si>
  <si>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</si>
  <si>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</si>
  <si>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</si>
  <si>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</si>
  <si>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</si>
  <si>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</si>
  <si>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</si>
  <si>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</si>
  <si>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</si>
  <si>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</si>
  <si>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</si>
  <si>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</si>
  <si>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</si>
  <si>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</si>
  <si>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</si>
  <si>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</si>
  <si>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</si>
  <si>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</si>
  <si>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</si>
  <si>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</si>
  <si>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</si>
  <si>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</si>
  <si>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</si>
  <si>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</si>
  <si>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</si>
  <si>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</si>
  <si>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</si>
  <si>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</si>
  <si>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</si>
  <si>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</si>
  <si>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</si>
  <si>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</si>
  <si>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</si>
  <si>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</si>
  <si>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</si>
  <si>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</si>
  <si>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</si>
  <si>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</si>
  <si>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</si>
  <si>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</si>
  <si>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</si>
  <si>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</si>
  <si>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</si>
  <si>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</si>
  <si>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</si>
  <si>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</si>
  <si>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</si>
  <si>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</si>
  <si>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</si>
  <si>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</si>
  <si>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</si>
  <si>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</si>
  <si>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</si>
  <si>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</si>
  <si>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</si>
  <si>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</si>
  <si>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</si>
  <si>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</si>
  <si>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</si>
  <si>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</si>
  <si>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</si>
  <si>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</si>
  <si>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</si>
  <si>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</si>
  <si>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</si>
  <si>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</si>
  <si>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</si>
  <si>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</si>
  <si>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</si>
  <si>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</si>
  <si>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</si>
  <si>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</si>
  <si>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</si>
  <si>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</si>
  <si>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</si>
  <si>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</si>
  <si>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</si>
  <si>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</si>
  <si>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</si>
  <si>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</si>
  <si>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</si>
  <si>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</si>
  <si>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</si>
  <si>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</si>
  <si>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</si>
  <si>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</si>
  <si>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</si>
  <si>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</si>
  <si>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</si>
  <si>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</si>
  <si>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</si>
  <si>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</si>
  <si>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</si>
  <si>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</si>
  <si>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</si>
  <si>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</si>
  <si>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</si>
  <si>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</si>
  <si>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</si>
  <si>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</si>
  <si>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</si>
  <si>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</si>
  <si>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</si>
  <si>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</si>
  <si>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</si>
  <si>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</si>
  <si>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</si>
  <si>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</si>
  <si>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</si>
  <si>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</si>
  <si>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</si>
  <si>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</si>
  <si>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</si>
  <si>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</si>
  <si>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</si>
  <si>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</si>
  <si>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</si>
  <si>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</si>
  <si>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</si>
  <si>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</si>
  <si>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</si>
  <si>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</si>
  <si>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</si>
  <si>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</si>
  <si>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</si>
  <si>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</si>
  <si>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</si>
  <si>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</si>
  <si>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</si>
  <si>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</si>
  <si>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</si>
  <si>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</si>
  <si>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</si>
  <si>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</si>
  <si>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</si>
  <si>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</si>
  <si>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</si>
  <si>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</si>
  <si>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</si>
  <si>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</si>
  <si>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</si>
  <si>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</si>
  <si>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</si>
  <si>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</si>
  <si>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</si>
  <si>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</si>
  <si>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</si>
  <si>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</si>
  <si>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</si>
  <si>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</si>
  <si>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</si>
  <si>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</si>
  <si>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</si>
  <si>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</si>
  <si>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</si>
  <si>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</si>
  <si>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</si>
  <si>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</si>
  <si>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</si>
  <si>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</si>
  <si>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</si>
  <si>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</si>
  <si>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</si>
  <si>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</si>
  <si>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</si>
  <si>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</si>
  <si>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</si>
  <si>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</si>
  <si>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</si>
  <si>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</si>
  <si>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</si>
  <si>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</si>
  <si>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</si>
  <si>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</si>
  <si>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</si>
  <si>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</si>
  <si>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</si>
  <si>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</si>
  <si>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</si>
  <si>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</si>
  <si>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</si>
  <si>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</si>
  <si>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</si>
  <si>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</si>
  <si>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</si>
  <si>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</si>
  <si>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</si>
  <si>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</si>
  <si>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</si>
  <si>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</si>
  <si>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</si>
  <si>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</si>
  <si>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</si>
  <si>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</si>
  <si>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</si>
  <si>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</si>
  <si>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</si>
  <si>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</si>
  <si>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</si>
  <si>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</si>
  <si>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</si>
  <si>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</si>
  <si>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</si>
  <si>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</si>
  <si>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</si>
  <si>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</si>
  <si>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</si>
  <si>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</si>
  <si>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</si>
  <si>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</si>
  <si>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</si>
  <si>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</si>
  <si>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</si>
  <si>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</si>
  <si>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</si>
  <si>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</si>
  <si>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</si>
  <si>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</si>
  <si>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</si>
  <si>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</si>
  <si>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</si>
  <si>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</si>
  <si>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</si>
  <si>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</si>
  <si>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</si>
  <si>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</si>
  <si>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</si>
  <si>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</si>
  <si>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</si>
  <si>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</si>
  <si>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</si>
  <si>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</si>
  <si>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</si>
  <si>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</si>
  <si>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</si>
  <si>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</si>
  <si>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</si>
  <si>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</si>
  <si>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</si>
  <si>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</si>
  <si>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</si>
  <si>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</si>
  <si>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</si>
  <si>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</si>
  <si>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</si>
  <si>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</si>
  <si>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</si>
  <si>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</si>
  <si>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</si>
  <si>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</si>
  <si>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</si>
  <si>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</si>
  <si>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</si>
  <si>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</si>
  <si>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</si>
  <si>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</si>
  <si>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</si>
  <si>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</si>
  <si>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</si>
  <si>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</si>
  <si>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</si>
  <si>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</si>
  <si>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</si>
  <si>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</si>
  <si>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</si>
  <si>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</si>
  <si>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</si>
  <si>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</si>
  <si>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</si>
  <si>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</si>
  <si>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</si>
  <si>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</si>
  <si>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</si>
  <si>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</si>
  <si>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</si>
  <si>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</si>
  <si>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</si>
  <si>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</si>
  <si>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</si>
  <si>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</si>
  <si>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</si>
  <si>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</si>
  <si>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</si>
  <si>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</si>
  <si>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</si>
  <si>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</si>
  <si>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</si>
  <si>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</si>
  <si>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</si>
  <si>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</si>
  <si>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</si>
  <si>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</si>
  <si>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</si>
  <si>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</si>
  <si>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</si>
  <si>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</si>
  <si>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</si>
  <si>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</si>
  <si>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</si>
  <si>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</si>
  <si>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</si>
  <si>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</si>
  <si>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</si>
  <si>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</si>
  <si>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</si>
  <si>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</si>
  <si>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</si>
  <si>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</si>
  <si>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</si>
  <si>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</si>
  <si>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</si>
  <si>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</si>
  <si>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</si>
  <si>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</si>
  <si>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</si>
  <si>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</si>
  <si>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</si>
  <si>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</si>
  <si>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</si>
  <si>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</si>
  <si>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</si>
  <si>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</si>
  <si>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</si>
  <si>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</si>
  <si>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</si>
  <si>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</si>
  <si>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</si>
  <si>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</si>
  <si>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</si>
  <si>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</si>
  <si>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</si>
  <si>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</si>
  <si>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</si>
  <si>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</si>
  <si>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</si>
  <si>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</si>
  <si>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</si>
  <si>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</si>
  <si>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</si>
  <si>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</si>
  <si>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</si>
  <si>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</si>
  <si>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</si>
  <si>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</si>
  <si>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</si>
  <si>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</si>
  <si>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</si>
  <si>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</si>
  <si>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</si>
  <si>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</si>
  <si>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</si>
  <si>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</si>
  <si>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</si>
  <si>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</si>
  <si>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</si>
  <si>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</si>
  <si>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</si>
  <si>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</si>
  <si>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</si>
  <si>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</si>
  <si>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</si>
  <si>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</si>
  <si>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</si>
  <si>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</si>
  <si>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</si>
  <si>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</si>
  <si>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</si>
  <si>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</si>
  <si>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</si>
  <si>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</si>
  <si>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</si>
  <si>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</si>
  <si>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</si>
  <si>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</si>
  <si>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</si>
  <si>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</si>
  <si>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</si>
  <si>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</si>
  <si>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</si>
  <si>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</si>
  <si>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</si>
  <si>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</si>
  <si>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</si>
  <si>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</si>
  <si>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</si>
  <si>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</si>
  <si>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</si>
  <si>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</si>
  <si>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</si>
  <si>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</si>
  <si>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</si>
  <si>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</si>
  <si>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</si>
  <si>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</si>
  <si>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</si>
  <si>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</si>
  <si>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</si>
  <si>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</si>
  <si>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</si>
  <si>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</si>
  <si>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</si>
  <si>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</si>
  <si>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</si>
  <si>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</si>
  <si>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</si>
  <si>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</si>
  <si>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</si>
  <si>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</si>
  <si>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</si>
  <si>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</si>
  <si>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</si>
  <si>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</si>
  <si>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</si>
  <si>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</si>
  <si>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</si>
  <si>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</si>
  <si>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</si>
  <si>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</si>
  <si>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</si>
  <si>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</si>
  <si>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</si>
  <si>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</si>
  <si>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</si>
  <si>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</si>
  <si>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</si>
  <si>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</si>
  <si>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</si>
  <si>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</si>
  <si>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</si>
  <si>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</si>
  <si>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</si>
  <si>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</si>
  <si>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</si>
  <si>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</si>
  <si>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</si>
  <si>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</si>
  <si>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</si>
  <si>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</si>
  <si>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</si>
  <si>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</si>
  <si>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</si>
  <si>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</si>
  <si>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</si>
  <si>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</si>
  <si>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</si>
  <si>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</si>
  <si>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</si>
  <si>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</si>
  <si>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</si>
  <si>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</si>
  <si>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</si>
  <si>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</si>
  <si>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</si>
  <si>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</si>
  <si>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</si>
  <si>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</si>
  <si>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</si>
  <si>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</si>
  <si>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</si>
  <si>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</si>
  <si>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</si>
  <si>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</si>
  <si>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</si>
  <si>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</si>
  <si>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</si>
  <si>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</si>
  <si>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</si>
  <si>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</si>
  <si>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</si>
  <si>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</si>
  <si>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</si>
  <si>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</si>
  <si>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</si>
  <si>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</si>
  <si>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</si>
  <si>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</si>
  <si>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</si>
  <si>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</si>
  <si>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</si>
  <si>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</si>
  <si>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</si>
  <si>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</si>
  <si>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</si>
  <si>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</si>
  <si>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</si>
  <si>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</si>
  <si>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</si>
  <si>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</si>
  <si>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</si>
  <si>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</si>
  <si>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</si>
  <si>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</si>
  <si>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</si>
  <si>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</si>
  <si>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</si>
  <si>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</si>
  <si>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</si>
  <si>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</si>
  <si>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</si>
  <si>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</si>
  <si>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</si>
  <si>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</si>
  <si>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</si>
  <si>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</si>
  <si>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</si>
  <si>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</si>
  <si>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</si>
  <si>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</si>
  <si>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</si>
  <si>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</si>
  <si>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</si>
  <si>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</si>
  <si>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</si>
  <si>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</si>
  <si>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</si>
  <si>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</si>
  <si>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</si>
  <si>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</si>
  <si>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</si>
  <si>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</si>
  <si>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</si>
  <si>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</si>
  <si>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</si>
  <si>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</si>
  <si>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</si>
  <si>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</si>
  <si>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</si>
  <si>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</si>
  <si>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</si>
  <si>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</si>
  <si>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</si>
  <si>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</si>
  <si>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</si>
  <si>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</si>
  <si>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</si>
  <si>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</si>
  <si>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</si>
  <si>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</si>
  <si>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</si>
  <si>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</si>
  <si>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</si>
  <si>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</si>
  <si>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</si>
  <si>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</si>
  <si>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</si>
  <si>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</si>
  <si>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</si>
  <si>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</si>
  <si>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</si>
  <si>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</si>
  <si>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</si>
  <si>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</si>
  <si>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</si>
  <si>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</si>
  <si>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</si>
  <si>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</si>
  <si>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</si>
  <si>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</si>
  <si>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</si>
  <si>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</si>
  <si>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</si>
  <si>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</si>
  <si>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</si>
  <si>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</si>
  <si>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</si>
  <si>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</si>
  <si>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</si>
  <si>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</si>
  <si>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</si>
  <si>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</si>
  <si>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</si>
  <si>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</si>
  <si>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</si>
  <si>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</si>
  <si>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</si>
  <si>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</si>
  <si>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</si>
  <si>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</si>
  <si>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</si>
  <si>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</si>
  <si>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</si>
  <si>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</si>
  <si>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</si>
  <si>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</si>
  <si>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</si>
  <si>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</si>
  <si>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</si>
  <si>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</si>
  <si>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</si>
  <si>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</si>
  <si>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</si>
  <si>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</si>
  <si>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</si>
  <si>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</si>
  <si>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</si>
  <si>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</si>
  <si>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</si>
  <si>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</si>
  <si>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</si>
  <si>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</si>
  <si>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</si>
  <si>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</si>
  <si>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</si>
  <si>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</si>
  <si>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</si>
  <si>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</si>
  <si>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</si>
  <si>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</si>
  <si>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</si>
  <si>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</si>
  <si>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</si>
  <si>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</si>
  <si>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</si>
  <si>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</si>
  <si>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</si>
  <si>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</si>
  <si>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</si>
  <si>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</si>
  <si>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</si>
  <si>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</si>
  <si>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</si>
  <si>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</si>
  <si>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</si>
  <si>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</si>
  <si>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</si>
  <si>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</si>
  <si>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</si>
  <si>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</si>
  <si>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</si>
  <si>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</si>
  <si>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</si>
  <si>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</si>
  <si>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</si>
  <si>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</si>
  <si>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</si>
  <si>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</si>
  <si>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</si>
  <si>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</si>
  <si>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</si>
  <si>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</si>
  <si>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</si>
  <si>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</si>
  <si>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</si>
  <si>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</si>
  <si>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</si>
  <si>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</si>
  <si>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</si>
  <si>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</si>
  <si>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</si>
  <si>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</si>
  <si>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</si>
  <si>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</si>
  <si>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</si>
  <si>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</si>
  <si>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</si>
  <si>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</si>
  <si>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</si>
  <si>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</si>
  <si>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</si>
  <si>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</si>
  <si>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</si>
  <si>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</si>
  <si>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</si>
  <si>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</si>
  <si>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</si>
  <si>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</si>
  <si>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</si>
  <si>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</si>
  <si>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</si>
  <si>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</si>
  <si>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</si>
  <si>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</si>
  <si>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</si>
  <si>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</si>
  <si>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</si>
  <si>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</si>
  <si>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</si>
  <si>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</si>
  <si>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</si>
  <si>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</si>
  <si>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</si>
  <si>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</si>
  <si>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</si>
  <si>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</si>
  <si>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</si>
  <si>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</si>
  <si>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</si>
  <si>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</si>
  <si>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</si>
  <si>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</si>
  <si>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</si>
  <si>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</si>
  <si>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</si>
  <si>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</si>
  <si>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</si>
  <si>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</si>
  <si>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</si>
  <si>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</si>
  <si>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</si>
  <si>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</si>
  <si>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</si>
  <si>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</si>
  <si>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</si>
  <si>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</si>
  <si>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</si>
  <si>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</si>
  <si>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</si>
  <si>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</si>
  <si>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</si>
  <si>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</si>
  <si>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</si>
  <si>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</si>
  <si>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</si>
  <si>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</si>
  <si>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</si>
  <si>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</si>
  <si>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</si>
  <si>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</si>
  <si>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</si>
  <si>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</si>
  <si>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</si>
  <si>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</si>
  <si>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</si>
  <si>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</si>
  <si>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</si>
  <si>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</si>
  <si>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</si>
  <si>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</si>
  <si>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</si>
  <si>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</si>
  <si>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</si>
  <si>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</si>
  <si>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</si>
  <si>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</si>
  <si>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</si>
  <si>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</si>
  <si>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</si>
  <si>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</si>
  <si>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</si>
  <si>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</si>
  <si>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</si>
  <si>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</si>
  <si>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</si>
  <si>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</si>
  <si>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</si>
  <si>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</si>
  <si>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</si>
  <si>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</si>
  <si>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</si>
  <si>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</si>
  <si>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</si>
  <si>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</si>
  <si>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</si>
  <si>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</si>
  <si>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</si>
  <si>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</si>
  <si>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</si>
  <si>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</si>
  <si>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</si>
  <si>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</si>
  <si>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</si>
  <si>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</si>
  <si>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</si>
  <si>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</si>
  <si>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</si>
  <si>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</si>
  <si>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</si>
  <si>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</si>
  <si>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</si>
  <si>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</si>
  <si>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</si>
  <si>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</si>
  <si>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</si>
  <si>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</si>
  <si>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</si>
  <si>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</si>
  <si>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</si>
  <si>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</si>
  <si>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</si>
  <si>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</si>
  <si>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</si>
  <si>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</si>
  <si>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</si>
  <si>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</si>
  <si>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</si>
  <si>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</si>
  <si>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</si>
  <si>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</si>
  <si>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</si>
  <si>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</si>
  <si>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</si>
  <si>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</si>
  <si>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</si>
  <si>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</si>
  <si>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</si>
  <si>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</si>
  <si>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</si>
  <si>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</si>
  <si>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</si>
  <si>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</si>
  <si>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</si>
  <si>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</si>
  <si>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</si>
  <si>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</si>
  <si>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</si>
  <si>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</si>
  <si>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</si>
  <si>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</si>
  <si>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</si>
  <si>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</si>
  <si>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</si>
  <si>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</si>
  <si>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</si>
  <si>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</si>
  <si>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</si>
  <si>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</si>
  <si>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</si>
  <si>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</si>
  <si>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</si>
  <si>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</si>
  <si>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</si>
  <si>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</si>
  <si>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</si>
  <si>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</si>
  <si>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</si>
  <si>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</si>
  <si>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</si>
  <si>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</si>
  <si>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</si>
  <si>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</si>
  <si>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</si>
  <si>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</si>
  <si>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</si>
  <si>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</si>
  <si>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</si>
  <si>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</si>
  <si>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</si>
  <si>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</si>
  <si>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</si>
  <si>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</si>
  <si>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</si>
  <si>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</si>
  <si>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</si>
  <si>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</si>
  <si>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</si>
  <si>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</si>
  <si>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</si>
  <si>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</si>
  <si>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</si>
  <si>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</si>
  <si>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</si>
  <si>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</si>
  <si>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</si>
  <si>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</si>
  <si>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</si>
  <si>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</si>
  <si>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</si>
  <si>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</si>
  <si>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</si>
  <si>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</si>
  <si>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</si>
  <si>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</si>
  <si>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</si>
  <si>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</si>
  <si>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</si>
  <si>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</si>
  <si>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</si>
  <si>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</si>
  <si>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</si>
  <si>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</si>
  <si>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</si>
  <si>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</si>
  <si>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</si>
  <si>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</si>
  <si>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</si>
  <si>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</si>
  <si>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</si>
  <si>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</si>
  <si>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</si>
  <si>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</si>
  <si>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</si>
  <si>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</si>
  <si>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</si>
  <si>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</si>
  <si>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</si>
  <si>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</si>
  <si>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</si>
  <si>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</si>
  <si>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</si>
  <si>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</si>
  <si>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</si>
  <si>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</si>
  <si>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</si>
  <si>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</si>
  <si>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</si>
  <si>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</si>
  <si>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</si>
  <si>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</si>
  <si>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</si>
  <si>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</si>
  <si>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</si>
  <si>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</si>
  <si>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</si>
  <si>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</si>
  <si>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</si>
  <si>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</si>
  <si>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</si>
  <si>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</si>
  <si>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</si>
  <si>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</si>
  <si>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</si>
  <si>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</si>
  <si>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</si>
  <si>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</si>
  <si>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</si>
  <si>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</si>
  <si>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</si>
  <si>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</si>
  <si>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</si>
  <si>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</si>
  <si>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</si>
  <si>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</si>
  <si>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</si>
  <si>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</si>
  <si>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</si>
  <si>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</si>
  <si>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</si>
  <si>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</si>
  <si>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</si>
  <si>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</si>
  <si>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</si>
  <si>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</si>
  <si>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</si>
  <si>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</si>
  <si>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</si>
  <si>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</si>
  <si>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</si>
  <si>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</si>
  <si>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</si>
  <si>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</si>
  <si>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</si>
  <si>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</si>
  <si>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</si>
  <si>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</si>
  <si>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</si>
  <si>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</si>
  <si>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</si>
  <si>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</si>
  <si>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</si>
  <si>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</si>
  <si>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</si>
  <si>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</si>
  <si>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</si>
  <si>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</si>
  <si>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</si>
  <si>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</si>
  <si>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</si>
  <si>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</si>
  <si>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</si>
  <si>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</si>
  <si>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</si>
  <si>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</si>
  <si>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</si>
  <si>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</si>
  <si>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</si>
  <si>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</si>
  <si>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</si>
  <si>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</si>
  <si>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</si>
  <si>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</si>
  <si>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</si>
  <si>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</si>
  <si>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</si>
  <si>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</si>
  <si>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</si>
  <si>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</si>
  <si>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</si>
  <si>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</si>
  <si>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</si>
  <si>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</si>
  <si>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</si>
  <si>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</si>
  <si>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</si>
  <si>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</si>
  <si>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</si>
  <si>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</si>
  <si>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</si>
  <si>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</si>
  <si>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</si>
  <si>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</si>
  <si>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</si>
  <si>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</si>
  <si>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</si>
  <si>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</si>
  <si>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</si>
  <si>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</si>
  <si>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</si>
  <si>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</si>
  <si>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</si>
  <si>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</si>
  <si>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</si>
  <si>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</si>
  <si>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</si>
  <si>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</si>
  <si>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</si>
  <si>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</si>
  <si>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</si>
  <si>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</si>
  <si>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</si>
  <si>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</si>
  <si>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</si>
  <si>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</si>
  <si>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</si>
  <si>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</si>
  <si>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</si>
  <si>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</si>
  <si>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</si>
  <si>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</si>
  <si>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</si>
  <si>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</si>
  <si>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</si>
  <si>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</si>
  <si>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</si>
  <si>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</si>
  <si>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</si>
  <si>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</si>
  <si>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</si>
  <si>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</si>
  <si>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</si>
  <si>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</si>
  <si>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</si>
  <si>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</si>
  <si>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</si>
  <si>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</si>
  <si>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</si>
  <si>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</si>
  <si>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</si>
  <si>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</si>
  <si>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</si>
  <si>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</si>
  <si>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</si>
  <si>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</si>
  <si>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</si>
  <si>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</si>
  <si>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</si>
  <si>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</si>
  <si>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</si>
  <si>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</si>
  <si>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</si>
  <si>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</si>
  <si>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</si>
  <si>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</si>
  <si>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</si>
  <si>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</si>
  <si>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</si>
  <si>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</si>
  <si>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</si>
  <si>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</si>
  <si>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</si>
  <si>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</si>
  <si>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</si>
  <si>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</si>
  <si>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</si>
  <si>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</si>
  <si>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</si>
  <si>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</si>
  <si>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</si>
  <si>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</si>
  <si>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</si>
  <si>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</si>
  <si>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</si>
  <si>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</si>
  <si>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</si>
  <si>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</si>
  <si>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</si>
  <si>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</si>
  <si>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</si>
  <si>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</si>
  <si>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</si>
  <si>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</si>
  <si>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</si>
  <si>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</si>
  <si>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</si>
  <si>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</si>
  <si>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</si>
  <si>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</si>
  <si>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</si>
  <si>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</si>
  <si>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</si>
  <si>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</si>
  <si>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</si>
  <si>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</si>
  <si>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</si>
  <si>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</si>
  <si>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</si>
  <si>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</si>
  <si>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</si>
  <si>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</si>
  <si>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</si>
  <si>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</si>
  <si>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</si>
  <si>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</si>
  <si>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</si>
  <si>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</si>
  <si>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</si>
  <si>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</si>
  <si>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</si>
  <si>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</si>
  <si>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</si>
  <si>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</si>
  <si>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</si>
  <si>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</si>
  <si>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</si>
  <si>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</si>
  <si>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</si>
  <si>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</si>
  <si>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</si>
  <si>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</si>
  <si>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</si>
  <si>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</si>
  <si>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</si>
  <si>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</si>
  <si>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</si>
  <si>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</si>
  <si>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</si>
  <si>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</si>
  <si>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</si>
  <si>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</si>
  <si>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</si>
  <si>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</si>
  <si>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</si>
  <si>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</si>
  <si>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</si>
  <si>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</si>
  <si>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</si>
  <si>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</si>
  <si>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</si>
  <si>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</si>
  <si>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</si>
  <si>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</si>
  <si>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</si>
  <si>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</si>
  <si>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</si>
  <si>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</si>
  <si>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</si>
  <si>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</si>
  <si>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</si>
  <si>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</si>
  <si>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</si>
  <si>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</si>
  <si>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</si>
  <si>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</si>
  <si>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</si>
  <si>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</si>
  <si>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</si>
  <si>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</si>
  <si>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</si>
  <si>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</si>
  <si>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</si>
  <si>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</si>
  <si>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</si>
  <si>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</si>
  <si>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</si>
  <si>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</si>
  <si>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</si>
  <si>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</si>
  <si>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</si>
  <si>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</si>
  <si>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</si>
  <si>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</si>
  <si>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</si>
  <si>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</si>
  <si>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</si>
  <si>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</si>
  <si>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</si>
  <si>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</si>
  <si>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</si>
  <si>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</si>
  <si>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</si>
  <si>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</si>
  <si>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</si>
  <si>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</si>
  <si>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</si>
  <si>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</si>
  <si>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</si>
  <si>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</si>
  <si>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</si>
  <si>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</si>
  <si>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</si>
  <si>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</si>
  <si>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</si>
  <si>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</si>
  <si>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</si>
  <si>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</si>
  <si>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</si>
  <si>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</si>
  <si>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</si>
  <si>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</si>
  <si>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</si>
  <si>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</si>
  <si>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</si>
  <si>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</si>
  <si>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</si>
  <si>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</si>
  <si>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</si>
  <si>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</si>
  <si>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</si>
  <si>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</si>
  <si>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</si>
  <si>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</si>
  <si>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</si>
  <si>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</si>
  <si>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</si>
  <si>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</si>
  <si>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</si>
  <si>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</si>
  <si>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</si>
  <si>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</si>
  <si>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</si>
  <si>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</si>
  <si>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</si>
  <si>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</si>
  <si>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</si>
  <si>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</si>
  <si>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</si>
  <si>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</si>
  <si>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</si>
  <si>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</si>
  <si>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</si>
  <si>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</si>
  <si>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</si>
  <si>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</si>
  <si>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</si>
  <si>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</si>
  <si>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</si>
  <si>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</si>
  <si>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</si>
  <si>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</si>
  <si>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</si>
  <si>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</si>
  <si>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</si>
  <si>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</si>
  <si>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</si>
  <si>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</si>
  <si>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</si>
  <si>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</si>
  <si>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</si>
  <si>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</si>
  <si>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</si>
  <si>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</si>
  <si>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</si>
  <si>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</si>
  <si>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</si>
  <si>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</si>
  <si>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</si>
  <si>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</si>
  <si>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</si>
  <si>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</si>
  <si>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</si>
  <si>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</si>
  <si>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</si>
  <si>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</si>
  <si>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</si>
  <si>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</si>
  <si>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</si>
  <si>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</si>
  <si>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</si>
  <si>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</si>
  <si>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</si>
  <si>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</si>
  <si>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</si>
  <si>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</si>
  <si>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</si>
  <si>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</si>
  <si>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</si>
  <si>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</si>
  <si>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</si>
  <si>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</si>
  <si>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</si>
  <si>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</si>
  <si>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</si>
  <si>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</si>
  <si>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</si>
  <si>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</si>
  <si>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</si>
  <si>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</si>
  <si>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</si>
  <si>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</si>
  <si>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</si>
  <si>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</si>
  <si>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</si>
  <si>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</si>
  <si>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</si>
  <si>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</si>
  <si>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</si>
  <si>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</si>
  <si>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</si>
  <si>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</si>
  <si>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</si>
  <si>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</si>
  <si>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</si>
  <si>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</si>
  <si>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</si>
  <si>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</si>
  <si>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</si>
  <si>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</si>
  <si>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</si>
  <si>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</si>
  <si>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</si>
  <si>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</si>
  <si>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</si>
  <si>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</si>
  <si>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</si>
  <si>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</si>
  <si>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</si>
  <si>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</si>
  <si>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</si>
  <si>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</si>
  <si>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</si>
  <si>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</si>
  <si>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</si>
  <si>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</si>
  <si>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</si>
  <si>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</si>
  <si>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</si>
  <si>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</si>
  <si>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</si>
  <si>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</si>
  <si>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</si>
  <si>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</si>
  <si>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</si>
  <si>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</si>
  <si>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</si>
  <si>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</si>
  <si>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</si>
  <si>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</si>
  <si>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</si>
  <si>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</si>
  <si>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</si>
  <si>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</si>
  <si>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</si>
  <si>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</si>
  <si>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</si>
  <si>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</si>
  <si>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</si>
  <si>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</si>
  <si>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</si>
  <si>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</si>
  <si>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</si>
  <si>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</si>
  <si>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</si>
  <si>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</si>
  <si>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</si>
  <si>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</si>
  <si>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</si>
  <si>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</si>
  <si>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</si>
  <si>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</si>
  <si>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</si>
  <si>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</si>
  <si>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</si>
  <si>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</si>
  <si>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</si>
  <si>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</si>
  <si>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</si>
  <si>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</si>
  <si>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</si>
  <si>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</si>
  <si>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</si>
  <si>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</si>
  <si>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</si>
  <si>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</si>
  <si>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</si>
  <si>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</si>
  <si>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</si>
  <si>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</si>
  <si>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</si>
  <si>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</si>
  <si>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</si>
  <si>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</si>
  <si>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</si>
  <si>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</si>
  <si>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</si>
  <si>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</si>
  <si>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</si>
  <si>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</si>
  <si>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</si>
  <si>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</si>
  <si>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</si>
  <si>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</si>
  <si>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</si>
  <si>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</si>
  <si>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</si>
  <si>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</si>
  <si>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</si>
  <si>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</si>
  <si>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</si>
  <si>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</si>
  <si>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</si>
  <si>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</si>
  <si>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</si>
  <si>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</si>
  <si>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</si>
  <si>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</si>
  <si>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</si>
  <si>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</si>
  <si>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</si>
  <si>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</si>
  <si>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</si>
  <si>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</si>
  <si>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</si>
  <si>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</si>
  <si>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</si>
  <si>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</si>
  <si>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</si>
  <si>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</si>
  <si>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</si>
  <si>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</si>
  <si>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</si>
  <si>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</si>
  <si>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</si>
  <si>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</si>
  <si>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</si>
  <si>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</si>
  <si>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</si>
  <si>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</si>
  <si>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</si>
  <si>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</si>
  <si>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</si>
  <si>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</si>
  <si>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</si>
  <si>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</si>
  <si>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</si>
  <si>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</si>
  <si>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</si>
  <si>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</si>
  <si>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</si>
  <si>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</si>
  <si>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</si>
  <si>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</si>
  <si>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</si>
  <si>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</si>
  <si>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</si>
  <si>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</si>
  <si>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</si>
  <si>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</si>
  <si>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</si>
  <si>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</si>
  <si>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</si>
  <si>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</si>
  <si>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</si>
  <si>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</si>
  <si>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</si>
  <si>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</si>
  <si>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</si>
  <si>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</si>
  <si>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</si>
  <si>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</si>
  <si>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</si>
  <si>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</si>
  <si>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</si>
  <si>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</si>
  <si>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</si>
  <si>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</si>
  <si>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</si>
  <si>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</si>
  <si>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</si>
  <si>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</si>
  <si>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</si>
  <si>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</si>
  <si>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</si>
  <si>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</si>
  <si>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</si>
  <si>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</si>
  <si>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</si>
  <si>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</si>
  <si>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</si>
  <si>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</si>
  <si>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</si>
  <si>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</si>
  <si>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</si>
  <si>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</si>
  <si>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</si>
  <si>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</si>
  <si>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</si>
  <si>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</si>
  <si>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</si>
  <si>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</si>
  <si>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</si>
  <si>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</si>
  <si>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</si>
  <si>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</si>
  <si>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</si>
  <si>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</si>
  <si>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</si>
  <si>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</si>
  <si>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</si>
  <si>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</si>
  <si>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</si>
  <si>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</si>
  <si>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</si>
  <si>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</si>
  <si>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</si>
  <si>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</si>
  <si>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</si>
  <si>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</si>
  <si>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</si>
  <si>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</si>
  <si>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</si>
  <si>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</si>
  <si>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</si>
  <si>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</si>
  <si>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</si>
  <si>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</si>
  <si>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</si>
  <si>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</si>
  <si>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</si>
  <si>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</si>
  <si>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</si>
  <si>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</si>
  <si>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</si>
  <si>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</si>
  <si>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</si>
  <si>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</si>
  <si>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</si>
  <si>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</si>
  <si>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</si>
  <si>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</si>
  <si>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</si>
  <si>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</si>
  <si>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</si>
  <si>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</si>
  <si>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</si>
  <si>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</si>
  <si>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</si>
  <si>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</si>
  <si>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</si>
  <si>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</si>
  <si>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</si>
  <si>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</si>
  <si>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</si>
  <si>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</si>
  <si>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</si>
  <si>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</si>
  <si>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</si>
  <si>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</si>
  <si>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</si>
  <si>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</si>
  <si>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</si>
  <si>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</si>
  <si>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</si>
  <si>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</si>
  <si>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</si>
  <si>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</si>
  <si>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</si>
  <si>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</si>
  <si>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</si>
  <si>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</si>
  <si>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</si>
  <si>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</si>
  <si>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</si>
  <si>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</si>
  <si>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</si>
  <si>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</si>
  <si>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</si>
  <si>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</si>
  <si>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</si>
  <si>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</si>
  <si>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</si>
  <si>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</si>
  <si>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</si>
  <si>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</si>
  <si>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</si>
  <si>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</si>
  <si>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</si>
  <si>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</si>
  <si>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</si>
  <si>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</si>
  <si>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</si>
  <si>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</si>
  <si>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</si>
  <si>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</si>
  <si>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</si>
  <si>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</si>
  <si>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</si>
  <si>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</si>
  <si>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</si>
  <si>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</si>
  <si>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</si>
  <si>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</si>
  <si>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</si>
  <si>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</si>
  <si>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</si>
  <si>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</si>
  <si>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</si>
  <si>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</si>
  <si>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</si>
  <si>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</si>
  <si>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</si>
  <si>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</si>
  <si>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</si>
  <si>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</si>
  <si>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</si>
  <si>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</si>
  <si>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</si>
  <si>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</si>
  <si>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</si>
  <si>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</si>
  <si>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</si>
  <si>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</si>
  <si>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</si>
  <si>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</si>
  <si>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</si>
  <si>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</si>
  <si>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</si>
  <si>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</si>
  <si>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</si>
  <si>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</si>
  <si>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</si>
  <si>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</si>
  <si>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</si>
  <si>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</si>
  <si>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</si>
  <si>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</si>
  <si>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</si>
  <si>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</si>
  <si>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</si>
  <si>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</si>
  <si>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</si>
  <si>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</si>
  <si>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</si>
  <si>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</si>
  <si>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</si>
  <si>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</si>
  <si>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</si>
  <si>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</si>
  <si>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</si>
  <si>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</si>
  <si>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</si>
  <si>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</si>
  <si>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</si>
  <si>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</si>
  <si>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</si>
  <si>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</si>
  <si>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</si>
  <si>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</si>
  <si>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</si>
  <si>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</si>
  <si>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</si>
  <si>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</si>
  <si>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</si>
  <si>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</si>
  <si>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</si>
  <si>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</si>
  <si>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</si>
  <si>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</si>
  <si>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</si>
  <si>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</si>
  <si>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</si>
  <si>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</si>
  <si>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</si>
  <si>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</si>
  <si>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</si>
  <si>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</si>
  <si>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</si>
  <si>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</si>
  <si>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</si>
  <si>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</si>
  <si>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</si>
  <si>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</si>
  <si>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</si>
  <si>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</si>
  <si>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</si>
  <si>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</si>
  <si>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</si>
  <si>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</si>
  <si>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</si>
  <si>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</si>
  <si>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</si>
  <si>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</si>
  <si>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</si>
  <si>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</si>
  <si>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</si>
  <si>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</si>
  <si>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</si>
  <si>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2026-092</t>
  </si>
  <si>
    <t>2026-093</t>
  </si>
  <si>
    <t>12030/2026</t>
  </si>
  <si>
    <t>MROSC para servidores do GDF</t>
  </si>
  <si>
    <t>28 a 30/09/2026</t>
  </si>
  <si>
    <t>11903/2026</t>
  </si>
  <si>
    <t>Controle Tecnológico de Pavimentos Asfálticos, Auditoria e Análise de Superfaturamento</t>
  </si>
  <si>
    <t>21 a 23/10/2026</t>
  </si>
  <si>
    <t>Matheus Viana de Souza</t>
  </si>
  <si>
    <t>Marcelo Silva Santana; Matheus Viana de Souza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</si>
</sst>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739" activePane="bottomLeft" state="frozen"/>
      <selection pane="bottomLeft" activeCell="T755" sqref="T75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9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9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 x14ac:dyDescent="0.25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 x14ac:dyDescent="0.2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 x14ac:dyDescent="0.2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 x14ac:dyDescent="0.2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 x14ac:dyDescent="0.2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 x14ac:dyDescent="0.25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 x14ac:dyDescent="0.2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 x14ac:dyDescent="0.25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 x14ac:dyDescent="0.2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 x14ac:dyDescent="0.2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 x14ac:dyDescent="0.2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 x14ac:dyDescent="0.2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 x14ac:dyDescent="0.2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 x14ac:dyDescent="0.25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 x14ac:dyDescent="0.2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x14ac:dyDescent="0.2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 x14ac:dyDescent="0.25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 x14ac:dyDescent="0.25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 x14ac:dyDescent="0.25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 x14ac:dyDescent="0.2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 x14ac:dyDescent="0.2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 x14ac:dyDescent="0.25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 x14ac:dyDescent="0.25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x14ac:dyDescent="0.2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x14ac:dyDescent="0.2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x14ac:dyDescent="0.2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3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3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 x14ac:dyDescent="0.2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 x14ac:dyDescent="0.2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 x14ac:dyDescent="0.2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 x14ac:dyDescent="0.25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 x14ac:dyDescent="0.2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2956</v>
      </c>
    </row>
    <row r="722" spans="1:20" ht="45" x14ac:dyDescent="0.2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2960</v>
      </c>
    </row>
    <row r="723" spans="1:20" ht="15" x14ac:dyDescent="0.2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4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 x14ac:dyDescent="0.25">
      <c r="A748" s="156" t="s">
        <v>3242</v>
      </c>
      <c r="B748" s="154">
        <v>2026</v>
      </c>
      <c r="C748" s="154" t="s">
        <v>2710</v>
      </c>
      <c r="D748" s="154" t="s">
        <v>3244</v>
      </c>
      <c r="E748" s="159" t="s">
        <v>3245</v>
      </c>
      <c r="F748" s="170" t="s">
        <v>69</v>
      </c>
      <c r="G748" s="155" t="s">
        <v>79</v>
      </c>
      <c r="H748" s="156" t="s">
        <v>3246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4"/>
        <v>0</v>
      </c>
      <c r="S748" s="154">
        <v>12</v>
      </c>
      <c r="T748" s="155" t="s">
        <v>2452</v>
      </c>
    </row>
    <row r="749" spans="1:20" ht="30" x14ac:dyDescent="0.25">
      <c r="A749" s="156" t="s">
        <v>3243</v>
      </c>
      <c r="B749" s="154">
        <v>2026</v>
      </c>
      <c r="C749" s="154" t="s">
        <v>2710</v>
      </c>
      <c r="D749" s="154" t="s">
        <v>3247</v>
      </c>
      <c r="E749" s="166" t="s">
        <v>3248</v>
      </c>
      <c r="F749" s="170" t="s">
        <v>24</v>
      </c>
      <c r="G749" s="155" t="s">
        <v>25</v>
      </c>
      <c r="H749" s="156" t="s">
        <v>3249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4"/>
        <v>0</v>
      </c>
      <c r="S749" s="154">
        <v>12</v>
      </c>
      <c r="T749" s="155" t="s">
        <v>3251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A110" sqref="A110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3045</v>
      </c>
      <c r="H1" s="168" t="s">
        <v>3046</v>
      </c>
    </row>
    <row r="2" spans="1:8" x14ac:dyDescent="0.25">
      <c r="H2" s="167" t="s">
        <v>3047</v>
      </c>
    </row>
    <row r="3" spans="1:8" x14ac:dyDescent="0.25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 x14ac:dyDescent="0.25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 x14ac:dyDescent="0.25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 x14ac:dyDescent="0.25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 x14ac:dyDescent="0.25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3250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122" activePane="bottomLeft" state="frozen"/>
      <selection pane="bottomLeft" activeCell="AA91" sqref="AA9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 x14ac:dyDescent="0.25">
      <c r="A2" s="20" cm="1">
        <f t="array" aca="1" ref="A2:J14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8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9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2026-092</v>
      </c>
      <c r="N67" t="str">
        <f ca="1"/>
        <v>A realizar</v>
      </c>
      <c r="O67" t="str">
        <f ca="1"/>
        <v>MROSC para servidores do GDF</v>
      </c>
      <c r="P67">
        <f ca="1"/>
        <v>12</v>
      </c>
      <c r="Q67" t="str">
        <f ca="1"/>
        <v>Indio Artiaga do Brasil Rabelo; Leonardo de Melo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2026-093</v>
      </c>
      <c r="N68" t="str">
        <f ca="1"/>
        <v>A realizar</v>
      </c>
      <c r="O68" t="str">
        <f ca="1"/>
        <v>Controle Tecnológico de Pavimentos Asfálticos, Auditoria e Análise de Superfaturamento</v>
      </c>
      <c r="P68">
        <f ca="1"/>
        <v>12</v>
      </c>
      <c r="Q68" t="str">
        <f ca="1"/>
        <v>Marcelo Silva Santana; Matheus Viana de Souza</v>
      </c>
      <c r="R68">
        <f ca="1"/>
        <v>2</v>
      </c>
      <c r="S68">
        <f ca="1"/>
        <v>140</v>
      </c>
      <c r="T68">
        <f ca="1"/>
        <v>138</v>
      </c>
      <c r="X68" t="s">
        <v>2961</v>
      </c>
      <c r="Y68" t="s">
        <v>3082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T69">
        <f ca="1"/>
        <v>140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3242</v>
      </c>
      <c r="Y89" t="s">
        <v>3071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3243</v>
      </c>
      <c r="Y90" t="s">
        <v>3250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2026-092</v>
      </c>
      <c r="C138" t="str">
        <f ca="1"/>
        <v>A realizar</v>
      </c>
      <c r="D138" t="str">
        <f ca="1"/>
        <v>MROSC para servidores do GDF</v>
      </c>
      <c r="E138">
        <f ca="1"/>
        <v>12</v>
      </c>
      <c r="F138" t="str">
        <f ca="1"/>
        <v>Indio Artiaga do Brasil Rabelo</v>
      </c>
      <c r="G138">
        <f ca="1"/>
        <v>2</v>
      </c>
      <c r="H138">
        <f ca="1"/>
        <v>12</v>
      </c>
      <c r="I138">
        <f ca="1"/>
        <v>3.5999999999999996</v>
      </c>
      <c r="J138">
        <f ca="1"/>
        <v>15.6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2026-092</v>
      </c>
      <c r="C139" t="str">
        <f ca="1"/>
        <v>A realizar</v>
      </c>
      <c r="D139" t="str">
        <f ca="1"/>
        <v>MROSC para servidores do GDF</v>
      </c>
      <c r="E139">
        <f ca="1"/>
        <v>12</v>
      </c>
      <c r="F139" t="str">
        <f ca="1"/>
        <v>Leonardo de Melo</v>
      </c>
      <c r="G139">
        <f ca="1"/>
        <v>2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2026-093</v>
      </c>
      <c r="C140" t="str">
        <f ca="1"/>
        <v>A realizar</v>
      </c>
      <c r="D140" t="str">
        <f ca="1"/>
        <v>Controle Tecnológico de Pavimentos Asfálticos, Auditoria e Análise de Superfaturamento</v>
      </c>
      <c r="E140">
        <f ca="1"/>
        <v>12</v>
      </c>
      <c r="F140" t="str">
        <f ca="1"/>
        <v>Marcelo Silva Santana</v>
      </c>
      <c r="G140">
        <f ca="1"/>
        <v>2</v>
      </c>
      <c r="H140">
        <f ca="1"/>
        <v>12</v>
      </c>
      <c r="I140">
        <f ca="1"/>
        <v>3.5999999999999996</v>
      </c>
      <c r="J140">
        <f ca="1"/>
        <v>15.6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2026-093</v>
      </c>
      <c r="C141" t="str">
        <f ca="1"/>
        <v>A realizar</v>
      </c>
      <c r="D141" t="str">
        <f ca="1"/>
        <v>Controle Tecnológico de Pavimentos Asfálticos, Auditoria e Análise de Superfaturamento</v>
      </c>
      <c r="E141">
        <f ca="1"/>
        <v>12</v>
      </c>
      <c r="F141" t="str">
        <f ca="1"/>
        <v>Matheus Viana de Souza</v>
      </c>
      <c r="G141">
        <f ca="1"/>
        <v>2</v>
      </c>
      <c r="H141">
        <f ca="1"/>
        <v>0</v>
      </c>
      <c r="I141">
        <f ca="1"/>
        <v>0</v>
      </c>
      <c r="J141">
        <f ca="1"/>
        <v>0</v>
      </c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3135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3136</v>
      </c>
      <c r="B4" s="216"/>
      <c r="D4" s="217" t="s">
        <v>3137</v>
      </c>
      <c r="E4" s="218"/>
      <c r="G4" s="44" t="s">
        <v>3138</v>
      </c>
    </row>
    <row r="5" spans="1:7" ht="54.95" customHeight="1" thickBot="1" x14ac:dyDescent="0.75">
      <c r="A5" s="34">
        <f>COUNTIF('Ações InCompany'!B:B,2026)</f>
        <v>92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3140</v>
      </c>
      <c r="B8" s="212"/>
      <c r="D8" s="212" t="s">
        <v>3141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3148</v>
      </c>
      <c r="B14" s="33">
        <f>SUM(B11:B13)</f>
        <v>59</v>
      </c>
      <c r="D14" s="32" t="s">
        <v>3149</v>
      </c>
      <c r="E14" s="33">
        <f>SUM(E11:E13)</f>
        <v>3116</v>
      </c>
    </row>
    <row r="30" spans="1:5" ht="17.25" x14ac:dyDescent="0.3">
      <c r="A30" s="212" t="s">
        <v>3150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0.26506024096385544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0.10843373493975904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0.25301204819277107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6.0240963855421686E-2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3148</v>
      </c>
      <c r="B45" s="40">
        <f>SUM(B33:B44)</f>
        <v>59</v>
      </c>
      <c r="C45" s="40">
        <f>SUM(C33:C44)</f>
        <v>24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 x14ac:dyDescent="0.25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 x14ac:dyDescent="0.25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 x14ac:dyDescent="0.25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 x14ac:dyDescent="0.25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 x14ac:dyDescent="0.25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 x14ac:dyDescent="0.25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 x14ac:dyDescent="0.25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 x14ac:dyDescent="0.25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 x14ac:dyDescent="0.25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 x14ac:dyDescent="0.25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 x14ac:dyDescent="0.25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 x14ac:dyDescent="0.25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 x14ac:dyDescent="0.25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 x14ac:dyDescent="0.25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 x14ac:dyDescent="0.25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 x14ac:dyDescent="0.25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 x14ac:dyDescent="0.25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 x14ac:dyDescent="0.25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 x14ac:dyDescent="0.25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 x14ac:dyDescent="0.25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 x14ac:dyDescent="0.25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 x14ac:dyDescent="0.25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3200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3201</v>
      </c>
    </row>
    <row r="4" spans="1:8" ht="21.95" customHeight="1" x14ac:dyDescent="0.25">
      <c r="A4" s="220" t="s">
        <v>3202</v>
      </c>
      <c r="B4" s="221"/>
      <c r="D4" s="220" t="s">
        <v>3203</v>
      </c>
      <c r="E4" s="221"/>
      <c r="G4" s="220" t="s">
        <v>3204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3210</v>
      </c>
      <c r="B1" s="225"/>
      <c r="C1" s="225"/>
      <c r="D1" s="225"/>
      <c r="E1" s="225"/>
      <c r="F1" s="225"/>
    </row>
    <row r="2" spans="1:7" x14ac:dyDescent="0.25">
      <c r="A2" s="226" t="s">
        <v>3211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 x14ac:dyDescent="0.25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3149</v>
      </c>
      <c r="B105" s="94">
        <f ca="1">SUM(B5:B100)</f>
        <v>831</v>
      </c>
      <c r="C105" s="94">
        <f ca="1">SUM(C5:C100)</f>
        <v>369.63999999999993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2026-09-14T18:51:31Z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