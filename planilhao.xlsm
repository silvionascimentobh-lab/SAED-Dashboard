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8" documentId="13_ncr:1_{6A2CC3E2-FAFB-4D8F-B284-5E8FB5045DFE}" xr6:coauthVersionLast="47" xr6:coauthVersionMax="47" xr10:uidLastSave="{23E76239-688B-45EF-A7DE-31EBFD6267E5}"/>
  <bookViews>
    <workbookView minimized="1" xWindow="1650" yWindow="705" windowWidth="23265" windowHeight="119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A2" i="20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<sst xmlns="http://schemas.openxmlformats.org/spreadsheetml/2006/main" count="7229" uniqueCount="3186">
  <si>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</si>
  <si>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</si>
  <si>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</si>
  <si>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</si>
  <si>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</si>
  <si>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</si>
  <si>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</si>
  <si>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</si>
  <si>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</si>
  <si>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</si>
  <si>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</si>
  <si>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</si>
  <si>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</si>
  <si>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</si>
  <si>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</si>
  <si>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</si>
  <si>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</si>
  <si>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</si>
  <si>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</si>
  <si>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</si>
  <si>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</si>
  <si>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</si>
  <si>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</si>
  <si>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</si>
  <si>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</si>
  <si>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</si>
  <si>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</si>
  <si>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</si>
  <si>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</si>
  <si>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</si>
  <si>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</si>
  <si>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</si>
  <si>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</si>
  <si>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</si>
  <si>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</si>
  <si>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</si>
  <si>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</si>
  <si>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</si>
  <si>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</si>
  <si>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</si>
  <si>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</si>
  <si>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</si>
  <si>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</si>
  <si>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</si>
  <si>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</si>
  <si>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</si>
  <si>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</si>
  <si>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</si>
  <si>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</si>
  <si>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</si>
  <si>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</si>
  <si>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</si>
  <si>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</si>
  <si>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</si>
  <si>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</si>
  <si>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</si>
  <si>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</si>
  <si>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</si>
  <si>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</si>
  <si>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</si>
  <si>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</si>
  <si>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</si>
  <si>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</si>
  <si>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</si>
  <si>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</si>
  <si>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</si>
  <si>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</si>
  <si>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</si>
  <si>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</si>
  <si>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</si>
  <si>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</si>
  <si>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</si>
  <si>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</si>
  <si>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</si>
  <si>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</si>
  <si>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</si>
  <si>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</si>
  <si>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</si>
  <si>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</si>
  <si>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</si>
  <si>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</si>
  <si>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</si>
  <si>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</si>
  <si>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</si>
  <si>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</si>
  <si>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</si>
  <si>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</si>
  <si>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</si>
  <si>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</si>
  <si>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</si>
  <si>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</si>
  <si>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</si>
  <si>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</si>
  <si>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</si>
  <si>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</si>
  <si>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</si>
  <si>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</si>
  <si>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</si>
  <si>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</si>
  <si>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</si>
  <si>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</si>
  <si>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</si>
  <si>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</si>
  <si>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</si>
  <si>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</si>
  <si>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</si>
  <si>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</si>
  <si>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</si>
  <si>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</si>
  <si>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</si>
  <si>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</si>
  <si>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</si>
  <si>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</si>
  <si>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</si>
  <si>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</si>
  <si>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</si>
  <si>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</si>
  <si>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</si>
  <si>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</si>
  <si>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</si>
  <si>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</si>
  <si>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</si>
  <si>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</si>
  <si>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</si>
  <si>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</si>
  <si>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</si>
  <si>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</si>
  <si>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</si>
  <si>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</si>
  <si>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</si>
  <si>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</si>
  <si>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</si>
  <si>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</si>
  <si>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</si>
  <si>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</si>
  <si>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</si>
  <si>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</si>
  <si>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</si>
  <si>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</si>
  <si>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</si>
  <si>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</si>
  <si>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</si>
  <si>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</si>
  <si>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</si>
  <si>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</si>
  <si>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</si>
  <si>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</si>
  <si>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</si>
  <si>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</si>
  <si>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</si>
  <si>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</si>
  <si>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</si>
  <si>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</si>
  <si>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</si>
  <si>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</si>
  <si>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</si>
  <si>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</si>
  <si>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</si>
  <si>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</si>
  <si>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</si>
  <si>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</si>
  <si>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</si>
  <si>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</si>
  <si>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</si>
  <si>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</si>
  <si>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</si>
  <si>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</si>
  <si>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</si>
  <si>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</si>
  <si>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</si>
  <si>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</si>
  <si>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</si>
  <si>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</si>
  <si>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</si>
  <si>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</si>
  <si>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</si>
  <si>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</si>
  <si>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</si>
  <si>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</si>
  <si>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</si>
  <si>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</si>
  <si>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</si>
  <si>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</si>
  <si>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</si>
  <si>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</si>
  <si>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</si>
  <si>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</si>
  <si>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</si>
  <si>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</si>
  <si>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</si>
  <si>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</si>
  <si>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</si>
  <si>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</si>
  <si>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</si>
  <si>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</si>
  <si>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</si>
  <si>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</si>
  <si>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</si>
  <si>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</si>
  <si>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</si>
  <si>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</si>
  <si>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</si>
  <si>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</si>
  <si>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</si>
  <si>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</si>
  <si>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</si>
  <si>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</si>
  <si>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</si>
  <si>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</si>
  <si>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</si>
  <si>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</si>
  <si>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</si>
  <si>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</si>
  <si>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</si>
  <si>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</si>
  <si>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</si>
  <si>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</si>
  <si>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</si>
  <si>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</si>
  <si>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</si>
  <si>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</si>
  <si>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</si>
  <si>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</si>
  <si>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</si>
  <si>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</si>
  <si>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</si>
  <si>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</si>
  <si>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</si>
  <si>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</si>
  <si>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</si>
  <si>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</si>
  <si>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</si>
  <si>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</si>
  <si>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</si>
  <si>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</si>
  <si>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</si>
  <si>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</si>
  <si>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</si>
  <si>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</si>
  <si>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</si>
  <si>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</si>
  <si>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</si>
  <si>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</si>
  <si>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</si>
  <si>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</si>
  <si>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</si>
  <si>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</si>
  <si>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</si>
  <si>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</si>
  <si>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</si>
  <si>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</si>
  <si>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</si>
  <si>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</si>
  <si>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</si>
  <si>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</si>
  <si>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</si>
  <si>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</si>
  <si>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</si>
  <si>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</si>
  <si>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</si>
  <si>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</si>
  <si>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</si>
  <si>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</si>
  <si>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</si>
  <si>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</si>
  <si>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</si>
  <si>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</si>
  <si>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</si>
  <si>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</si>
  <si>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</si>
  <si>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</si>
  <si>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</si>
  <si>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</si>
  <si>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</si>
  <si>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</si>
  <si>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</si>
  <si>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</si>
  <si>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</si>
  <si>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</si>
  <si>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</si>
  <si>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</si>
  <si>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</si>
  <si>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</si>
  <si>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</si>
  <si>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</si>
  <si>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</si>
  <si>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</si>
  <si>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</si>
  <si>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</si>
  <si>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</si>
  <si>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</si>
  <si>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</si>
  <si>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</si>
  <si>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</si>
  <si>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</si>
  <si>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</si>
  <si>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</si>
  <si>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</si>
  <si>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</si>
  <si>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</si>
  <si>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</si>
  <si>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</si>
  <si>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</si>
  <si>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</si>
  <si>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</si>
  <si>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</si>
  <si>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</si>
  <si>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</si>
  <si>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</si>
  <si>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</si>
  <si>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</si>
  <si>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</si>
  <si>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</si>
  <si>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</si>
  <si>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</si>
  <si>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</si>
  <si>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</si>
  <si>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</si>
  <si>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</si>
  <si>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</si>
  <si>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</si>
  <si>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</si>
  <si>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</si>
  <si>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</si>
  <si>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</si>
  <si>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</si>
  <si>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</si>
  <si>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</si>
  <si>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</si>
  <si>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</si>
  <si>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</si>
  <si>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</si>
  <si>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</si>
  <si>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</si>
  <si>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</si>
  <si>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</si>
  <si>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</si>
  <si>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</si>
  <si>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</si>
  <si>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</si>
  <si>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</si>
  <si>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</si>
  <si>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</si>
  <si>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</si>
  <si>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</si>
  <si>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</si>
  <si>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</si>
  <si>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</si>
  <si>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</si>
  <si>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</si>
  <si>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</si>
  <si>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</si>
  <si>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</si>
  <si>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</si>
  <si>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</si>
  <si>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</si>
  <si>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</si>
  <si>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</si>
  <si>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</si>
  <si>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</si>
  <si>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</si>
  <si>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</si>
  <si>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</si>
  <si>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</si>
  <si>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</si>
  <si>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</si>
  <si>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</si>
  <si>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</si>
  <si>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</si>
  <si>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</si>
  <si>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</si>
  <si>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</si>
  <si>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</si>
  <si>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</si>
  <si>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</si>
  <si>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</si>
  <si>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</si>
  <si>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</si>
  <si>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</si>
  <si>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</si>
  <si>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</si>
  <si>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</si>
  <si>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</si>
  <si>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</si>
  <si>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</si>
  <si>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</si>
  <si>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</si>
  <si>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</si>
  <si>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</si>
  <si>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</si>
  <si>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</si>
  <si>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</si>
  <si>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</si>
  <si>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</si>
  <si>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</si>
  <si>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</si>
  <si>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</si>
  <si>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</si>
  <si>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</si>
  <si>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</si>
  <si>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</si>
  <si>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</si>
  <si>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</si>
  <si>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</si>
  <si>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</si>
  <si>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</si>
  <si>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</si>
  <si>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</si>
  <si>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</si>
  <si>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</si>
  <si>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</si>
  <si>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</si>
  <si>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</si>
  <si>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</si>
  <si>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</si>
  <si>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</si>
  <si>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</si>
  <si>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</si>
  <si>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</si>
  <si>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</si>
  <si>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</si>
  <si>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</si>
  <si>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</si>
  <si>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</si>
  <si>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</si>
  <si>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</si>
  <si>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</si>
  <si>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</si>
  <si>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</si>
  <si>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</si>
  <si>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</si>
  <si>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</si>
  <si>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</si>
  <si>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</si>
  <si>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</si>
  <si>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</si>
  <si>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</si>
  <si>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</si>
  <si>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</si>
  <si>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</si>
  <si>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</si>
  <si>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</si>
  <si>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</si>
  <si>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</si>
  <si>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</si>
  <si>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</si>
  <si>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</si>
  <si>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</si>
  <si>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</si>
  <si>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</si>
  <si>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</si>
  <si>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</si>
  <si>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</si>
  <si>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</si>
  <si>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</si>
  <si>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</si>
  <si>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</si>
  <si>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</si>
  <si>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</si>
  <si>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</si>
  <si>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</si>
  <si>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</si>
  <si>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</si>
  <si>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</si>
  <si>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</si>
  <si>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</si>
  <si>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</si>
  <si>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</si>
  <si>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</si>
  <si>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</si>
  <si>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</si>
  <si>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</si>
  <si>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</si>
  <si>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</si>
  <si>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</si>
  <si>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</si>
  <si>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</si>
  <si>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</si>
  <si>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</si>
  <si>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</si>
  <si>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</si>
  <si>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</si>
  <si>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</si>
  <si>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</si>
  <si>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</si>
  <si>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</si>
  <si>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</si>
  <si>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</si>
  <si>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</si>
  <si>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</si>
  <si>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</si>
  <si>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</si>
  <si>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</si>
  <si>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</si>
  <si>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</si>
  <si>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</si>
  <si>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</si>
  <si>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</si>
  <si>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</si>
  <si>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</si>
  <si>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</si>
  <si>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</si>
  <si>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</si>
  <si>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</si>
  <si>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</si>
  <si>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</si>
  <si>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</si>
  <si>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</si>
  <si>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</si>
  <si>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</si>
  <si>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</si>
  <si>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</si>
  <si>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</si>
  <si>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</si>
  <si>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</si>
  <si>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</si>
  <si>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</si>
  <si>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</si>
  <si>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</si>
  <si>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</si>
  <si>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</si>
  <si>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</si>
  <si>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</si>
  <si>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</si>
  <si>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</si>
  <si>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</si>
  <si>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</si>
  <si>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</si>
  <si>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</si>
  <si>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</si>
  <si>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</si>
  <si>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</si>
  <si>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</si>
  <si>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</si>
  <si>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</si>
  <si>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</si>
  <si>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</si>
  <si>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</si>
  <si>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</si>
  <si>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</si>
  <si>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</si>
  <si>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</si>
  <si>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</si>
  <si>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</si>
  <si>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</si>
  <si>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</si>
  <si>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</si>
  <si>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</si>
  <si>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</si>
  <si>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</si>
  <si>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</si>
  <si>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</si>
  <si>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</si>
  <si>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</si>
  <si>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</si>
  <si>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</si>
  <si>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</si>
  <si>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</si>
  <si>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</si>
  <si>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</si>
  <si>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</si>
  <si>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</si>
  <si>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</si>
  <si>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</si>
  <si>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</si>
  <si>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</si>
  <si>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</si>
  <si>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</si>
  <si>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</si>
  <si>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</si>
  <si>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</si>
  <si>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</si>
  <si>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</si>
  <si>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</si>
  <si>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</si>
  <si>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</si>
  <si>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</si>
  <si>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</si>
  <si>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</si>
  <si>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</si>
  <si>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</si>
  <si>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</si>
  <si>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</si>
  <si>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</si>
  <si>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</si>
  <si>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</si>
  <si>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</si>
  <si>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</si>
  <si>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</si>
  <si>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</si>
  <si>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</si>
  <si>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</si>
  <si>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</si>
  <si>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</si>
  <si>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</si>
  <si>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</si>
  <si>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</si>
  <si>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</si>
  <si>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</si>
  <si>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</si>
  <si>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</si>
  <si>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</si>
  <si>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</si>
  <si>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</si>
  <si>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</si>
  <si>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</si>
  <si>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</si>
  <si>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</si>
  <si>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</si>
  <si>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</si>
  <si>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</si>
  <si>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</si>
  <si>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</si>
  <si>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</si>
  <si>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</si>
  <si>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</si>
  <si>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</si>
  <si>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</si>
  <si>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</si>
  <si>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</si>
  <si>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</si>
  <si>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</si>
  <si>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</si>
  <si>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</si>
  <si>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</si>
  <si>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</si>
  <si>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</si>
  <si>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</si>
  <si>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</si>
  <si>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</si>
  <si>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</si>
  <si>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</si>
  <si>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</si>
  <si>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</si>
  <si>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</si>
  <si>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</si>
  <si>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</si>
  <si>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</si>
  <si>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</si>
  <si>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</si>
  <si>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</si>
  <si>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</si>
  <si>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</si>
  <si>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</si>
  <si>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</si>
  <si>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</si>
  <si>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</si>
  <si>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</si>
  <si>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</si>
  <si>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</si>
  <si>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</si>
  <si>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</si>
  <si>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</si>
  <si>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</si>
  <si>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</si>
  <si>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</si>
  <si>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</si>
  <si>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</si>
  <si>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</si>
  <si>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</si>
  <si>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</si>
  <si>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</si>
  <si>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</si>
  <si>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</si>
  <si>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</si>
  <si>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</si>
  <si>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</si>
  <si>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</si>
  <si>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</si>
  <si>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</si>
  <si>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</si>
  <si>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</si>
  <si>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</si>
  <si>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</si>
  <si>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</si>
  <si>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</si>
  <si>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</si>
  <si>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</si>
  <si>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</si>
  <si>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</si>
  <si>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</si>
  <si>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</si>
  <si>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</si>
  <si>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</si>
  <si>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</si>
  <si>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</si>
  <si>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</si>
  <si>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</si>
  <si>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</si>
  <si>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</si>
  <si>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</si>
  <si>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</si>
  <si>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</si>
  <si>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</si>
  <si>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</si>
  <si>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</si>
  <si>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</si>
  <si>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</si>
  <si>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</si>
  <si>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</si>
  <si>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</si>
  <si>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</si>
  <si>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</si>
  <si>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</si>
  <si>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</si>
  <si>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</si>
  <si>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</si>
  <si>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</si>
  <si>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</si>
  <si>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</si>
  <si>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</si>
  <si>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</si>
  <si>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</si>
  <si>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</si>
  <si>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</si>
  <si>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</si>
  <si>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</si>
  <si>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</si>
  <si>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</si>
  <si>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</si>
  <si>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</si>
  <si>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</si>
  <si>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</si>
  <si>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</si>
  <si>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</si>
  <si>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</si>
  <si>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</si>
  <si>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</si>
  <si>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</si>
  <si>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</si>
  <si>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</si>
  <si>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</si>
  <si>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</si>
  <si>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</si>
  <si>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</si>
  <si>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</si>
  <si>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</si>
  <si>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</si>
  <si>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</si>
  <si>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</si>
  <si>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</si>
  <si>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</si>
  <si>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</si>
  <si>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</si>
  <si>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</si>
  <si>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</si>
  <si>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</si>
  <si>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</si>
  <si>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</si>
  <si>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</si>
  <si>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</si>
  <si>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</si>
  <si>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</si>
  <si>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</si>
  <si>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</si>
  <si>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</si>
  <si>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</si>
  <si>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</si>
  <si>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</si>
  <si>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</si>
  <si>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</si>
  <si>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</si>
  <si>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</si>
  <si>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</si>
  <si>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</si>
  <si>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</si>
  <si>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</si>
  <si>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</si>
  <si>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</si>
  <si>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</si>
  <si>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</si>
  <si>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</si>
  <si>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</si>
  <si>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</si>
  <si>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</si>
  <si>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</si>
  <si>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</si>
  <si>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</si>
  <si>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</si>
  <si>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</si>
  <si>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</si>
  <si>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</si>
  <si>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</si>
  <si>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</si>
  <si>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</si>
  <si>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</si>
  <si>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</si>
  <si>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</si>
  <si>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</si>
  <si>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</si>
  <si>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</si>
  <si>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</si>
  <si>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</si>
  <si>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</si>
  <si>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</si>
  <si>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</si>
  <si>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</si>
  <si>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</si>
  <si>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</si>
  <si>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</si>
  <si>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</si>
  <si>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</si>
  <si>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</si>
  <si>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</si>
  <si>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</si>
  <si>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</si>
  <si>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</si>
  <si>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</si>
  <si>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</si>
  <si>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</si>
  <si>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</si>
  <si>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</si>
  <si>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</si>
  <si>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</si>
  <si>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</si>
  <si>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</si>
  <si>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</si>
  <si>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</si>
  <si>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</si>
  <si>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</si>
  <si>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</si>
  <si>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</si>
  <si>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</si>
  <si>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</si>
  <si>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</si>
  <si>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</si>
  <si>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</si>
  <si>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</si>
  <si>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</si>
  <si>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</si>
  <si>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</si>
  <si>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</si>
  <si>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</si>
  <si>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</si>
  <si>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</si>
  <si>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</si>
  <si>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</si>
  <si>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</si>
  <si>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</si>
  <si>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</si>
  <si>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</si>
  <si>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</si>
  <si>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</si>
  <si>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</si>
  <si>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</si>
  <si>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</si>
  <si>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</si>
  <si>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</si>
  <si>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</si>
  <si>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</si>
  <si>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</si>
  <si>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</si>
  <si>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</si>
  <si>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</si>
  <si>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</si>
  <si>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</si>
  <si>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</si>
  <si>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</si>
  <si>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</si>
  <si>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</si>
  <si>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</si>
  <si>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</si>
  <si>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</si>
  <si>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</si>
  <si>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</si>
  <si>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</si>
  <si>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</si>
  <si>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</si>
  <si>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</si>
  <si>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</si>
  <si>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</si>
  <si>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</si>
  <si>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</si>
  <si>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</si>
  <si>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</si>
  <si>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</si>
  <si>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</si>
  <si>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</si>
  <si>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</si>
  <si>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</si>
  <si>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</si>
  <si>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</si>
  <si>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</si>
  <si>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</si>
  <si>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</si>
  <si>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</si>
  <si>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</si>
  <si>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</si>
  <si>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</si>
  <si>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</si>
  <si>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</si>
  <si>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</si>
  <si>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</si>
  <si>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</si>
  <si>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</si>
  <si>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</si>
  <si>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</si>
  <si>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</si>
  <si>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</si>
  <si>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</si>
  <si>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</si>
  <si>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</si>
  <si>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</si>
  <si>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</si>
  <si>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</si>
  <si>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</si>
  <si>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</si>
  <si>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</si>
  <si>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</si>
  <si>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</si>
  <si>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</si>
  <si>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</si>
  <si>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</si>
  <si>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</si>
  <si>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</si>
  <si>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</si>
  <si>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</si>
  <si>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</si>
  <si>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</si>
  <si>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</si>
  <si>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</si>
  <si>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</si>
  <si>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</si>
  <si>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</si>
  <si>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</si>
  <si>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</si>
  <si>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</si>
  <si>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</si>
  <si>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</si>
  <si>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</si>
  <si>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</si>
  <si>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</si>
  <si>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</si>
  <si>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</si>
  <si>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</si>
  <si>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</si>
  <si>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</si>
  <si>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</si>
  <si>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</si>
  <si>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</si>
  <si>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</si>
  <si>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</si>
  <si>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</si>
  <si>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</si>
  <si>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</si>
  <si>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</si>
  <si>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</si>
  <si>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</si>
  <si>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</si>
  <si>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</si>
  <si>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</si>
  <si>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</si>
  <si>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</si>
  <si>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</si>
  <si>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</si>
  <si>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</si>
  <si>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</si>
  <si>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</si>
  <si>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</si>
  <si>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</si>
  <si>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</si>
  <si>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</si>
  <si>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</si>
  <si>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</si>
  <si>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</si>
  <si>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</si>
  <si>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</si>
  <si>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</si>
  <si>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</si>
  <si>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</si>
  <si>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</si>
  <si>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</si>
  <si>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</si>
  <si>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</si>
  <si>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</si>
  <si>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</si>
  <si>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</si>
  <si>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</si>
  <si>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</si>
  <si>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</si>
  <si>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</si>
  <si>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</si>
  <si>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</si>
  <si>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</si>
  <si>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</si>
  <si>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</si>
  <si>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</si>
  <si>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</si>
  <si>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</si>
  <si>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</si>
  <si>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</si>
  <si>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</si>
  <si>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</si>
  <si>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</si>
  <si>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</si>
  <si>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</si>
  <si>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</si>
  <si>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</si>
  <si>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</si>
  <si>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</si>
  <si>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</si>
  <si>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</si>
  <si>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</si>
  <si>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</si>
  <si>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</si>
  <si>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</si>
  <si>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</si>
  <si>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</si>
  <si>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</si>
  <si>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</si>
  <si>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</si>
  <si>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</si>
  <si>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</si>
  <si>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</si>
  <si>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</si>
  <si>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</si>
  <si>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</si>
  <si>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</si>
  <si>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</si>
  <si>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</si>
  <si>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</si>
  <si>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</si>
  <si>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</si>
  <si>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</si>
  <si>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</si>
  <si>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</si>
  <si>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</si>
  <si>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</si>
  <si>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</si>
  <si>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</si>
  <si>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</si>
  <si>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</si>
  <si>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</si>
  <si>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</si>
  <si>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</si>
  <si>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</si>
  <si>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</si>
  <si>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</si>
  <si>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</si>
  <si>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</si>
  <si>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</si>
  <si>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</si>
  <si>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</si>
  <si>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</si>
  <si>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</si>
  <si>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</si>
  <si>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</si>
  <si>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</si>
  <si>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</si>
  <si>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</si>
  <si>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</si>
  <si>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</si>
  <si>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</si>
  <si>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</si>
  <si>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</si>
  <si>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</si>
  <si>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</si>
  <si>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</si>
  <si>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</si>
  <si>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</si>
  <si>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</si>
  <si>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</si>
  <si>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</si>
  <si>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</si>
  <si>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</si>
  <si>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</si>
  <si>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</si>
  <si>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</si>
  <si>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</si>
  <si>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</si>
  <si>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</si>
  <si>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</si>
  <si>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</si>
  <si>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</si>
  <si>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</si>
  <si>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</si>
  <si>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</si>
  <si>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</si>
  <si>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</si>
  <si>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</si>
  <si>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</si>
  <si>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</si>
  <si>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</si>
  <si>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</si>
  <si>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</si>
  <si>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</si>
  <si>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</si>
  <si>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</si>
  <si>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</si>
  <si>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</si>
  <si>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</si>
  <si>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</si>
  <si>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</si>
  <si>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</si>
  <si>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</si>
  <si>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</si>
  <si>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</si>
  <si>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</si>
  <si>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</si>
  <si>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</si>
  <si>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</si>
  <si>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</si>
  <si>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</si>
  <si>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</si>
  <si>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</si>
  <si>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</si>
  <si>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</si>
  <si>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</si>
  <si>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</si>
  <si>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</si>
  <si>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</si>
  <si>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</si>
  <si>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</si>
  <si>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</si>
  <si>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</si>
  <si>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</si>
  <si>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</si>
  <si>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</si>
  <si>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</si>
  <si>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</si>
  <si>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</si>
  <si>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</si>
  <si>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</si>
  <si>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</si>
  <si>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</si>
  <si>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</si>
  <si>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</si>
  <si>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</si>
  <si>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</si>
  <si>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</si>
  <si>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</si>
  <si>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</si>
  <si>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</si>
  <si>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</si>
  <si>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</si>
  <si>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</si>
  <si>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</si>
  <si>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</si>
  <si>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</si>
  <si>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</si>
  <si>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</si>
  <si>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</si>
  <si>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</si>
  <si>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</si>
  <si>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</si>
  <si>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</si>
  <si>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</si>
  <si>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</si>
  <si>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</si>
  <si>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</si>
  <si>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</si>
  <si>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</si>
  <si>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</si>
  <si>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</si>
  <si>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</si>
  <si>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</si>
  <si>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</si>
  <si>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</si>
  <si>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</si>
  <si>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</si>
  <si>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</si>
  <si>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</si>
  <si>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</si>
  <si>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</si>
  <si>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</si>
  <si>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</si>
  <si>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</si>
  <si>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</si>
  <si>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</si>
  <si>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</si>
  <si>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</si>
  <si>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</si>
  <si>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</si>
  <si>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</si>
  <si>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</si>
  <si>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</si>
  <si>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</si>
  <si>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</si>
  <si>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</si>
  <si>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</si>
  <si>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</si>
  <si>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</si>
  <si>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</si>
  <si>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</si>
  <si>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</si>
  <si>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</si>
  <si>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</si>
  <si>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</si>
  <si>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</si>
  <si>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</si>
  <si>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</si>
  <si>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</si>
  <si>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</si>
  <si>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</si>
  <si>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</si>
  <si>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</si>
  <si>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</si>
  <si>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</si>
  <si>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</si>
  <si>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</si>
  <si>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</si>
  <si>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</si>
  <si>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</si>
  <si>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</si>
  <si>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</si>
  <si>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</si>
  <si>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</si>
  <si>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</si>
  <si>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</si>
  <si>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</si>
  <si>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</si>
  <si>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</si>
  <si>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</si>
  <si>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</si>
  <si>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</si>
  <si>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</si>
  <si>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</si>
  <si>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</si>
  <si>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</si>
  <si>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</si>
  <si>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</si>
  <si>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</si>
  <si>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</si>
  <si>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</si>
  <si>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</si>
  <si>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</si>
  <si>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</si>
  <si>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</si>
  <si>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</si>
  <si>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</si>
  <si>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</si>
  <si>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</si>
  <si>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</si>
  <si>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</si>
  <si>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</si>
  <si>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</si>
  <si>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</si>
  <si>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</si>
  <si>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</si>
  <si>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</si>
  <si>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</si>
  <si>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</si>
  <si>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</si>
  <si>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</si>
  <si>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</si>
  <si>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</si>
  <si>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</si>
  <si>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</si>
  <si>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</si>
  <si>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</si>
  <si>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</si>
  <si>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</si>
  <si>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</si>
  <si>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</si>
  <si>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</si>
  <si>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</si>
  <si>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</si>
  <si>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</si>
  <si>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</si>
  <si>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</si>
  <si>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</si>
  <si>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</si>
  <si>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</si>
  <si>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</si>
  <si>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</si>
  <si>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</si>
  <si>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</si>
  <si>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</si>
  <si>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</si>
  <si>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</si>
  <si>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</si>
  <si>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</si>
  <si>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</si>
  <si>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</si>
  <si>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</si>
  <si>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</si>
  <si>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</si>
  <si>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</si>
  <si>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</si>
  <si>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</si>
  <si>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</si>
  <si>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</si>
  <si>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</si>
  <si>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</si>
  <si>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</si>
  <si>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</si>
  <si>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</si>
  <si>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</si>
  <si>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</si>
  <si>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</si>
  <si>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</si>
  <si>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</si>
  <si>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</si>
  <si>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</si>
  <si>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</si>
  <si>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</si>
  <si>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</si>
  <si>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</si>
  <si>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</si>
  <si>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</si>
  <si>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</si>
  <si>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</si>
  <si>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</si>
  <si>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</si>
  <si>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</si>
  <si>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</si>
  <si>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</si>
  <si>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</si>
  <si>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</si>
  <si>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</si>
  <si>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</si>
  <si>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</si>
  <si>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</si>
  <si>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</si>
  <si>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</si>
  <si>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</si>
  <si>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</si>
  <si>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</si>
  <si>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</si>
  <si>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</si>
  <si>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</si>
  <si>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</si>
  <si>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</si>
  <si>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</si>
  <si>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</si>
  <si>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</si>
  <si>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</si>
  <si>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</si>
  <si>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</si>
  <si>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</si>
  <si>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</si>
  <si>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</si>
  <si>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</si>
  <si>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</si>
  <si>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</si>
  <si>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</si>
  <si>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</si>
  <si>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</si>
  <si>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</si>
  <si>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</si>
  <si>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</si>
  <si>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</si>
  <si>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</si>
  <si>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</si>
  <si>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</si>
  <si>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</si>
  <si>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</si>
  <si>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</si>
  <si>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</si>
  <si>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</si>
  <si>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</si>
  <si>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</si>
  <si>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</si>
  <si>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</si>
  <si>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</si>
  <si>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</si>
  <si>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</si>
  <si>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</si>
  <si>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</si>
  <si>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</si>
  <si>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</si>
  <si>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</si>
  <si>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</si>
  <si>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</si>
  <si>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</si>
  <si>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</si>
  <si>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</si>
  <si>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</si>
  <si>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</si>
  <si>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</si>
  <si>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</si>
  <si>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</si>
  <si>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</si>
  <si>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</si>
  <si>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</si>
  <si>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</si>
  <si>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</si>
  <si>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</si>
  <si>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</si>
  <si>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</si>
  <si>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</si>
  <si>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</si>
  <si>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</si>
  <si>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</si>
  <si>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</si>
  <si>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</si>
  <si>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</si>
  <si>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</si>
  <si>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</si>
  <si>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</si>
  <si>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</si>
  <si>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</si>
  <si>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</si>
  <si>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</si>
  <si>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</si>
  <si>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</si>
  <si>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</si>
  <si>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</si>
  <si>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</si>
  <si>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</si>
  <si>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</si>
  <si>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</si>
  <si>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</si>
  <si>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</si>
  <si>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</si>
  <si>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</si>
  <si>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</si>
  <si>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</si>
  <si>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</si>
  <si>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</si>
  <si>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</si>
  <si>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</si>
  <si>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</si>
  <si>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</si>
  <si>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</si>
  <si>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</si>
  <si>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</si>
  <si>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</si>
  <si>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</si>
  <si>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</si>
  <si>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</si>
  <si>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</si>
  <si>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</si>
  <si>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</si>
  <si>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</si>
  <si>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</si>
  <si>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</si>
  <si>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</si>
  <si>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</si>
  <si>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</si>
  <si>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</si>
  <si>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</si>
  <si>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</si>
  <si>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</si>
  <si>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</si>
  <si>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</si>
  <si>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</si>
  <si>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</si>
  <si>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</si>
  <si>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</si>
  <si>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</si>
  <si>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</si>
  <si>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</si>
  <si>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</si>
  <si>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</si>
  <si>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</si>
  <si>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</si>
  <si>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</si>
  <si>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</si>
  <si>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</si>
  <si>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</si>
  <si>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</si>
  <si>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</si>
  <si>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</si>
  <si>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</si>
  <si>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</si>
  <si>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</si>
  <si>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</si>
  <si>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</si>
  <si>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</si>
  <si>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</si>
  <si>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</si>
  <si>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</si>
  <si>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</si>
  <si>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</si>
  <si>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</si>
  <si>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</si>
  <si>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</si>
  <si>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</si>
  <si>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</si>
  <si>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</si>
  <si>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</si>
  <si>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</si>
  <si>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</si>
  <si>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</si>
  <si>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</si>
  <si>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</si>
  <si>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</si>
  <si>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</si>
  <si>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</si>
  <si>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</si>
  <si>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</si>
  <si>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</si>
  <si>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</si>
  <si>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</si>
  <si>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</si>
  <si>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</si>
  <si>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</si>
  <si>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</si>
  <si>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</si>
  <si>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</si>
  <si>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</si>
  <si>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</si>
  <si>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</si>
  <si>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</si>
  <si>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</si>
  <si>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</si>
  <si>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</si>
  <si>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</si>
  <si>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</si>
  <si>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</si>
  <si>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</si>
  <si>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</si>
  <si>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</si>
  <si>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</si>
  <si>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</si>
  <si>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</si>
  <si>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</si>
  <si>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</si>
  <si>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</si>
  <si>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</si>
  <si>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</si>
  <si>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</si>
  <si>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</si>
  <si>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</si>
  <si>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</si>
  <si>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</si>
  <si>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</si>
  <si>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</si>
  <si>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</si>
  <si>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</si>
  <si>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</si>
  <si>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</si>
  <si>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</si>
  <si>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</si>
  <si>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</si>
  <si>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</si>
  <si>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</si>
  <si>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</si>
  <si>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</si>
  <si>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</si>
  <si>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</si>
  <si>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</si>
  <si>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</si>
  <si>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</si>
  <si>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</si>
  <si>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</si>
  <si>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</si>
  <si>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</si>
  <si>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</si>
  <si>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</si>
  <si>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</si>
  <si>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</si>
  <si>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</si>
  <si>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</si>
  <si>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</si>
  <si>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</si>
  <si>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</si>
  <si>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</si>
  <si>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</si>
  <si>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</si>
  <si>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</si>
  <si>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</si>
  <si>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</si>
  <si>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</si>
  <si>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</si>
  <si>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</si>
  <si>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</si>
  <si>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</si>
  <si>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</si>
  <si>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</si>
  <si>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</si>
  <si>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</si>
  <si>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</si>
  <si>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</si>
  <si>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</si>
  <si>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</si>
  <si>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</si>
  <si>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</si>
  <si>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</si>
  <si>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</si>
  <si>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</si>
  <si>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</si>
  <si>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</si>
  <si>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</si>
  <si>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</si>
  <si>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</si>
  <si>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</si>
  <si>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</si>
  <si>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</si>
  <si>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</si>
  <si>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</si>
  <si>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</si>
  <si>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</si>
  <si>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</si>
  <si>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</si>
  <si>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</si>
  <si>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</si>
  <si>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</si>
  <si>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</si>
  <si>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</si>
  <si>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</si>
  <si>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</si>
  <si>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</si>
  <si>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</si>
  <si>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</si>
  <si>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</si>
  <si>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</si>
  <si>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</si>
  <si>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</si>
  <si>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</si>
  <si>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</si>
  <si>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</si>
  <si>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</si>
  <si>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</si>
  <si>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</si>
  <si>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</si>
  <si>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</si>
  <si>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</si>
  <si>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</si>
  <si>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</si>
  <si>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</si>
  <si>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</si>
  <si>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</si>
  <si>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</si>
  <si>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</si>
  <si>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</si>
  <si>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</si>
  <si>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</si>
  <si>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</si>
  <si>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</si>
  <si>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</si>
  <si>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</si>
  <si>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</si>
  <si>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</si>
  <si>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</si>
  <si>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</si>
  <si>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</si>
  <si>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</si>
  <si>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</si>
  <si>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</si>
  <si>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</si>
  <si>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</si>
  <si>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</si>
  <si>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</si>
  <si>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</si>
  <si>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</si>
  <si>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</si>
  <si>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</si>
  <si>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</si>
  <si>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</si>
  <si>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</si>
  <si>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</si>
  <si>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</si>
  <si>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</si>
  <si>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</si>
  <si>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</si>
  <si>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</si>
  <si>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</si>
  <si>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</si>
  <si>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</si>
  <si>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</si>
  <si>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</si>
  <si>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</si>
  <si>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</si>
  <si>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</si>
  <si>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</si>
  <si>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</si>
  <si>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</si>
  <si>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</si>
  <si>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</si>
  <si>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</si>
  <si>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</si>
  <si>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</si>
  <si>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</si>
  <si>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</si>
  <si>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</si>
  <si>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</si>
  <si>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</si>
  <si>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</si>
  <si>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</si>
  <si>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</si>
  <si>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</si>
  <si>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</si>
  <si>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</si>
  <si>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</si>
  <si>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</si>
  <si>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</si>
  <si>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</si>
  <si>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</si>
  <si>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</si>
  <si>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</si>
  <si>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</si>
  <si>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</si>
  <si>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</si>
  <si>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</si>
  <si>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</si>
  <si>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</si>
  <si>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</si>
  <si>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</si>
  <si>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</si>
  <si>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</si>
  <si>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</si>
  <si>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</si>
  <si>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</si>
  <si>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</si>
  <si>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</si>
  <si>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</si>
  <si>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</si>
  <si>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</si>
  <si>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</si>
  <si>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</si>
  <si>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</si>
  <si>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</si>
  <si>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</si>
  <si>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</si>
  <si>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</si>
  <si>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</si>
  <si>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</si>
  <si>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</si>
  <si>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</si>
  <si>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</si>
  <si>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</si>
  <si>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</si>
  <si>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</si>
  <si>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</si>
  <si>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</si>
  <si>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</si>
  <si>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</si>
  <si>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</si>
  <si>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</si>
  <si>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</si>
  <si>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</si>
  <si>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</si>
  <si>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</si>
  <si>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</si>
  <si>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</si>
  <si>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</si>
  <si>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</si>
  <si>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</si>
  <si>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</si>
  <si>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</si>
  <si>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</si>
  <si>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</si>
  <si>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</si>
  <si>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</si>
  <si>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</si>
  <si>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</si>
  <si>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</si>
  <si>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</si>
  <si>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</si>
  <si>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</si>
  <si>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</si>
  <si>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</si>
  <si>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</si>
  <si>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</si>
  <si>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</si>
  <si>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</si>
  <si>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</si>
  <si>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</si>
  <si>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</si>
  <si>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</si>
  <si>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</si>
  <si>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</si>
  <si>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</si>
  <si>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</si>
  <si>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</si>
  <si>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</si>
  <si>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</si>
  <si>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</si>
  <si>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</si>
  <si>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</si>
  <si>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</si>
  <si>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</si>
  <si>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</si>
  <si>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</si>
  <si>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</si>
  <si>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</si>
  <si>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</si>
  <si>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</si>
  <si>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</si>
  <si>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</si>
  <si>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</si>
  <si>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</si>
  <si>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</si>
  <si>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</si>
  <si>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</si>
  <si>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</si>
  <si>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</si>
  <si>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</si>
  <si>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</si>
  <si>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</si>
  <si>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</si>
  <si>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</si>
  <si>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</si>
  <si>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</si>
  <si>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</si>
  <si>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</si>
  <si>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</si>
  <si>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</si>
  <si>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</si>
  <si>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</si>
  <si>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</si>
  <si>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</si>
  <si>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</si>
  <si>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</si>
  <si>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</si>
  <si>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</si>
  <si>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</si>
  <si>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</si>
  <si>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</si>
  <si>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</si>
  <si>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</si>
  <si>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</si>
  <si>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</si>
  <si>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</si>
  <si>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</si>
  <si>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</si>
  <si>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</si>
  <si>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</si>
  <si>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</si>
  <si>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</si>
  <si>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</si>
  <si>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</si>
  <si>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</si>
  <si>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</si>
  <si>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</si>
  <si>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</si>
  <si>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</si>
  <si>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</si>
  <si>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</si>
  <si>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</si>
  <si>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</si>
  <si>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</si>
  <si>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</si>
  <si>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</si>
  <si>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</si>
  <si>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</si>
  <si>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</si>
  <si>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</si>
  <si>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</si>
  <si>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</si>
  <si>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</si>
  <si>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</si>
  <si>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</si>
  <si>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</si>
  <si>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</si>
  <si>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</si>
  <si>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</si>
  <si>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</si>
  <si>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</si>
  <si>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</si>
  <si>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</si>
  <si>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</si>
  <si>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</si>
  <si>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</si>
  <si>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</si>
  <si>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</si>
  <si>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</si>
  <si>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</si>
  <si>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</si>
  <si>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</si>
  <si>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</si>
  <si>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</si>
  <si>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</si>
  <si>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</si>
  <si>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</si>
  <si>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</si>
  <si>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</si>
  <si>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</si>
  <si>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</si>
  <si>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</si>
  <si>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</si>
  <si>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</si>
  <si>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</si>
  <si>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</si>
  <si>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</si>
  <si>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</si>
  <si>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</si>
  <si>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</si>
  <si>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</si>
  <si>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</si>
  <si>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</si>
  <si>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</si>
  <si>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</si>
  <si>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</si>
  <si>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</si>
  <si>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</si>
  <si>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</si>
  <si>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</si>
  <si>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</si>
  <si>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</si>
  <si>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</si>
  <si>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</si>
  <si>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</si>
  <si>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</si>
  <si>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</si>
  <si>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</si>
  <si>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</si>
  <si>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</si>
  <si>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</si>
  <si>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</si>
  <si>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</si>
  <si>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</si>
  <si>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</si>
  <si>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</si>
  <si>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</si>
  <si>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</si>
  <si>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</si>
  <si>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</si>
  <si>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</si>
  <si>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</si>
  <si>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</si>
  <si>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</si>
  <si>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</si>
  <si>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</si>
  <si>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</si>
  <si>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</si>
  <si>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</si>
  <si>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</si>
  <si>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</si>
  <si>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</si>
  <si>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</si>
  <si>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</si>
  <si>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</si>
  <si>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</si>
  <si>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</si>
  <si>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</si>
  <si>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</si>
  <si>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</si>
  <si>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</si>
  <si>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</si>
  <si>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</si>
  <si>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</si>
  <si>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</si>
  <si>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</si>
  <si>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</si>
  <si>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</si>
  <si>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</si>
  <si>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</si>
  <si>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</si>
  <si>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</si>
  <si>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</si>
  <si>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</si>
  <si>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</si>
  <si>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</si>
  <si>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</si>
  <si>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</si>
  <si>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</si>
  <si>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</si>
  <si>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</si>
  <si>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</si>
  <si>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</si>
  <si>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</si>
  <si>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</si>
  <si>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</si>
  <si>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</si>
  <si>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</si>
  <si>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</si>
  <si>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</si>
  <si>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</si>
  <si>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</si>
  <si>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</si>
  <si>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</si>
  <si>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</si>
  <si>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</si>
  <si>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</si>
  <si>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</si>
  <si>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</si>
  <si>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</si>
  <si>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</si>
  <si>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</si>
  <si>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</si>
  <si>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</si>
  <si>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</si>
  <si>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</si>
  <si>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</si>
  <si>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</si>
  <si>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</si>
  <si>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</si>
  <si>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</si>
  <si>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</si>
  <si>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</si>
  <si>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</si>
  <si>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</si>
  <si>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</si>
  <si>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</si>
  <si>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</si>
  <si>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</si>
  <si>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</si>
  <si>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</si>
  <si>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</si>
  <si>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</si>
  <si>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</si>
  <si>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</si>
  <si>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</si>
  <si>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</si>
  <si>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</si>
  <si>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</si>
  <si>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</si>
  <si>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</si>
  <si>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</si>
  <si>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</si>
  <si>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</si>
  <si>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</si>
  <si>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</si>
  <si>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</si>
  <si>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</si>
  <si>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</si>
  <si>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</si>
  <si>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</si>
  <si>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</si>
  <si>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</si>
  <si>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</si>
  <si>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</si>
  <si>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</si>
  <si>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</si>
  <si>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</si>
  <si>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</si>
  <si>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</si>
  <si>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</si>
  <si>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</si>
  <si>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</si>
  <si>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</si>
  <si>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</si>
  <si>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</si>
  <si>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</si>
  <si>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</si>
  <si>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</si>
  <si>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</si>
  <si>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</si>
  <si>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</si>
  <si>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</si>
  <si>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</si>
  <si>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</si>
  <si>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</si>
  <si>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</si>
  <si>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</si>
  <si>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</si>
  <si>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</si>
  <si>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</si>
  <si>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</si>
  <si>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</si>
  <si>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</si>
  <si>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</si>
  <si>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</si>
  <si>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</si>
  <si>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</si>
  <si>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</si>
  <si>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</si>
  <si>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</si>
  <si>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</si>
  <si>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</si>
  <si>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</si>
  <si>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</si>
  <si>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</si>
  <si>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</si>
  <si>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</si>
  <si>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</si>
  <si>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</si>
  <si>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</si>
  <si>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</si>
  <si>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</si>
  <si>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</si>
  <si>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</si>
  <si>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</si>
  <si>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</si>
  <si>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</si>
  <si>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</si>
  <si>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</si>
  <si>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</si>
  <si>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</si>
  <si>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</si>
  <si>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</si>
  <si>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</si>
  <si>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</si>
  <si>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</si>
  <si>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</si>
  <si>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</si>
  <si>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</si>
  <si>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</si>
  <si>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</si>
  <si>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</si>
  <si>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</si>
  <si>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</si>
  <si>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</si>
  <si>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</si>
  <si>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</si>
  <si>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</si>
  <si>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</si>
  <si>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</si>
  <si>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</si>
  <si>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</si>
  <si>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</si>
  <si>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</si>
  <si>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</si>
  <si>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</si>
  <si>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</si>
  <si>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</si>
  <si>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</si>
  <si>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</si>
  <si>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</si>
  <si>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</si>
  <si>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</si>
  <si>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</si>
  <si>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</si>
  <si>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</si>
  <si>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</si>
  <si>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</si>
  <si>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</si>
  <si>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</si>
  <si>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</si>
  <si>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</si>
  <si>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</si>
  <si>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</si>
  <si>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</si>
  <si>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</si>
  <si>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</si>
  <si>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</si>
  <si>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</si>
  <si>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</si>
  <si>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</si>
  <si>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</si>
  <si>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</si>
  <si>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</si>
  <si>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</si>
  <si>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</si>
  <si>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</si>
  <si>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</si>
  <si>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</si>
  <si>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</si>
  <si>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</si>
  <si>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</si>
  <si>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</si>
  <si>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</si>
  <si>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</si>
  <si>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</si>
  <si>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</si>
  <si>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</si>
  <si>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</si>
  <si>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</si>
  <si>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</si>
  <si>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</si>
  <si>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</si>
  <si>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</si>
  <si>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</si>
  <si>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</si>
  <si>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</si>
  <si>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</si>
  <si>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</si>
  <si>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</si>
  <si>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</si>
  <si>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</si>
  <si>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</si>
  <si>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</si>
  <si>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</si>
  <si>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</si>
  <si>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</si>
  <si>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</si>
  <si>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</si>
  <si>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</si>
  <si>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</si>
  <si>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</si>
  <si>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</si>
  <si>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</si>
  <si>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</si>
  <si>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</si>
  <si>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</si>
  <si>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</si>
  <si>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</si>
  <si>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</si>
  <si>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</si>
  <si>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</si>
  <si>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</si>
  <si>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</si>
  <si>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</si>
  <si>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</si>
  <si>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</si>
  <si>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</si>
  <si>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</si>
  <si>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</si>
  <si>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</si>
  <si>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</si>
  <si>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</si>
  <si>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</si>
  <si>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</si>
  <si>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</si>
  <si>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</si>
  <si>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</si>
  <si>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</si>
  <si>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</si>
  <si>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</si>
  <si>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</si>
  <si>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</si>
  <si>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</si>
  <si>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</si>
  <si>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</si>
  <si>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</si>
  <si>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</si>
  <si>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</si>
  <si>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</si>
  <si>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</si>
  <si>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</si>
  <si>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</si>
  <si>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</si>
  <si>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</si>
  <si>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</si>
  <si>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</si>
  <si>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</si>
  <si>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</si>
  <si>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</si>
  <si>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</si>
  <si>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</si>
  <si>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</si>
  <si>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</si>
  <si>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</si>
  <si>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</si>
  <si>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</si>
  <si>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</si>
  <si>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</si>
  <si>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</si>
  <si>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</si>
  <si>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</si>
  <si>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</si>
  <si>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</si>
  <si>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</si>
  <si>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</si>
  <si>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</si>
  <si>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</si>
  <si>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</si>
  <si>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</si>
  <si>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</si>
  <si>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</si>
  <si>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</si>
  <si>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</si>
  <si>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</si>
  <si>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</si>
  <si>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</si>
  <si>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</si>
  <si>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</si>
  <si>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</si>
  <si>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</si>
  <si>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</si>
  <si>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</si>
  <si>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</si>
  <si>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</si>
  <si>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</si>
  <si>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</si>
  <si>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</si>
  <si>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</si>
  <si>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</si>
  <si>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</si>
  <si>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</si>
  <si>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</si>
  <si>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</si>
  <si>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</si>
  <si>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</si>
  <si>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</si>
  <si>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</si>
  <si>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</si>
  <si>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</si>
  <si>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</si>
  <si>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</si>
  <si>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</si>
  <si>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</si>
  <si>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</si>
  <si>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</si>
  <si>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</si>
  <si>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</si>
  <si>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</si>
  <si>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</si>
  <si>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</si>
  <si>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</si>
  <si>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</si>
  <si>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</si>
  <si>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</si>
  <si>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</si>
  <si>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</si>
  <si>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</si>
  <si>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</si>
  <si>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</si>
  <si>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</si>
  <si>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</si>
  <si>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</si>
  <si>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</si>
  <si>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</si>
  <si>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</si>
  <si>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</si>
  <si>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</si>
  <si>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</si>
  <si>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</si>
  <si>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</si>
  <si>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</si>
  <si>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</si>
  <si>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</si>
  <si>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</si>
  <si>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</si>
  <si>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</si>
  <si>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</si>
  <si>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</si>
  <si>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</si>
  <si>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</si>
  <si>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</si>
  <si>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</si>
  <si>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</si>
  <si>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</si>
  <si>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</si>
  <si>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</si>
  <si>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</si>
  <si>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</si>
  <si>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</si>
  <si>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</si>
  <si>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</si>
  <si>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</si>
  <si>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</si>
  <si>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</si>
  <si>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</si>
  <si>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</si>
  <si>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</si>
  <si>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</si>
  <si>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</si>
  <si>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</si>
  <si>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</si>
  <si>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</si>
  <si>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</si>
  <si>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</si>
  <si>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</si>
  <si>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</si>
  <si>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</si>
  <si>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</si>
  <si>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</si>
  <si>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</si>
  <si>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</si>
  <si>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</si>
  <si>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</si>
  <si>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</si>
  <si>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</si>
  <si>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</si>
  <si>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</si>
  <si>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</si>
  <si>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</si>
  <si>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</si>
  <si>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</si>
  <si>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</si>
  <si>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</si>
  <si>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</si>
  <si>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</si>
  <si>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</si>
  <si>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</si>
  <si>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</si>
  <si>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</si>
  <si>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</si>
  <si>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</si>
  <si>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</si>
  <si>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</si>
  <si>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</si>
  <si>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</si>
  <si>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</si>
  <si>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</si>
  <si>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</si>
  <si>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</si>
  <si>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</si>
  <si>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</si>
  <si>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</si>
  <si>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</si>
  <si>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</si>
  <si>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</si>
  <si>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</si>
  <si>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</si>
  <si>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</si>
  <si>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</si>
  <si>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</si>
  <si>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</si>
  <si>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</si>
  <si>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</si>
  <si>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</si>
  <si>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</si>
  <si>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</si>
  <si>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</si>
  <si>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</si>
  <si>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</si>
  <si>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</si>
  <si>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</si>
  <si>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</si>
  <si>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</si>
  <si>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</si>
  <si>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</si>
  <si>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</si>
  <si>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</si>
  <si>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</si>
  <si>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</si>
  <si>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</si>
  <si>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</si>
  <si>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</si>
  <si>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</si>
  <si>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</si>
  <si>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</si>
  <si>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</si>
  <si>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</si>
  <si>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</si>
  <si>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</si>
  <si>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</si>
  <si>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</si>
  <si>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</si>
  <si>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</si>
  <si>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</si>
  <si>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</si>
  <si>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</si>
  <si>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</si>
  <si>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</si>
  <si>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</si>
  <si>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</si>
  <si>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</si>
  <si>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</si>
  <si>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</si>
  <si>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</si>
  <si>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</si>
  <si>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</si>
  <si>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</si>
  <si>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</si>
  <si>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</si>
  <si>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</si>
  <si>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</si>
  <si>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</si>
  <si>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</si>
  <si>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</si>
  <si>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</si>
  <si>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</si>
  <si>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</si>
  <si>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</si>
  <si>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</si>
  <si>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</si>
  <si>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</si>
  <si>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</si>
  <si>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</si>
  <si>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</si>
  <si>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</si>
  <si>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</si>
  <si>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</si>
  <si>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</si>
  <si>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</si>
  <si>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</si>
  <si>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</si>
  <si>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</si>
  <si>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</si>
  <si>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</si>
  <si>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</si>
  <si>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</si>
  <si>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</si>
  <si>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</si>
  <si>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</si>
  <si>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</si>
  <si>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</si>
  <si>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</si>
  <si>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</si>
  <si>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</si>
  <si>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</si>
  <si>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</si>
  <si>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</si>
  <si>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</si>
  <si>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</si>
  <si>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</si>
  <si>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</si>
  <si>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</si>
  <si>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</si>
  <si>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</si>
  <si>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</si>
  <si>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</si>
  <si>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</si>
  <si>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</si>
  <si>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</si>
  <si>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</si>
  <si>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</si>
  <si>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</si>
  <si>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</si>
  <si>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</si>
  <si>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</si>
  <si>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</si>
  <si>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</si>
  <si>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</si>
  <si>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</si>
  <si>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</si>
  <si>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</si>
  <si>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</si>
  <si>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</si>
  <si>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</si>
  <si>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</si>
  <si>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</si>
  <si>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</si>
  <si>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</si>
  <si>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</si>
  <si>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</si>
  <si>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</si>
  <si>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</si>
  <si>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</si>
  <si>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</si>
  <si>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</si>
  <si>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</si>
  <si>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</si>
  <si>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</si>
  <si>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</si>
  <si>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</si>
  <si>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</si>
  <si>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</si>
  <si>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</si>
  <si>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</si>
  <si>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</si>
  <si>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</si>
  <si>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</si>
  <si>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</si>
  <si>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</si>
  <si>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</si>
  <si>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</si>
  <si>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</si>
  <si>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</si>
  <si>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</si>
  <si>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</si>
  <si>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</si>
  <si>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</si>
  <si>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</si>
  <si>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</si>
  <si>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</si>
  <si>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</si>
  <si>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</si>
  <si>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</si>
  <si>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</si>
  <si>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</si>
  <si>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</si>
  <si>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</si>
  <si>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</si>
  <si>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</si>
  <si>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</si>
  <si>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</si>
  <si>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</si>
  <si>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</si>
  <si>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</si>
  <si>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</si>
  <si>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</si>
  <si>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</si>
  <si>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</si>
  <si>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</si>
  <si>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</si>
  <si>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</si>
  <si>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</si>
  <si>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</si>
  <si>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</si>
  <si>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</si>
  <si>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</si>
  <si>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</si>
  <si>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</si>
  <si>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</si>
  <si>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</si>
  <si>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</si>
  <si>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</si>
  <si>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</si>
  <si>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</si>
  <si>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</si>
  <si>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</si>
  <si>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</si>
  <si>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</si>
  <si>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</si>
  <si>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</si>
  <si>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</si>
  <si>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</si>
  <si>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</si>
  <si>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</si>
  <si>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</si>
  <si>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</si>
  <si>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</si>
  <si>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</si>
  <si>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</si>
  <si>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</si>
  <si>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</si>
  <si>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</si>
  <si>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</si>
  <si>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</si>
  <si>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</si>
  <si>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</si>
  <si>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</si>
  <si>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</si>
  <si>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</si>
  <si>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</si>
  <si>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</si>
  <si>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</si>
  <si>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</si>
  <si>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</si>
  <si>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</si>
  <si>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</si>
  <si>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</si>
  <si>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</si>
  <si>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</si>
  <si>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</si>
  <si>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</si>
  <si>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</si>
  <si>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</si>
  <si>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</si>
  <si>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</si>
  <si>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</si>
  <si>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</si>
  <si>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</si>
  <si>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</si>
  <si>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</si>
  <si>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</si>
  <si>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</si>
  <si>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</si>
  <si>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</si>
  <si>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</si>
  <si>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</si>
  <si>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</si>
  <si>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</si>
  <si>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</si>
  <si>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</si>
  <si>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</si>
  <si>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</si>
  <si>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</si>
  <si>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</si>
  <si>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</si>
  <si>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</si>
  <si>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</si>
  <si>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</si>
  <si>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</si>
  <si>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</si>
  <si>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</si>
  <si>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</si>
  <si>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</si>
  <si>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</si>
  <si>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</si>
  <si>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</si>
  <si>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</si>
  <si>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</si>
  <si>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</si>
  <si>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</si>
  <si>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</si>
  <si>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</si>
  <si>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</si>
  <si>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</si>
  <si>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</si>
  <si>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</si>
  <si>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</si>
  <si>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</si>
  <si>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</si>
  <si>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</si>
  <si>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</si>
  <si>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</si>
  <si>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</si>
  <si>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</si>
  <si>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</si>
  <si>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</si>
  <si>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</si>
  <si>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</si>
  <si>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</si>
  <si>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</si>
  <si>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</si>
  <si>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</si>
  <si>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</si>
  <si>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</si>
  <si>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</si>
  <si>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</si>
  <si>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</si>
  <si>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</si>
  <si>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</si>
  <si>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</si>
  <si>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</si>
  <si>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</si>
  <si>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</si>
  <si>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</si>
  <si>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</si>
  <si>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</si>
  <si>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</si>
  <si>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</si>
  <si>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</si>
  <si>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</si>
  <si>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</si>
  <si>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</si>
  <si>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</si>
  <si>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</si>
  <si>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</si>
  <si>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</si>
  <si>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</si>
  <si>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</si>
  <si>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</si>
  <si>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</si>
  <si>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</si>
  <si>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</si>
  <si>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</si>
  <si>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</si>
  <si>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</si>
  <si>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</si>
  <si>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</si>
  <si>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</si>
  <si>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</si>
  <si>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</si>
  <si>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</si>
  <si>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</si>
  <si>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</si>
  <si>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</si>
  <si>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</si>
  <si>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</si>
  <si>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</si>
  <si>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</si>
  <si>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</si>
  <si>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</si>
  <si>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</si>
  <si>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</si>
  <si>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</si>
  <si>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</si>
  <si>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</si>
  <si>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</si>
  <si>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</si>
  <si>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</si>
  <si>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</si>
  <si>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</si>
  <si>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</si>
  <si>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</si>
  <si>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</si>
  <si>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</si>
  <si>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</si>
  <si>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</si>
  <si>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</si>
  <si>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</si>
  <si>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</si>
  <si>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</si>
  <si>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</si>
  <si>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</si>
  <si>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</si>
  <si>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</si>
  <si>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</si>
  <si>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</si>
  <si>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</si>
  <si>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</si>
  <si>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</si>
  <si>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</si>
  <si>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</si>
  <si>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</si>
  <si>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</si>
  <si>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</si>
  <si>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</si>
  <si>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</si>
  <si>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</si>
  <si>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</si>
  <si>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</si>
  <si>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</si>
  <si>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</si>
  <si>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</si>
  <si>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</si>
  <si>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</si>
  <si>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</si>
  <si>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</si>
  <si>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</si>
  <si>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</si>
  <si>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</si>
  <si>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</si>
  <si>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</si>
  <si>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</si>
  <si>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</si>
  <si>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</si>
  <si>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</si>
  <si>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</si>
  <si>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</si>
  <si>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</si>
  <si>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</si>
  <si>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</si>
  <si>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</si>
  <si>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</si>
  <si>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</si>
  <si>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</si>
  <si>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</si>
  <si>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</si>
  <si>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</si>
  <si>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</si>
  <si>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</si>
  <si>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</si>
  <si>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</si>
  <si>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</si>
  <si>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</si>
  <si>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</si>
  <si>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</si>
  <si>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</si>
  <si>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</si>
  <si>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</si>
  <si>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</si>
  <si>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</si>
  <si>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</si>
  <si>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</si>
  <si>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</si>
  <si>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</si>
  <si>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</si>
  <si>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</si>
  <si>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</si>
  <si>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</si>
  <si>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</si>
  <si>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</si>
  <si>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</si>
  <si>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</si>
  <si>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</si>
  <si>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</si>
  <si>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</si>
  <si>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</si>
  <si>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</si>
  <si>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</si>
  <si>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</si>
  <si>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</si>
  <si>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</si>
  <si>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</si>
  <si>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</si>
  <si>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</si>
  <si>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</si>
  <si>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</si>
  <si>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</si>
  <si>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</si>
  <si>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</si>
  <si>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</si>
  <si>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</si>
  <si>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</si>
  <si>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</si>
  <si>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</si>
  <si>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</si>
  <si>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</si>
  <si>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</si>
  <si>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</si>
  <si>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</si>
  <si>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</si>
  <si>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</si>
  <si>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</si>
  <si>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</si>
  <si>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</si>
  <si>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</si>
  <si>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</si>
  <si>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</si>
  <si>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</si>
  <si>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</si>
  <si>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</si>
  <si>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</si>
  <si>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</si>
  <si>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</si>
  <si>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</si>
  <si>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</si>
  <si>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</si>
  <si>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</si>
  <si>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</si>
  <si>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</si>
  <si>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</si>
  <si>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</si>
  <si>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</si>
  <si>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</si>
  <si>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</si>
  <si>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</si>
  <si>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</si>
  <si>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</si>
  <si>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</si>
  <si>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</si>
  <si>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</si>
  <si>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</si>
  <si>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</si>
  <si>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</si>
  <si>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</si>
  <si>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</si>
  <si>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</si>
  <si>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</si>
  <si>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</si>
  <si>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</si>
  <si>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</si>
  <si>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</si>
  <si>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</si>
  <si>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</si>
  <si>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</si>
  <si>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</si>
  <si>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</si>
  <si>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</si>
  <si>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</si>
  <si>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</si>
  <si>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</si>
  <si>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</si>
  <si>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</si>
  <si>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</si>
  <si>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</si>
  <si>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</si>
  <si>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</si>
  <si>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</si>
  <si>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</si>
  <si>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</si>
  <si>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</si>
  <si>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</si>
  <si>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</si>
  <si>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</si>
  <si>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</si>
  <si>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</si>
  <si>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</si>
  <si>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</si>
  <si>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</si>
  <si>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</si>
  <si>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</si>
  <si>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</si>
  <si>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</si>
  <si>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</si>
  <si>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</si>
  <si>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</si>
  <si>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</si>
  <si>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</si>
  <si>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</si>
  <si>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</si>
  <si>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</si>
  <si>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</si>
  <si>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</si>
  <si>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</si>
  <si>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</si>
  <si>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</si>
  <si>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</si>
  <si>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</si>
  <si>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</si>
  <si>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</si>
  <si>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</si>
  <si>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</si>
  <si>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</si>
  <si>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</si>
  <si>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</si>
  <si>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</si>
  <si>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</si>
  <si>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</si>
  <si>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</si>
  <si>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</si>
  <si>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</si>
  <si>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</si>
  <si>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</si>
  <si>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</si>
  <si>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</si>
  <si>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</si>
  <si>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</si>
  <si>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</si>
  <si>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</si>
  <si>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</si>
  <si>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</si>
  <si>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</si>
  <si>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</si>
  <si>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</si>
  <si>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</si>
  <si>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</si>
  <si>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</si>
  <si>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</si>
  <si>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</si>
  <si>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</si>
  <si>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</si>
  <si>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</si>
  <si>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</si>
  <si>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</si>
  <si>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</si>
  <si>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</si>
  <si>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</si>
  <si>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</si>
  <si>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</si>
  <si>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</si>
  <si>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</si>
  <si>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</si>
  <si>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</si>
  <si>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</si>
  <si>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</si>
  <si>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</si>
  <si>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</si>
  <si>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</si>
  <si>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</si>
  <si>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</si>
  <si>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</si>
  <si>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</si>
  <si>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</si>
  <si>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</si>
  <si>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</si>
  <si>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</si>
  <si>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</si>
  <si>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</si>
  <si>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</si>
  <si>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</si>
  <si>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</si>
  <si>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</si>
  <si>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</si>
  <si>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</si>
  <si>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</si>
  <si>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</si>
  <si>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</si>
  <si>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</si>
  <si>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</si>
  <si>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</si>
  <si>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</si>
  <si>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</si>
  <si>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</si>
  <si>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</si>
  <si>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</si>
  <si>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</si>
  <si>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</si>
  <si>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</si>
  <si>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</si>
  <si>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</si>
  <si>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</si>
  <si>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</si>
  <si>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</si>
  <si>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</si>
  <si>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</si>
  <si>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</si>
  <si>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</si>
  <si>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</si>
  <si>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</si>
  <si>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</si>
  <si>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</si>
  <si>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</si>
  <si>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</si>
  <si>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</si>
  <si>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</si>
  <si>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</si>
  <si>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</si>
  <si>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</si>
  <si>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</si>
  <si>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</si>
  <si>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</si>
  <si>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</si>
  <si>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</si>
  <si>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</si>
  <si>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</si>
  <si>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</si>
  <si>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</si>
  <si>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</si>
  <si>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</si>
  <si>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</si>
  <si>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</si>
  <si>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</si>
  <si>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</si>
  <si>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</si>
  <si>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</si>
  <si>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</si>
  <si>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</si>
  <si>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</si>
  <si>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</si>
  <si>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</si>
  <si>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</si>
  <si>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</si>
  <si>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</si>
  <si>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</si>
  <si>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</si>
  <si>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</si>
  <si>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</si>
  <si>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</si>
  <si>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</si>
  <si>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</si>
  <si>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</si>
  <si>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</si>
  <si>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</si>
  <si>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</si>
  <si>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</si>
  <si>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</si>
  <si>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</si>
  <si>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</si>
  <si>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</si>
  <si>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</si>
  <si>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</si>
  <si>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</si>
  <si>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</si>
  <si>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</si>
  <si>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</si>
  <si>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</si>
  <si>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</si>
  <si>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</si>
  <si>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</si>
  <si>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</si>
  <si>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</si>
  <si>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</si>
  <si>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</si>
  <si>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</si>
  <si>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</si>
  <si>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</si>
  <si>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</si>
  <si>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</si>
  <si>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</si>
  <si>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</si>
  <si>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</si>
  <si>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</si>
  <si>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</si>
  <si>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</si>
  <si>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</si>
  <si>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</si>
  <si>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</si>
  <si>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</si>
  <si>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</si>
  <si>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</si>
  <si>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</si>
  <si>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</si>
  <si>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</si>
  <si>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</si>
  <si>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</si>
  <si>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</si>
  <si>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</si>
  <si>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</si>
  <si>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</si>
  <si>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</si>
  <si>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</si>
  <si>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</si>
  <si>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</si>
  <si>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</si>
  <si>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</si>
  <si>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</si>
  <si>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</si>
  <si>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</si>
  <si>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</si>
  <si>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</si>
  <si>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</si>
  <si>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</si>
  <si>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</si>
  <si>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</si>
  <si>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</si>
  <si>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</si>
  <si>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</si>
  <si>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</si>
  <si>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</si>
  <si>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</si>
  <si>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</si>
  <si>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</si>
  <si>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</si>
  <si>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</si>
  <si>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</si>
  <si>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</si>
  <si>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</si>
  <si>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</si>
  <si>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</si>
  <si>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</si>
  <si>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</si>
  <si>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</si>
  <si>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</si>
  <si>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</si>
  <si>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</si>
  <si>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</si>
  <si>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</si>
  <si>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</si>
  <si>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</si>
  <si>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</si>
  <si>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</si>
  <si>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</si>
  <si>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</si>
  <si>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</si>
  <si>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</si>
  <si>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</si>
  <si>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</si>
  <si>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</si>
  <si>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</si>
  <si>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</si>
  <si>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</si>
  <si>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</si>
  <si>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</si>
  <si>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</si>
  <si>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</si>
  <si>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</si>
  <si>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</si>
  <si>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</si>
  <si>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</si>
  <si>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</si>
  <si>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</si>
  <si>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</si>
  <si>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</si>
  <si>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</si>
  <si>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</si>
  <si>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</si>
  <si>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</si>
  <si>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</si>
  <si>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</si>
  <si>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</si>
  <si>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</si>
  <si>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</si>
  <si>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</si>
  <si>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</si>
  <si>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</si>
  <si>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</si>
  <si>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</si>
  <si>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</si>
  <si>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</si>
  <si>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</si>
  <si>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</si>
  <si>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</si>
  <si>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</si>
  <si>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</si>
  <si>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</si>
  <si>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</si>
  <si>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</si>
  <si>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</si>
  <si>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</si>
  <si>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</si>
  <si>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</si>
  <si>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</si>
  <si>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</si>
  <si>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</si>
  <si>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</si>
  <si>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</si>
  <si>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</si>
  <si>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</si>
  <si>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</si>
  <si>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</si>
  <si>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220/26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</si>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</sst>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9" fillId="0" borderId="1" xfId="0" applyNumberFormat="1" applyFont="1" applyFill="1" applyBorder="1" applyAlignment="1">
      <alignment vertical="center"/>
    </xf>
    <xf numFmtId="1" fontId="48" fillId="0" borderId="1" xfId="0" applyNumberFormat="1" applyFont="1" applyFill="1" applyBorder="1" applyAlignment="1">
      <alignment horizontal="center" vertical="center"/>
    </xf>
    <xf numFmtId="170" fontId="48" fillId="0" borderId="1" xfId="0" applyNumberFormat="1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0" fontId="49" fillId="0" borderId="1" xfId="0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vertical="center"/>
    </xf>
    <xf numFmtId="49" fontId="48" fillId="0" borderId="1" xfId="0" applyNumberFormat="1" applyFont="1" applyFill="1" applyBorder="1" applyAlignment="1">
      <alignment horizontal="center" vertical="center"/>
    </xf>
    <xf numFmtId="14" fontId="48" fillId="0" borderId="1" xfId="0" applyNumberFormat="1" applyFont="1" applyFill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Fill="1" applyBorder="1" applyAlignment="1">
      <alignment horizontal="center" vertical="center"/>
    </xf>
    <xf numFmtId="3" fontId="48" fillId="0" borderId="1" xfId="0" applyNumberFormat="1" applyFont="1" applyFill="1" applyBorder="1" applyAlignment="1">
      <alignment horizontal="center" vertical="center"/>
    </xf>
    <xf numFmtId="1" fontId="48" fillId="0" borderId="2" xfId="0" applyNumberFormat="1" applyFont="1" applyFill="1" applyBorder="1" applyAlignment="1">
      <alignment horizontal="center" vertical="center"/>
    </xf>
    <xf numFmtId="170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49" fontId="49" fillId="0" borderId="2" xfId="0" applyNumberFormat="1" applyFont="1" applyFill="1" applyBorder="1" applyAlignment="1">
      <alignment vertical="center"/>
    </xf>
    <xf numFmtId="0" fontId="49" fillId="0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vertical="center"/>
    </xf>
    <xf numFmtId="49" fontId="48" fillId="0" borderId="2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Fill="1" applyBorder="1" applyAlignment="1">
      <alignment horizontal="center" vertical="center"/>
    </xf>
    <xf numFmtId="3" fontId="48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05" activePane="bottomLeft" state="frozen"/>
      <selection pane="bottomLeft" activeCell="E725" sqref="A725:XFD72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3185</v>
      </c>
      <c r="F725" s="185"/>
      <c r="G725" s="186" t="s">
        <v>2749</v>
      </c>
      <c r="H725" s="191" t="s">
        <v>3184</v>
      </c>
      <c r="I725" s="192">
        <v>46183</v>
      </c>
      <c r="J725" s="192">
        <v>46183</v>
      </c>
      <c r="K725" s="183" t="s">
        <v>38</v>
      </c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/>
      <c r="D730" s="183"/>
      <c r="E730" s="252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/>
      <c r="D731" s="183"/>
      <c r="E731" s="252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/>
      <c r="D732" s="183"/>
      <c r="E732" s="237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/>
      <c r="D733" s="183"/>
      <c r="E733" s="252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/>
      <c r="D734" s="183"/>
      <c r="E734" s="237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x14ac:dyDescent="0.25">
      <c r="A735" s="191" t="s">
        <v>3178</v>
      </c>
      <c r="B735" s="183">
        <v>2026</v>
      </c>
      <c r="C735" s="183" t="s">
        <v>22</v>
      </c>
      <c r="D735" s="183" t="s">
        <v>3181</v>
      </c>
      <c r="E735" s="184" t="s">
        <v>3180</v>
      </c>
      <c r="F735" s="185"/>
      <c r="G735" s="186" t="s">
        <v>206</v>
      </c>
      <c r="H735" s="191" t="s">
        <v>3182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2"/>
        <v>0</v>
      </c>
      <c r="S735" s="183">
        <v>2</v>
      </c>
      <c r="T735" s="186" t="s">
        <v>3183</v>
      </c>
    </row>
    <row r="736" spans="1:20" ht="15" hidden="1" x14ac:dyDescent="0.25">
      <c r="A736" s="191"/>
      <c r="B736" s="183"/>
      <c r="C736" s="183"/>
      <c r="D736" s="183"/>
      <c r="E736" s="184" t="s">
        <v>3179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hidden="1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hidden="1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hidden="1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hidden="1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hidden="1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727:C727 E727:T727 A2002:A2006 E2007 A728:T2001 A2:T726">
    <cfRule type="expression" dxfId="1" priority="9">
      <formula>MOD(ROW(),2)=0</formula>
    </cfRule>
  </conditionalFormatting>
  <conditionalFormatting sqref="A727:C727 E727:T727 A2002:A2006 E2007 A728:T2001 A2:T726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5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8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9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L57">
        <v>2026</v>
      </c>
      <c r="M57" t="str">
        <v>2026-069</v>
      </c>
      <c r="N57" t="str">
        <v>Realizado</v>
      </c>
      <c r="O57" t="str">
        <v xml:space="preserve">UniTCDF: Gestão Pública </v>
      </c>
      <c r="P57">
        <v>0</v>
      </c>
      <c r="Q57">
        <v>0</v>
      </c>
      <c r="R57">
        <v>1</v>
      </c>
      <c r="S57">
        <v>111</v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L58">
        <v>2026</v>
      </c>
      <c r="M58" t="str">
        <v>2026-079</v>
      </c>
      <c r="N58" t="str">
        <v>Realizado</v>
      </c>
      <c r="O58" t="str">
        <v>Café e Tertúlia: Gincana dos Neurotransmissores</v>
      </c>
      <c r="P58">
        <v>2</v>
      </c>
      <c r="Q58" t="str">
        <v>Isac Mendes Caixeta de Pamplona Araújo; Valéria Feitoza; Cinthia Thais de Carvalho Luz Thomazi</v>
      </c>
      <c r="R58">
        <v>3</v>
      </c>
      <c r="S58">
        <v>114</v>
      </c>
      <c r="T58">
        <v>111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T59">
        <v>114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2026-069</v>
      </c>
      <c r="C112" t="str">
        <v>Realizado</v>
      </c>
      <c r="D112" t="str">
        <v xml:space="preserve">UniTCDF: Gestão Pública </v>
      </c>
      <c r="E112">
        <v>0</v>
      </c>
      <c r="F112" t="str">
        <v>0</v>
      </c>
      <c r="G112">
        <v>1</v>
      </c>
      <c r="H112">
        <v>0</v>
      </c>
      <c r="I112">
        <v>0</v>
      </c>
      <c r="J112">
        <v>0</v>
      </c>
      <c r="R112" t="str">
        <v/>
      </c>
      <c r="S112" t="str">
        <v/>
      </c>
    </row>
    <row r="113" spans="1:19" x14ac:dyDescent="0.25">
      <c r="A113">
        <v>2026</v>
      </c>
      <c r="B113" t="str">
        <v>2026-079</v>
      </c>
      <c r="C113" t="str">
        <v>Realizado</v>
      </c>
      <c r="D113" t="str">
        <v>Café e Tertúlia: Gincana dos Neurotransmissores</v>
      </c>
      <c r="E113">
        <v>2</v>
      </c>
      <c r="F113" t="str">
        <v>Isac Mendes Caixeta de Pamplona Araújo</v>
      </c>
      <c r="G113">
        <v>3</v>
      </c>
      <c r="H113">
        <v>2</v>
      </c>
      <c r="I113">
        <v>0.6</v>
      </c>
      <c r="J113">
        <v>2.6</v>
      </c>
      <c r="R113" t="str">
        <v/>
      </c>
      <c r="S113" t="str">
        <v/>
      </c>
    </row>
    <row r="114" spans="1:19" x14ac:dyDescent="0.25">
      <c r="A114">
        <v>2026</v>
      </c>
      <c r="B114" t="str">
        <v>2026-079</v>
      </c>
      <c r="C114" t="str">
        <v>Realizado</v>
      </c>
      <c r="D114" t="str">
        <v>Café e Tertúlia: Gincana dos Neurotransmissores</v>
      </c>
      <c r="E114">
        <v>2</v>
      </c>
      <c r="F114" t="str">
        <v>Valéria Feitoza</v>
      </c>
      <c r="G114">
        <v>3</v>
      </c>
      <c r="H114">
        <v>2</v>
      </c>
      <c r="I114">
        <v>0.6</v>
      </c>
      <c r="J114">
        <v>2.6</v>
      </c>
      <c r="R114" t="str">
        <v/>
      </c>
      <c r="S114" t="str">
        <v/>
      </c>
    </row>
    <row r="115" spans="1:19" x14ac:dyDescent="0.25">
      <c r="A115">
        <v>2026</v>
      </c>
      <c r="B115" t="str">
        <v>2026-079</v>
      </c>
      <c r="C115" t="str">
        <v>Realizado</v>
      </c>
      <c r="D115" t="str">
        <v>Café e Tertúlia: Gincana dos Neurotransmissores</v>
      </c>
      <c r="E115">
        <v>2</v>
      </c>
      <c r="F115" t="str">
        <v>Cinthia Thais de Carvalho Luz Thomazi</v>
      </c>
      <c r="G115">
        <v>3</v>
      </c>
      <c r="H115">
        <v>2</v>
      </c>
      <c r="I115">
        <v>0.6</v>
      </c>
      <c r="J115">
        <v>2.6</v>
      </c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0.31343283582089554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4.4776119402985072E-2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8.9552238805970144E-2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2.9850746268656716E-2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2</v>
      </c>
      <c r="D37" s="37">
        <f t="shared" si="0"/>
        <v>5</v>
      </c>
      <c r="E37" s="38">
        <f t="shared" si="1"/>
        <v>7.4626865671641784E-2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7</v>
      </c>
      <c r="D38" s="39">
        <f t="shared" si="0"/>
        <v>15</v>
      </c>
      <c r="E38" s="40">
        <f t="shared" si="1"/>
        <v>0.22388059701492538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5.9701492537313432E-2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2.9850746268656716E-2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0.1044776119402985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2.9850746268656716E-2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27</v>
      </c>
      <c r="D45" s="41">
        <f>SUM(D33:D44)</f>
        <v>67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7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39</v>
      </c>
      <c r="C14" s="26">
        <f>IF($A14="","",SUMIFS('GECC 2026'!I$2:I$200,'GECC 2026'!F$2:F$200,$A14))</f>
        <v>8.1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47.100000000000009</v>
      </c>
      <c r="F14" s="24">
        <f>IF($A14="","",COUNTIFS('GECC 2026'!F$2:F$200,$A14))</f>
        <v>8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2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2.6</v>
      </c>
      <c r="F32" s="24">
        <f>IF($A32="","",COUNTIFS('GECC 2026'!F$2:F$200,$A32))</f>
        <v>2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2</v>
      </c>
      <c r="C54" s="26">
        <f>IF($A54="","",SUMIFS('GECC 2026'!I$2:I$200,'GECC 2026'!F$2:F$200,$A54))</f>
        <v>0.6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2.6</v>
      </c>
      <c r="F54" s="24">
        <f>IF($A54="","",COUNTIFS('GECC 2026'!F$2:F$200,$A54))</f>
        <v>2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685</v>
      </c>
      <c r="C105" s="95">
        <f>SUM(C5:C100)</f>
        <v>376.34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2026-08-05T16:45:50Z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