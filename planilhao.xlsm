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05" documentId="8_{454372C2-A99E-4E47-A759-72B38925853E}" xr6:coauthVersionLast="47" xr6:coauthVersionMax="47" xr10:uidLastSave="{56DBDA44-1A87-446D-BB54-9DB61A6B770D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1" i="3"/>
  <c r="R707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01" i="3"/>
  <c r="R710" i="3"/>
  <c r="R708" i="3"/>
  <c r="R706" i="3"/>
  <c r="R705" i="3"/>
  <c r="R704" i="3"/>
  <c r="R709" i="3"/>
  <c r="R717" i="3"/>
  <c r="R716" i="3"/>
  <c r="R703" i="3"/>
  <c r="R676" i="3"/>
  <c r="R715" i="3"/>
  <c r="R714" i="3"/>
  <c r="R712" i="3"/>
  <c r="R711" i="3"/>
  <c r="R693" i="3"/>
  <c r="R720" i="3"/>
  <c r="R690" i="3"/>
  <c r="R700" i="3"/>
  <c r="R699" i="3"/>
  <c r="R702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8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9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3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R4" i="20" s="1" a="1"/>
  <c r="S4" i="20" s="1" a="1"/>
  <c r="T4" i="20" l="1" a="1"/>
  <c r="A2" i="20" s="1" a="1"/>
  <c r="E105" i="23" l="1"/>
  <c r="A5" i="23" a="1"/>
  <c r="D37" i="23" l="1"/>
  <c r="F35" i="23"/>
  <c r="F27" i="23"/>
  <c r="E24" i="23"/>
  <c r="B43" i="23"/>
  <c r="C49" i="23"/>
  <c r="D39" i="23"/>
  <c r="E44" i="23"/>
  <c r="E15" i="23"/>
  <c r="E42" i="23"/>
  <c r="C27" i="23"/>
  <c r="E22" i="23"/>
  <c r="D51" i="23"/>
  <c r="B15" i="23"/>
  <c r="D33" i="23"/>
  <c r="C13" i="23"/>
  <c r="C39" i="23"/>
  <c r="F49" i="23"/>
  <c r="E36" i="23"/>
  <c r="B41" i="23"/>
  <c r="D45" i="23"/>
  <c r="C6" i="23"/>
  <c r="F43" i="23"/>
  <c r="E38" i="23"/>
  <c r="E34" i="23"/>
  <c r="C22" i="23"/>
  <c r="F18" i="23"/>
  <c r="C9" i="23"/>
  <c r="D34" i="23"/>
  <c r="D11" i="23"/>
  <c r="F37" i="23"/>
  <c r="B9" i="23"/>
  <c r="F48" i="23"/>
  <c r="B39" i="23"/>
  <c r="B50" i="23"/>
  <c r="C31" i="23"/>
  <c r="B40" i="23"/>
  <c r="F16" i="23"/>
  <c r="E25" i="23"/>
  <c r="E20" i="23"/>
  <c r="E17" i="23"/>
  <c r="F15" i="23"/>
  <c r="F6" i="23"/>
  <c r="B22" i="23"/>
  <c r="E26" i="23"/>
  <c r="C28" i="23"/>
  <c r="B11" i="23"/>
  <c r="F39" i="23"/>
  <c r="B31" i="23"/>
  <c r="E32" i="23"/>
  <c r="D28" i="23"/>
  <c r="E45" i="23"/>
  <c r="C7" i="23"/>
  <c r="C38" i="23"/>
  <c r="E10" i="23"/>
  <c r="F9" i="23"/>
  <c r="C11" i="23"/>
  <c r="D29" i="23"/>
  <c r="D47" i="23"/>
  <c r="D49" i="23"/>
  <c r="C32" i="23"/>
  <c r="E50" i="23"/>
  <c r="B21" i="23"/>
  <c r="D23" i="23"/>
  <c r="F14" i="23"/>
  <c r="F51" i="23"/>
  <c r="D8" i="23"/>
  <c r="F20" i="23"/>
  <c r="B26" i="23"/>
  <c r="E43" i="23"/>
  <c r="F21" i="23"/>
  <c r="B24" i="23"/>
  <c r="E21" i="23"/>
  <c r="B35" i="23"/>
  <c r="E40" i="23"/>
  <c r="B34" i="23"/>
  <c r="C8" i="23"/>
  <c r="B32" i="23"/>
  <c r="B51" i="23"/>
  <c r="D16" i="23"/>
  <c r="C17" i="23"/>
  <c r="B18" i="23"/>
  <c r="B25" i="23"/>
  <c r="C44" i="23"/>
  <c r="F11" i="23"/>
  <c r="E29" i="23"/>
  <c r="F19" i="23"/>
  <c r="B14" i="23"/>
  <c r="B23" i="23"/>
  <c r="E19" i="23"/>
  <c r="D24" i="23"/>
  <c r="D48" i="23"/>
  <c r="E27" i="23"/>
  <c r="F41" i="23"/>
  <c r="C18" i="23"/>
  <c r="D27" i="23"/>
  <c r="B7" i="23"/>
  <c r="F38" i="23"/>
  <c r="F13" i="23"/>
  <c r="F24" i="23"/>
  <c r="D14" i="23"/>
  <c r="E28" i="23"/>
  <c r="F46" i="23"/>
  <c r="F10" i="23"/>
  <c r="E13" i="23"/>
  <c r="B47" i="23"/>
  <c r="F44" i="23"/>
  <c r="C46" i="23"/>
  <c r="C30" i="23"/>
  <c r="D41" i="23"/>
  <c r="B38" i="23"/>
  <c r="B28" i="23"/>
  <c r="D9" i="23"/>
  <c r="C16" i="23"/>
  <c r="B19" i="23"/>
  <c r="D43" i="23"/>
  <c r="E30" i="23"/>
  <c r="E6" i="23"/>
  <c r="D30" i="23"/>
  <c r="D21" i="23"/>
  <c r="F22" i="23"/>
  <c r="F34" i="23"/>
  <c r="D18" i="23"/>
  <c r="E23" i="23"/>
  <c r="F36" i="23"/>
  <c r="E9" i="23"/>
  <c r="E35" i="23"/>
  <c r="C29" i="23"/>
  <c r="D31" i="23"/>
  <c r="E18" i="23"/>
  <c r="E48" i="23"/>
  <c r="E12" i="23"/>
  <c r="E49" i="23"/>
  <c r="B10" i="23"/>
  <c r="C20" i="23"/>
  <c r="C23" i="23"/>
  <c r="C43" i="23"/>
  <c r="D19" i="23"/>
  <c r="F45" i="23"/>
  <c r="D12" i="23"/>
  <c r="B36" i="23"/>
  <c r="F26" i="23"/>
  <c r="D26" i="23"/>
  <c r="C41" i="23"/>
  <c r="C26" i="23"/>
  <c r="F12" i="23"/>
  <c r="F42" i="23"/>
  <c r="E46" i="23"/>
  <c r="F30" i="23"/>
  <c r="B27" i="23"/>
  <c r="D38" i="23"/>
  <c r="C14" i="23"/>
  <c r="E11" i="23"/>
  <c r="D6" i="23"/>
  <c r="B17" i="23"/>
  <c r="C15" i="23"/>
  <c r="E7" i="23"/>
  <c r="B16" i="23"/>
  <c r="B44" i="23"/>
  <c r="D46" i="23"/>
  <c r="F17" i="23"/>
  <c r="B49" i="23"/>
  <c r="E37" i="23"/>
  <c r="B13" i="23"/>
  <c r="D35" i="23"/>
  <c r="F32" i="23"/>
  <c r="E8" i="23"/>
  <c r="D40" i="23"/>
  <c r="F8" i="23"/>
  <c r="F25" i="23"/>
  <c r="E39" i="23"/>
  <c r="D13" i="23"/>
  <c r="E47" i="23"/>
  <c r="B33" i="23"/>
  <c r="F31" i="23"/>
  <c r="C37" i="23"/>
  <c r="D22" i="23"/>
  <c r="C45" i="23"/>
  <c r="D50" i="23"/>
  <c r="B46" i="23"/>
  <c r="F40" i="23"/>
  <c r="D36" i="23"/>
  <c r="C34" i="23"/>
  <c r="B29" i="23"/>
  <c r="C40" i="23"/>
  <c r="D25" i="23"/>
  <c r="E14" i="23"/>
  <c r="C50" i="23"/>
  <c r="C19" i="23"/>
  <c r="C42" i="23"/>
  <c r="F29" i="23"/>
  <c r="B42" i="23"/>
  <c r="E41" i="23"/>
  <c r="C47" i="23"/>
  <c r="B20" i="23"/>
  <c r="D44" i="23"/>
  <c r="C51" i="23"/>
  <c r="D17" i="23"/>
  <c r="E33" i="23"/>
  <c r="C10" i="23"/>
  <c r="C25" i="23"/>
  <c r="D7" i="23"/>
  <c r="D32" i="23"/>
  <c r="C36" i="23"/>
  <c r="C33" i="23"/>
  <c r="B30" i="23"/>
  <c r="F33" i="23"/>
  <c r="C35" i="23"/>
  <c r="E31" i="23"/>
  <c r="F7" i="23"/>
  <c r="E51" i="23"/>
  <c r="B6" i="23"/>
  <c r="F47" i="23"/>
  <c r="B8" i="23"/>
  <c r="B12" i="23"/>
  <c r="B37" i="23"/>
  <c r="D15" i="23"/>
  <c r="F28" i="23"/>
  <c r="C24" i="23"/>
  <c r="D20" i="23"/>
  <c r="E16" i="23"/>
  <c r="D10" i="23"/>
  <c r="F23" i="23"/>
  <c r="C21" i="23"/>
  <c r="C12" i="23"/>
  <c r="D42" i="23"/>
  <c r="B48" i="23"/>
  <c r="C48" i="23"/>
  <c r="B45" i="23"/>
  <c r="F50" i="23"/>
  <c r="E5" i="23" l="1"/>
  <c r="D5" i="23"/>
  <c r="C5" i="23"/>
  <c r="C105" i="23" s="1"/>
  <c r="G5" i="23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<sst xmlns="http://schemas.openxmlformats.org/spreadsheetml/2006/main" count="6253" uniqueCount="2412">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</sst>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41" fillId="4" borderId="1" xfId="0" applyNumberFormat="1" applyFont="1" applyFill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69" fontId="54" fillId="4" borderId="2" xfId="0" applyNumberFormat="1" applyFont="1" applyFill="1" applyBorder="1" applyAlignment="1">
      <alignment horizontal="center" vertical="center"/>
    </xf>
    <xf numFmtId="0" fontId="55" fillId="4" borderId="2" xfId="0" applyFont="1" applyFill="1" applyBorder="1" applyAlignment="1">
      <alignment horizontal="center"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E1" zoomScaleNormal="100" workbookViewId="0">
      <pane ySplit="1" topLeftCell="A711" activePane="bottomLeft" state="frozen"/>
      <selection pane="bottomLeft" activeCell="J721" sqref="J721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2401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3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2373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1" t="s">
        <v>2144</v>
      </c>
      <c r="F681" s="242" t="s">
        <v>51</v>
      </c>
      <c r="G681" s="263" t="s">
        <v>2035</v>
      </c>
      <c r="H681" s="314" t="s">
        <v>2145</v>
      </c>
      <c r="I681" s="315">
        <v>46157</v>
      </c>
      <c r="J681" s="315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55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6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2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2011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/>
      <c r="N698" s="251">
        <v>30</v>
      </c>
      <c r="O698" s="254"/>
      <c r="P698" s="254"/>
      <c r="Q698" s="254"/>
      <c r="R698" s="254">
        <f>IF(B698="","",SUM(O698:Q698))</f>
        <v>0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/>
      </c>
      <c r="B701" s="332"/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2407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 t="str">
        <f>IF(B701="","",SUM(O701:Q701))</f>
        <v/>
      </c>
      <c r="S701" s="235">
        <v>15</v>
      </c>
      <c r="T701" s="243" t="s">
        <v>2042</v>
      </c>
    </row>
    <row r="702" spans="1:20" ht="22.5" customHeight="1" x14ac:dyDescent="0.25">
      <c r="A702" s="189" t="str">
        <f>IF(B702="","",B702&amp;"-"&amp;TEXT(COUNTIF(B$2:B702,B702),"000"))</f>
        <v>2026-045</v>
      </c>
      <c r="B702" s="69">
        <v>2026</v>
      </c>
      <c r="C702" s="234" t="s">
        <v>2113</v>
      </c>
      <c r="D702" s="235" t="s">
        <v>2158</v>
      </c>
      <c r="E702" s="237" t="s">
        <v>2159</v>
      </c>
      <c r="F702" s="241" t="s">
        <v>22</v>
      </c>
      <c r="G702" s="243" t="s">
        <v>56</v>
      </c>
      <c r="H702" s="245" t="s">
        <v>2145</v>
      </c>
      <c r="I702" s="247">
        <v>46244</v>
      </c>
      <c r="J702" s="247">
        <v>46245</v>
      </c>
      <c r="K702" s="235" t="s">
        <v>25</v>
      </c>
      <c r="L702" s="302">
        <v>13000</v>
      </c>
      <c r="M702" s="250"/>
      <c r="N702" s="251"/>
      <c r="O702" s="254"/>
      <c r="P702" s="254"/>
      <c r="Q702" s="254"/>
      <c r="R702" s="254">
        <f>IF(B702="","",SUM(O702:Q702))</f>
        <v>0</v>
      </c>
      <c r="S702" s="235">
        <v>10</v>
      </c>
      <c r="T702" s="243" t="s">
        <v>2161</v>
      </c>
    </row>
    <row r="703" spans="1:20" ht="22.5" customHeight="1" x14ac:dyDescent="0.25">
      <c r="A703" s="188" t="str">
        <f>IF(B703="","",B703&amp;"-"&amp;TEXT(COUNTIF(B$2:B703,B703),"000"))</f>
        <v>2026-046</v>
      </c>
      <c r="B703" s="69">
        <v>2026</v>
      </c>
      <c r="C703" s="234" t="s">
        <v>2102</v>
      </c>
      <c r="D703" s="236" t="s">
        <v>2190</v>
      </c>
      <c r="E703" s="240" t="s">
        <v>2191</v>
      </c>
      <c r="F703" s="242" t="s">
        <v>51</v>
      </c>
      <c r="G703" s="244" t="s">
        <v>59</v>
      </c>
      <c r="H703" s="246" t="s">
        <v>2160</v>
      </c>
      <c r="I703" s="248">
        <v>46244</v>
      </c>
      <c r="J703" s="248">
        <v>46245</v>
      </c>
      <c r="K703" s="236" t="s">
        <v>32</v>
      </c>
      <c r="L703" s="302"/>
      <c r="M703" s="250"/>
      <c r="N703" s="252">
        <v>40</v>
      </c>
      <c r="O703" s="255"/>
      <c r="P703" s="255"/>
      <c r="Q703" s="255"/>
      <c r="R703" s="255">
        <f>IF(B703="","",SUM(O703:Q703))</f>
        <v>0</v>
      </c>
      <c r="S703" s="236">
        <v>8</v>
      </c>
      <c r="T703" s="260" t="s">
        <v>2192</v>
      </c>
    </row>
    <row r="704" spans="1:20" ht="22.5" customHeight="1" x14ac:dyDescent="0.25">
      <c r="A704" s="189" t="str">
        <f>IF(B704="","",B704&amp;"-"&amp;TEXT(COUNTIF(B$2:B704,B704),"000"))</f>
        <v>2026-047</v>
      </c>
      <c r="B704" s="69">
        <v>2026</v>
      </c>
      <c r="C704" s="234" t="s">
        <v>2102</v>
      </c>
      <c r="D704" s="235" t="s">
        <v>2379</v>
      </c>
      <c r="E704" s="237" t="s">
        <v>2400</v>
      </c>
      <c r="F704" s="241" t="s">
        <v>51</v>
      </c>
      <c r="G704" s="243" t="s">
        <v>59</v>
      </c>
      <c r="H704" s="245" t="s">
        <v>2382</v>
      </c>
      <c r="I704" s="247">
        <v>46244</v>
      </c>
      <c r="J704" s="247">
        <v>46244</v>
      </c>
      <c r="K704" s="235" t="s">
        <v>32</v>
      </c>
      <c r="L704" s="302">
        <v>1990</v>
      </c>
      <c r="M704" s="250"/>
      <c r="N704" s="251">
        <v>20</v>
      </c>
      <c r="O704" s="254"/>
      <c r="P704" s="254"/>
      <c r="Q704" s="254"/>
      <c r="R704" s="254">
        <f>IF(B704="","",SUM(O704:Q704))</f>
        <v>0</v>
      </c>
      <c r="S704" s="235">
        <v>4</v>
      </c>
      <c r="T704" s="243" t="s">
        <v>1847</v>
      </c>
    </row>
    <row r="705" spans="1:21" ht="22.5" customHeight="1" x14ac:dyDescent="0.25">
      <c r="A705" s="188" t="str">
        <f>IF(B705="","",B705&amp;"-"&amp;TEXT(COUNTIF(B$2:B705,B705),"000"))</f>
        <v>2026-048</v>
      </c>
      <c r="B705" s="69">
        <v>2026</v>
      </c>
      <c r="C705" s="234" t="s">
        <v>2102</v>
      </c>
      <c r="D705" s="236" t="s">
        <v>2384</v>
      </c>
      <c r="E705" s="239" t="s">
        <v>2402</v>
      </c>
      <c r="F705" s="242" t="s">
        <v>51</v>
      </c>
      <c r="G705" s="244" t="s">
        <v>59</v>
      </c>
      <c r="H705" s="246" t="s">
        <v>2382</v>
      </c>
      <c r="I705" s="248">
        <v>46244</v>
      </c>
      <c r="J705" s="248">
        <v>46244</v>
      </c>
      <c r="K705" s="236" t="s">
        <v>32</v>
      </c>
      <c r="L705" s="302">
        <v>3520</v>
      </c>
      <c r="M705" s="250"/>
      <c r="N705" s="252">
        <v>30</v>
      </c>
      <c r="O705" s="255"/>
      <c r="P705" s="255"/>
      <c r="Q705" s="255"/>
      <c r="R705" s="255">
        <f>IF(B705="","",SUM(O705:Q705))</f>
        <v>0</v>
      </c>
      <c r="S705" s="236">
        <v>4</v>
      </c>
      <c r="T705" s="244" t="s">
        <v>2386</v>
      </c>
    </row>
    <row r="706" spans="1:21" ht="22.5" customHeight="1" x14ac:dyDescent="0.25">
      <c r="A706" s="189" t="str">
        <f>IF(B706="","",B706&amp;"-"&amp;TEXT(COUNTIF(B$2:B706,B706),"000"))</f>
        <v>2026-049</v>
      </c>
      <c r="B706" s="69">
        <v>2026</v>
      </c>
      <c r="C706" s="234" t="s">
        <v>2102</v>
      </c>
      <c r="D706" s="235" t="s">
        <v>2387</v>
      </c>
      <c r="E706" s="237" t="s">
        <v>2403</v>
      </c>
      <c r="F706" s="241" t="s">
        <v>51</v>
      </c>
      <c r="G706" s="243" t="s">
        <v>59</v>
      </c>
      <c r="H706" s="245" t="s">
        <v>2388</v>
      </c>
      <c r="I706" s="247">
        <v>46245</v>
      </c>
      <c r="J706" s="247">
        <v>46245</v>
      </c>
      <c r="K706" s="235" t="s">
        <v>32</v>
      </c>
      <c r="L706" s="302">
        <v>3520</v>
      </c>
      <c r="M706" s="250"/>
      <c r="N706" s="251">
        <v>30</v>
      </c>
      <c r="O706" s="254"/>
      <c r="P706" s="254"/>
      <c r="Q706" s="254"/>
      <c r="R706" s="254">
        <f>IF(B706="","",SUM(O706:Q706))</f>
        <v>0</v>
      </c>
      <c r="S706" s="235">
        <v>4</v>
      </c>
      <c r="T706" s="243" t="s">
        <v>1855</v>
      </c>
    </row>
    <row r="707" spans="1:21" ht="22.5" customHeight="1" x14ac:dyDescent="0.25">
      <c r="A707" s="188" t="str">
        <f>IF(B707="","",B707&amp;"-"&amp;TEXT(COUNTIF(B$2:B707,B707),"000"))</f>
        <v>2026-050</v>
      </c>
      <c r="B707" s="69">
        <v>2026</v>
      </c>
      <c r="C707" s="234" t="s">
        <v>2102</v>
      </c>
      <c r="D707" s="236" t="s">
        <v>2378</v>
      </c>
      <c r="E707" s="239" t="s">
        <v>2380</v>
      </c>
      <c r="F707" s="242" t="s">
        <v>51</v>
      </c>
      <c r="G707" s="244" t="s">
        <v>59</v>
      </c>
      <c r="H707" s="246" t="s">
        <v>2381</v>
      </c>
      <c r="I707" s="248">
        <v>46246</v>
      </c>
      <c r="J707" s="248">
        <v>46246</v>
      </c>
      <c r="K707" s="236" t="s">
        <v>32</v>
      </c>
      <c r="L707" s="302">
        <v>2347</v>
      </c>
      <c r="M707" s="250"/>
      <c r="N707" s="252">
        <v>50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1477</v>
      </c>
    </row>
    <row r="708" spans="1:21" ht="22.5" customHeight="1" x14ac:dyDescent="0.25">
      <c r="A708" s="189" t="str">
        <f>IF(B708="","",B708&amp;"-"&amp;TEXT(COUNTIF(B$2:B708,B708),"000"))</f>
        <v>2026-051</v>
      </c>
      <c r="B708" s="69">
        <v>2026</v>
      </c>
      <c r="C708" s="234" t="s">
        <v>2102</v>
      </c>
      <c r="D708" s="236" t="s">
        <v>2389</v>
      </c>
      <c r="E708" s="239" t="s">
        <v>2404</v>
      </c>
      <c r="F708" s="242" t="s">
        <v>51</v>
      </c>
      <c r="G708" s="244" t="s">
        <v>59</v>
      </c>
      <c r="H708" s="246" t="s">
        <v>2381</v>
      </c>
      <c r="I708" s="248">
        <v>46246</v>
      </c>
      <c r="J708" s="248">
        <v>46246</v>
      </c>
      <c r="K708" s="236" t="s">
        <v>32</v>
      </c>
      <c r="L708" s="302">
        <v>3520</v>
      </c>
      <c r="M708" s="250"/>
      <c r="N708" s="252">
        <v>30</v>
      </c>
      <c r="O708" s="255"/>
      <c r="P708" s="255"/>
      <c r="Q708" s="255"/>
      <c r="R708" s="255">
        <f>IF(B708="","",SUM(O708:Q708))</f>
        <v>0</v>
      </c>
      <c r="S708" s="236">
        <v>4</v>
      </c>
      <c r="T708" s="244" t="s">
        <v>2391</v>
      </c>
    </row>
    <row r="709" spans="1:21" ht="22.5" customHeight="1" x14ac:dyDescent="0.25">
      <c r="A709" s="188" t="str">
        <f>IF(B709="","",B709&amp;"-"&amp;TEXT(COUNTIF(B$2:B709,B709),"000"))</f>
        <v>2026-052</v>
      </c>
      <c r="B709" s="69">
        <v>2026</v>
      </c>
      <c r="C709" s="234" t="s">
        <v>2102</v>
      </c>
      <c r="D709" s="235" t="s">
        <v>2374</v>
      </c>
      <c r="E709" s="237" t="s">
        <v>2399</v>
      </c>
      <c r="F709" s="241" t="s">
        <v>51</v>
      </c>
      <c r="G709" s="243" t="s">
        <v>59</v>
      </c>
      <c r="H709" s="245" t="s">
        <v>2375</v>
      </c>
      <c r="I709" s="247">
        <v>46247</v>
      </c>
      <c r="J709" s="247">
        <v>46247</v>
      </c>
      <c r="K709" s="235" t="s">
        <v>32</v>
      </c>
      <c r="L709" s="302">
        <v>1770</v>
      </c>
      <c r="M709" s="250"/>
      <c r="N709" s="251">
        <v>50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2377</v>
      </c>
      <c r="U709" s="230"/>
    </row>
    <row r="710" spans="1:21" ht="22.5" customHeight="1" x14ac:dyDescent="0.25">
      <c r="A710" s="189" t="str">
        <f>IF(B710="","",B710&amp;"-"&amp;TEXT(COUNTIF(B$2:B710,B710),"000"))</f>
        <v>2026-053</v>
      </c>
      <c r="B710" s="69">
        <v>2026</v>
      </c>
      <c r="C710" s="234" t="s">
        <v>2102</v>
      </c>
      <c r="D710" s="235" t="s">
        <v>2392</v>
      </c>
      <c r="E710" s="237" t="s">
        <v>2405</v>
      </c>
      <c r="F710" s="241" t="s">
        <v>51</v>
      </c>
      <c r="G710" s="243" t="s">
        <v>59</v>
      </c>
      <c r="H710" s="245" t="s">
        <v>2375</v>
      </c>
      <c r="I710" s="247">
        <v>46247</v>
      </c>
      <c r="J710" s="247">
        <v>46247</v>
      </c>
      <c r="K710" s="235" t="s">
        <v>32</v>
      </c>
      <c r="L710" s="302">
        <v>3520</v>
      </c>
      <c r="M710" s="250"/>
      <c r="N710" s="251">
        <v>30</v>
      </c>
      <c r="O710" s="254"/>
      <c r="P710" s="254"/>
      <c r="Q710" s="254"/>
      <c r="R710" s="254">
        <f>IF(B710="","",SUM(O710:Q710))</f>
        <v>0</v>
      </c>
      <c r="S710" s="235">
        <v>4</v>
      </c>
      <c r="T710" s="243" t="s">
        <v>2394</v>
      </c>
    </row>
    <row r="711" spans="1:21" ht="22.5" customHeight="1" x14ac:dyDescent="0.25">
      <c r="A711" s="188" t="str">
        <f>IF(B711="","",B711&amp;"-"&amp;TEXT(COUNTIF(B$2:B711,B711),"000"))</f>
        <v>2026-054</v>
      </c>
      <c r="B711" s="69">
        <v>2026</v>
      </c>
      <c r="C711" s="234" t="s">
        <v>2102</v>
      </c>
      <c r="D711" s="235" t="s">
        <v>2084</v>
      </c>
      <c r="E711" s="237" t="s">
        <v>2181</v>
      </c>
      <c r="F711" s="241" t="s">
        <v>66</v>
      </c>
      <c r="G711" s="243" t="s">
        <v>2072</v>
      </c>
      <c r="H711" s="245" t="s">
        <v>2182</v>
      </c>
      <c r="I711" s="247">
        <v>46254</v>
      </c>
      <c r="J711" s="247">
        <v>46254</v>
      </c>
      <c r="K711" s="235" t="s">
        <v>32</v>
      </c>
      <c r="L711" s="302"/>
      <c r="M711" s="250"/>
      <c r="N711" s="251">
        <v>80</v>
      </c>
      <c r="O711" s="254"/>
      <c r="P711" s="254"/>
      <c r="Q711" s="254"/>
      <c r="R711" s="254">
        <f>IF(B711="","",SUM(O711:Q711))</f>
        <v>0</v>
      </c>
      <c r="S711" s="235">
        <v>4</v>
      </c>
      <c r="T711" s="259" t="s">
        <v>2183</v>
      </c>
    </row>
    <row r="712" spans="1:21" ht="22.5" customHeight="1" x14ac:dyDescent="0.25">
      <c r="A712" s="189" t="str">
        <f>IF(B712="","",B712&amp;"-"&amp;TEXT(COUNTIF(B$2:B712,B712),"000"))</f>
        <v>2026-055</v>
      </c>
      <c r="B712" s="69">
        <v>2026</v>
      </c>
      <c r="C712" s="234" t="s">
        <v>2102</v>
      </c>
      <c r="D712" s="235" t="s">
        <v>2084</v>
      </c>
      <c r="E712" s="240" t="s">
        <v>2181</v>
      </c>
      <c r="F712" s="242" t="s">
        <v>66</v>
      </c>
      <c r="G712" s="244" t="s">
        <v>2072</v>
      </c>
      <c r="H712" s="246" t="s">
        <v>2184</v>
      </c>
      <c r="I712" s="248">
        <v>46255</v>
      </c>
      <c r="J712" s="248">
        <v>46255</v>
      </c>
      <c r="K712" s="236" t="s">
        <v>32</v>
      </c>
      <c r="L712" s="302"/>
      <c r="M712" s="250"/>
      <c r="N712" s="252">
        <v>80</v>
      </c>
      <c r="O712" s="255"/>
      <c r="P712" s="255"/>
      <c r="Q712" s="255"/>
      <c r="R712" s="255">
        <f>IF(B712="","",SUM(O712:Q712))</f>
        <v>0</v>
      </c>
      <c r="S712" s="236">
        <v>4</v>
      </c>
      <c r="T712" s="260" t="s">
        <v>2185</v>
      </c>
    </row>
    <row r="713" spans="1:21" ht="22.5" customHeight="1" x14ac:dyDescent="0.25">
      <c r="A713" s="189" t="str">
        <f>IF(B713="","",B713&amp;"-"&amp;TEXT(COUNTIF(B$2:B713,B713),"000"))</f>
        <v>2026-056</v>
      </c>
      <c r="B713" s="69">
        <v>2026</v>
      </c>
      <c r="C713" s="47" t="s">
        <v>2102</v>
      </c>
      <c r="D713" s="21" t="s">
        <v>2114</v>
      </c>
      <c r="E713" s="81" t="s">
        <v>2115</v>
      </c>
      <c r="F713" s="28" t="s">
        <v>66</v>
      </c>
      <c r="G713" s="19" t="s">
        <v>2072</v>
      </c>
      <c r="H713" s="35" t="s">
        <v>2408</v>
      </c>
      <c r="I713" s="36">
        <v>46273</v>
      </c>
      <c r="J713" s="36">
        <v>46283</v>
      </c>
      <c r="K713" s="21" t="s">
        <v>25</v>
      </c>
      <c r="L713" s="297">
        <v>25200</v>
      </c>
      <c r="M713" s="183"/>
      <c r="N713" s="40">
        <v>60</v>
      </c>
      <c r="O713" s="22"/>
      <c r="P713" s="22"/>
      <c r="Q713" s="22"/>
      <c r="R713" s="22">
        <f>SUM(O713:Q713)</f>
        <v>0</v>
      </c>
      <c r="S713" s="21">
        <v>32</v>
      </c>
      <c r="T713" s="19" t="s">
        <v>2116</v>
      </c>
    </row>
    <row r="714" spans="1:21" ht="22.5" customHeight="1" x14ac:dyDescent="0.25">
      <c r="A714" s="189" t="str">
        <f>IF(B714="","",B714&amp;"-"&amp;TEXT(COUNTIF(B$2:B714,B714),"000"))</f>
        <v>2026-057</v>
      </c>
      <c r="B714" s="69">
        <v>2026</v>
      </c>
      <c r="C714" s="234" t="s">
        <v>2102</v>
      </c>
      <c r="D714" s="235" t="s">
        <v>2084</v>
      </c>
      <c r="E714" s="237" t="s">
        <v>2181</v>
      </c>
      <c r="F714" s="241" t="s">
        <v>66</v>
      </c>
      <c r="G714" s="243" t="s">
        <v>2072</v>
      </c>
      <c r="H714" s="245" t="s">
        <v>2186</v>
      </c>
      <c r="I714" s="247">
        <v>46289</v>
      </c>
      <c r="J714" s="247">
        <v>46289</v>
      </c>
      <c r="K714" s="235" t="s">
        <v>32</v>
      </c>
      <c r="L714" s="302"/>
      <c r="M714" s="250"/>
      <c r="N714" s="251">
        <v>80</v>
      </c>
      <c r="O714" s="254"/>
      <c r="P714" s="254"/>
      <c r="Q714" s="254"/>
      <c r="R714" s="254">
        <f>IF(B714="","",SUM(O714:Q714))</f>
        <v>0</v>
      </c>
      <c r="S714" s="235">
        <v>4</v>
      </c>
      <c r="T714" s="260" t="s">
        <v>2185</v>
      </c>
    </row>
    <row r="715" spans="1:21" ht="22.5" customHeight="1" x14ac:dyDescent="0.25">
      <c r="A715" s="188" t="str">
        <f>IF(B715="","",B715&amp;"-"&amp;TEXT(COUNTIF(B$2:B715,B715),"000"))</f>
        <v>2026-058</v>
      </c>
      <c r="B715" s="69">
        <v>2026</v>
      </c>
      <c r="C715" s="234" t="s">
        <v>2102</v>
      </c>
      <c r="D715" s="235" t="s">
        <v>2084</v>
      </c>
      <c r="E715" s="240" t="s">
        <v>2181</v>
      </c>
      <c r="F715" s="242" t="s">
        <v>66</v>
      </c>
      <c r="G715" s="244" t="s">
        <v>2072</v>
      </c>
      <c r="H715" s="246" t="s">
        <v>2187</v>
      </c>
      <c r="I715" s="248">
        <v>46290</v>
      </c>
      <c r="J715" s="248">
        <v>46290</v>
      </c>
      <c r="K715" s="236" t="s">
        <v>32</v>
      </c>
      <c r="L715" s="302"/>
      <c r="M715" s="250"/>
      <c r="N715" s="252">
        <v>80</v>
      </c>
      <c r="O715" s="255"/>
      <c r="P715" s="255"/>
      <c r="Q715" s="255"/>
      <c r="R715" s="255">
        <f>IF(B715="","",SUM(O715:Q715))</f>
        <v>0</v>
      </c>
      <c r="S715" s="236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2026-059</v>
      </c>
      <c r="B716" s="69">
        <v>2026</v>
      </c>
      <c r="C716" s="234" t="s">
        <v>2102</v>
      </c>
      <c r="D716" s="235" t="s">
        <v>2084</v>
      </c>
      <c r="E716" s="237" t="s">
        <v>2181</v>
      </c>
      <c r="F716" s="241" t="s">
        <v>66</v>
      </c>
      <c r="G716" s="243" t="s">
        <v>2072</v>
      </c>
      <c r="H716" s="245" t="s">
        <v>2193</v>
      </c>
      <c r="I716" s="247">
        <v>46303</v>
      </c>
      <c r="J716" s="247">
        <v>46303</v>
      </c>
      <c r="K716" s="235" t="s">
        <v>32</v>
      </c>
      <c r="L716" s="302"/>
      <c r="M716" s="250"/>
      <c r="N716" s="251"/>
      <c r="O716" s="254"/>
      <c r="P716" s="254"/>
      <c r="Q716" s="254"/>
      <c r="R716" s="254">
        <f>IF(B716="","",SUM(O716:Q716))</f>
        <v>0</v>
      </c>
      <c r="S716" s="235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2026-060</v>
      </c>
      <c r="B717" s="69">
        <v>2026</v>
      </c>
      <c r="C717" s="234" t="s">
        <v>2102</v>
      </c>
      <c r="D717" s="236" t="s">
        <v>2084</v>
      </c>
      <c r="E717" s="240" t="s">
        <v>2181</v>
      </c>
      <c r="F717" s="242" t="s">
        <v>66</v>
      </c>
      <c r="G717" s="244" t="s">
        <v>2072</v>
      </c>
      <c r="H717" s="246" t="s">
        <v>2194</v>
      </c>
      <c r="I717" s="248">
        <v>46304</v>
      </c>
      <c r="J717" s="248">
        <v>46274</v>
      </c>
      <c r="K717" s="236" t="s">
        <v>32</v>
      </c>
      <c r="L717" s="302"/>
      <c r="M717" s="250"/>
      <c r="N717" s="252"/>
      <c r="O717" s="255"/>
      <c r="P717" s="255"/>
      <c r="Q717" s="255"/>
      <c r="R717" s="255">
        <f>IF(B717="","",SUM(O717:Q717))</f>
        <v>0</v>
      </c>
      <c r="S717" s="236">
        <v>4</v>
      </c>
      <c r="T717" s="260" t="s">
        <v>2185</v>
      </c>
    </row>
    <row r="718" spans="1:21" ht="22.5" customHeight="1" x14ac:dyDescent="0.25">
      <c r="A718" s="189" t="str">
        <f>IF(B718="","",B718&amp;"-"&amp;TEXT(COUNTIF(B$2:B718,B718),"000"))</f>
        <v>2026-061</v>
      </c>
      <c r="B718" s="69">
        <v>2026</v>
      </c>
      <c r="C718" s="234" t="s">
        <v>2102</v>
      </c>
      <c r="D718" s="235" t="s">
        <v>2117</v>
      </c>
      <c r="E718" s="237" t="s">
        <v>2118</v>
      </c>
      <c r="F718" s="241" t="s">
        <v>51</v>
      </c>
      <c r="G718" s="243" t="s">
        <v>59</v>
      </c>
      <c r="H718" s="245" t="s">
        <v>2119</v>
      </c>
      <c r="I718" s="247">
        <v>46321</v>
      </c>
      <c r="J718" s="247">
        <v>46322</v>
      </c>
      <c r="K718" s="249" t="s">
        <v>25</v>
      </c>
      <c r="L718" s="302"/>
      <c r="M718" s="250"/>
      <c r="N718" s="251">
        <v>170</v>
      </c>
      <c r="O718" s="254"/>
      <c r="P718" s="254"/>
      <c r="Q718" s="254"/>
      <c r="R718" s="254">
        <f>IF(B718="","",SUM(O718:Q718))</f>
        <v>0</v>
      </c>
      <c r="S718" s="235">
        <v>14</v>
      </c>
      <c r="T718" s="257" t="s">
        <v>365</v>
      </c>
    </row>
    <row r="719" spans="1:21" ht="22.5" customHeight="1" x14ac:dyDescent="0.25">
      <c r="A719" s="188" t="str">
        <f>IF(B719="","",B719&amp;"-"&amp;TEXT(COUNTIF(B$2:B719,B719),"000"))</f>
        <v>2026-062</v>
      </c>
      <c r="B719" s="63">
        <v>2026</v>
      </c>
      <c r="C719" s="21" t="s">
        <v>2102</v>
      </c>
      <c r="D719" s="163" t="s">
        <v>2110</v>
      </c>
      <c r="E719" s="310" t="s">
        <v>2111</v>
      </c>
      <c r="F719" s="30" t="s">
        <v>51</v>
      </c>
      <c r="G719" s="20" t="s">
        <v>59</v>
      </c>
      <c r="H719" s="165" t="s">
        <v>2112</v>
      </c>
      <c r="I719" s="166">
        <v>46335</v>
      </c>
      <c r="J719" s="166">
        <v>46335</v>
      </c>
      <c r="K719" s="23" t="s">
        <v>25</v>
      </c>
      <c r="L719" s="300"/>
      <c r="M719" s="184"/>
      <c r="N719" s="167">
        <v>170</v>
      </c>
      <c r="O719" s="168"/>
      <c r="P719" s="168"/>
      <c r="Q719" s="168"/>
      <c r="R719" s="168">
        <f>SUM(O719:Q719)</f>
        <v>0</v>
      </c>
      <c r="S719" s="163">
        <v>14</v>
      </c>
      <c r="T719" s="20" t="s">
        <v>365</v>
      </c>
    </row>
    <row r="720" spans="1:21" ht="22.5" customHeight="1" x14ac:dyDescent="0.25">
      <c r="A720" s="282" t="str">
        <f>IF(B720="","",B720&amp;"-"&amp;TEXT(COUNTIF(B$2:B720,B720),"000"))</f>
        <v>2026-063</v>
      </c>
      <c r="B720" s="69">
        <v>2026</v>
      </c>
      <c r="C720" s="261" t="s">
        <v>2102</v>
      </c>
      <c r="D720" s="284" t="s">
        <v>2173</v>
      </c>
      <c r="E720" s="285" t="s">
        <v>2174</v>
      </c>
      <c r="F720" s="333" t="s">
        <v>51</v>
      </c>
      <c r="G720" s="287" t="s">
        <v>59</v>
      </c>
      <c r="H720" s="289" t="s">
        <v>2145</v>
      </c>
      <c r="I720" s="291" t="s">
        <v>2175</v>
      </c>
      <c r="J720" s="291" t="s">
        <v>2176</v>
      </c>
      <c r="K720" s="284" t="s">
        <v>32</v>
      </c>
      <c r="L720" s="303"/>
      <c r="M720" s="264"/>
      <c r="N720" s="292"/>
      <c r="O720" s="293"/>
      <c r="P720" s="293"/>
      <c r="Q720" s="293"/>
      <c r="R720" s="293">
        <f>IF(B720="","",SUM(O720:Q720))</f>
        <v>0</v>
      </c>
      <c r="S720" s="284">
        <v>17.45</v>
      </c>
      <c r="T720" s="287" t="s">
        <v>2177</v>
      </c>
    </row>
    <row r="721" spans="1:20" ht="22.5" customHeight="1" x14ac:dyDescent="0.25">
      <c r="A721" s="188" t="str">
        <f>IF(B721="","",B721&amp;"-"&amp;TEXT(COUNTIF(B$2:B721,B721),"000"))</f>
        <v>2026-064</v>
      </c>
      <c r="B721" s="21">
        <v>2026</v>
      </c>
      <c r="C721" s="234" t="s">
        <v>2102</v>
      </c>
      <c r="D721" s="236" t="s">
        <v>2398</v>
      </c>
      <c r="E721" s="238" t="s">
        <v>2406</v>
      </c>
      <c r="F721" s="242" t="s">
        <v>51</v>
      </c>
      <c r="G721" s="244" t="s">
        <v>59</v>
      </c>
      <c r="H721" s="334" t="s">
        <v>2395</v>
      </c>
      <c r="I721" s="335" t="s">
        <v>2395</v>
      </c>
      <c r="J721" s="335" t="s">
        <v>2395</v>
      </c>
      <c r="K721" s="236" t="s">
        <v>32</v>
      </c>
      <c r="L721" s="302">
        <v>3520</v>
      </c>
      <c r="M721" s="250"/>
      <c r="N721" s="252">
        <v>30</v>
      </c>
      <c r="O721" s="255"/>
      <c r="P721" s="255"/>
      <c r="Q721" s="255"/>
      <c r="R721" s="336">
        <f>IF(B721="","",SUM(O721:Q721))</f>
        <v>0</v>
      </c>
      <c r="S721" s="236">
        <v>4</v>
      </c>
      <c r="T721" s="244" t="s">
        <v>2397</v>
      </c>
    </row>
    <row r="722" spans="1:20" ht="22.5" customHeight="1" x14ac:dyDescent="0.25">
      <c r="A722" s="189" t="str">
        <f>IF(B722="","",B722&amp;"-"&amp;TEXT(COUNTIF(B$2:B722,B722),"000"))</f>
        <v/>
      </c>
      <c r="B722" s="233"/>
      <c r="C722" s="234"/>
      <c r="D722" s="236" t="s">
        <v>2409</v>
      </c>
      <c r="E722" s="239" t="s">
        <v>2410</v>
      </c>
      <c r="F722" s="242" t="s">
        <v>51</v>
      </c>
      <c r="G722" s="244" t="s">
        <v>59</v>
      </c>
      <c r="H722" s="337" t="s">
        <v>2411</v>
      </c>
      <c r="I722" s="248">
        <v>46259</v>
      </c>
      <c r="J722" s="248">
        <v>46268</v>
      </c>
      <c r="K722" s="236" t="s">
        <v>174</v>
      </c>
      <c r="L722" s="302"/>
      <c r="M722" s="250"/>
      <c r="N722" s="252">
        <v>30</v>
      </c>
      <c r="O722" s="255"/>
      <c r="P722" s="255"/>
      <c r="Q722" s="255"/>
      <c r="R722" s="255" t="str">
        <f>IF(B722="","",SUM(O722:Q722))</f>
        <v/>
      </c>
      <c r="S722" s="236">
        <v>20</v>
      </c>
      <c r="T722" s="244"/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2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2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2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2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2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2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2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2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2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2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2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2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2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2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2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2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2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2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2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2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2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2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2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2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2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2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customHeight="1" x14ac:dyDescent="0.25">
      <c r="A749" s="187"/>
      <c r="B749" s="267"/>
      <c r="C749" s="234"/>
      <c r="D749" s="234"/>
      <c r="E749" s="268"/>
      <c r="F749" s="269"/>
      <c r="G749" s="258"/>
      <c r="H749" s="270"/>
      <c r="I749" s="271"/>
      <c r="J749" s="271"/>
      <c r="K749" s="234"/>
      <c r="L749" s="307"/>
      <c r="M749" s="272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3"/>
      <c r="C2000" s="261"/>
      <c r="D2000" s="261"/>
      <c r="E2000" s="274"/>
      <c r="F2000" s="275"/>
      <c r="G2000" s="276"/>
      <c r="H2000" s="277"/>
      <c r="I2000" s="278"/>
      <c r="J2000" s="278"/>
      <c r="K2000" s="261"/>
      <c r="L2000" s="308"/>
      <c r="M2000" s="279"/>
      <c r="N2000" s="280"/>
      <c r="O2000" s="281"/>
      <c r="P2000" s="281"/>
      <c r="Q2000" s="281"/>
      <c r="R2000" s="281"/>
      <c r="S2000" s="261"/>
      <c r="T2000" s="276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20" activePane="bottomLeft" state="frozen"/>
      <selection pane="bottomLeft" activeCell="K29" sqref="K29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55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Em andamento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2278</v>
      </c>
      <c r="Y37" t="s">
        <v>324</v>
      </c>
      <c r="Z37">
        <v>0</v>
      </c>
      <c r="AA37">
        <v>55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2278</v>
      </c>
      <c r="Y38" s="218" t="s">
        <v>840</v>
      </c>
      <c r="Z38">
        <v>0</v>
      </c>
      <c r="AA38">
        <v>55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55</v>
      </c>
      <c r="F45" t="str">
        <v>Tarsila Firmino Ely</v>
      </c>
      <c r="G45">
        <v>2</v>
      </c>
      <c r="H45">
        <v>55</v>
      </c>
      <c r="I45">
        <v>8.25</v>
      </c>
      <c r="J45">
        <v>63.25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55</v>
      </c>
      <c r="F46" t="str">
        <v>Luciana Alvim</v>
      </c>
      <c r="G46">
        <v>2</v>
      </c>
      <c r="H46">
        <v>55</v>
      </c>
      <c r="I46">
        <v>8.25</v>
      </c>
      <c r="J46">
        <v>63.25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108</v>
      </c>
      <c r="T50">
        <v>103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2026-058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113</v>
      </c>
      <c r="T51">
        <v>108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2026-059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118</v>
      </c>
      <c r="T52">
        <v>113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2026-060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123</v>
      </c>
      <c r="T53">
        <v>118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Contratações de TIC com base na jurisprudência do TCDF - EAD</v>
      </c>
      <c r="P54">
        <v>17.45</v>
      </c>
      <c r="Q54" t="str">
        <v>Flávio José Fonseca de Souza; Felipe da Costa Malaquias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Em andamento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2026-057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2026-057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2026-057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2026-057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2026-057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Contratações de TIC com base na jurisprudência do TCDF - EAD</v>
      </c>
      <c r="E125">
        <v>17.45</v>
      </c>
      <c r="F125" t="str">
        <v>Flávio José Fonseca de Souza</v>
      </c>
      <c r="G125">
        <v>2</v>
      </c>
      <c r="H125">
        <v>17.45</v>
      </c>
      <c r="I125">
        <v>5.2349999999999994</v>
      </c>
      <c r="J125">
        <v>22.684999999999999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Contratações de TIC com base na jurisprudência do TCDF - EAD</v>
      </c>
      <c r="E126">
        <v>17.45</v>
      </c>
      <c r="F126" t="str">
        <v>Felipe da Costa Malaquias</v>
      </c>
      <c r="G126">
        <v>2</v>
      </c>
      <c r="H126">
        <v>17.45</v>
      </c>
      <c r="I126">
        <v>5.2349999999999994</v>
      </c>
      <c r="J126">
        <v>22.684999999999999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19" t="s">
        <v>2292</v>
      </c>
      <c r="B1" s="319"/>
      <c r="C1" s="319"/>
      <c r="D1" s="319"/>
      <c r="E1" s="319"/>
      <c r="F1" s="319"/>
      <c r="G1" s="319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0" t="s">
        <v>2293</v>
      </c>
      <c r="B4" s="321"/>
      <c r="D4" s="322" t="s">
        <v>2294</v>
      </c>
      <c r="E4" s="323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17" t="s">
        <v>2297</v>
      </c>
      <c r="B8" s="317"/>
      <c r="D8" s="317" t="s">
        <v>2298</v>
      </c>
      <c r="E8" s="317"/>
    </row>
    <row r="9" spans="1:7" ht="5.0999999999999996" customHeight="1" x14ac:dyDescent="0.25">
      <c r="A9" s="318"/>
      <c r="B9" s="318"/>
      <c r="D9" s="318"/>
      <c r="E9" s="318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433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1776</v>
      </c>
    </row>
    <row r="30" spans="1:5" ht="17.25" x14ac:dyDescent="0.3">
      <c r="A30" s="317" t="s">
        <v>2307</v>
      </c>
      <c r="B30" s="317"/>
      <c r="C30" s="317"/>
      <c r="D30" s="317"/>
      <c r="E30" s="317"/>
    </row>
    <row r="31" spans="1:5" ht="5.0999999999999996" customHeight="1" x14ac:dyDescent="0.25">
      <c r="A31" s="318"/>
      <c r="B31" s="318"/>
      <c r="C31" s="318"/>
      <c r="D31" s="318"/>
      <c r="E31" s="318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4" t="s">
        <v>2357</v>
      </c>
      <c r="B1" s="324"/>
      <c r="C1" s="324"/>
      <c r="D1" s="324"/>
      <c r="E1" s="324"/>
      <c r="F1" s="324"/>
      <c r="G1" s="324"/>
      <c r="H1" s="324"/>
    </row>
    <row r="2" spans="1:8" x14ac:dyDescent="0.25">
      <c r="A2" s="128" t="s">
        <v>2358</v>
      </c>
    </row>
    <row r="4" spans="1:8" ht="21.95" customHeight="1" x14ac:dyDescent="0.25">
      <c r="A4" s="325" t="s">
        <v>2359</v>
      </c>
      <c r="B4" s="326"/>
      <c r="D4" s="325" t="s">
        <v>2360</v>
      </c>
      <c r="E4" s="326"/>
      <c r="G4" s="325" t="s">
        <v>2361</v>
      </c>
      <c r="H4" s="326"/>
    </row>
    <row r="5" spans="1:8" ht="35.1" customHeight="1" x14ac:dyDescent="0.25">
      <c r="A5" s="329">
        <f>COUNTIF('Ações InCompany'!E:E,"*maratona*")</f>
        <v>13</v>
      </c>
      <c r="B5" s="328"/>
      <c r="D5" s="327">
        <f>SUM(H8:H100)</f>
        <v>1762</v>
      </c>
      <c r="E5" s="328"/>
      <c r="G5" s="327">
        <f>IFERROR(ROUND(D5/A5,0),"-")</f>
        <v>136</v>
      </c>
      <c r="H5" s="328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K50" sqref="K50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0" t="s">
        <v>2367</v>
      </c>
      <c r="B1" s="330"/>
      <c r="C1" s="330"/>
      <c r="D1" s="330"/>
      <c r="E1" s="330"/>
      <c r="F1" s="330"/>
    </row>
    <row r="2" spans="1:7" x14ac:dyDescent="0.25">
      <c r="A2" s="331" t="s">
        <v>2368</v>
      </c>
      <c r="B2" s="331"/>
      <c r="C2" s="331"/>
      <c r="D2" s="331"/>
      <c r="E2" s="331"/>
      <c r="F2" s="331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8</v>
      </c>
      <c r="C10" s="101">
        <f>IF($A10="","",SUMIFS('GECC 2026'!I$2:I$200,'GECC 2026'!F$2:F$200,$A10))</f>
        <v>0.24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8.24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4">
        <f>IF($A11="","",SUMIFS('GECC 2026'!$AE$3:$AE$32,'GECC 2026'!$AD$3:$AD$32,$A11))</f>
        <v>16</v>
      </c>
      <c r="E11" s="203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76</v>
      </c>
      <c r="C12" s="101">
        <f>IF($A12="","",SUMIFS('GECC 2026'!I$2:I$200,'GECC 2026'!F$2:F$200,$A12))</f>
        <v>11.879999999999999</v>
      </c>
      <c r="D12" s="214">
        <f>IF($A12="","",SUMIFS('GECC 2026'!$AE$3:$AE$32,'GECC 2026'!$AD$3:$AD$32,$A12))</f>
        <v>0</v>
      </c>
      <c r="E12" s="203">
        <f>IF($A12="","",SUMIFS('GECC 2026'!J$2:J$200,'GECC 2026'!F$2:F$200,$A12)+SUMIFS('GECC 2026'!$AE$3:$AE$32,'GECC 2026'!$AD$3:$AD$32,$A12))</f>
        <v>87.88000000000001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0.6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4.5999999999999996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8</v>
      </c>
      <c r="C18" s="101">
        <f>IF($A18="","",SUMIFS('GECC 2026'!I$2:I$200,'GECC 2026'!F$2:F$200,$A18))</f>
        <v>0.24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8.24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25.45</v>
      </c>
      <c r="C19" s="101">
        <f>IF($A19="","",SUMIFS('GECC 2026'!I$2:I$200,'GECC 2026'!F$2:F$200,$A19))</f>
        <v>7.6349999999999998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33.085000000000001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8.370000000000001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47.370000000000012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25.45</v>
      </c>
      <c r="C22" s="101">
        <f>IF($A22="","",SUMIFS('GECC 2026'!I$2:I$200,'GECC 2026'!F$2:F$200,$A22))</f>
        <v>7.6349999999999998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33.085000000000001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28</v>
      </c>
      <c r="C23" s="101">
        <f>IF($A23="","",SUMIFS('GECC 2026'!I$2:I$200,'GECC 2026'!F$2:F$200,$A23))</f>
        <v>5.52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33.520000000000003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8</v>
      </c>
      <c r="C24" s="101">
        <f>IF($A24="","",SUMIFS('GECC 2026'!I$2:I$200,'GECC 2026'!F$2:F$200,$A24))</f>
        <v>0.24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8.24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8</v>
      </c>
      <c r="C27" s="101">
        <f>IF($A27="","",SUMIFS('GECC 2026'!I$2:I$200,'GECC 2026'!F$2:F$200,$A27))</f>
        <v>0.24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8.24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2.4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18.399999999999999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0.6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4.5999999999999996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12</v>
      </c>
      <c r="C30" s="101">
        <f>IF($A30="","",SUMIFS('GECC 2026'!I$2:I$200,'GECC 2026'!F$2:F$200,$A30))</f>
        <v>0.84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12.84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16</v>
      </c>
      <c r="C31" s="101">
        <f>IF($A31="","",SUMIFS('GECC 2026'!I$2:I$200,'GECC 2026'!F$2:F$200,$A31))</f>
        <v>2.4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18.399999999999999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115</v>
      </c>
      <c r="C33" s="101">
        <f>IF($A33="","",SUMIFS('GECC 2026'!I$2:I$200,'GECC 2026'!F$2:F$200,$A33))</f>
        <v>17.25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132.25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5.28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29.279999999999998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4">
        <f>IF($A35="","",SUMIFS('GECC 2026'!$AE$3:$AE$32,'GECC 2026'!$AD$3:$AD$32,$A35))</f>
        <v>16</v>
      </c>
      <c r="E35" s="203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8</v>
      </c>
      <c r="C36" s="101">
        <f>IF($A36="","",SUMIFS('GECC 2026'!I$2:I$200,'GECC 2026'!F$2:F$200,$A36))</f>
        <v>0.24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8.24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0.6</v>
      </c>
      <c r="D37" s="214">
        <f>IF($A37="","",SUMIFS('GECC 2026'!$AE$3:$AE$32,'GECC 2026'!$AD$3:$AD$32,$A37))</f>
        <v>0</v>
      </c>
      <c r="E37" s="203">
        <f>IF($A37="","",SUMIFS('GECC 2026'!J$2:J$200,'GECC 2026'!F$2:F$200,$A37)+SUMIFS('GECC 2026'!$AE$3:$AE$32,'GECC 2026'!$AD$3:$AD$32,$A37))</f>
        <v>4.5999999999999996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4">
        <f>IF($A38="","",SUMIFS('GECC 2026'!$AE$3:$AE$32,'GECC 2026'!$AD$3:$AD$32,$A38))</f>
        <v>16</v>
      </c>
      <c r="E38" s="203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4">
        <f>IF($A39="","",SUMIFS('GECC 2026'!$AE$3:$AE$32,'GECC 2026'!$AD$3:$AD$32,$A39))</f>
        <v>16</v>
      </c>
      <c r="E39" s="203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4">
        <f>IF($A40="","",SUMIFS('GECC 2026'!$AE$3:$AE$32,'GECC 2026'!$AD$3:$AD$32,$A40))</f>
        <v>0</v>
      </c>
      <c r="E40" s="203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6</v>
      </c>
      <c r="D41" s="214">
        <f>IF($A41="","",SUMIFS('GECC 2026'!$AE$3:$AE$32,'GECC 2026'!$AD$3:$AD$32,$A41))</f>
        <v>0</v>
      </c>
      <c r="E41" s="203">
        <f>IF($A41="","",SUMIFS('GECC 2026'!J$2:J$200,'GECC 2026'!F$2:F$200,$A41)+SUMIFS('GECC 2026'!$AE$3:$AE$32,'GECC 2026'!$AD$3:$AD$32,$A41))</f>
        <v>42.000000000000007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4">
        <f>IF($A45="","",SUMIFS('GECC 2026'!$AE$3:$AE$32,'GECC 2026'!$AD$3:$AD$32,$A45))</f>
        <v>16</v>
      </c>
      <c r="E45" s="203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28</v>
      </c>
      <c r="C47" s="101">
        <f>IF($A47="","",SUMIFS('GECC 2026'!I$2:I$200,'GECC 2026'!F$2:F$200,$A47))</f>
        <v>3.84</v>
      </c>
      <c r="D47" s="214">
        <f>IF($A47="","",SUMIFS('GECC 2026'!$AE$3:$AE$32,'GECC 2026'!$AD$3:$AD$32,$A47))</f>
        <v>0</v>
      </c>
      <c r="E47" s="203">
        <f>IF($A47="","",SUMIFS('GECC 2026'!J$2:J$200,'GECC 2026'!F$2:F$200,$A47)+SUMIFS('GECC 2026'!$AE$3:$AE$32,'GECC 2026'!$AD$3:$AD$32,$A47))</f>
        <v>31.84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111</v>
      </c>
      <c r="C48" s="101">
        <f>IF($A48="","",SUMIFS('GECC 2026'!I$2:I$200,'GECC 2026'!F$2:F$200,$A48))</f>
        <v>19.650000000000002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130.64999999999998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0.6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4.5999999999999996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0.6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4.5999999999999996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4" t="str">
        <f>IF($A52="","",SUMIFS('GECC 2026'!$AE$3:$AE$32,'GECC 2026'!$AD$3:$AD$32,$A52))</f>
        <v/>
      </c>
      <c r="E52" s="203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4" t="str">
        <f>IF($A53="","",SUMIFS('GECC 2026'!$AE$3:$AE$32,'GECC 2026'!$AD$3:$AD$32,$A53))</f>
        <v/>
      </c>
      <c r="E53" s="203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4" t="str">
        <f>IF($A54="","",SUMIFS('GECC 2026'!$AE$3:$AE$32,'GECC 2026'!$AD$3:$AD$32,$A54))</f>
        <v/>
      </c>
      <c r="E54" s="203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2306</v>
      </c>
      <c r="B105" s="205">
        <f>SUM(B5:B100)</f>
        <v>1076.9000000000001</v>
      </c>
      <c r="C105" s="205">
        <f>SUM(C5:C100)</f>
        <v>188.54999999999998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2026-07-24T17:23:09Z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