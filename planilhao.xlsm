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35" documentId="13_ncr:1_{6A2CC3E2-FAFB-4D8F-B284-5E8FB5045DFE}" xr6:coauthVersionLast="47" xr6:coauthVersionMax="47" xr10:uidLastSave="{621DDFBC-2C02-409D-8207-2E9AA76AA0F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<sst xmlns="http://schemas.openxmlformats.org/spreadsheetml/2006/main" count="7319" uniqueCount="3221">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</sst>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21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1" activePane="bottomLeft" state="frozen"/>
      <selection pane="bottomLeft" activeCell="E737" sqref="E73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 t="s">
        <v>2988</v>
      </c>
      <c r="E732" s="184" t="s">
        <v>2989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2990</v>
      </c>
      <c r="B733" s="183">
        <v>2026</v>
      </c>
      <c r="C733" s="183" t="s">
        <v>2697</v>
      </c>
      <c r="D733" s="183"/>
      <c r="E733" s="203" t="s">
        <v>2991</v>
      </c>
      <c r="F733" s="185"/>
      <c r="G733" s="186" t="s">
        <v>2719</v>
      </c>
      <c r="H733" s="191" t="s">
        <v>2992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2993</v>
      </c>
      <c r="B734" s="183">
        <v>2026</v>
      </c>
      <c r="C734" s="183" t="s">
        <v>2697</v>
      </c>
      <c r="D734" s="183" t="s">
        <v>2994</v>
      </c>
      <c r="E734" s="184" t="s">
        <v>2995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2996</v>
      </c>
      <c r="E735" s="184" t="s">
        <v>2997</v>
      </c>
      <c r="F735" s="185"/>
      <c r="G735" s="186" t="s">
        <v>206</v>
      </c>
      <c r="H735" s="191" t="s">
        <v>2996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2999</v>
      </c>
      <c r="E736" s="184" t="s">
        <v>3000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3001</v>
      </c>
      <c r="B737" s="183">
        <v>2026</v>
      </c>
      <c r="C737" s="183" t="s">
        <v>2697</v>
      </c>
      <c r="D737" s="183" t="s">
        <v>3002</v>
      </c>
      <c r="E737" s="180" t="s">
        <v>3003</v>
      </c>
      <c r="F737" s="185"/>
      <c r="G737" s="186" t="s">
        <v>79</v>
      </c>
      <c r="H737" s="191" t="s">
        <v>3004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3005</v>
      </c>
      <c r="B738" s="183">
        <v>2026</v>
      </c>
      <c r="C738" s="183" t="s">
        <v>2697</v>
      </c>
      <c r="D738" s="183" t="s">
        <v>3006</v>
      </c>
      <c r="E738" s="180" t="s">
        <v>3007</v>
      </c>
      <c r="F738" s="185" t="s">
        <v>69</v>
      </c>
      <c r="G738" s="186" t="s">
        <v>2694</v>
      </c>
      <c r="H738" s="191" t="s">
        <v>3008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3009</v>
      </c>
    </row>
    <row r="739" spans="1:20" ht="15">
      <c r="A739" s="191" t="s">
        <v>3010</v>
      </c>
      <c r="B739" s="183">
        <v>2026</v>
      </c>
      <c r="C739" s="183" t="s">
        <v>22</v>
      </c>
      <c r="D739" s="183" t="s">
        <v>3011</v>
      </c>
      <c r="E739" s="180" t="s">
        <v>3012</v>
      </c>
      <c r="F739" s="185" t="s">
        <v>24</v>
      </c>
      <c r="G739" s="186" t="s">
        <v>2700</v>
      </c>
      <c r="H739" s="191" t="s">
        <v>3013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3014</v>
      </c>
      <c r="B740" s="183">
        <v>2026</v>
      </c>
      <c r="C740" s="183" t="s">
        <v>2697</v>
      </c>
      <c r="D740" s="183" t="s">
        <v>3015</v>
      </c>
      <c r="E740" s="180" t="s">
        <v>3016</v>
      </c>
      <c r="F740" s="185" t="s">
        <v>24</v>
      </c>
      <c r="G740" s="186" t="s">
        <v>2700</v>
      </c>
      <c r="H740" s="191" t="s">
        <v>3017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3018</v>
      </c>
      <c r="B741" s="183">
        <v>2026</v>
      </c>
      <c r="C741" s="183" t="s">
        <v>2697</v>
      </c>
      <c r="D741" s="183" t="s">
        <v>3019</v>
      </c>
      <c r="E741" s="180" t="s">
        <v>3020</v>
      </c>
      <c r="F741" s="185" t="s">
        <v>24</v>
      </c>
      <c r="G741" s="186" t="s">
        <v>2700</v>
      </c>
      <c r="H741" s="191" t="s">
        <v>3021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3022</v>
      </c>
      <c r="B742" s="183">
        <v>2026</v>
      </c>
      <c r="C742" s="183" t="s">
        <v>2697</v>
      </c>
      <c r="D742" s="183" t="s">
        <v>3019</v>
      </c>
      <c r="E742" s="184" t="s">
        <v>3023</v>
      </c>
      <c r="F742" s="185" t="s">
        <v>24</v>
      </c>
      <c r="G742" s="186" t="s">
        <v>2700</v>
      </c>
      <c r="H742" s="191" t="s">
        <v>3024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3025</v>
      </c>
      <c r="H1" s="213" t="s">
        <v>3026</v>
      </c>
    </row>
    <row r="2" spans="1:8">
      <c r="H2" s="212" t="s">
        <v>3027</v>
      </c>
    </row>
    <row r="3" spans="1:8">
      <c r="A3" t="s">
        <v>0</v>
      </c>
      <c r="B3" t="s">
        <v>19</v>
      </c>
      <c r="C3" t="s">
        <v>3028</v>
      </c>
      <c r="D3" t="s">
        <v>3029</v>
      </c>
      <c r="E3" t="s">
        <v>3030</v>
      </c>
      <c r="H3" s="212" t="s">
        <v>3031</v>
      </c>
    </row>
    <row r="4" spans="1:8">
      <c r="A4">
        <v>1</v>
      </c>
      <c r="B4" t="s">
        <v>3032</v>
      </c>
      <c r="D4" t="s">
        <v>3033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3034</v>
      </c>
    </row>
    <row r="5" spans="1:8">
      <c r="A5">
        <v>2</v>
      </c>
      <c r="B5" t="s">
        <v>2507</v>
      </c>
      <c r="D5" t="s">
        <v>3033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3035</v>
      </c>
    </row>
    <row r="6" spans="1:8">
      <c r="A6">
        <v>3</v>
      </c>
      <c r="B6" t="s">
        <v>1030</v>
      </c>
      <c r="D6" t="s">
        <v>3033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3036</v>
      </c>
      <c r="D7" t="s">
        <v>3033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3037</v>
      </c>
    </row>
    <row r="8" spans="1:8">
      <c r="A8">
        <v>5</v>
      </c>
      <c r="B8" t="s">
        <v>3038</v>
      </c>
      <c r="D8" t="s">
        <v>3033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3039</v>
      </c>
      <c r="D23" t="s">
        <v>3033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3040</v>
      </c>
      <c r="D25" t="s">
        <v>3033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3041</v>
      </c>
      <c r="D26" t="s">
        <v>3033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3042</v>
      </c>
      <c r="D29" t="s">
        <v>3033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3043</v>
      </c>
      <c r="D33" t="s">
        <v>3033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3044</v>
      </c>
      <c r="D34" t="s">
        <v>3033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3045</v>
      </c>
      <c r="D38" t="s">
        <v>3033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3046</v>
      </c>
      <c r="D39" t="s">
        <v>3033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3047</v>
      </c>
      <c r="D41" t="s">
        <v>3033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3048</v>
      </c>
      <c r="D44" t="s">
        <v>3033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3049</v>
      </c>
      <c r="D49" t="s">
        <v>3033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3050</v>
      </c>
      <c r="D51" t="s">
        <v>3033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3051</v>
      </c>
      <c r="D54" t="s">
        <v>3033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3052</v>
      </c>
      <c r="D58" t="s">
        <v>3033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3053</v>
      </c>
      <c r="D61" t="s">
        <v>3033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3054</v>
      </c>
      <c r="D62" t="s">
        <v>3033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3055</v>
      </c>
      <c r="D63" t="s">
        <v>3033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3056</v>
      </c>
      <c r="D64" t="s">
        <v>3033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3057</v>
      </c>
      <c r="D67" t="s">
        <v>3033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3058</v>
      </c>
      <c r="D68" t="s">
        <v>3033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3059</v>
      </c>
      <c r="D70" t="s">
        <v>3033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3060</v>
      </c>
      <c r="D74" t="s">
        <v>3033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3061</v>
      </c>
      <c r="D79" t="s">
        <v>3033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3062</v>
      </c>
      <c r="D80" t="s">
        <v>3033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3063</v>
      </c>
      <c r="D81" t="s">
        <v>3033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3064</v>
      </c>
      <c r="D82" t="s">
        <v>3033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3065</v>
      </c>
      <c r="D84" t="s">
        <v>3033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3066</v>
      </c>
      <c r="D86" t="s">
        <v>3033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3067</v>
      </c>
      <c r="D87" t="s">
        <v>3033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3068</v>
      </c>
      <c r="D88" t="s">
        <v>3033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3069</v>
      </c>
      <c r="D89" t="s">
        <v>3033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3070</v>
      </c>
      <c r="D90" t="s">
        <v>3033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3071</v>
      </c>
      <c r="D91" t="s">
        <v>3033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3072</v>
      </c>
      <c r="D92" t="s">
        <v>3033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3073</v>
      </c>
      <c r="D93" t="s">
        <v>3033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3074</v>
      </c>
      <c r="D94" t="s">
        <v>3033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3075</v>
      </c>
      <c r="D96" t="s">
        <v>3033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3076</v>
      </c>
      <c r="D98" t="s">
        <v>3033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3077</v>
      </c>
      <c r="D99" t="s">
        <v>3033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3078</v>
      </c>
      <c r="D100" t="s">
        <v>3033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3079</v>
      </c>
      <c r="D101" t="s">
        <v>3033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3080</v>
      </c>
      <c r="D103" t="s">
        <v>3033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3081</v>
      </c>
      <c r="D104" t="s">
        <v>3033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3082</v>
      </c>
      <c r="D105" t="s">
        <v>3033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3083</v>
      </c>
      <c r="D108" t="s">
        <v>3033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3084</v>
      </c>
      <c r="C1" s="19" t="s">
        <v>3085</v>
      </c>
      <c r="D1" s="19" t="s">
        <v>4</v>
      </c>
      <c r="E1" s="19" t="s">
        <v>3086</v>
      </c>
      <c r="F1" s="19" t="s">
        <v>19</v>
      </c>
      <c r="G1" s="19" t="s">
        <v>3087</v>
      </c>
      <c r="H1" s="19" t="s">
        <v>3088</v>
      </c>
      <c r="I1" s="19" t="s">
        <v>3089</v>
      </c>
      <c r="J1" s="19" t="s">
        <v>3090</v>
      </c>
      <c r="L1" s="112" t="s">
        <v>3091</v>
      </c>
      <c r="M1" s="23">
        <v>2026</v>
      </c>
      <c r="U1" s="80" t="s">
        <v>3092</v>
      </c>
      <c r="V1" s="79"/>
      <c r="X1" s="78" t="s">
        <v>3093</v>
      </c>
      <c r="Y1" s="27"/>
      <c r="Z1" s="27"/>
      <c r="AA1" s="27"/>
      <c r="AC1" s="100" t="s">
        <v>3094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3095</v>
      </c>
      <c r="M2" s="107" t="s">
        <v>2929</v>
      </c>
      <c r="X2" s="114" t="s">
        <v>3084</v>
      </c>
      <c r="Y2" s="114" t="s">
        <v>19</v>
      </c>
      <c r="Z2" s="114" t="s">
        <v>3096</v>
      </c>
      <c r="AA2" s="114" t="s">
        <v>3097</v>
      </c>
      <c r="AC2" s="115" t="s">
        <v>1</v>
      </c>
      <c r="AD2" s="115" t="s">
        <v>3098</v>
      </c>
      <c r="AE2" s="115" t="s">
        <v>3099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3100</v>
      </c>
      <c r="M3" s="113" t="s">
        <v>3101</v>
      </c>
      <c r="N3" s="113" t="s">
        <v>3102</v>
      </c>
      <c r="O3" s="113" t="s">
        <v>3103</v>
      </c>
      <c r="P3" s="113" t="s">
        <v>3104</v>
      </c>
      <c r="Q3" s="113" t="s">
        <v>3105</v>
      </c>
      <c r="R3" s="113" t="s">
        <v>3106</v>
      </c>
      <c r="S3" s="113" t="s">
        <v>3107</v>
      </c>
      <c r="T3" s="113" t="s">
        <v>3108</v>
      </c>
      <c r="X3" t="s">
        <v>2838</v>
      </c>
      <c r="Y3" t="s">
        <v>3046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3046</v>
      </c>
      <c r="Z6">
        <v>1</v>
      </c>
      <c r="AA6">
        <v>0</v>
      </c>
      <c r="AC6" s="97">
        <v>2026</v>
      </c>
      <c r="AD6" s="18" t="s">
        <v>3110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3040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3040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3040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3081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3059</v>
      </c>
      <c r="Z33">
        <v>4</v>
      </c>
      <c r="AA33">
        <v>0.6</v>
      </c>
      <c r="AC33" s="99"/>
      <c r="AD33" s="116" t="s">
        <v>3111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3060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3051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3112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3082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3080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3073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3072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3062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3051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3070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3052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3052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3052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3113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3114</v>
      </c>
      <c r="B4" s="232"/>
      <c r="D4" s="233" t="s">
        <v>3115</v>
      </c>
      <c r="E4" s="234"/>
      <c r="G4" s="45" t="s">
        <v>3116</v>
      </c>
    </row>
    <row r="5" spans="1:7" ht="54.95" customHeight="1" thickBot="1">
      <c r="A5" s="35">
        <f>COUNTIF('Ações InCompany'!B:B,2026)</f>
        <v>86</v>
      </c>
      <c r="B5" s="36" t="s">
        <v>3117</v>
      </c>
      <c r="D5" s="43">
        <f>COUNTIFS('Ações InCompany'!B:B,2026,'Ações InCompany'!C:C,"Realizado")</f>
        <v>56</v>
      </c>
      <c r="E5" s="44" t="s">
        <v>3117</v>
      </c>
      <c r="G5" s="46">
        <f>COUNTIFS('Ações InCompany'!B:B,2026,'Ações InCompany'!C:C,"A realizar")</f>
        <v>24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3118</v>
      </c>
      <c r="B8" s="229"/>
      <c r="D8" s="229" t="s">
        <v>3119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3120</v>
      </c>
      <c r="D10" s="28" t="s">
        <v>3121</v>
      </c>
      <c r="E10" s="28" t="s">
        <v>3122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21</v>
      </c>
      <c r="D11" s="29" t="s">
        <v>3123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3124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3125</v>
      </c>
      <c r="E13" s="30">
        <f>SUMIFS('Ações InCompany'!Q:Q,'Ações InCompany'!B:B,2026,'Ações InCompany'!C:C,"Realizado")</f>
        <v>590</v>
      </c>
    </row>
    <row r="14" spans="1:7" ht="27.95" customHeight="1">
      <c r="A14" s="33" t="s">
        <v>3126</v>
      </c>
      <c r="B14" s="34">
        <f>SUM(B11:B13)</f>
        <v>53</v>
      </c>
      <c r="D14" s="33" t="s">
        <v>3127</v>
      </c>
      <c r="E14" s="34">
        <f>SUM(E11:E13)</f>
        <v>2894</v>
      </c>
    </row>
    <row r="30" spans="1:5" ht="17.25">
      <c r="A30" s="229" t="s">
        <v>3128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3129</v>
      </c>
      <c r="C32" s="28" t="s">
        <v>3130</v>
      </c>
      <c r="D32" s="28" t="s">
        <v>3131</v>
      </c>
      <c r="E32" s="28" t="s">
        <v>3132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0.05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0.125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>
      <c r="A42" s="75" t="s">
        <v>3133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3134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3126</v>
      </c>
      <c r="B45" s="41">
        <f>SUM(B33:B44)</f>
        <v>56</v>
      </c>
      <c r="C45" s="41">
        <f>SUM(C33:C44)</f>
        <v>24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3135</v>
      </c>
      <c r="B1" s="12" t="s">
        <v>3136</v>
      </c>
      <c r="C1" s="13" t="s">
        <v>3137</v>
      </c>
      <c r="D1" s="13" t="s">
        <v>3138</v>
      </c>
      <c r="E1" s="13" t="s">
        <v>3139</v>
      </c>
    </row>
    <row r="2" spans="1:5" ht="18" customHeight="1">
      <c r="A2" s="12" t="s">
        <v>3140</v>
      </c>
      <c r="B2" s="12" t="s">
        <v>3141</v>
      </c>
      <c r="C2" s="12" t="s">
        <v>1736</v>
      </c>
      <c r="D2" s="12" t="s">
        <v>3142</v>
      </c>
      <c r="E2" s="12" t="s">
        <v>3143</v>
      </c>
    </row>
    <row r="3" spans="1:5" ht="18" customHeight="1">
      <c r="A3" s="12" t="s">
        <v>3140</v>
      </c>
      <c r="B3" s="12" t="s">
        <v>3141</v>
      </c>
      <c r="C3" s="14" t="s">
        <v>25</v>
      </c>
      <c r="D3" s="12" t="s">
        <v>3144</v>
      </c>
      <c r="E3" s="12" t="s">
        <v>3145</v>
      </c>
    </row>
    <row r="4" spans="1:5" ht="18" customHeight="1">
      <c r="A4" s="12" t="s">
        <v>3140</v>
      </c>
      <c r="B4" s="12" t="s">
        <v>3141</v>
      </c>
      <c r="C4" s="12" t="s">
        <v>75</v>
      </c>
      <c r="D4" s="12" t="s">
        <v>3142</v>
      </c>
      <c r="E4" s="12" t="s">
        <v>3146</v>
      </c>
    </row>
    <row r="5" spans="1:5" ht="18" customHeight="1">
      <c r="A5" s="12" t="s">
        <v>3140</v>
      </c>
      <c r="B5" s="12" t="s">
        <v>3141</v>
      </c>
      <c r="C5" s="12" t="s">
        <v>79</v>
      </c>
      <c r="D5" s="12" t="s">
        <v>3147</v>
      </c>
      <c r="E5" s="12" t="s">
        <v>3148</v>
      </c>
    </row>
    <row r="6" spans="1:5" ht="18" customHeight="1">
      <c r="A6" s="12" t="s">
        <v>3140</v>
      </c>
      <c r="B6" s="12" t="s">
        <v>3141</v>
      </c>
      <c r="C6" s="12" t="s">
        <v>2719</v>
      </c>
      <c r="D6" s="12" t="s">
        <v>3149</v>
      </c>
      <c r="E6" s="12" t="s">
        <v>3150</v>
      </c>
    </row>
    <row r="7" spans="1:5" ht="18" customHeight="1">
      <c r="A7" s="12" t="s">
        <v>3140</v>
      </c>
      <c r="B7" s="12" t="s">
        <v>3151</v>
      </c>
      <c r="C7" s="12" t="s">
        <v>36</v>
      </c>
      <c r="D7" s="12" t="s">
        <v>3152</v>
      </c>
      <c r="E7" s="12" t="s">
        <v>3153</v>
      </c>
    </row>
    <row r="8" spans="1:5" ht="18" customHeight="1">
      <c r="A8" s="12" t="s">
        <v>3140</v>
      </c>
      <c r="B8" s="12" t="s">
        <v>3151</v>
      </c>
      <c r="C8" s="12" t="s">
        <v>42</v>
      </c>
      <c r="D8" s="12" t="s">
        <v>3154</v>
      </c>
      <c r="E8" s="12" t="s">
        <v>3155</v>
      </c>
    </row>
    <row r="9" spans="1:5" ht="18" customHeight="1">
      <c r="A9" s="12" t="s">
        <v>3140</v>
      </c>
      <c r="B9" s="12" t="s">
        <v>3156</v>
      </c>
      <c r="C9" s="12" t="s">
        <v>464</v>
      </c>
      <c r="D9" s="12" t="s">
        <v>3157</v>
      </c>
      <c r="E9" s="12" t="s">
        <v>3158</v>
      </c>
    </row>
    <row r="10" spans="1:5" ht="18" customHeight="1">
      <c r="A10" s="12" t="s">
        <v>3140</v>
      </c>
      <c r="B10" s="12" t="s">
        <v>3156</v>
      </c>
      <c r="C10" s="12" t="s">
        <v>206</v>
      </c>
      <c r="D10" s="12" t="s">
        <v>24</v>
      </c>
      <c r="E10" s="12" t="s">
        <v>3159</v>
      </c>
    </row>
    <row r="11" spans="1:5" ht="18" customHeight="1">
      <c r="A11" s="12" t="s">
        <v>3140</v>
      </c>
      <c r="B11" s="12" t="s">
        <v>3156</v>
      </c>
      <c r="C11" s="12" t="s">
        <v>371</v>
      </c>
      <c r="D11" s="12" t="s">
        <v>24</v>
      </c>
      <c r="E11" s="12" t="s">
        <v>3160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3161</v>
      </c>
      <c r="B1" s="5" t="s">
        <v>10</v>
      </c>
      <c r="C1" s="15" t="s">
        <v>3162</v>
      </c>
      <c r="D1" s="15" t="s">
        <v>3085</v>
      </c>
    </row>
    <row r="2" spans="1:4" ht="21" customHeight="1">
      <c r="A2" s="103" t="s">
        <v>24</v>
      </c>
      <c r="B2" s="103" t="s">
        <v>38</v>
      </c>
      <c r="C2" s="12" t="s">
        <v>3163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3164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3135</v>
      </c>
      <c r="B1" s="12" t="s">
        <v>3136</v>
      </c>
      <c r="C1" s="13" t="s">
        <v>3137</v>
      </c>
      <c r="D1" s="13" t="s">
        <v>3138</v>
      </c>
      <c r="E1" s="13" t="s">
        <v>3139</v>
      </c>
    </row>
    <row r="2" spans="1:5" ht="18" customHeight="1">
      <c r="A2" s="12" t="s">
        <v>3166</v>
      </c>
      <c r="B2" s="12" t="s">
        <v>3141</v>
      </c>
      <c r="C2" s="14" t="s">
        <v>25</v>
      </c>
      <c r="D2" s="12" t="s">
        <v>3142</v>
      </c>
      <c r="E2" s="17" t="s">
        <v>3167</v>
      </c>
    </row>
    <row r="3" spans="1:5" ht="18" customHeight="1">
      <c r="A3" s="12" t="s">
        <v>3166</v>
      </c>
      <c r="B3" s="12" t="s">
        <v>3141</v>
      </c>
      <c r="C3" s="12" t="s">
        <v>75</v>
      </c>
      <c r="D3" s="12" t="s">
        <v>3144</v>
      </c>
      <c r="E3" s="12" t="s">
        <v>3168</v>
      </c>
    </row>
    <row r="4" spans="1:5" ht="18" customHeight="1">
      <c r="A4" s="12" t="s">
        <v>3166</v>
      </c>
      <c r="B4" s="12" t="s">
        <v>3141</v>
      </c>
      <c r="C4" s="12" t="s">
        <v>79</v>
      </c>
      <c r="D4" s="12" t="s">
        <v>3147</v>
      </c>
      <c r="E4" s="12" t="s">
        <v>3169</v>
      </c>
    </row>
    <row r="5" spans="1:5" ht="27.75" customHeight="1">
      <c r="A5" s="12" t="s">
        <v>3166</v>
      </c>
      <c r="B5" s="12" t="s">
        <v>3141</v>
      </c>
      <c r="C5" s="12" t="s">
        <v>2694</v>
      </c>
      <c r="D5" s="17" t="s">
        <v>3170</v>
      </c>
      <c r="E5" s="12" t="s">
        <v>3171</v>
      </c>
    </row>
    <row r="6" spans="1:5" ht="18" customHeight="1">
      <c r="A6" s="12" t="s">
        <v>3166</v>
      </c>
      <c r="B6" s="12" t="s">
        <v>3141</v>
      </c>
      <c r="C6" s="12" t="s">
        <v>2719</v>
      </c>
      <c r="D6" s="12" t="s">
        <v>3149</v>
      </c>
      <c r="E6" s="12" t="s">
        <v>3150</v>
      </c>
    </row>
    <row r="7" spans="1:5" ht="18" customHeight="1">
      <c r="A7" s="12" t="s">
        <v>3166</v>
      </c>
      <c r="B7" s="12" t="s">
        <v>3151</v>
      </c>
      <c r="C7" s="12" t="s">
        <v>2700</v>
      </c>
      <c r="D7" s="12" t="s">
        <v>3172</v>
      </c>
      <c r="E7" s="12" t="s">
        <v>3173</v>
      </c>
    </row>
    <row r="8" spans="1:5" ht="18" customHeight="1">
      <c r="A8" s="12" t="s">
        <v>3166</v>
      </c>
      <c r="B8" s="12" t="s">
        <v>3151</v>
      </c>
      <c r="C8" s="12" t="s">
        <v>42</v>
      </c>
      <c r="D8" s="12" t="s">
        <v>3154</v>
      </c>
      <c r="E8" s="12" t="s">
        <v>3155</v>
      </c>
    </row>
    <row r="9" spans="1:5" ht="18" customHeight="1">
      <c r="A9" s="12" t="s">
        <v>3166</v>
      </c>
      <c r="B9" s="12" t="s">
        <v>3151</v>
      </c>
      <c r="C9" s="12" t="s">
        <v>2795</v>
      </c>
      <c r="D9" s="12" t="s">
        <v>3174</v>
      </c>
      <c r="E9" s="17" t="s">
        <v>3175</v>
      </c>
    </row>
    <row r="10" spans="1:5" ht="18" customHeight="1">
      <c r="A10" s="12" t="s">
        <v>3166</v>
      </c>
      <c r="B10" s="12" t="s">
        <v>3176</v>
      </c>
      <c r="C10" s="12" t="s">
        <v>3133</v>
      </c>
      <c r="D10" s="12" t="s">
        <v>3177</v>
      </c>
      <c r="E10" s="17" t="s">
        <v>3178</v>
      </c>
    </row>
    <row r="11" spans="1:5" ht="18" customHeight="1">
      <c r="A11" s="12" t="s">
        <v>3166</v>
      </c>
      <c r="B11" s="12" t="s">
        <v>3176</v>
      </c>
      <c r="C11" s="12" t="s">
        <v>206</v>
      </c>
      <c r="D11" s="12" t="s">
        <v>24</v>
      </c>
      <c r="E11" s="12" t="s">
        <v>3159</v>
      </c>
    </row>
    <row r="12" spans="1:5" ht="18" customHeight="1">
      <c r="A12" s="12" t="s">
        <v>3166</v>
      </c>
      <c r="B12" s="12" t="s">
        <v>3176</v>
      </c>
      <c r="C12" s="12" t="s">
        <v>371</v>
      </c>
      <c r="D12" s="12" t="s">
        <v>24</v>
      </c>
      <c r="E12" s="12" t="s">
        <v>3160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3179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3180</v>
      </c>
    </row>
    <row r="4" spans="1:8" ht="21.95" customHeight="1">
      <c r="A4" s="236" t="s">
        <v>3181</v>
      </c>
      <c r="B4" s="237"/>
      <c r="D4" s="236" t="s">
        <v>3182</v>
      </c>
      <c r="E4" s="237"/>
      <c r="G4" s="236" t="s">
        <v>3183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3184</v>
      </c>
      <c r="B7" s="62" t="s">
        <v>3185</v>
      </c>
      <c r="C7" s="62" t="s">
        <v>1</v>
      </c>
      <c r="D7" s="62" t="s">
        <v>3186</v>
      </c>
      <c r="E7" s="62" t="s">
        <v>3187</v>
      </c>
      <c r="F7" s="62" t="s">
        <v>3085</v>
      </c>
      <c r="G7" s="62" t="s">
        <v>5</v>
      </c>
      <c r="H7" s="62" t="s">
        <v>3188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3189</v>
      </c>
      <c r="B1" s="242"/>
      <c r="C1" s="242"/>
      <c r="D1" s="242"/>
      <c r="E1" s="242"/>
      <c r="F1" s="242"/>
    </row>
    <row r="2" spans="1:7">
      <c r="A2" s="243" t="s">
        <v>3190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3088</v>
      </c>
      <c r="C4" s="25" t="s">
        <v>3089</v>
      </c>
      <c r="D4" s="25" t="s">
        <v>3191</v>
      </c>
      <c r="E4" s="25" t="s">
        <v>3090</v>
      </c>
      <c r="F4" s="25" t="s">
        <v>3192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3127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3193</v>
      </c>
      <c r="B1" s="123" t="s">
        <v>3194</v>
      </c>
      <c r="C1" s="123" t="s">
        <v>3195</v>
      </c>
      <c r="D1" s="123" t="s">
        <v>3196</v>
      </c>
      <c r="E1" s="123" t="s">
        <v>3197</v>
      </c>
      <c r="F1" s="123" t="s">
        <v>3198</v>
      </c>
      <c r="G1" s="123" t="s">
        <v>10</v>
      </c>
      <c r="H1" s="123" t="s">
        <v>3199</v>
      </c>
      <c r="I1" s="123" t="s">
        <v>3200</v>
      </c>
      <c r="J1" s="123" t="s">
        <v>3201</v>
      </c>
      <c r="K1" s="123" t="s">
        <v>3202</v>
      </c>
      <c r="L1" s="123" t="s">
        <v>3203</v>
      </c>
      <c r="N1" s="124" t="s">
        <v>3204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3205</v>
      </c>
      <c r="L2" t="str">
        <f>IF(K2="","",IFERROR(INDEX(Tabela2[Curso],MATCH(K2,Tabela2[ID],0)),""))</f>
        <v/>
      </c>
      <c r="N2" s="123" t="s">
        <v>3084</v>
      </c>
      <c r="O2" s="123" t="s">
        <v>4</v>
      </c>
      <c r="P2" s="123" t="s">
        <v>3206</v>
      </c>
      <c r="Q2" s="123" t="s">
        <v>3207</v>
      </c>
      <c r="R2" s="123" t="s">
        <v>3208</v>
      </c>
      <c r="S2" s="123" t="s">
        <v>3209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3205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3205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3205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3205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3205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3205</v>
      </c>
      <c r="L10" t="str">
        <f>IF(K10="","",IFERROR(INDEX(Tabela2[Curso],MATCH(K10,Tabela2[ID],0)),""))</f>
        <v/>
      </c>
      <c r="N10" s="122" t="s">
        <v>3210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3205</v>
      </c>
      <c r="L11" t="str">
        <f>IF(K11="","",IFERROR(INDEX(Tabela2[Curso],MATCH(K11,Tabela2[ID],0)),""))</f>
        <v/>
      </c>
      <c r="N11" s="125" t="s">
        <v>3211</v>
      </c>
      <c r="O11" s="125" t="s">
        <v>3212</v>
      </c>
      <c r="P11" s="125" t="s">
        <v>3213</v>
      </c>
      <c r="Q11" s="125" t="s">
        <v>3196</v>
      </c>
      <c r="R11" s="125" t="s">
        <v>3197</v>
      </c>
      <c r="S11" s="125" t="s">
        <v>3214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3205</v>
      </c>
      <c r="L12" t="str">
        <f>IF(K12="","",IFERROR(INDEX(Tabela2[Curso],MATCH(K12,Tabela2[ID],0)),""))</f>
        <v/>
      </c>
      <c r="N12" t="s">
        <v>3215</v>
      </c>
      <c r="O12" t="s">
        <v>2755</v>
      </c>
      <c r="P12" t="s">
        <v>3216</v>
      </c>
      <c r="Q12">
        <v>0</v>
      </c>
      <c r="R12">
        <v>0</v>
      </c>
      <c r="S12" t="s">
        <v>3217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3205</v>
      </c>
      <c r="L13" t="str">
        <f>IF(K13="","",IFERROR(INDEX(Tabela2[Curso],MATCH(K13,Tabela2[ID],0)),""))</f>
        <v/>
      </c>
      <c r="N13" t="s">
        <v>3218</v>
      </c>
      <c r="O13" t="s">
        <v>2686</v>
      </c>
      <c r="P13" t="s">
        <v>3219</v>
      </c>
      <c r="Q13">
        <v>0</v>
      </c>
      <c r="R13">
        <v>0</v>
      </c>
      <c r="S13" t="s">
        <v>3220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2026-09-03T20:02:07Z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