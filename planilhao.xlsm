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08" documentId="8_{454372C2-A99E-4E47-A759-72B38925853E}" xr6:coauthVersionLast="47" xr6:coauthVersionMax="47" xr10:uidLastSave="{CD636804-5DA5-4FFD-9CDD-55BBDB29950C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1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01" i="3"/>
  <c r="R710" i="3"/>
  <c r="R708" i="3"/>
  <c r="R706" i="3"/>
  <c r="R705" i="3"/>
  <c r="R704" i="3"/>
  <c r="R709" i="3"/>
  <c r="R717" i="3"/>
  <c r="R716" i="3"/>
  <c r="R703" i="3"/>
  <c r="R676" i="3"/>
  <c r="R715" i="3"/>
  <c r="R714" i="3"/>
  <c r="R712" i="3"/>
  <c r="R711" i="3"/>
  <c r="R693" i="3"/>
  <c r="R720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<sst xmlns="http://schemas.openxmlformats.org/spreadsheetml/2006/main" count="6254" uniqueCount="2412">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</sst>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2" xfId="0" applyNumberFormat="1" applyFont="1" applyFill="1" applyBorder="1" applyAlignment="1">
      <alignment horizontal="center" vertical="center"/>
    </xf>
    <xf numFmtId="0" fontId="55" fillId="4" borderId="2" xfId="0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G1" zoomScaleNormal="100" workbookViewId="0">
      <pane ySplit="1" topLeftCell="A711" activePane="bottomLeft" state="frozen"/>
      <selection pane="bottomLeft" activeCell="T722" sqref="T722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2401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3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2373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1" t="s">
        <v>2144</v>
      </c>
      <c r="F681" s="242" t="s">
        <v>51</v>
      </c>
      <c r="G681" s="263" t="s">
        <v>2035</v>
      </c>
      <c r="H681" s="314" t="s">
        <v>2145</v>
      </c>
      <c r="I681" s="315">
        <v>46157</v>
      </c>
      <c r="J681" s="315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55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6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2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32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2407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>IF(B701="","",SUM(O701:Q701))</f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2113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2145</v>
      </c>
      <c r="I702" s="247">
        <v>46244</v>
      </c>
      <c r="J702" s="247">
        <v>46245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>IF(B702="","",SUM(O702:Q702))</f>
        <v>0</v>
      </c>
      <c r="S702" s="235">
        <v>10</v>
      </c>
      <c r="T702" s="243" t="s">
        <v>2161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>IF(B703="","",SUM(O703:Q703))</f>
        <v>0</v>
      </c>
      <c r="S703" s="236">
        <v>8</v>
      </c>
      <c r="T703" s="260" t="s">
        <v>2192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2379</v>
      </c>
      <c r="E704" s="237" t="s">
        <v>2400</v>
      </c>
      <c r="F704" s="241" t="s">
        <v>51</v>
      </c>
      <c r="G704" s="243" t="s">
        <v>59</v>
      </c>
      <c r="H704" s="245" t="s">
        <v>2382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>IF(B704="","",SUM(O704:Q704))</f>
        <v>0</v>
      </c>
      <c r="S704" s="235">
        <v>4</v>
      </c>
      <c r="T704" s="243" t="s">
        <v>1847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2384</v>
      </c>
      <c r="E705" s="239" t="s">
        <v>2402</v>
      </c>
      <c r="F705" s="242" t="s">
        <v>51</v>
      </c>
      <c r="G705" s="244" t="s">
        <v>59</v>
      </c>
      <c r="H705" s="246" t="s">
        <v>2382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>IF(B705="","",SUM(O705:Q705))</f>
        <v>0</v>
      </c>
      <c r="S705" s="236">
        <v>4</v>
      </c>
      <c r="T705" s="244" t="s">
        <v>2386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2387</v>
      </c>
      <c r="E706" s="237" t="s">
        <v>2403</v>
      </c>
      <c r="F706" s="241" t="s">
        <v>51</v>
      </c>
      <c r="G706" s="243" t="s">
        <v>59</v>
      </c>
      <c r="H706" s="245" t="s">
        <v>2388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>IF(B706="","",SUM(O706:Q706))</f>
        <v>0</v>
      </c>
      <c r="S706" s="235">
        <v>4</v>
      </c>
      <c r="T706" s="243" t="s">
        <v>1855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2378</v>
      </c>
      <c r="E707" s="239" t="s">
        <v>2380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1477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2389</v>
      </c>
      <c r="E708" s="239" t="s">
        <v>2404</v>
      </c>
      <c r="F708" s="242" t="s">
        <v>51</v>
      </c>
      <c r="G708" s="244" t="s">
        <v>59</v>
      </c>
      <c r="H708" s="246" t="s">
        <v>2381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>IF(B708="","",SUM(O708:Q708))</f>
        <v>0</v>
      </c>
      <c r="S708" s="236">
        <v>4</v>
      </c>
      <c r="T708" s="244" t="s">
        <v>2391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2374</v>
      </c>
      <c r="E709" s="237" t="s">
        <v>2399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2377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2392</v>
      </c>
      <c r="E710" s="237" t="s">
        <v>2405</v>
      </c>
      <c r="F710" s="241" t="s">
        <v>51</v>
      </c>
      <c r="G710" s="243" t="s">
        <v>59</v>
      </c>
      <c r="H710" s="245" t="s">
        <v>2375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>IF(B710="","",SUM(O710:Q710))</f>
        <v>0</v>
      </c>
      <c r="S710" s="235">
        <v>4</v>
      </c>
      <c r="T710" s="243" t="s">
        <v>2394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>IF(B711="","",SUM(O711:Q711))</f>
        <v>0</v>
      </c>
      <c r="S711" s="235">
        <v>4</v>
      </c>
      <c r="T711" s="259" t="s">
        <v>2183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>IF(B712="","",SUM(O712:Q712))</f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2408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3">
        <v>2026</v>
      </c>
      <c r="C719" s="21" t="s">
        <v>2102</v>
      </c>
      <c r="D719" s="163" t="s">
        <v>2110</v>
      </c>
      <c r="E719" s="310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9">
        <v>2026</v>
      </c>
      <c r="C720" s="261" t="s">
        <v>2102</v>
      </c>
      <c r="D720" s="284" t="s">
        <v>2173</v>
      </c>
      <c r="E720" s="285" t="s">
        <v>2174</v>
      </c>
      <c r="F720" s="333" t="s">
        <v>51</v>
      </c>
      <c r="G720" s="287" t="s">
        <v>59</v>
      </c>
      <c r="H720" s="289" t="s">
        <v>2145</v>
      </c>
      <c r="I720" s="291" t="s">
        <v>2175</v>
      </c>
      <c r="J720" s="291" t="s">
        <v>2176</v>
      </c>
      <c r="K720" s="284" t="s">
        <v>32</v>
      </c>
      <c r="L720" s="303"/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17.45</v>
      </c>
      <c r="T720" s="287" t="s">
        <v>2177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6" t="s">
        <v>2398</v>
      </c>
      <c r="E721" s="238" t="s">
        <v>2406</v>
      </c>
      <c r="F721" s="242" t="s">
        <v>51</v>
      </c>
      <c r="G721" s="244" t="s">
        <v>59</v>
      </c>
      <c r="H721" s="334" t="s">
        <v>2395</v>
      </c>
      <c r="I721" s="335" t="s">
        <v>2395</v>
      </c>
      <c r="J721" s="335" t="s">
        <v>2395</v>
      </c>
      <c r="K721" s="236" t="s">
        <v>32</v>
      </c>
      <c r="L721" s="302">
        <v>3520</v>
      </c>
      <c r="M721" s="250"/>
      <c r="N721" s="252">
        <v>30</v>
      </c>
      <c r="O721" s="255"/>
      <c r="P721" s="255"/>
      <c r="Q721" s="255"/>
      <c r="R721" s="336">
        <f>IF(B721="","",SUM(O721:Q721))</f>
        <v>0</v>
      </c>
      <c r="S721" s="236">
        <v>4</v>
      </c>
      <c r="T721" s="244" t="s">
        <v>2397</v>
      </c>
    </row>
    <row r="722" spans="1:20" ht="22.5" customHeight="1" x14ac:dyDescent="0.25">
      <c r="A722" s="189" t="str">
        <f>IF(B722="","",B722&amp;"-"&amp;TEXT(COUNTIF(B$2:B722,B722),"000"))</f>
        <v/>
      </c>
      <c r="B722" s="233"/>
      <c r="C722" s="234"/>
      <c r="D722" s="236" t="s">
        <v>2409</v>
      </c>
      <c r="E722" s="239" t="s">
        <v>2410</v>
      </c>
      <c r="F722" s="242" t="s">
        <v>51</v>
      </c>
      <c r="G722" s="244" t="s">
        <v>59</v>
      </c>
      <c r="H722" s="337" t="s">
        <v>2411</v>
      </c>
      <c r="I722" s="248">
        <v>46259</v>
      </c>
      <c r="J722" s="248">
        <v>46268</v>
      </c>
      <c r="K722" s="236" t="s">
        <v>174</v>
      </c>
      <c r="L722" s="302"/>
      <c r="M722" s="250"/>
      <c r="N722" s="252">
        <v>30</v>
      </c>
      <c r="O722" s="255"/>
      <c r="P722" s="255"/>
      <c r="Q722" s="255"/>
      <c r="R722" s="255" t="str">
        <f>IF(B722="","",SUM(O722:Q722))</f>
        <v/>
      </c>
      <c r="S722" s="236">
        <v>20</v>
      </c>
      <c r="T722" s="244" t="s">
        <v>324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0" activePane="bottomLeft" state="frozen"/>
      <selection pane="bottomLeft" activeCell="K29" sqref="K2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55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55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55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55</v>
      </c>
      <c r="F45" t="str">
        <v>Tarsila Firmino Ely</v>
      </c>
      <c r="G45">
        <v>2</v>
      </c>
      <c r="H45">
        <v>55</v>
      </c>
      <c r="I45">
        <v>8.25</v>
      </c>
      <c r="J45">
        <v>63.25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55</v>
      </c>
      <c r="F46" t="str">
        <v>Luciana Alvim</v>
      </c>
      <c r="G46">
        <v>2</v>
      </c>
      <c r="H46">
        <v>55</v>
      </c>
      <c r="I46">
        <v>8.25</v>
      </c>
      <c r="J46">
        <v>63.25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19" t="s">
        <v>2292</v>
      </c>
      <c r="B1" s="319"/>
      <c r="C1" s="319"/>
      <c r="D1" s="319"/>
      <c r="E1" s="319"/>
      <c r="F1" s="319"/>
      <c r="G1" s="319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0" t="s">
        <v>2293</v>
      </c>
      <c r="B4" s="321"/>
      <c r="D4" s="322" t="s">
        <v>2294</v>
      </c>
      <c r="E4" s="323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17" t="s">
        <v>2297</v>
      </c>
      <c r="B8" s="317"/>
      <c r="D8" s="317" t="s">
        <v>2298</v>
      </c>
      <c r="E8" s="317"/>
    </row>
    <row r="9" spans="1:7" ht="5.0999999999999996" customHeight="1" x14ac:dyDescent="0.25">
      <c r="A9" s="318"/>
      <c r="B9" s="318"/>
      <c r="D9" s="318"/>
      <c r="E9" s="318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1776</v>
      </c>
    </row>
    <row r="30" spans="1:5" ht="17.25" x14ac:dyDescent="0.3">
      <c r="A30" s="317" t="s">
        <v>2307</v>
      </c>
      <c r="B30" s="317"/>
      <c r="C30" s="317"/>
      <c r="D30" s="317"/>
      <c r="E30" s="317"/>
    </row>
    <row r="31" spans="1:5" ht="5.0999999999999996" customHeight="1" x14ac:dyDescent="0.25">
      <c r="A31" s="318"/>
      <c r="B31" s="318"/>
      <c r="C31" s="318"/>
      <c r="D31" s="318"/>
      <c r="E31" s="318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4" t="s">
        <v>2357</v>
      </c>
      <c r="B1" s="324"/>
      <c r="C1" s="324"/>
      <c r="D1" s="324"/>
      <c r="E1" s="324"/>
      <c r="F1" s="324"/>
      <c r="G1" s="324"/>
      <c r="H1" s="324"/>
    </row>
    <row r="2" spans="1:8" x14ac:dyDescent="0.25">
      <c r="A2" s="128" t="s">
        <v>2358</v>
      </c>
    </row>
    <row r="4" spans="1:8" ht="21.95" customHeight="1" x14ac:dyDescent="0.25">
      <c r="A4" s="325" t="s">
        <v>2359</v>
      </c>
      <c r="B4" s="326"/>
      <c r="D4" s="325" t="s">
        <v>2360</v>
      </c>
      <c r="E4" s="326"/>
      <c r="G4" s="325" t="s">
        <v>2361</v>
      </c>
      <c r="H4" s="326"/>
    </row>
    <row r="5" spans="1:8" ht="35.1" customHeight="1" x14ac:dyDescent="0.25">
      <c r="A5" s="329">
        <f>COUNTIF('Ações InCompany'!E:E,"*maratona*")</f>
        <v>13</v>
      </c>
      <c r="B5" s="328"/>
      <c r="D5" s="327">
        <f>SUM(H8:H100)</f>
        <v>1762</v>
      </c>
      <c r="E5" s="328"/>
      <c r="G5" s="327">
        <f>IFERROR(ROUND(D5/A5,0),"-")</f>
        <v>136</v>
      </c>
      <c r="H5" s="328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K50" sqref="K50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0" t="s">
        <v>2367</v>
      </c>
      <c r="B1" s="330"/>
      <c r="C1" s="330"/>
      <c r="D1" s="330"/>
      <c r="E1" s="330"/>
      <c r="F1" s="330"/>
    </row>
    <row r="2" spans="1:7" x14ac:dyDescent="0.25">
      <c r="A2" s="331" t="s">
        <v>2368</v>
      </c>
      <c r="B2" s="331"/>
      <c r="C2" s="331"/>
      <c r="D2" s="331"/>
      <c r="E2" s="331"/>
      <c r="F2" s="331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115</v>
      </c>
      <c r="C33" s="101">
        <f>IF($A33="","",SUMIFS('GECC 2026'!I$2:I$200,'GECC 2026'!F$2:F$200,$A33))</f>
        <v>17.25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132.25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111</v>
      </c>
      <c r="C48" s="101">
        <f>IF($A48="","",SUMIFS('GECC 2026'!I$2:I$200,'GECC 2026'!F$2:F$200,$A48))</f>
        <v>19.650000000000002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130.64999999999998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1076.9000000000001</v>
      </c>
      <c r="C105" s="205">
        <f>SUM(C5:C100)</f>
        <v>188.54999999999998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2026-07-24T17:30:44Z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