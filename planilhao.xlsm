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882" documentId="13_ncr:1_{6A2CC3E2-FAFB-4D8F-B284-5E8FB5045DFE}" xr6:coauthVersionLast="47" xr6:coauthVersionMax="47" xr10:uidLastSave="{69ACA6CE-9B77-48A3-8E4B-844CF1CD9664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E64" i="23" l="1"/>
  <c r="C64" i="23"/>
  <c r="B64" i="23"/>
  <c r="D64" i="23"/>
  <c r="F64" i="23"/>
  <c r="R4" i="20" s="1" a="1"/>
  <c r="S4" i="20" s="1" a="1"/>
  <c r="T4" i="20" s="1" a="1"/>
  <c r="A2" i="20" s="1" a="1"/>
  <c r="E105" i="23" l="1"/>
  <c r="A5" i="23" a="1"/>
  <c r="F22" i="23" l="1"/>
  <c r="C41" i="23"/>
  <c r="C7" i="23"/>
  <c r="B53" i="23"/>
  <c r="E54" i="23"/>
  <c r="D6" i="23"/>
  <c r="B33" i="23"/>
  <c r="B58" i="23"/>
  <c r="D32" i="23"/>
  <c r="F33" i="23"/>
  <c r="E51" i="23"/>
  <c r="E18" i="23"/>
  <c r="B61" i="23"/>
  <c r="B29" i="23"/>
  <c r="D25" i="23"/>
  <c r="F44" i="23"/>
  <c r="D51" i="23"/>
  <c r="E15" i="23"/>
  <c r="F62" i="23"/>
  <c r="B50" i="23"/>
  <c r="B27" i="23"/>
  <c r="E52" i="23"/>
  <c r="C45" i="23"/>
  <c r="F45" i="23"/>
  <c r="E14" i="23"/>
  <c r="F29" i="23"/>
  <c r="C57" i="23"/>
  <c r="E36" i="23"/>
  <c r="E32" i="23"/>
  <c r="E60" i="23"/>
  <c r="D61" i="23"/>
  <c r="F53" i="23"/>
  <c r="D42" i="23"/>
  <c r="F26" i="23"/>
  <c r="D29" i="23"/>
  <c r="D57" i="23"/>
  <c r="C44" i="23"/>
  <c r="C51" i="23"/>
  <c r="C38" i="23"/>
  <c r="E50" i="23"/>
  <c r="E58" i="23"/>
  <c r="D20" i="23"/>
  <c r="C33" i="23"/>
  <c r="D34" i="23"/>
  <c r="C43" i="23"/>
  <c r="B60" i="23"/>
  <c r="B6" i="23"/>
  <c r="E27" i="23"/>
  <c r="D16" i="23"/>
  <c r="E26" i="23"/>
  <c r="B24" i="23"/>
  <c r="D38" i="23"/>
  <c r="B25" i="23"/>
  <c r="B31" i="23"/>
  <c r="D44" i="23"/>
  <c r="E55" i="23"/>
  <c r="B28" i="23"/>
  <c r="D40" i="23"/>
  <c r="C56" i="23"/>
  <c r="E17" i="23"/>
  <c r="D53" i="23"/>
  <c r="D47" i="23"/>
  <c r="D18" i="23"/>
  <c r="C31" i="23"/>
  <c r="D52" i="23"/>
  <c r="C30" i="23"/>
  <c r="F27" i="23"/>
  <c r="C54" i="23"/>
  <c r="B51" i="23"/>
  <c r="F54" i="23"/>
  <c r="F52" i="23"/>
  <c r="F50" i="23"/>
  <c r="B43" i="23"/>
  <c r="F60" i="23"/>
  <c r="B55" i="23"/>
  <c r="B48" i="23"/>
  <c r="D35" i="23"/>
  <c r="C11" i="23"/>
  <c r="D28" i="23"/>
  <c r="E45" i="23"/>
  <c r="C60" i="23"/>
  <c r="E12" i="23"/>
  <c r="E37" i="23"/>
  <c r="F40" i="23"/>
  <c r="D48" i="23"/>
  <c r="E8" i="23"/>
  <c r="B41" i="23"/>
  <c r="C9" i="23"/>
  <c r="E42" i="23"/>
  <c r="B10" i="23"/>
  <c r="F9" i="23"/>
  <c r="C53" i="23"/>
  <c r="C20" i="23"/>
  <c r="C27" i="23"/>
  <c r="C22" i="23"/>
  <c r="F30" i="23"/>
  <c r="D8" i="23"/>
  <c r="B59" i="23"/>
  <c r="D22" i="23"/>
  <c r="B19" i="23"/>
  <c r="F6" i="23"/>
  <c r="F35" i="23"/>
  <c r="D36" i="23"/>
  <c r="C59" i="23"/>
  <c r="C42" i="23"/>
  <c r="F16" i="23"/>
  <c r="F18" i="23"/>
  <c r="F56" i="23"/>
  <c r="B40" i="23"/>
  <c r="F59" i="23"/>
  <c r="E43" i="23"/>
  <c r="C29" i="23"/>
  <c r="B7" i="23"/>
  <c r="E49" i="23"/>
  <c r="D23" i="23"/>
  <c r="E21" i="23"/>
  <c r="C25" i="23"/>
  <c r="F49" i="23"/>
  <c r="F48" i="23"/>
  <c r="B56" i="23"/>
  <c r="F31" i="23"/>
  <c r="B21" i="23"/>
  <c r="C55" i="23"/>
  <c r="B38" i="23"/>
  <c r="D46" i="23"/>
  <c r="D60" i="23"/>
  <c r="D11" i="23"/>
  <c r="C36" i="23"/>
  <c r="B17" i="23"/>
  <c r="F28" i="23"/>
  <c r="B54" i="23"/>
  <c r="B49" i="23"/>
  <c r="F51" i="23"/>
  <c r="F23" i="23"/>
  <c r="E53" i="23"/>
  <c r="F55" i="23"/>
  <c r="D31" i="23"/>
  <c r="F42" i="23"/>
  <c r="E35" i="23"/>
  <c r="D9" i="23"/>
  <c r="E39" i="23"/>
  <c r="B63" i="23"/>
  <c r="E16" i="23"/>
  <c r="D50" i="23"/>
  <c r="F10" i="23"/>
  <c r="F20" i="23"/>
  <c r="B18" i="23"/>
  <c r="D27" i="23"/>
  <c r="C35" i="23"/>
  <c r="C15" i="23"/>
  <c r="F47" i="23"/>
  <c r="C16" i="23"/>
  <c r="B22" i="23"/>
  <c r="D13" i="23"/>
  <c r="B12" i="23"/>
  <c r="C37" i="23"/>
  <c r="B34" i="23"/>
  <c r="F7" i="23"/>
  <c r="C52" i="23"/>
  <c r="C47" i="23"/>
  <c r="C26" i="23"/>
  <c r="F24" i="23"/>
  <c r="B39" i="23"/>
  <c r="E40" i="23"/>
  <c r="F17" i="23"/>
  <c r="F58" i="23"/>
  <c r="D12" i="23"/>
  <c r="E9" i="23"/>
  <c r="C39" i="23"/>
  <c r="C63" i="23"/>
  <c r="C10" i="23"/>
  <c r="B52" i="23"/>
  <c r="F39" i="23"/>
  <c r="E61" i="23"/>
  <c r="C46" i="23"/>
  <c r="D58" i="23"/>
  <c r="B11" i="23"/>
  <c r="B57" i="23"/>
  <c r="D33" i="23"/>
  <c r="E38" i="23"/>
  <c r="B42" i="23"/>
  <c r="F61" i="23"/>
  <c r="C6" i="23"/>
  <c r="F57" i="23"/>
  <c r="C23" i="23"/>
  <c r="D59" i="23"/>
  <c r="E19" i="23"/>
  <c r="B35" i="23"/>
  <c r="C32" i="23"/>
  <c r="C19" i="23"/>
  <c r="D10" i="23"/>
  <c r="D63" i="23"/>
  <c r="B26" i="23"/>
  <c r="F36" i="23"/>
  <c r="D55" i="23"/>
  <c r="D30" i="23"/>
  <c r="F34" i="23"/>
  <c r="E23" i="23"/>
  <c r="E63" i="23"/>
  <c r="E56" i="23"/>
  <c r="C28" i="23"/>
  <c r="D21" i="23"/>
  <c r="B13" i="23"/>
  <c r="F15" i="23"/>
  <c r="B37" i="23"/>
  <c r="E46" i="23"/>
  <c r="C34" i="23"/>
  <c r="D26" i="23"/>
  <c r="E13" i="23"/>
  <c r="E62" i="23"/>
  <c r="C61" i="23"/>
  <c r="C17" i="23"/>
  <c r="F43" i="23"/>
  <c r="C14" i="23"/>
  <c r="C13" i="23"/>
  <c r="E29" i="23"/>
  <c r="D54" i="23"/>
  <c r="E6" i="23"/>
  <c r="B30" i="23"/>
  <c r="E11" i="23"/>
  <c r="B36" i="23"/>
  <c r="D24" i="23"/>
  <c r="D19" i="23"/>
  <c r="B9" i="23"/>
  <c r="E7" i="23"/>
  <c r="C24" i="23"/>
  <c r="E57" i="23"/>
  <c r="D43" i="23"/>
  <c r="D15" i="23"/>
  <c r="F11" i="23"/>
  <c r="D17" i="23"/>
  <c r="E10" i="23"/>
  <c r="C49" i="23"/>
  <c r="B32" i="23"/>
  <c r="C62" i="23"/>
  <c r="B45" i="23"/>
  <c r="C58" i="23"/>
  <c r="E28" i="23"/>
  <c r="E20" i="23"/>
  <c r="D49" i="23"/>
  <c r="B47" i="23"/>
  <c r="F25" i="23"/>
  <c r="B15" i="23"/>
  <c r="B8" i="23"/>
  <c r="B23" i="23"/>
  <c r="B46" i="23"/>
  <c r="B62" i="23"/>
  <c r="F38" i="23"/>
  <c r="F19" i="23"/>
  <c r="E30" i="23"/>
  <c r="F12" i="23"/>
  <c r="E34" i="23"/>
  <c r="D62" i="23"/>
  <c r="C18" i="23"/>
  <c r="E25" i="23"/>
  <c r="C40" i="23"/>
  <c r="E33" i="23"/>
  <c r="E59" i="23"/>
  <c r="F14" i="23"/>
  <c r="F21" i="23"/>
  <c r="E44" i="23"/>
  <c r="E41" i="23"/>
  <c r="D37" i="23"/>
  <c r="D14" i="23"/>
  <c r="B16" i="23"/>
  <c r="B44" i="23"/>
  <c r="C50" i="23"/>
  <c r="D7" i="23"/>
  <c r="E47" i="23"/>
  <c r="E48" i="23"/>
  <c r="F32" i="23"/>
  <c r="B20" i="23"/>
  <c r="D41" i="23"/>
  <c r="D56" i="23"/>
  <c r="F13" i="23"/>
  <c r="F41" i="23"/>
  <c r="C21" i="23"/>
  <c r="C12" i="23"/>
  <c r="C48" i="23"/>
  <c r="E24" i="23"/>
  <c r="D39" i="23"/>
  <c r="F46" i="23"/>
  <c r="F8" i="23"/>
  <c r="E22" i="23"/>
  <c r="E31" i="23"/>
  <c r="B14" i="23"/>
  <c r="C8" i="23"/>
  <c r="F63" i="23"/>
  <c r="F37" i="23"/>
  <c r="D45" i="23"/>
  <c r="E5" i="23" l="1"/>
  <c r="B5" i="23"/>
  <c r="B105" i="23" s="1"/>
  <c r="C5" i="23"/>
  <c r="C105" i="23" s="1"/>
  <c r="G5" i="23"/>
  <c r="D5" i="23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<sst xmlns="http://schemas.openxmlformats.org/spreadsheetml/2006/main" count="7413" uniqueCount="3263">
  <si>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</si>
  <si>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</si>
  <si>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</si>
  <si>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</si>
  <si>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</si>
  <si>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</si>
  <si>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</si>
  <si>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</si>
  <si>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</si>
  <si>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</si>
  <si>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</si>
  <si>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</si>
  <si>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</si>
  <si>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</si>
  <si>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</si>
  <si>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</si>
  <si>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</si>
  <si>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</si>
  <si>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</si>
  <si>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</si>
  <si>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</si>
  <si>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</si>
  <si>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</si>
  <si>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</si>
  <si>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</si>
  <si>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</si>
  <si>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</si>
  <si>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</si>
  <si>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</si>
  <si>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</si>
  <si>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</si>
  <si>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</si>
  <si>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</si>
  <si>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</si>
  <si>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</si>
  <si>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</si>
  <si>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</si>
  <si>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</si>
  <si>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</si>
  <si>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</si>
  <si>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</si>
  <si>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</si>
  <si>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</si>
  <si>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</si>
  <si>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</si>
  <si>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</si>
  <si>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</si>
  <si>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</si>
  <si>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</si>
  <si>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</si>
  <si>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</si>
  <si>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</si>
  <si>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</si>
  <si>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</si>
  <si>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</si>
  <si>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</si>
  <si>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</si>
  <si>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</si>
  <si>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</si>
  <si>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</si>
  <si>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</si>
  <si>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</si>
  <si>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</si>
  <si>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</si>
  <si>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</si>
  <si>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</si>
  <si>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</si>
  <si>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</si>
  <si>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</si>
  <si>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</si>
  <si>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</si>
  <si>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</si>
  <si>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</si>
  <si>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</si>
  <si>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</si>
  <si>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</si>
  <si>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</si>
  <si>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</si>
  <si>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</si>
  <si>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</si>
  <si>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</si>
  <si>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</si>
  <si>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</si>
  <si>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</si>
  <si>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</si>
  <si>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</si>
  <si>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</si>
  <si>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</si>
  <si>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</si>
  <si>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</si>
  <si>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</si>
  <si>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</si>
  <si>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</si>
  <si>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</si>
  <si>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</si>
  <si>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</si>
  <si>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</si>
  <si>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</si>
  <si>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</si>
  <si>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</si>
  <si>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</si>
  <si>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</si>
  <si>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</si>
  <si>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</si>
  <si>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</si>
  <si>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</si>
  <si>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</si>
  <si>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</si>
  <si>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</si>
  <si>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</si>
  <si>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</si>
  <si>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</si>
  <si>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</si>
  <si>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</si>
  <si>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</si>
  <si>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</si>
  <si>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</si>
  <si>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</si>
  <si>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</si>
  <si>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</si>
  <si>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</si>
  <si>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</si>
  <si>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</si>
  <si>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</si>
  <si>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</si>
  <si>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</si>
  <si>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</si>
  <si>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</si>
  <si>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</si>
  <si>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</si>
  <si>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</si>
  <si>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</si>
  <si>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</si>
  <si>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</si>
  <si>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</si>
  <si>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</si>
  <si>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</si>
  <si>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</si>
  <si>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</si>
  <si>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</si>
  <si>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</si>
  <si>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</si>
  <si>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</si>
  <si>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</si>
  <si>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</si>
  <si>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</si>
  <si>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</si>
  <si>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</si>
  <si>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</si>
  <si>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</si>
  <si>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</si>
  <si>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</si>
  <si>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</si>
  <si>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</si>
  <si>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</si>
  <si>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</si>
  <si>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</si>
  <si>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</si>
  <si>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</si>
  <si>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</si>
  <si>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</si>
  <si>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</si>
  <si>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</si>
  <si>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</si>
  <si>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</si>
  <si>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</si>
  <si>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</si>
  <si>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</si>
  <si>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</si>
  <si>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</si>
  <si>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</si>
  <si>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</si>
  <si>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</si>
  <si>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</si>
  <si>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</si>
  <si>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</si>
  <si>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</si>
  <si>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</si>
  <si>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</si>
  <si>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</si>
  <si>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</si>
  <si>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</si>
  <si>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</si>
  <si>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</si>
  <si>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</si>
  <si>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</si>
  <si>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</si>
  <si>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</si>
  <si>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</si>
  <si>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</si>
  <si>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</si>
  <si>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</si>
  <si>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</si>
  <si>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</si>
  <si>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</si>
  <si>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</si>
  <si>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</si>
  <si>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</si>
  <si>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</si>
  <si>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</si>
  <si>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</si>
  <si>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</si>
  <si>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</si>
  <si>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</si>
  <si>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</si>
  <si>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</si>
  <si>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</si>
  <si>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</si>
  <si>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</si>
  <si>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</si>
  <si>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</si>
  <si>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</si>
  <si>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</si>
  <si>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</si>
  <si>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</si>
  <si>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</si>
  <si>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</si>
  <si>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</si>
  <si>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</si>
  <si>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</si>
  <si>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</si>
  <si>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</si>
  <si>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</si>
  <si>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</si>
  <si>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</si>
  <si>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</si>
  <si>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</si>
  <si>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</si>
  <si>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</si>
  <si>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</si>
  <si>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</si>
  <si>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</si>
  <si>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</si>
  <si>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</si>
  <si>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</si>
  <si>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</si>
  <si>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</si>
  <si>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</si>
  <si>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</si>
  <si>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</si>
  <si>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</si>
  <si>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</si>
  <si>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</si>
  <si>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</si>
  <si>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</si>
  <si>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</si>
  <si>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</si>
  <si>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</si>
  <si>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</si>
  <si>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</si>
  <si>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</si>
  <si>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</si>
  <si>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</si>
  <si>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</si>
  <si>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</si>
  <si>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</si>
  <si>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</si>
  <si>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</si>
  <si>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</si>
  <si>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</si>
  <si>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</si>
  <si>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</si>
  <si>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</si>
  <si>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</si>
  <si>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</si>
  <si>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</si>
  <si>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</si>
  <si>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</si>
  <si>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</si>
  <si>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</si>
  <si>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</si>
  <si>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</si>
  <si>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</si>
  <si>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</si>
  <si>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</si>
  <si>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</si>
  <si>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</si>
  <si>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</si>
  <si>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</si>
  <si>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</si>
  <si>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</si>
  <si>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</si>
  <si>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</si>
  <si>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</si>
  <si>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</si>
  <si>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</si>
  <si>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</si>
  <si>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</si>
  <si>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</si>
  <si>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</si>
  <si>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</si>
  <si>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</si>
  <si>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</si>
  <si>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</si>
  <si>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</si>
  <si>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</si>
  <si>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</si>
  <si>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</si>
  <si>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</si>
  <si>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</si>
  <si>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</si>
  <si>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</si>
  <si>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</si>
  <si>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</si>
  <si>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</si>
  <si>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</si>
  <si>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</si>
  <si>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</si>
  <si>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</si>
  <si>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</si>
  <si>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</si>
  <si>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</si>
  <si>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</si>
  <si>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</si>
  <si>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</si>
  <si>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</si>
  <si>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</si>
  <si>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</si>
  <si>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</si>
  <si>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</si>
  <si>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</si>
  <si>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</si>
  <si>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</si>
  <si>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</si>
  <si>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</si>
  <si>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</si>
  <si>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</si>
  <si>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</si>
  <si>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</si>
  <si>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</si>
  <si>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</si>
  <si>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</si>
  <si>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</si>
  <si>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</si>
  <si>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</si>
  <si>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</si>
  <si>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</si>
  <si>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</si>
  <si>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</si>
  <si>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</si>
  <si>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</si>
  <si>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</si>
  <si>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</si>
  <si>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</si>
  <si>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</si>
  <si>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</si>
  <si>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</si>
  <si>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</si>
  <si>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</si>
  <si>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</si>
  <si>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</si>
  <si>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</si>
  <si>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</si>
  <si>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</si>
  <si>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</si>
  <si>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</si>
  <si>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</si>
  <si>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</si>
  <si>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</si>
  <si>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</si>
  <si>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</si>
  <si>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</si>
  <si>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</si>
  <si>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</si>
  <si>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</si>
  <si>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</si>
  <si>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</si>
  <si>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</si>
  <si>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</si>
  <si>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</si>
  <si>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</si>
  <si>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</si>
  <si>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</si>
  <si>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</si>
  <si>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</si>
  <si>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</si>
  <si>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</si>
  <si>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</si>
  <si>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</si>
  <si>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</si>
  <si>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</si>
  <si>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</si>
  <si>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</si>
  <si>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</si>
  <si>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</si>
  <si>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</si>
  <si>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</si>
  <si>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</si>
  <si>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</si>
  <si>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</si>
  <si>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</si>
  <si>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</si>
  <si>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</si>
  <si>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</si>
  <si>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</si>
  <si>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</si>
  <si>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</si>
  <si>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</si>
  <si>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</si>
  <si>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</si>
  <si>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</si>
  <si>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</si>
  <si>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</si>
  <si>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</si>
  <si>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</si>
  <si>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</si>
  <si>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</si>
  <si>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</si>
  <si>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</si>
  <si>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</si>
  <si>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</si>
  <si>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</si>
  <si>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</si>
  <si>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</si>
  <si>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</si>
  <si>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</si>
  <si>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</si>
  <si>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</si>
  <si>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</si>
  <si>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</si>
  <si>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</si>
  <si>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</si>
  <si>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</si>
  <si>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</si>
  <si>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</si>
  <si>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</si>
  <si>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</si>
  <si>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</si>
  <si>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</si>
  <si>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</si>
  <si>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</si>
  <si>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</si>
  <si>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</si>
  <si>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</si>
  <si>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</si>
  <si>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</si>
  <si>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</si>
  <si>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</si>
  <si>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</si>
  <si>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</si>
  <si>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</si>
  <si>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</si>
  <si>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</si>
  <si>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</si>
  <si>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</si>
  <si>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</si>
  <si>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</si>
  <si>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</si>
  <si>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</si>
  <si>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</si>
  <si>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</si>
  <si>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</si>
  <si>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</si>
  <si>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</si>
  <si>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</si>
  <si>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</si>
  <si>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</si>
  <si>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</si>
  <si>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</si>
  <si>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</si>
  <si>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</si>
  <si>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</si>
  <si>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</si>
  <si>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</si>
  <si>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</si>
  <si>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</si>
  <si>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</si>
  <si>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</si>
  <si>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</si>
  <si>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</si>
  <si>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</si>
  <si>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</si>
  <si>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</si>
  <si>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</si>
  <si>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</si>
  <si>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</si>
  <si>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</si>
  <si>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</si>
  <si>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</si>
  <si>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</si>
  <si>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</si>
  <si>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</si>
  <si>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</si>
  <si>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</si>
  <si>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</si>
  <si>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</si>
  <si>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</si>
  <si>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</si>
  <si>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</si>
  <si>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</si>
  <si>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</si>
  <si>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</si>
  <si>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</si>
  <si>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</si>
  <si>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</si>
  <si>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</si>
  <si>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</si>
  <si>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</si>
  <si>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</si>
  <si>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</si>
  <si>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</si>
  <si>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</si>
  <si>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</si>
  <si>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</si>
  <si>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</si>
  <si>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</si>
  <si>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</si>
  <si>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</si>
  <si>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</si>
  <si>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</si>
  <si>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</si>
  <si>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</si>
  <si>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</si>
  <si>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</si>
  <si>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</si>
  <si>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</si>
  <si>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</si>
  <si>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</si>
  <si>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</si>
  <si>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</si>
  <si>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</si>
  <si>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</si>
  <si>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</si>
  <si>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</si>
  <si>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</si>
  <si>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</si>
  <si>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</si>
  <si>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</si>
  <si>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</si>
  <si>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</si>
  <si>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</si>
  <si>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</si>
  <si>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</si>
  <si>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</si>
  <si>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</si>
  <si>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</si>
  <si>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</si>
  <si>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</si>
  <si>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</si>
  <si>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</si>
  <si>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</si>
  <si>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</si>
  <si>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</si>
  <si>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</si>
  <si>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</si>
  <si>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</si>
  <si>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</si>
  <si>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</si>
  <si>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</si>
  <si>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</si>
  <si>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</si>
  <si>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</si>
  <si>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</si>
  <si>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</si>
  <si>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</si>
  <si>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</si>
  <si>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</si>
  <si>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</si>
  <si>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</si>
  <si>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</si>
  <si>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</si>
  <si>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</si>
  <si>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</si>
  <si>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</si>
  <si>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</si>
  <si>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</si>
  <si>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</si>
  <si>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</si>
  <si>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</si>
  <si>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</si>
  <si>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</si>
  <si>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</si>
  <si>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</si>
  <si>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</si>
  <si>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</si>
  <si>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</si>
  <si>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</si>
  <si>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</si>
  <si>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</si>
  <si>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</si>
  <si>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</si>
  <si>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</si>
  <si>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</si>
  <si>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</si>
  <si>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</si>
  <si>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</si>
  <si>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</si>
  <si>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</si>
  <si>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</si>
  <si>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</si>
  <si>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</si>
  <si>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</si>
  <si>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</si>
  <si>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</si>
  <si>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</si>
  <si>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</si>
  <si>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</si>
  <si>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</si>
  <si>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</si>
  <si>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</si>
  <si>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</si>
  <si>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</si>
  <si>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</si>
  <si>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</si>
  <si>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</si>
  <si>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</si>
  <si>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</si>
  <si>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</si>
  <si>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</si>
  <si>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</si>
  <si>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</si>
  <si>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</si>
  <si>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</si>
  <si>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</si>
  <si>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</si>
  <si>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</si>
  <si>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</si>
  <si>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</si>
  <si>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</si>
  <si>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</si>
  <si>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</si>
  <si>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</si>
  <si>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</si>
  <si>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</si>
  <si>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</si>
  <si>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</si>
  <si>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</si>
  <si>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</si>
  <si>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</si>
  <si>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</si>
  <si>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</si>
  <si>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</si>
  <si>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</si>
  <si>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</si>
  <si>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</si>
  <si>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</si>
  <si>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</si>
  <si>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</si>
  <si>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</si>
  <si>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</si>
  <si>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</si>
  <si>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</si>
  <si>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</si>
  <si>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</si>
  <si>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</si>
  <si>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</si>
  <si>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</si>
  <si>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</si>
  <si>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</si>
  <si>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</si>
  <si>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</si>
  <si>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</si>
  <si>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</si>
  <si>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</si>
  <si>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</si>
  <si>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</si>
  <si>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</si>
  <si>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</si>
  <si>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</si>
  <si>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</si>
  <si>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</si>
  <si>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</si>
  <si>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</si>
  <si>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</si>
  <si>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</si>
  <si>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</si>
  <si>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</si>
  <si>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</si>
  <si>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</si>
  <si>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</si>
  <si>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</si>
  <si>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</si>
  <si>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</si>
  <si>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</si>
  <si>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</si>
  <si>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</si>
  <si>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</si>
  <si>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</si>
  <si>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</si>
  <si>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</si>
  <si>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</si>
  <si>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</si>
  <si>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</si>
  <si>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</si>
  <si>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</si>
  <si>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</si>
  <si>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</si>
  <si>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</si>
  <si>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</si>
  <si>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</si>
  <si>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</si>
  <si>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</si>
  <si>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</si>
  <si>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</si>
  <si>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</si>
  <si>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</si>
  <si>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</si>
  <si>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</si>
  <si>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</si>
  <si>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</si>
  <si>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</si>
  <si>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</si>
  <si>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</si>
  <si>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</si>
  <si>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</si>
  <si>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</si>
  <si>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</si>
  <si>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</si>
  <si>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</si>
  <si>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</si>
  <si>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</si>
  <si>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</si>
  <si>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</si>
  <si>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</si>
  <si>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</si>
  <si>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</si>
  <si>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</si>
  <si>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</si>
  <si>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</si>
  <si>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</si>
  <si>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</si>
  <si>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</si>
  <si>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</si>
  <si>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</si>
  <si>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</si>
  <si>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</si>
  <si>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</si>
  <si>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</si>
  <si>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</si>
  <si>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</si>
  <si>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</si>
  <si>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</si>
  <si>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</si>
  <si>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</si>
  <si>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</si>
  <si>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</si>
  <si>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</si>
  <si>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</si>
  <si>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</si>
  <si>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</si>
  <si>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</si>
  <si>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</si>
  <si>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</si>
  <si>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</si>
  <si>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</si>
  <si>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</si>
  <si>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</si>
  <si>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</si>
  <si>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</si>
  <si>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</si>
  <si>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</si>
  <si>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</si>
  <si>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</si>
  <si>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</si>
  <si>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</si>
  <si>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</si>
  <si>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</si>
  <si>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</si>
  <si>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</si>
  <si>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</si>
  <si>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</si>
  <si>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</si>
  <si>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</si>
  <si>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</si>
  <si>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</si>
  <si>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</si>
  <si>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</si>
  <si>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</si>
  <si>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</si>
  <si>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</si>
  <si>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</si>
  <si>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</si>
  <si>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</si>
  <si>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</si>
  <si>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</si>
  <si>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</si>
  <si>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</si>
  <si>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</si>
  <si>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</si>
  <si>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</si>
  <si>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</si>
  <si>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</si>
  <si>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</si>
  <si>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</si>
  <si>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</si>
  <si>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</si>
  <si>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</si>
  <si>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</si>
  <si>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</si>
  <si>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</si>
  <si>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</si>
  <si>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</si>
  <si>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</si>
  <si>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</si>
  <si>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</si>
  <si>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</si>
  <si>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</si>
  <si>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</si>
  <si>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</si>
  <si>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</si>
  <si>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</si>
  <si>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</si>
  <si>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</si>
  <si>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</si>
  <si>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</si>
  <si>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</si>
  <si>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</si>
  <si>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</si>
  <si>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</si>
  <si>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</si>
  <si>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</si>
  <si>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</si>
  <si>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</si>
  <si>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</si>
  <si>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</si>
  <si>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</si>
  <si>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</si>
  <si>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</si>
  <si>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</si>
  <si>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</si>
  <si>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</si>
  <si>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</si>
  <si>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</si>
  <si>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</si>
  <si>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</si>
  <si>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</si>
  <si>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</si>
  <si>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</si>
  <si>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</si>
  <si>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</si>
  <si>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</si>
  <si>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</si>
  <si>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</si>
  <si>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</si>
  <si>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</si>
  <si>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</si>
  <si>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</si>
  <si>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</si>
  <si>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</si>
  <si>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</si>
  <si>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</si>
  <si>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</si>
  <si>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</si>
  <si>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</si>
  <si>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</si>
  <si>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</si>
  <si>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</si>
  <si>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</si>
  <si>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</si>
  <si>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</si>
  <si>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</si>
  <si>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</si>
  <si>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</si>
  <si>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</si>
  <si>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</si>
  <si>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</si>
  <si>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</si>
  <si>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</si>
  <si>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</si>
  <si>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</si>
  <si>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</si>
  <si>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</si>
  <si>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</si>
  <si>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</si>
  <si>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</si>
  <si>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</si>
  <si>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</si>
  <si>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</si>
  <si>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</si>
  <si>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</si>
  <si>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</si>
  <si>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</si>
  <si>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</si>
  <si>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</si>
  <si>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</si>
  <si>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</si>
  <si>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</si>
  <si>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</si>
  <si>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</si>
  <si>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</si>
  <si>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</si>
  <si>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</si>
  <si>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</si>
  <si>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</si>
  <si>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</si>
  <si>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</si>
  <si>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</si>
  <si>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</si>
  <si>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</si>
  <si>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</si>
  <si>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</si>
  <si>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</si>
  <si>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</si>
  <si>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</si>
  <si>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</si>
  <si>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</si>
  <si>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</si>
  <si>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</si>
  <si>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</si>
  <si>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</si>
  <si>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</si>
  <si>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</si>
  <si>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</si>
  <si>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</si>
  <si>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</si>
  <si>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</si>
  <si>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</si>
  <si>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</si>
  <si>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</si>
  <si>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</si>
  <si>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</si>
  <si>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</si>
  <si>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</si>
  <si>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</si>
  <si>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</si>
  <si>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</si>
  <si>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</si>
  <si>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</si>
  <si>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</si>
  <si>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</si>
  <si>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</si>
  <si>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</si>
  <si>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</si>
  <si>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</si>
  <si>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</si>
  <si>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</si>
  <si>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</si>
  <si>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</si>
  <si>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</si>
  <si>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</si>
  <si>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</si>
  <si>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</si>
  <si>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</si>
  <si>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</si>
  <si>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</si>
  <si>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</si>
  <si>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</si>
  <si>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</si>
  <si>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</si>
  <si>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</si>
  <si>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</si>
  <si>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</si>
  <si>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</si>
  <si>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</si>
  <si>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</si>
  <si>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</si>
  <si>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</si>
  <si>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</si>
  <si>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</si>
  <si>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</si>
  <si>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</si>
  <si>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</si>
  <si>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</si>
  <si>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</si>
  <si>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</si>
  <si>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</si>
  <si>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</si>
  <si>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</si>
  <si>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</si>
  <si>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</si>
  <si>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</si>
  <si>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</si>
  <si>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</si>
  <si>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</si>
  <si>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</si>
  <si>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</si>
  <si>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</si>
  <si>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</si>
  <si>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</si>
  <si>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</si>
  <si>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</si>
  <si>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</si>
  <si>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</si>
  <si>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</si>
  <si>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</si>
  <si>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</si>
  <si>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</si>
  <si>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</si>
  <si>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</si>
  <si>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</si>
  <si>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</si>
  <si>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</si>
  <si>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</si>
  <si>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</si>
  <si>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</si>
  <si>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</si>
  <si>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</si>
  <si>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</si>
  <si>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</si>
  <si>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</si>
  <si>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</si>
  <si>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</si>
  <si>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</si>
  <si>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</si>
  <si>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</si>
  <si>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</si>
  <si>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</si>
  <si>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</si>
  <si>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</si>
  <si>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</si>
  <si>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</si>
  <si>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</si>
  <si>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</si>
  <si>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</si>
  <si>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</si>
  <si>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</si>
  <si>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</si>
  <si>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</si>
  <si>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</si>
  <si>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</si>
  <si>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</si>
  <si>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</si>
  <si>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</si>
  <si>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</si>
  <si>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</si>
  <si>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</si>
  <si>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</si>
  <si>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</si>
  <si>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</si>
  <si>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</si>
  <si>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</si>
  <si>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</si>
  <si>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</si>
  <si>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</si>
  <si>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</si>
  <si>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</si>
  <si>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</si>
  <si>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</si>
  <si>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</si>
  <si>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</si>
  <si>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</si>
  <si>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</si>
  <si>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</si>
  <si>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</si>
  <si>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</si>
  <si>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</si>
  <si>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</si>
  <si>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</si>
  <si>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</si>
  <si>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</si>
  <si>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</si>
  <si>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</si>
  <si>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</si>
  <si>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</si>
  <si>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</si>
  <si>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</si>
  <si>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</si>
  <si>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</si>
  <si>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</si>
  <si>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</si>
  <si>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</si>
  <si>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</si>
  <si>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</si>
  <si>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</si>
  <si>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</si>
  <si>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</si>
  <si>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</si>
  <si>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</si>
  <si>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</si>
  <si>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</si>
  <si>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</si>
  <si>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</si>
  <si>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</si>
  <si>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</si>
  <si>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</si>
  <si>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</si>
  <si>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</si>
  <si>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</si>
  <si>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</si>
  <si>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</si>
  <si>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</si>
  <si>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</si>
  <si>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</si>
  <si>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</si>
  <si>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</si>
  <si>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</si>
  <si>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</si>
  <si>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</si>
  <si>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</si>
  <si>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</si>
  <si>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</si>
  <si>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</si>
  <si>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</si>
  <si>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</si>
  <si>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</si>
  <si>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</si>
  <si>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</si>
  <si>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</si>
  <si>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</si>
  <si>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</si>
  <si>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</si>
  <si>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</si>
  <si>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</si>
  <si>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</si>
  <si>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</si>
  <si>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</si>
  <si>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</si>
  <si>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</si>
  <si>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</si>
  <si>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</si>
  <si>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</si>
  <si>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</si>
  <si>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</si>
  <si>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</si>
  <si>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</si>
  <si>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</si>
  <si>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</si>
  <si>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</si>
  <si>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</si>
  <si>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</si>
  <si>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</si>
  <si>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</si>
  <si>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</si>
  <si>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</si>
  <si>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</si>
  <si>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</si>
  <si>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</si>
  <si>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</si>
  <si>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</si>
  <si>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</si>
  <si>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</si>
  <si>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</si>
  <si>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</si>
  <si>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</si>
  <si>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</si>
  <si>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</si>
  <si>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</si>
  <si>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</si>
  <si>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</si>
  <si>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</si>
  <si>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</si>
  <si>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</si>
  <si>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</si>
  <si>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</si>
  <si>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</si>
  <si>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</si>
  <si>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</si>
  <si>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</si>
  <si>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</si>
  <si>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</si>
  <si>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</si>
  <si>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</si>
  <si>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</si>
  <si>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</si>
  <si>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</si>
  <si>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</si>
  <si>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</si>
  <si>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</si>
  <si>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</si>
  <si>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</si>
  <si>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</si>
  <si>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</si>
  <si>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</si>
  <si>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</si>
  <si>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</si>
  <si>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</si>
  <si>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</si>
  <si>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</si>
  <si>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</si>
  <si>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</si>
  <si>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</si>
  <si>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</si>
  <si>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</si>
  <si>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</si>
  <si>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</si>
  <si>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</si>
  <si>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</si>
  <si>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</si>
  <si>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</si>
  <si>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</si>
  <si>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</si>
  <si>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</si>
  <si>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</si>
  <si>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</si>
  <si>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</si>
  <si>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</si>
  <si>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</si>
  <si>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</si>
  <si>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</si>
  <si>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</si>
  <si>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</si>
  <si>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</si>
  <si>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</si>
  <si>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</si>
  <si>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</si>
  <si>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</si>
  <si>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</si>
  <si>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</si>
  <si>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</si>
  <si>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</si>
  <si>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</si>
  <si>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</si>
  <si>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</si>
  <si>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</si>
  <si>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</si>
  <si>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</si>
  <si>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</si>
  <si>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</si>
  <si>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</si>
  <si>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</si>
  <si>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</si>
  <si>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</si>
  <si>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</si>
  <si>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</si>
  <si>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</si>
  <si>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</si>
  <si>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</si>
  <si>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</si>
  <si>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</si>
  <si>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</si>
  <si>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</si>
  <si>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</si>
  <si>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</si>
  <si>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</si>
  <si>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</si>
  <si>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</si>
  <si>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</si>
  <si>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</si>
  <si>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</si>
  <si>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</si>
  <si>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</si>
  <si>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</si>
  <si>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</si>
  <si>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</si>
  <si>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</si>
  <si>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</si>
  <si>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</si>
  <si>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</si>
  <si>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</si>
  <si>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</si>
  <si>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</si>
  <si>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</si>
  <si>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</si>
  <si>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</si>
  <si>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</si>
  <si>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</si>
  <si>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</si>
  <si>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</si>
  <si>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</si>
  <si>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</si>
  <si>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</si>
  <si>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</si>
  <si>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</si>
  <si>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</si>
  <si>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</si>
  <si>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</si>
  <si>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</si>
  <si>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</si>
  <si>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</si>
  <si>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</si>
  <si>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</si>
  <si>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</si>
  <si>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</si>
  <si>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</si>
  <si>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</si>
  <si>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</si>
  <si>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</si>
  <si>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</si>
  <si>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</si>
  <si>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</si>
  <si>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</si>
  <si>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</si>
  <si>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</si>
  <si>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</si>
  <si>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</si>
  <si>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</si>
  <si>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</si>
  <si>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</si>
  <si>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</si>
  <si>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</si>
  <si>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</si>
  <si>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</si>
  <si>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</si>
  <si>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</si>
  <si>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</si>
  <si>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</si>
  <si>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</si>
  <si>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</si>
  <si>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</si>
  <si>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</si>
  <si>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</si>
  <si>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</si>
  <si>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</si>
  <si>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</si>
  <si>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</si>
  <si>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</si>
  <si>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</si>
  <si>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</si>
  <si>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</si>
  <si>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</si>
  <si>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</si>
  <si>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</si>
  <si>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</si>
  <si>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</si>
  <si>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</si>
  <si>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</si>
  <si>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</si>
  <si>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</si>
  <si>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</si>
  <si>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</si>
  <si>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</si>
  <si>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</si>
  <si>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</si>
  <si>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</si>
  <si>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</si>
  <si>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</si>
  <si>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</si>
  <si>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</si>
  <si>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</si>
  <si>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</si>
  <si>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</si>
  <si>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</si>
  <si>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</si>
  <si>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</si>
  <si>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</si>
  <si>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</si>
  <si>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</si>
  <si>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</si>
  <si>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</si>
  <si>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</si>
  <si>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</si>
  <si>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</si>
  <si>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</si>
  <si>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</si>
  <si>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</si>
  <si>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</si>
  <si>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</si>
  <si>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</si>
  <si>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</si>
  <si>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</si>
  <si>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</si>
  <si>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</si>
  <si>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</si>
  <si>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</si>
  <si>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</si>
  <si>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</si>
  <si>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</si>
  <si>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</si>
  <si>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</si>
  <si>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</si>
  <si>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</si>
  <si>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</si>
  <si>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</si>
  <si>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</si>
  <si>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</si>
  <si>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</si>
  <si>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</si>
  <si>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</si>
  <si>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</si>
  <si>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</si>
  <si>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</si>
  <si>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</si>
  <si>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</si>
  <si>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</si>
  <si>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</si>
  <si>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</si>
  <si>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</si>
  <si>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</si>
  <si>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</si>
  <si>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</si>
  <si>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</si>
  <si>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</si>
  <si>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</si>
  <si>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</si>
  <si>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</si>
  <si>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</si>
  <si>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</si>
  <si>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</si>
  <si>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</si>
  <si>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</si>
  <si>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</si>
  <si>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</si>
  <si>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</si>
  <si>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</si>
  <si>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</si>
  <si>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</si>
  <si>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</si>
  <si>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</si>
  <si>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</si>
  <si>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</si>
  <si>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</si>
  <si>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</si>
  <si>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</si>
  <si>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</si>
  <si>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</si>
  <si>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</si>
  <si>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</si>
  <si>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</si>
  <si>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</si>
  <si>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</si>
  <si>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</si>
  <si>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</si>
  <si>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</si>
  <si>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</si>
  <si>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</si>
  <si>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</si>
  <si>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</si>
  <si>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</si>
  <si>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</si>
  <si>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</si>
  <si>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</si>
  <si>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</si>
  <si>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</si>
  <si>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</si>
  <si>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</si>
  <si>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</si>
  <si>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</si>
  <si>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</si>
  <si>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</si>
  <si>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</si>
  <si>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</si>
  <si>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</si>
  <si>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</si>
  <si>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</si>
  <si>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</si>
  <si>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</si>
  <si>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</si>
  <si>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</si>
  <si>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</si>
  <si>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</si>
  <si>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</si>
  <si>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</si>
  <si>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</si>
  <si>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</si>
  <si>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</si>
  <si>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</si>
  <si>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</si>
  <si>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</si>
  <si>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</si>
  <si>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</si>
  <si>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</si>
  <si>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</si>
  <si>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</si>
  <si>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</si>
  <si>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</si>
  <si>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</si>
  <si>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</si>
  <si>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</si>
  <si>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</si>
  <si>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</si>
  <si>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</si>
  <si>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</si>
  <si>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</si>
  <si>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</si>
  <si>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</si>
  <si>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</si>
  <si>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</si>
  <si>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</si>
  <si>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</si>
  <si>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</si>
  <si>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</si>
  <si>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</si>
  <si>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</si>
  <si>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</si>
  <si>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</si>
  <si>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</si>
  <si>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</si>
  <si>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</si>
  <si>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</si>
  <si>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</si>
  <si>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</si>
  <si>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</si>
  <si>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</si>
  <si>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</si>
  <si>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</si>
  <si>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</si>
  <si>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</si>
  <si>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</si>
  <si>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</si>
  <si>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</si>
  <si>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</si>
  <si>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</si>
  <si>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</si>
  <si>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</si>
  <si>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</si>
  <si>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</si>
  <si>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</si>
  <si>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</si>
  <si>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</si>
  <si>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</si>
  <si>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</si>
  <si>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</si>
  <si>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</si>
  <si>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</si>
  <si>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</si>
  <si>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</si>
  <si>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</si>
  <si>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</si>
  <si>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</si>
  <si>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</si>
  <si>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</si>
  <si>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</si>
  <si>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</si>
  <si>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</si>
  <si>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</si>
  <si>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</si>
  <si>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</si>
  <si>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</si>
  <si>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</si>
  <si>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</si>
  <si>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</si>
  <si>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</si>
  <si>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</si>
  <si>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</si>
  <si>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</si>
  <si>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</si>
  <si>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</si>
  <si>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</si>
  <si>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</si>
  <si>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</si>
  <si>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</si>
  <si>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</si>
  <si>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</si>
  <si>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</si>
  <si>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</si>
  <si>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</si>
  <si>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</si>
  <si>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</si>
  <si>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</si>
  <si>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</si>
  <si>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</si>
  <si>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</si>
  <si>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</si>
  <si>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</si>
  <si>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</si>
  <si>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</si>
  <si>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</si>
  <si>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</si>
  <si>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</si>
  <si>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</si>
  <si>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</si>
  <si>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</si>
  <si>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</si>
  <si>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</si>
  <si>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</si>
  <si>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</si>
  <si>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</si>
  <si>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</si>
  <si>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</si>
  <si>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</si>
  <si>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</si>
  <si>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</si>
  <si>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</si>
  <si>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</si>
  <si>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</si>
  <si>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</si>
  <si>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</si>
  <si>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</si>
  <si>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</si>
  <si>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</si>
  <si>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</si>
  <si>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</si>
  <si>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</si>
  <si>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</si>
  <si>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</si>
  <si>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</si>
  <si>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</si>
  <si>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</si>
  <si>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</si>
  <si>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</si>
  <si>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</si>
  <si>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</si>
  <si>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</si>
  <si>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</si>
  <si>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</si>
  <si>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</si>
  <si>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</si>
  <si>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</si>
  <si>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</si>
  <si>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</si>
  <si>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</si>
  <si>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</si>
  <si>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</si>
  <si>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</si>
  <si>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</si>
  <si>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</si>
  <si>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</si>
  <si>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</si>
  <si>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</si>
  <si>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</si>
  <si>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</si>
  <si>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</si>
  <si>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</si>
  <si>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</si>
  <si>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</si>
  <si>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</si>
  <si>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</si>
  <si>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</si>
  <si>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</si>
  <si>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</si>
  <si>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</si>
  <si>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</si>
  <si>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</si>
  <si>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</si>
  <si>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</si>
  <si>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</si>
  <si>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</si>
  <si>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</si>
  <si>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</si>
  <si>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</si>
  <si>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</si>
  <si>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</si>
  <si>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</si>
  <si>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</si>
  <si>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</si>
  <si>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</si>
  <si>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</si>
  <si>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</si>
  <si>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</si>
  <si>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</si>
  <si>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</si>
  <si>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</si>
  <si>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</si>
  <si>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</si>
  <si>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</si>
  <si>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</si>
  <si>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</si>
  <si>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</si>
  <si>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</si>
  <si>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</si>
  <si>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</si>
  <si>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</si>
  <si>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</si>
  <si>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</si>
  <si>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</si>
  <si>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</si>
  <si>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</si>
  <si>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</si>
  <si>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</si>
  <si>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</si>
  <si>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</si>
  <si>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</si>
  <si>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</si>
  <si>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</si>
  <si>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</si>
  <si>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</si>
  <si>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</si>
  <si>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</si>
  <si>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</si>
  <si>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</si>
  <si>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</si>
  <si>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</si>
  <si>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</si>
  <si>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</si>
  <si>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</si>
  <si>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</si>
  <si>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</si>
  <si>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</si>
  <si>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</si>
  <si>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</si>
  <si>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</si>
  <si>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</si>
  <si>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</si>
  <si>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</si>
  <si>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</si>
  <si>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</si>
  <si>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</si>
  <si>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</si>
  <si>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</si>
  <si>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</si>
  <si>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</si>
  <si>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</si>
  <si>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</si>
  <si>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</si>
  <si>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</si>
  <si>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</si>
  <si>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</si>
  <si>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</si>
  <si>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</si>
  <si>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</si>
  <si>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</si>
  <si>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</si>
  <si>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</si>
  <si>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</si>
  <si>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</si>
  <si>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</si>
  <si>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</si>
  <si>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</si>
  <si>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</si>
  <si>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</si>
  <si>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</si>
  <si>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</si>
  <si>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</si>
  <si>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</si>
  <si>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</si>
  <si>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</si>
  <si>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</si>
  <si>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</si>
  <si>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</si>
  <si>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</si>
  <si>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</si>
  <si>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</si>
  <si>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</si>
  <si>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</si>
  <si>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</si>
  <si>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</si>
  <si>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</si>
  <si>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</si>
  <si>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</si>
  <si>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</si>
  <si>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</si>
  <si>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</si>
  <si>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</si>
  <si>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</si>
  <si>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</si>
  <si>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</si>
  <si>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</si>
  <si>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</si>
  <si>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</si>
  <si>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</si>
  <si>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</si>
  <si>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</si>
  <si>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</si>
  <si>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</si>
  <si>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</si>
  <si>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</si>
  <si>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</si>
  <si>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</si>
  <si>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</si>
  <si>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</si>
  <si>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</si>
  <si>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</si>
  <si>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</si>
  <si>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</si>
  <si>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</si>
  <si>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</si>
  <si>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</si>
  <si>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</si>
  <si>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</si>
  <si>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</si>
  <si>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</si>
  <si>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</si>
  <si>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</si>
  <si>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</si>
  <si>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</si>
  <si>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</si>
  <si>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</si>
  <si>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</si>
  <si>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</si>
  <si>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</si>
  <si>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</si>
  <si>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</si>
  <si>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</si>
  <si>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</si>
  <si>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</si>
  <si>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</si>
  <si>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</si>
  <si>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</si>
  <si>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</si>
  <si>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</si>
  <si>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</si>
  <si>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</si>
  <si>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</si>
  <si>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</si>
  <si>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</si>
  <si>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</si>
  <si>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</si>
  <si>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</si>
  <si>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</si>
  <si>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</si>
  <si>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</si>
  <si>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</si>
  <si>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</si>
  <si>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</si>
  <si>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</si>
  <si>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</si>
  <si>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</si>
  <si>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</si>
  <si>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</si>
  <si>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</si>
  <si>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</si>
  <si>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</si>
  <si>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</si>
  <si>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</si>
  <si>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</si>
  <si>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</si>
  <si>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</si>
  <si>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</si>
  <si>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</si>
  <si>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</si>
  <si>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</si>
  <si>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</si>
  <si>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</si>
  <si>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</si>
  <si>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</si>
  <si>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</si>
  <si>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</si>
  <si>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</si>
  <si>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</si>
  <si>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</si>
  <si>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</si>
  <si>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</si>
  <si>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</si>
  <si>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</si>
  <si>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</si>
  <si>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</si>
  <si>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</si>
  <si>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</si>
  <si>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</si>
  <si>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</si>
  <si>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</si>
  <si>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</si>
  <si>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</si>
  <si>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</si>
  <si>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</si>
  <si>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</si>
  <si>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</si>
  <si>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</si>
  <si>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</si>
  <si>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</si>
  <si>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</si>
  <si>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</si>
  <si>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</si>
  <si>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</si>
  <si>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</si>
  <si>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</si>
  <si>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</si>
  <si>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</si>
  <si>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</si>
  <si>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</si>
  <si>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</si>
  <si>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</si>
  <si>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</si>
  <si>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</si>
  <si>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</si>
  <si>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</si>
  <si>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</si>
  <si>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</si>
  <si>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</si>
  <si>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</si>
  <si>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</si>
  <si>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</si>
  <si>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</si>
  <si>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</si>
  <si>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</si>
  <si>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</si>
  <si>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</si>
  <si>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</si>
  <si>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</si>
  <si>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</si>
  <si>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</si>
  <si>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</si>
  <si>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</si>
  <si>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</si>
  <si>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</si>
  <si>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</si>
  <si>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</si>
  <si>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</si>
  <si>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</si>
  <si>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</si>
  <si>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</si>
  <si>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</si>
  <si>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</si>
  <si>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</si>
  <si>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</si>
  <si>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</si>
  <si>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</si>
  <si>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</si>
  <si>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</si>
  <si>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</si>
  <si>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</si>
  <si>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</si>
  <si>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</si>
  <si>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</si>
  <si>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</si>
  <si>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</si>
  <si>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</si>
  <si>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</si>
  <si>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</si>
  <si>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</si>
  <si>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</si>
  <si>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</si>
  <si>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</si>
  <si>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</si>
  <si>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</si>
  <si>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</si>
  <si>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</si>
  <si>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</si>
  <si>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</si>
  <si>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</si>
  <si>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</si>
  <si>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</si>
  <si>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</si>
  <si>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</si>
  <si>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</si>
  <si>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</si>
  <si>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</si>
  <si>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</si>
  <si>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</si>
  <si>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</si>
  <si>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</si>
  <si>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</si>
  <si>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</si>
  <si>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</si>
  <si>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</si>
  <si>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</si>
  <si>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</si>
  <si>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</si>
  <si>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</si>
  <si>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</si>
  <si>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</si>
  <si>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</si>
  <si>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</si>
  <si>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</si>
  <si>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</si>
  <si>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</si>
  <si>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</si>
  <si>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</si>
  <si>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</si>
  <si>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</si>
  <si>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</si>
  <si>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</si>
  <si>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</si>
  <si>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</si>
  <si>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</si>
  <si>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</si>
  <si>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</si>
  <si>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</si>
  <si>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</si>
  <si>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</si>
  <si>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</si>
  <si>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</si>
  <si>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</si>
  <si>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</si>
  <si>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</si>
  <si>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</si>
  <si>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</si>
  <si>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</si>
  <si>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</si>
  <si>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</si>
  <si>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</si>
  <si>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</si>
  <si>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</si>
  <si>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</si>
  <si>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</si>
  <si>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</si>
  <si>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</si>
  <si>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</si>
  <si>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</si>
  <si>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</si>
  <si>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</si>
  <si>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</si>
  <si>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</si>
  <si>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</si>
  <si>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</si>
  <si>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</si>
  <si>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</si>
  <si>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</si>
  <si>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</si>
  <si>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</si>
  <si>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</si>
  <si>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</si>
  <si>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</si>
  <si>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</si>
  <si>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</si>
  <si>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</si>
  <si>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</si>
  <si>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</si>
  <si>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</si>
  <si>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</si>
  <si>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</si>
  <si>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</si>
  <si>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</si>
  <si>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</si>
  <si>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</si>
  <si>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</si>
  <si>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</si>
  <si>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</si>
  <si>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</si>
  <si>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</si>
  <si>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</si>
  <si>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</si>
  <si>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</si>
  <si>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</si>
  <si>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</si>
  <si>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</si>
  <si>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</si>
  <si>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</si>
  <si>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</si>
  <si>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</si>
  <si>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</si>
  <si>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</si>
  <si>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</si>
  <si>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</si>
  <si>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</si>
  <si>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</si>
  <si>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</si>
  <si>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</si>
  <si>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</si>
  <si>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</si>
  <si>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</si>
  <si>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</si>
  <si>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</si>
  <si>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</si>
  <si>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</si>
  <si>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</si>
  <si>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</si>
  <si>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</si>
  <si>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</si>
  <si>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</si>
  <si>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</si>
  <si>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</si>
  <si>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</si>
  <si>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</si>
  <si>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</si>
  <si>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</si>
  <si>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</si>
  <si>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</si>
  <si>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</si>
  <si>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</si>
  <si>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</si>
  <si>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</si>
  <si>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</si>
  <si>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</si>
  <si>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</si>
  <si>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</si>
  <si>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</si>
  <si>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</si>
  <si>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</si>
  <si>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</si>
  <si>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</si>
  <si>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</si>
  <si>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</si>
  <si>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</si>
  <si>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</si>
  <si>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</si>
  <si>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</si>
  <si>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</si>
  <si>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</si>
  <si>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</si>
  <si>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</si>
  <si>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</si>
  <si>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</si>
  <si>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</si>
  <si>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</si>
  <si>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</si>
  <si>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</si>
  <si>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</si>
  <si>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</si>
  <si>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</si>
  <si>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</si>
  <si>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</si>
  <si>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</si>
  <si>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</si>
  <si>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</si>
  <si>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</si>
  <si>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</si>
  <si>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</si>
  <si>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</si>
  <si>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</si>
  <si>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</si>
  <si>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</si>
  <si>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</si>
  <si>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</si>
  <si>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</si>
  <si>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</si>
  <si>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</si>
  <si>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</si>
  <si>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</si>
  <si>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</si>
  <si>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</si>
  <si>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</si>
  <si>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</si>
  <si>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</si>
  <si>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</si>
  <si>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</si>
  <si>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</si>
  <si>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</si>
  <si>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</si>
  <si>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</si>
  <si>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</si>
  <si>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</si>
  <si>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</si>
  <si>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</si>
  <si>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</si>
  <si>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</si>
  <si>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</si>
  <si>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</si>
  <si>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</si>
  <si>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</si>
  <si>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</si>
  <si>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</si>
  <si>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</si>
  <si>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</si>
  <si>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</si>
  <si>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</si>
  <si>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</si>
  <si>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</si>
  <si>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</si>
  <si>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</si>
  <si>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</si>
  <si>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</si>
  <si>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</si>
  <si>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</si>
  <si>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</si>
  <si>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</si>
  <si>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</si>
  <si>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</si>
  <si>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</si>
  <si>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</si>
  <si>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</si>
  <si>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</si>
  <si>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</si>
  <si>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</si>
  <si>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</si>
  <si>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</si>
  <si>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</si>
  <si>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</si>
  <si>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</si>
  <si>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</si>
  <si>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</si>
  <si>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</si>
  <si>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</si>
  <si>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</si>
  <si>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</si>
  <si>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</si>
  <si>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</si>
  <si>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</si>
  <si>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</si>
  <si>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</si>
  <si>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</si>
  <si>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</si>
  <si>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</si>
  <si>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</si>
  <si>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</si>
  <si>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</si>
  <si>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</si>
  <si>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</si>
  <si>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</si>
  <si>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</si>
  <si>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</si>
  <si>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</si>
  <si>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</si>
  <si>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</si>
  <si>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</si>
  <si>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</si>
  <si>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</si>
  <si>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</si>
  <si>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</si>
  <si>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</si>
  <si>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</si>
  <si>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</si>
  <si>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</si>
  <si>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</si>
  <si>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</si>
  <si>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</si>
  <si>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</si>
  <si>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</si>
  <si>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</si>
  <si>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</si>
  <si>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</si>
  <si>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</si>
  <si>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</si>
  <si>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</si>
  <si>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</si>
  <si>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</si>
  <si>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</si>
  <si>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</si>
  <si>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</si>
  <si>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</si>
  <si>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</si>
  <si>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</si>
  <si>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</si>
  <si>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</si>
  <si>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</si>
  <si>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</si>
  <si>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</si>
  <si>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</si>
  <si>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</si>
  <si>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</si>
  <si>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</si>
  <si>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</si>
  <si>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</si>
  <si>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</si>
  <si>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</si>
  <si>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</si>
  <si>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</si>
  <si>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</si>
  <si>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</si>
  <si>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</si>
  <si>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</si>
  <si>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</si>
  <si>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</si>
  <si>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</si>
  <si>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</si>
  <si>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</si>
  <si>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</si>
  <si>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</si>
  <si>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</si>
  <si>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</si>
  <si>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</si>
  <si>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</si>
  <si>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</si>
  <si>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</si>
  <si>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</si>
  <si>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</si>
  <si>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</si>
  <si>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</si>
  <si>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</si>
  <si>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</si>
  <si>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</si>
  <si>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</si>
  <si>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</si>
  <si>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</si>
  <si>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</si>
  <si>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</si>
  <si>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</si>
  <si>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</si>
  <si>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</si>
  <si>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</si>
  <si>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</si>
  <si>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</si>
  <si>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</si>
  <si>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</si>
  <si>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</si>
  <si>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</si>
  <si>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</si>
  <si>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</si>
  <si>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</si>
  <si>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</si>
  <si>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</si>
  <si>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</si>
  <si>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</si>
  <si>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</si>
  <si>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</si>
  <si>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</si>
  <si>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</si>
  <si>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</si>
  <si>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</si>
  <si>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</si>
  <si>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</si>
  <si>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</si>
  <si>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</si>
  <si>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</si>
  <si>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</si>
  <si>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</si>
  <si>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</si>
  <si>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</si>
  <si>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</si>
  <si>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</si>
  <si>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</si>
  <si>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</si>
  <si>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</si>
  <si>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</si>
  <si>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</si>
  <si>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</si>
  <si>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</si>
  <si>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</si>
  <si>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</si>
  <si>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</si>
  <si>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</si>
  <si>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</si>
  <si>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</si>
  <si>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</si>
  <si>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</si>
  <si>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</si>
  <si>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</si>
  <si>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</si>
  <si>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</si>
  <si>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</si>
  <si>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</si>
  <si>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</si>
  <si>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</si>
  <si>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</si>
  <si>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</si>
  <si>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</si>
  <si>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</si>
  <si>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</si>
  <si>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</si>
  <si>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</si>
  <si>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</si>
  <si>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</si>
  <si>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</si>
  <si>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</si>
  <si>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</si>
  <si>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</si>
  <si>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</si>
  <si>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</si>
  <si>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</si>
  <si>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</si>
  <si>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</si>
  <si>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</si>
  <si>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</si>
  <si>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</si>
  <si>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</si>
  <si>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</si>
  <si>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</si>
  <si>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</si>
  <si>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</si>
  <si>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</si>
  <si>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</si>
  <si>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</si>
  <si>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</si>
  <si>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</si>
  <si>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</si>
  <si>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</si>
  <si>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</si>
  <si>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</si>
  <si>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</si>
  <si>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</si>
  <si>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</si>
  <si>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</si>
  <si>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</si>
  <si>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</si>
  <si>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</si>
  <si>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</si>
  <si>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</si>
  <si>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</si>
  <si>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</si>
  <si>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</si>
  <si>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</si>
  <si>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</si>
  <si>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</si>
  <si>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</si>
  <si>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</si>
  <si>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</si>
  <si>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</si>
  <si>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</si>
  <si>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</si>
  <si>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</si>
  <si>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</si>
  <si>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</si>
  <si>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</si>
  <si>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</si>
  <si>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</si>
  <si>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</si>
  <si>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</si>
  <si>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</si>
  <si>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</si>
  <si>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</si>
  <si>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</si>
  <si>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</si>
  <si>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</si>
  <si>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</si>
  <si>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</si>
  <si>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</si>
  <si>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</si>
  <si>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</si>
  <si>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</si>
  <si>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</si>
  <si>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</si>
  <si>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</si>
  <si>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</si>
  <si>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</si>
  <si>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</si>
  <si>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</si>
  <si>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</si>
  <si>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</si>
  <si>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</si>
  <si>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</si>
  <si>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</si>
  <si>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</si>
  <si>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</si>
  <si>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</si>
  <si>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</si>
  <si>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</si>
  <si>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</si>
  <si>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</si>
  <si>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</si>
  <si>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</si>
  <si>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</si>
  <si>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</si>
  <si>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</si>
  <si>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</si>
  <si>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</si>
  <si>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</si>
  <si>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</si>
  <si>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</si>
  <si>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</si>
  <si>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</si>
  <si>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</si>
  <si>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</si>
  <si>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</si>
  <si>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</si>
  <si>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</si>
  <si>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</si>
  <si>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</si>
  <si>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</si>
  <si>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</si>
  <si>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</si>
  <si>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</si>
  <si>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</si>
  <si>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</si>
  <si>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</si>
  <si>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</si>
  <si>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</si>
  <si>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</si>
  <si>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</si>
  <si>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</si>
  <si>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</si>
  <si>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</si>
  <si>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</si>
  <si>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</si>
  <si>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</si>
  <si>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</si>
  <si>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</si>
  <si>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</si>
  <si>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</si>
  <si>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</si>
  <si>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</si>
  <si>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</si>
  <si>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</si>
  <si>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</si>
  <si>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</si>
  <si>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</si>
  <si>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</si>
  <si>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</si>
  <si>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</si>
  <si>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</si>
  <si>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</si>
  <si>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</si>
  <si>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</si>
  <si>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</si>
  <si>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</si>
  <si>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</si>
  <si>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</si>
  <si>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</si>
  <si>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</si>
  <si>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</si>
  <si>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</si>
  <si>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</si>
  <si>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</si>
  <si>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</si>
  <si>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</si>
  <si>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</si>
  <si>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</si>
  <si>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</si>
  <si>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</si>
  <si>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</si>
  <si>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</si>
  <si>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</si>
  <si>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</si>
  <si>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</si>
  <si>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</si>
  <si>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</si>
  <si>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</si>
  <si>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</si>
  <si>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</si>
  <si>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</si>
  <si>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</si>
  <si>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</si>
  <si>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</si>
  <si>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</si>
  <si>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</si>
  <si>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</si>
  <si>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</si>
  <si>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</si>
  <si>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</si>
  <si>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</si>
  <si>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</si>
  <si>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</si>
  <si>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</si>
  <si>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</si>
  <si>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</si>
  <si>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</si>
  <si>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</si>
  <si>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</si>
  <si>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</si>
  <si>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</si>
  <si>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</si>
  <si>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</si>
  <si>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</si>
  <si>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</si>
  <si>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</si>
  <si>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</si>
  <si>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</si>
  <si>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</si>
  <si>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</si>
  <si>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</si>
  <si>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</si>
  <si>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</si>
  <si>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</si>
  <si>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</si>
  <si>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</si>
  <si>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</si>
  <si>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</si>
  <si>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</si>
  <si>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</si>
  <si>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</si>
  <si>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</si>
  <si>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</si>
  <si>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</si>
  <si>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</si>
  <si>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</si>
  <si>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</si>
  <si>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</si>
  <si>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</si>
  <si>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</si>
  <si>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</si>
  <si>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</si>
  <si>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</si>
  <si>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</si>
  <si>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</si>
  <si>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</si>
  <si>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</si>
  <si>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</si>
  <si>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</si>
  <si>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</si>
  <si>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</si>
  <si>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</si>
  <si>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</si>
  <si>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</si>
  <si>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</si>
  <si>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</si>
  <si>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</si>
  <si>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</si>
  <si>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</si>
  <si>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</si>
  <si>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</si>
  <si>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</si>
  <si>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</si>
  <si>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</si>
  <si>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</si>
  <si>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</si>
  <si>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</si>
  <si>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</si>
  <si>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</si>
  <si>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</si>
  <si>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</si>
  <si>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</si>
  <si>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</si>
  <si>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</si>
  <si>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</si>
  <si>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</si>
  <si>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</si>
  <si>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</si>
  <si>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</si>
  <si>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</si>
  <si>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</si>
  <si>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</si>
  <si>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</si>
  <si>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</si>
  <si>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</si>
  <si>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</si>
  <si>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</si>
  <si>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</si>
  <si>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</si>
  <si>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</si>
  <si>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</si>
  <si>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</si>
  <si>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</si>
  <si>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</si>
  <si>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</si>
  <si>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</si>
  <si>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</si>
  <si>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</si>
  <si>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</si>
  <si>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</si>
  <si>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</si>
  <si>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</si>
  <si>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</si>
  <si>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</si>
  <si>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</si>
  <si>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</si>
  <si>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</si>
  <si>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</si>
  <si>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</si>
  <si>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</si>
  <si>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</si>
  <si>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</si>
  <si>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</si>
  <si>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</si>
  <si>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</si>
  <si>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</si>
  <si>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</si>
  <si>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</si>
  <si>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</si>
  <si>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</si>
  <si>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</si>
  <si>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</si>
  <si>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</si>
  <si>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</si>
  <si>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</si>
  <si>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</si>
  <si>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</si>
  <si>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</si>
  <si>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</si>
  <si>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</si>
  <si>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</si>
  <si>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</si>
  <si>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</si>
  <si>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</si>
  <si>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</si>
  <si>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</si>
  <si>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</si>
  <si>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</si>
  <si>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</si>
  <si>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</si>
  <si>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</si>
  <si>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</si>
  <si>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</si>
  <si>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</si>
  <si>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</si>
  <si>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</si>
  <si>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</si>
  <si>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</si>
  <si>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</si>
  <si>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</si>
  <si>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</si>
  <si>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</si>
  <si>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</si>
  <si>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</si>
  <si>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</si>
  <si>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</si>
  <si>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</si>
  <si>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</si>
  <si>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</si>
  <si>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</si>
  <si>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</si>
  <si>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</si>
  <si>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</si>
  <si>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</si>
  <si>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</si>
  <si>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</si>
  <si>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</si>
  <si>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</si>
  <si>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</si>
  <si>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</si>
  <si>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</si>
  <si>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</si>
  <si>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</si>
  <si>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</si>
  <si>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</si>
  <si>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</si>
  <si>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</si>
  <si>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</si>
  <si>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</si>
  <si>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</si>
  <si>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</si>
  <si>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</si>
  <si>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</si>
  <si>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</si>
  <si>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</si>
  <si>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</si>
  <si>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</si>
  <si>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</si>
  <si>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</si>
  <si>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</si>
  <si>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</si>
  <si>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</si>
  <si>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</si>
  <si>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</si>
  <si>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</si>
  <si>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</si>
  <si>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</si>
  <si>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</si>
  <si>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</si>
  <si>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</si>
  <si>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</si>
  <si>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</si>
  <si>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</si>
  <si>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</si>
  <si>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</si>
  <si>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</si>
  <si>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</si>
  <si>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</si>
  <si>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</si>
  <si>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</si>
  <si>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</si>
  <si>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</si>
  <si>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</si>
  <si>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</si>
  <si>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</si>
  <si>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</si>
  <si>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</si>
  <si>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</si>
  <si>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</si>
  <si>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</si>
  <si>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</si>
  <si>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</si>
  <si>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</si>
  <si>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</si>
  <si>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</si>
  <si>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</si>
  <si>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</si>
  <si>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</si>
  <si>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</si>
  <si>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</si>
  <si>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</si>
  <si>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</si>
  <si>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</si>
  <si>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</si>
  <si>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</si>
  <si>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</si>
  <si>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</si>
  <si>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</si>
  <si>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</si>
  <si>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</si>
  <si>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</si>
  <si>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</si>
  <si>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</si>
  <si>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</si>
  <si>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</si>
  <si>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</si>
  <si>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</si>
  <si>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</si>
  <si>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</si>
  <si>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</si>
  <si>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</si>
  <si>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</si>
  <si>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</si>
  <si>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</si>
  <si>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</si>
  <si>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</si>
  <si>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</si>
  <si>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</si>
  <si>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</si>
  <si>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</si>
  <si>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</si>
  <si>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</si>
  <si>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</si>
  <si>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</si>
  <si>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</si>
  <si>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</si>
  <si>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</si>
  <si>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</si>
  <si>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</si>
  <si>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</si>
  <si>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</si>
  <si>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</si>
  <si>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</si>
  <si>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</si>
  <si>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</si>
  <si>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</si>
  <si>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</si>
  <si>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</si>
  <si>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</si>
  <si>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</si>
  <si>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</si>
  <si>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</si>
  <si>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</si>
  <si>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</si>
  <si>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</si>
  <si>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</si>
  <si>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</si>
  <si>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</si>
  <si>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</si>
  <si>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</si>
  <si>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</si>
  <si>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</si>
  <si>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</si>
  <si>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</si>
  <si>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</si>
  <si>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</si>
  <si>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</si>
  <si>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</si>
  <si>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</si>
  <si>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</si>
  <si>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</si>
  <si>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</si>
  <si>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</si>
  <si>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</si>
  <si>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</si>
  <si>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</si>
  <si>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</si>
  <si>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</si>
  <si>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</si>
  <si>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</si>
  <si>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</si>
  <si>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</si>
  <si>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</si>
  <si>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</si>
  <si>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</si>
  <si>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</si>
  <si>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</si>
  <si>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</si>
  <si>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</si>
  <si>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</si>
  <si>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</si>
  <si>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</si>
  <si>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</si>
  <si>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</si>
  <si>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</si>
  <si>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</si>
  <si>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</si>
  <si>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</si>
  <si>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</si>
  <si>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</si>
  <si>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</si>
  <si>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</si>
  <si>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</si>
  <si>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</si>
  <si>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</si>
  <si>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</si>
  <si>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</si>
  <si>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</si>
  <si>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</si>
  <si>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</si>
  <si>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</si>
  <si>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</si>
  <si>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</si>
  <si>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</si>
  <si>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</si>
  <si>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</si>
  <si>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</si>
  <si>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</si>
  <si>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</si>
  <si>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</si>
  <si>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</si>
  <si>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</si>
  <si>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</si>
  <si>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</si>
  <si>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</si>
  <si>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</si>
  <si>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</si>
  <si>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</si>
  <si>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</si>
  <si>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</si>
  <si>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</si>
  <si>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</si>
  <si>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</si>
  <si>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</si>
  <si>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</si>
  <si>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</si>
  <si>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</si>
  <si>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</si>
  <si>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</si>
  <si>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</si>
  <si>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</si>
  <si>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</si>
  <si>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</si>
  <si>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</si>
  <si>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</si>
  <si>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</si>
  <si>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</si>
  <si>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</si>
  <si>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</si>
  <si>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</si>
  <si>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</si>
  <si>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</si>
  <si>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</si>
  <si>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</si>
  <si>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</si>
  <si>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</si>
  <si>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</si>
  <si>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</si>
  <si>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</si>
  <si>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</si>
  <si>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</si>
  <si>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</si>
  <si>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</si>
  <si>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</si>
  <si>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</si>
  <si>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</si>
  <si>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</si>
  <si>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</si>
  <si>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</si>
  <si>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</si>
  <si>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</si>
  <si>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</si>
  <si>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</si>
  <si>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</si>
  <si>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</si>
  <si>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</si>
  <si>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</si>
  <si>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</si>
  <si>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</si>
  <si>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</si>
  <si>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</si>
  <si>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</si>
  <si>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</si>
  <si>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</si>
  <si>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</si>
  <si>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</si>
  <si>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</si>
  <si>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</si>
  <si>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</si>
  <si>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</si>
  <si>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</si>
  <si>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</si>
  <si>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</si>
  <si>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</si>
  <si>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</si>
  <si>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</si>
  <si>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</si>
  <si>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</si>
  <si>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</si>
  <si>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</si>
  <si>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</si>
  <si>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</si>
  <si>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</si>
  <si>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</si>
  <si>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</si>
  <si>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</si>
  <si>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</si>
  <si>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</si>
  <si>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</si>
  <si>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</si>
  <si>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</si>
  <si>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</si>
  <si>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</si>
  <si>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</si>
  <si>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</si>
  <si>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</si>
  <si>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</si>
  <si>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</si>
  <si>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</si>
  <si>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</si>
  <si>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</si>
  <si>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</si>
  <si>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</si>
  <si>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</si>
  <si>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</si>
  <si>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</si>
  <si>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</si>
  <si>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</si>
  <si>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</si>
  <si>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</si>
  <si>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</si>
  <si>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</si>
  <si>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</si>
  <si>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</si>
  <si>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</si>
  <si>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</si>
  <si>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</si>
  <si>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</si>
  <si>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</si>
  <si>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</si>
  <si>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</si>
  <si>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</si>
  <si>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</si>
  <si>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</si>
  <si>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</si>
  <si>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</si>
  <si>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</si>
  <si>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</si>
  <si>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</si>
  <si>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</si>
  <si>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</si>
  <si>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</si>
  <si>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</si>
  <si>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</si>
  <si>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</si>
  <si>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</si>
  <si>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</si>
  <si>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</si>
  <si>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</si>
  <si>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</si>
  <si>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</si>
  <si>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</si>
  <si>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</si>
  <si>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</si>
  <si>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</si>
  <si>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</si>
  <si>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</si>
  <si>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</si>
  <si>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</si>
  <si>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7 - CEF 02 da Estrutural</t>
  </si>
  <si>
    <t>08/10/2026</t>
  </si>
  <si>
    <t>2026-062</t>
  </si>
  <si>
    <t>TCendo o Futuro 8 - EC 16 da Ceilândia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</si>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</sst>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3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7" totalsRowShown="0" headerRowDxfId="52" dataDxfId="51" totalsRowDxfId="50" totalsRowBorderDxfId="49">
  <autoFilter ref="A1:U2007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729" activePane="bottomLeft" state="frozen"/>
      <selection pane="bottomLeft" activeCell="Q2008" sqref="Q2008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hidden="1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hidden="1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5" hidden="1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1499</v>
      </c>
    </row>
    <row r="5" spans="1:23" ht="15" hidden="1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hidden="1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hidden="1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hidden="1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hidden="1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hidden="1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hidden="1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hidden="1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hidden="1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hidden="1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hidden="1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hidden="1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hidden="1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hidden="1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hidden="1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hidden="1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hidden="1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hidden="1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hidden="1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hidden="1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hidden="1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hidden="1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hidden="1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hidden="1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hidden="1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hidden="1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hidden="1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hidden="1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hidden="1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hidden="1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hidden="1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hidden="1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hidden="1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hidden="1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hidden="1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hidden="1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hidden="1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hidden="1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hidden="1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hidden="1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hidden="1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hidden="1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hidden="1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hidden="1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hidden="1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hidden="1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hidden="1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hidden="1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hidden="1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hidden="1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hidden="1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hidden="1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hidden="1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hidden="1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hidden="1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hidden="1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hidden="1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hidden="1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hidden="1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hidden="1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hidden="1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hidden="1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hidden="1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hidden="1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hidden="1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hidden="1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hidden="1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hidden="1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hidden="1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hidden="1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hidden="1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hidden="1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hidden="1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hidden="1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hidden="1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hidden="1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hidden="1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hidden="1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hidden="1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hidden="1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hidden="1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hidden="1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hidden="1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hidden="1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hidden="1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hidden="1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hidden="1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hidden="1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hidden="1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hidden="1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hidden="1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hidden="1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hidden="1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hidden="1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hidden="1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hidden="1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hidden="1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hidden="1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hidden="1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hidden="1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hidden="1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hidden="1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hidden="1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hidden="1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hidden="1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hidden="1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hidden="1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hidden="1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hidden="1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hidden="1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hidden="1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hidden="1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hidden="1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hidden="1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hidden="1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hidden="1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hidden="1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hidden="1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hidden="1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hidden="1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hidden="1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hidden="1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hidden="1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hidden="1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hidden="1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hidden="1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hidden="1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hidden="1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hidden="1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hidden="1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hidden="1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hidden="1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hidden="1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hidden="1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hidden="1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hidden="1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hidden="1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hidden="1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hidden="1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hidden="1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hidden="1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hidden="1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hidden="1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hidden="1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hidden="1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hidden="1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hidden="1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hidden="1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hidden="1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hidden="1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hidden="1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hidden="1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hidden="1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hidden="1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hidden="1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hidden="1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hidden="1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hidden="1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hidden="1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hidden="1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hidden="1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hidden="1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hidden="1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hidden="1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hidden="1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hidden="1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hidden="1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hidden="1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hidden="1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hidden="1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hidden="1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hidden="1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hidden="1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hidden="1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hidden="1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hidden="1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hidden="1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hidden="1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hidden="1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hidden="1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hidden="1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hidden="1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hidden="1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hidden="1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hidden="1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hidden="1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hidden="1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hidden="1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hidden="1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hidden="1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hidden="1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hidden="1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hidden="1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hidden="1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hidden="1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hidden="1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hidden="1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hidden="1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hidden="1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hidden="1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hidden="1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hidden="1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hidden="1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hidden="1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hidden="1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hidden="1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hidden="1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hidden="1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hidden="1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hidden="1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hidden="1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hidden="1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hidden="1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hidden="1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hidden="1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hidden="1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hidden="1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hidden="1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hidden="1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hidden="1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hidden="1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hidden="1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hidden="1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hidden="1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hidden="1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hidden="1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hidden="1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hidden="1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hidden="1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hidden="1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hidden="1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hidden="1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hidden="1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hidden="1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hidden="1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hidden="1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hidden="1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hidden="1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hidden="1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hidden="1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hidden="1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hidden="1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hidden="1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hidden="1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hidden="1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hidden="1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hidden="1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hidden="1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hidden="1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hidden="1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hidden="1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hidden="1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hidden="1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hidden="1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hidden="1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hidden="1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hidden="1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hidden="1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hidden="1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hidden="1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hidden="1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hidden="1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hidden="1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hidden="1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hidden="1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hidden="1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hidden="1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hidden="1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hidden="1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hidden="1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hidden="1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hidden="1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hidden="1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hidden="1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hidden="1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hidden="1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hidden="1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hidden="1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hidden="1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hidden="1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hidden="1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hidden="1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hidden="1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hidden="1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hidden="1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hidden="1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hidden="1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hidden="1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hidden="1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hidden="1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hidden="1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hidden="1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hidden="1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hidden="1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hidden="1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hidden="1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hidden="1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hidden="1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hidden="1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hidden="1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hidden="1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hidden="1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hidden="1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hidden="1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hidden="1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hidden="1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hidden="1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hidden="1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hidden="1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hidden="1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hidden="1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hidden="1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hidden="1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hidden="1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hidden="1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hidden="1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hidden="1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hidden="1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hidden="1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hidden="1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hidden="1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hidden="1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hidden="1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hidden="1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hidden="1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hidden="1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hidden="1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hidden="1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hidden="1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hidden="1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hidden="1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hidden="1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hidden="1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hidden="1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hidden="1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hidden="1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hidden="1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hidden="1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hidden="1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hidden="1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hidden="1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hidden="1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hidden="1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hidden="1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hidden="1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hidden="1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hidden="1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hidden="1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hidden="1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hidden="1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hidden="1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hidden="1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hidden="1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hidden="1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hidden="1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hidden="1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hidden="1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hidden="1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hidden="1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hidden="1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hidden="1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hidden="1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hidden="1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hidden="1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hidden="1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hidden="1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hidden="1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hidden="1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hidden="1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hidden="1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hidden="1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hidden="1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hidden="1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hidden="1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hidden="1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hidden="1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hidden="1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hidden="1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hidden="1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hidden="1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hidden="1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hidden="1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hidden="1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hidden="1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hidden="1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hidden="1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hidden="1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hidden="1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hidden="1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hidden="1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hidden="1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hidden="1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hidden="1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hidden="1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hidden="1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hidden="1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hidden="1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hidden="1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hidden="1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hidden="1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hidden="1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hidden="1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hidden="1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hidden="1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hidden="1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hidden="1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hidden="1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hidden="1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hidden="1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hidden="1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hidden="1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hidden="1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hidden="1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hidden="1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hidden="1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hidden="1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hidden="1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hidden="1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hidden="1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hidden="1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hidden="1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hidden="1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hidden="1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hidden="1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hidden="1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hidden="1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hidden="1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hidden="1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hidden="1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hidden="1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hidden="1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hidden="1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hidden="1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hidden="1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hidden="1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hidden="1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hidden="1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hidden="1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hidden="1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hidden="1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hidden="1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hidden="1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hidden="1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hidden="1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hidden="1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hidden="1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hidden="1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hidden="1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hidden="1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hidden="1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hidden="1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hidden="1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hidden="1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hidden="1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hidden="1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hidden="1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hidden="1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hidden="1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hidden="1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hidden="1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hidden="1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hidden="1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hidden="1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hidden="1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hidden="1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hidden="1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hidden="1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hidden="1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hidden="1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hidden="1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hidden="1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hidden="1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hidden="1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hidden="1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hidden="1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hidden="1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hidden="1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hidden="1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hidden="1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hidden="1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hidden="1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hidden="1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hidden="1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hidden="1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hidden="1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hidden="1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hidden="1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hidden="1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hidden="1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hidden="1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hidden="1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hidden="1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hidden="1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hidden="1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hidden="1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hidden="1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hidden="1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hidden="1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hidden="1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hidden="1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hidden="1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hidden="1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hidden="1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hidden="1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hidden="1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hidden="1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hidden="1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hidden="1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hidden="1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hidden="1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hidden="1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hidden="1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hidden="1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hidden="1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hidden="1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hidden="1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hidden="1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hidden="1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hidden="1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hidden="1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hidden="1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hidden="1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hidden="1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hidden="1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hidden="1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hidden="1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hidden="1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hidden="1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hidden="1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hidden="1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hidden="1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hidden="1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hidden="1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hidden="1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hidden="1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hidden="1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hidden="1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hidden="1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hidden="1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hidden="1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hidden="1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hidden="1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hidden="1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hidden="1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hidden="1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hidden="1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hidden="1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hidden="1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hidden="1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hidden="1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hidden="1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hidden="1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hidden="1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hidden="1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hidden="1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hidden="1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hidden="1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hidden="1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hidden="1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hidden="1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hidden="1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hidden="1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hidden="1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hidden="1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hidden="1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hidden="1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hidden="1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hidden="1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hidden="1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hidden="1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hidden="1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hidden="1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hidden="1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hidden="1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hidden="1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hidden="1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hidden="1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hidden="1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hidden="1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hidden="1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hidden="1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hidden="1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hidden="1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hidden="1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hidden="1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hidden="1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hidden="1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hidden="1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hidden="1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hidden="1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hidden="1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hidden="1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hidden="1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hidden="1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hidden="1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hidden="1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hidden="1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hidden="1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hidden="1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hidden="1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hidden="1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hidden="1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hidden="1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hidden="1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hidden="1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hidden="1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hidden="1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hidden="1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hidden="1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hidden="1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hidden="1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hidden="1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hidden="1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hidden="1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hidden="1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hidden="1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hidden="1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hidden="1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hidden="1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hidden="1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hidden="1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hidden="1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hidden="1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hidden="1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hidden="1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hidden="1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hidden="1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hidden="1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hidden="1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hidden="1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hidden="1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hidden="1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hidden="1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hidden="1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hidden="1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hidden="1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hidden="1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hidden="1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hidden="1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hidden="1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hidden="1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hidden="1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hidden="1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hidden="1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hidden="1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hidden="1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hidden="1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hidden="1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hidden="1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hidden="1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x14ac:dyDescent="0.25">
      <c r="A662" s="155" t="s">
        <v>2710</v>
      </c>
      <c r="B662" s="117">
        <v>2026</v>
      </c>
      <c r="C662" s="153" t="s">
        <v>2711</v>
      </c>
      <c r="D662" s="153" t="s">
        <v>2712</v>
      </c>
      <c r="E662" s="158" t="s">
        <v>2713</v>
      </c>
      <c r="F662" s="169" t="s">
        <v>70</v>
      </c>
      <c r="G662" s="154" t="s">
        <v>80</v>
      </c>
      <c r="H662" s="155"/>
      <c r="I662" s="189"/>
      <c r="J662" s="189"/>
      <c r="K662" s="153" t="s">
        <v>39</v>
      </c>
      <c r="L662" s="159"/>
      <c r="M662" s="181"/>
      <c r="N662" s="157"/>
      <c r="O662" s="157"/>
      <c r="P662" s="157"/>
      <c r="Q662" s="157"/>
      <c r="R662" s="157">
        <f>IF(B662="","",SUM(O662:Q662))</f>
        <v>0</v>
      </c>
      <c r="S662" s="153">
        <v>9.66</v>
      </c>
      <c r="T662" s="154" t="s">
        <v>2714</v>
      </c>
      <c r="U662" s="210"/>
    </row>
    <row r="663" spans="1:21" ht="30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x14ac:dyDescent="0.25">
      <c r="A677" s="121" t="s">
        <v>2777</v>
      </c>
      <c r="B677" s="117">
        <v>2026</v>
      </c>
      <c r="C677" s="193" t="s">
        <v>2697</v>
      </c>
      <c r="D677" s="193" t="s">
        <v>2778</v>
      </c>
      <c r="E677" s="158" t="s">
        <v>2779</v>
      </c>
      <c r="F677" s="169" t="s">
        <v>70</v>
      </c>
      <c r="G677" s="194" t="s">
        <v>2694</v>
      </c>
      <c r="H677" s="164" t="s">
        <v>2701</v>
      </c>
      <c r="I677" s="195">
        <v>46157</v>
      </c>
      <c r="J677" s="195">
        <v>46387</v>
      </c>
      <c r="K677" s="153" t="s">
        <v>39</v>
      </c>
      <c r="L677" s="196">
        <v>45905.42</v>
      </c>
      <c r="M677" s="197"/>
      <c r="N677" s="198"/>
      <c r="O677" s="198">
        <v>0</v>
      </c>
      <c r="P677" s="198">
        <v>0</v>
      </c>
      <c r="Q677" s="198">
        <v>0</v>
      </c>
      <c r="R677" s="198">
        <f>IF(B677="","",SUM(O677:Q677))</f>
        <v>0</v>
      </c>
      <c r="S677" s="193">
        <v>65</v>
      </c>
      <c r="T677" s="154" t="s">
        <v>2745</v>
      </c>
      <c r="U677" s="210"/>
    </row>
    <row r="678" spans="1:21" ht="15" x14ac:dyDescent="0.25">
      <c r="A678" s="155" t="s">
        <v>2780</v>
      </c>
      <c r="B678" s="117">
        <v>2026</v>
      </c>
      <c r="C678" s="193" t="s">
        <v>23</v>
      </c>
      <c r="D678" s="193" t="s">
        <v>2781</v>
      </c>
      <c r="E678" s="158" t="s">
        <v>2782</v>
      </c>
      <c r="F678" s="169" t="s">
        <v>70</v>
      </c>
      <c r="G678" s="194" t="s">
        <v>80</v>
      </c>
      <c r="H678" s="164" t="s">
        <v>2783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x14ac:dyDescent="0.25">
      <c r="A679" s="155" t="s">
        <v>2784</v>
      </c>
      <c r="B679" s="117">
        <v>2026</v>
      </c>
      <c r="C679" s="193" t="s">
        <v>23</v>
      </c>
      <c r="D679" s="193" t="s">
        <v>2785</v>
      </c>
      <c r="E679" s="199" t="s">
        <v>2786</v>
      </c>
      <c r="F679" s="169" t="s">
        <v>70</v>
      </c>
      <c r="G679" s="154" t="s">
        <v>80</v>
      </c>
      <c r="H679" s="164" t="s">
        <v>2787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2788</v>
      </c>
      <c r="U679" s="210"/>
    </row>
    <row r="680" spans="1:21" ht="15" hidden="1" x14ac:dyDescent="0.25">
      <c r="A680" s="121" t="s">
        <v>2789</v>
      </c>
      <c r="B680" s="117">
        <v>2026</v>
      </c>
      <c r="C680" s="149" t="s">
        <v>2790</v>
      </c>
      <c r="D680" s="136" t="s">
        <v>2791</v>
      </c>
      <c r="E680" s="137" t="s">
        <v>2792</v>
      </c>
      <c r="F680" s="119" t="s">
        <v>25</v>
      </c>
      <c r="G680" s="120" t="s">
        <v>2793</v>
      </c>
      <c r="H680" s="139" t="s">
        <v>2794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2795</v>
      </c>
      <c r="U680" s="210"/>
    </row>
    <row r="681" spans="1:21" ht="15" x14ac:dyDescent="0.25">
      <c r="A681" s="155" t="s">
        <v>2796</v>
      </c>
      <c r="B681" s="117">
        <v>2026</v>
      </c>
      <c r="C681" s="149" t="s">
        <v>23</v>
      </c>
      <c r="D681" s="136" t="s">
        <v>2791</v>
      </c>
      <c r="E681" s="137" t="s">
        <v>2797</v>
      </c>
      <c r="F681" s="119" t="s">
        <v>25</v>
      </c>
      <c r="G681" s="138" t="s">
        <v>2793</v>
      </c>
      <c r="H681" s="139" t="s">
        <v>2798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2795</v>
      </c>
      <c r="U681" s="210"/>
    </row>
    <row r="682" spans="1:21" ht="15" hidden="1" x14ac:dyDescent="0.25">
      <c r="A682" s="155" t="s">
        <v>2799</v>
      </c>
      <c r="B682" s="117">
        <v>2026</v>
      </c>
      <c r="C682" s="193" t="s">
        <v>2790</v>
      </c>
      <c r="D682" s="136" t="s">
        <v>2791</v>
      </c>
      <c r="E682" s="137" t="s">
        <v>2797</v>
      </c>
      <c r="F682" s="169" t="s">
        <v>25</v>
      </c>
      <c r="G682" s="194" t="s">
        <v>2793</v>
      </c>
      <c r="H682" s="164" t="s">
        <v>2800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2795</v>
      </c>
      <c r="U682" s="210"/>
    </row>
    <row r="683" spans="1:21" ht="15" x14ac:dyDescent="0.25">
      <c r="A683" s="121" t="s">
        <v>2801</v>
      </c>
      <c r="B683" s="117">
        <v>2026</v>
      </c>
      <c r="C683" s="136" t="s">
        <v>23</v>
      </c>
      <c r="D683" s="136" t="s">
        <v>2802</v>
      </c>
      <c r="E683" s="137" t="s">
        <v>2803</v>
      </c>
      <c r="F683" s="119" t="s">
        <v>25</v>
      </c>
      <c r="G683" s="120" t="s">
        <v>43</v>
      </c>
      <c r="H683" s="170" t="s">
        <v>2804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2805</v>
      </c>
      <c r="U683" s="210"/>
    </row>
    <row r="684" spans="1:21" ht="15" x14ac:dyDescent="0.25">
      <c r="A684" s="155" t="s">
        <v>2806</v>
      </c>
      <c r="B684" s="136">
        <v>2026</v>
      </c>
      <c r="C684" s="149" t="s">
        <v>23</v>
      </c>
      <c r="D684" s="136" t="s">
        <v>2807</v>
      </c>
      <c r="E684" s="137" t="s">
        <v>2808</v>
      </c>
      <c r="F684" s="143" t="s">
        <v>25</v>
      </c>
      <c r="G684" s="138" t="s">
        <v>26</v>
      </c>
      <c r="H684" s="164" t="s">
        <v>2809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2810</v>
      </c>
      <c r="U684" s="210"/>
    </row>
    <row r="685" spans="1:21" ht="15" x14ac:dyDescent="0.25">
      <c r="A685" s="121" t="s">
        <v>2811</v>
      </c>
      <c r="B685" s="136">
        <v>2026</v>
      </c>
      <c r="C685" s="117" t="s">
        <v>23</v>
      </c>
      <c r="D685" s="121" t="s">
        <v>2812</v>
      </c>
      <c r="E685" s="118" t="s">
        <v>2813</v>
      </c>
      <c r="F685" s="119" t="s">
        <v>25</v>
      </c>
      <c r="G685" s="131" t="s">
        <v>2793</v>
      </c>
      <c r="H685" s="121" t="s">
        <v>2814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2795</v>
      </c>
      <c r="U685" s="210"/>
    </row>
    <row r="686" spans="1:21" ht="15" x14ac:dyDescent="0.25">
      <c r="A686" s="121" t="s">
        <v>2815</v>
      </c>
      <c r="B686" s="136">
        <v>2026</v>
      </c>
      <c r="C686" s="117" t="s">
        <v>23</v>
      </c>
      <c r="D686" s="117" t="s">
        <v>2816</v>
      </c>
      <c r="E686" s="118" t="s">
        <v>2817</v>
      </c>
      <c r="F686" s="119" t="s">
        <v>70</v>
      </c>
      <c r="G686" s="120" t="s">
        <v>2694</v>
      </c>
      <c r="H686" s="121" t="s">
        <v>2818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x14ac:dyDescent="0.25">
      <c r="A687" s="155" t="s">
        <v>2819</v>
      </c>
      <c r="B687" s="136">
        <v>2026</v>
      </c>
      <c r="C687" s="117" t="s">
        <v>23</v>
      </c>
      <c r="D687" s="153" t="s">
        <v>2820</v>
      </c>
      <c r="E687" s="158" t="s">
        <v>2821</v>
      </c>
      <c r="F687" s="169" t="s">
        <v>25</v>
      </c>
      <c r="G687" s="154" t="s">
        <v>43</v>
      </c>
      <c r="H687" s="155" t="s">
        <v>2822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x14ac:dyDescent="0.25">
      <c r="A688" s="155" t="s">
        <v>2823</v>
      </c>
      <c r="B688" s="136">
        <v>2026</v>
      </c>
      <c r="C688" s="153" t="s">
        <v>23</v>
      </c>
      <c r="D688" s="153" t="s">
        <v>2824</v>
      </c>
      <c r="E688" s="158" t="s">
        <v>2825</v>
      </c>
      <c r="F688" s="169" t="s">
        <v>70</v>
      </c>
      <c r="G688" s="154" t="s">
        <v>80</v>
      </c>
      <c r="H688" s="155" t="s">
        <v>2826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2827</v>
      </c>
      <c r="U688" s="210"/>
    </row>
    <row r="689" spans="1:21" ht="15" x14ac:dyDescent="0.25">
      <c r="A689" s="121" t="s">
        <v>2828</v>
      </c>
      <c r="B689" s="136">
        <v>2026</v>
      </c>
      <c r="C689" s="117" t="s">
        <v>23</v>
      </c>
      <c r="D689" s="117" t="s">
        <v>2829</v>
      </c>
      <c r="E689" s="118" t="s">
        <v>2830</v>
      </c>
      <c r="F689" s="119" t="s">
        <v>25</v>
      </c>
      <c r="G689" s="131" t="s">
        <v>2700</v>
      </c>
      <c r="H689" s="121" t="s">
        <v>2831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2832</v>
      </c>
      <c r="U689" s="210"/>
    </row>
    <row r="690" spans="1:21" ht="15" x14ac:dyDescent="0.25">
      <c r="A690" s="121" t="s">
        <v>2833</v>
      </c>
      <c r="B690" s="136">
        <v>2026</v>
      </c>
      <c r="C690" s="117" t="s">
        <v>23</v>
      </c>
      <c r="D690" s="117" t="s">
        <v>2829</v>
      </c>
      <c r="E690" s="118" t="s">
        <v>2834</v>
      </c>
      <c r="F690" s="119" t="s">
        <v>25</v>
      </c>
      <c r="G690" s="131" t="s">
        <v>2700</v>
      </c>
      <c r="H690" s="121" t="s">
        <v>2835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2827</v>
      </c>
      <c r="U690" s="210"/>
    </row>
    <row r="691" spans="1:21" ht="15" x14ac:dyDescent="0.25">
      <c r="A691" s="121" t="s">
        <v>2836</v>
      </c>
      <c r="B691" s="136">
        <v>2026</v>
      </c>
      <c r="C691" s="153" t="s">
        <v>23</v>
      </c>
      <c r="D691" s="153" t="s">
        <v>2837</v>
      </c>
      <c r="E691" s="158" t="s">
        <v>2838</v>
      </c>
      <c r="F691" s="169" t="s">
        <v>25</v>
      </c>
      <c r="G691" s="154" t="s">
        <v>2700</v>
      </c>
      <c r="H691" s="155" t="s">
        <v>2839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2827</v>
      </c>
      <c r="U691" s="210"/>
    </row>
    <row r="692" spans="1:21" ht="15" x14ac:dyDescent="0.25">
      <c r="A692" s="155" t="s">
        <v>2840</v>
      </c>
      <c r="B692" s="136">
        <v>2026</v>
      </c>
      <c r="C692" s="153" t="s">
        <v>23</v>
      </c>
      <c r="D692" s="153" t="s">
        <v>2837</v>
      </c>
      <c r="E692" s="158" t="s">
        <v>2841</v>
      </c>
      <c r="F692" s="169" t="s">
        <v>25</v>
      </c>
      <c r="G692" s="154" t="s">
        <v>2700</v>
      </c>
      <c r="H692" s="155" t="s">
        <v>2842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2827</v>
      </c>
      <c r="U692" s="210"/>
    </row>
    <row r="693" spans="1:21" ht="15" x14ac:dyDescent="0.25">
      <c r="A693" s="155" t="s">
        <v>2843</v>
      </c>
      <c r="B693" s="136">
        <v>2026</v>
      </c>
      <c r="C693" s="153" t="s">
        <v>2711</v>
      </c>
      <c r="D693" s="153" t="s">
        <v>2844</v>
      </c>
      <c r="E693" s="158" t="s">
        <v>2845</v>
      </c>
      <c r="F693" s="169" t="s">
        <v>25</v>
      </c>
      <c r="G693" s="154" t="s">
        <v>26</v>
      </c>
      <c r="H693" s="155" t="s">
        <v>2846</v>
      </c>
      <c r="I693" s="189"/>
      <c r="J693" s="189"/>
      <c r="K693" s="153" t="s">
        <v>39</v>
      </c>
      <c r="L693" s="159"/>
      <c r="M693" s="181"/>
      <c r="N693" s="157"/>
      <c r="O693" s="157"/>
      <c r="P693" s="157"/>
      <c r="Q693" s="157"/>
      <c r="R693" s="157">
        <f>IF(B693="","",SUM(O693:Q693))</f>
        <v>0</v>
      </c>
      <c r="S693" s="153">
        <v>20</v>
      </c>
      <c r="T693" s="154" t="s">
        <v>557</v>
      </c>
      <c r="U693" s="210"/>
    </row>
    <row r="694" spans="1:21" ht="15" hidden="1" x14ac:dyDescent="0.25">
      <c r="A694" s="155" t="s">
        <v>2847</v>
      </c>
      <c r="B694" s="136">
        <v>2026</v>
      </c>
      <c r="C694" s="117" t="s">
        <v>2790</v>
      </c>
      <c r="D694" s="153" t="s">
        <v>2848</v>
      </c>
      <c r="E694" s="158" t="s">
        <v>2849</v>
      </c>
      <c r="F694" s="119" t="s">
        <v>70</v>
      </c>
      <c r="G694" s="120" t="s">
        <v>80</v>
      </c>
      <c r="H694" s="155" t="s">
        <v>2850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x14ac:dyDescent="0.25">
      <c r="A695" s="155" t="s">
        <v>2851</v>
      </c>
      <c r="B695" s="136">
        <v>2026</v>
      </c>
      <c r="C695" s="153" t="s">
        <v>2711</v>
      </c>
      <c r="D695" s="153" t="s">
        <v>2852</v>
      </c>
      <c r="E695" s="158" t="s">
        <v>2853</v>
      </c>
      <c r="F695" s="169" t="s">
        <v>70</v>
      </c>
      <c r="G695" s="154" t="s">
        <v>80</v>
      </c>
      <c r="H695" s="155" t="s">
        <v>2854</v>
      </c>
      <c r="I695" s="189">
        <v>46321</v>
      </c>
      <c r="J695" s="189">
        <v>46322</v>
      </c>
      <c r="K695" s="117" t="s">
        <v>28</v>
      </c>
      <c r="L695" s="159"/>
      <c r="M695" s="181"/>
      <c r="N695" s="157">
        <v>170</v>
      </c>
      <c r="O695" s="157"/>
      <c r="P695" s="157"/>
      <c r="Q695" s="157"/>
      <c r="R695" s="157">
        <f>IF(B695="","",SUM(O695:Q695))</f>
        <v>0</v>
      </c>
      <c r="S695" s="153">
        <v>14</v>
      </c>
      <c r="T695" s="120" t="s">
        <v>480</v>
      </c>
      <c r="U695" s="210"/>
    </row>
    <row r="696" spans="1:21" ht="15" x14ac:dyDescent="0.25">
      <c r="A696" s="121" t="s">
        <v>2855</v>
      </c>
      <c r="B696" s="136">
        <v>2026</v>
      </c>
      <c r="C696" s="117" t="s">
        <v>23</v>
      </c>
      <c r="D696" s="117" t="s">
        <v>2856</v>
      </c>
      <c r="E696" s="118" t="s">
        <v>2857</v>
      </c>
      <c r="F696" s="119" t="s">
        <v>70</v>
      </c>
      <c r="G696" s="120" t="s">
        <v>80</v>
      </c>
      <c r="H696" s="121" t="s">
        <v>2858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x14ac:dyDescent="0.25">
      <c r="A697" s="121" t="s">
        <v>2859</v>
      </c>
      <c r="B697" s="136">
        <v>2026</v>
      </c>
      <c r="C697" s="117" t="s">
        <v>23</v>
      </c>
      <c r="D697" s="153" t="s">
        <v>2860</v>
      </c>
      <c r="E697" s="158" t="s">
        <v>2861</v>
      </c>
      <c r="F697" s="119" t="s">
        <v>25</v>
      </c>
      <c r="G697" s="131" t="s">
        <v>2700</v>
      </c>
      <c r="H697" s="155" t="s">
        <v>2862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2827</v>
      </c>
      <c r="U697" s="210"/>
    </row>
    <row r="698" spans="1:21" ht="15" hidden="1" x14ac:dyDescent="0.25">
      <c r="A698" s="155" t="s">
        <v>2863</v>
      </c>
      <c r="B698" s="136">
        <v>2026</v>
      </c>
      <c r="C698" s="153" t="s">
        <v>2790</v>
      </c>
      <c r="D698" s="153" t="s">
        <v>2864</v>
      </c>
      <c r="E698" s="158" t="s">
        <v>2865</v>
      </c>
      <c r="F698" s="169" t="s">
        <v>25</v>
      </c>
      <c r="G698" s="154" t="s">
        <v>76</v>
      </c>
      <c r="H698" s="155" t="s">
        <v>2866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2867</v>
      </c>
      <c r="U698" s="210"/>
    </row>
    <row r="699" spans="1:21" ht="15" x14ac:dyDescent="0.25">
      <c r="A699" s="121" t="s">
        <v>2868</v>
      </c>
      <c r="B699" s="136">
        <v>2026</v>
      </c>
      <c r="C699" s="117" t="s">
        <v>23</v>
      </c>
      <c r="D699" s="117" t="s">
        <v>2869</v>
      </c>
      <c r="E699" s="118" t="s">
        <v>2870</v>
      </c>
      <c r="F699" s="119" t="s">
        <v>25</v>
      </c>
      <c r="G699" s="120" t="s">
        <v>207</v>
      </c>
      <c r="H699" s="121" t="s">
        <v>2871</v>
      </c>
      <c r="I699" s="122">
        <v>46132</v>
      </c>
      <c r="J699" s="122">
        <v>46142</v>
      </c>
      <c r="K699" s="117" t="s">
        <v>39</v>
      </c>
      <c r="L699" s="151"/>
      <c r="M699" s="179"/>
      <c r="N699" s="124"/>
      <c r="O699" s="124"/>
      <c r="P699" s="124"/>
      <c r="Q699" s="124"/>
      <c r="R699" s="124">
        <f>SUM(O699:Q699)</f>
        <v>0</v>
      </c>
      <c r="S699" s="117"/>
      <c r="T699" s="131" t="s">
        <v>2872</v>
      </c>
      <c r="U699" s="210"/>
    </row>
    <row r="700" spans="1:21" ht="15" x14ac:dyDescent="0.25">
      <c r="A700" s="155" t="s">
        <v>2873</v>
      </c>
      <c r="B700" s="136">
        <v>2026</v>
      </c>
      <c r="C700" s="153" t="s">
        <v>23</v>
      </c>
      <c r="D700" s="153" t="s">
        <v>2874</v>
      </c>
      <c r="E700" s="158" t="s">
        <v>2875</v>
      </c>
      <c r="F700" s="169" t="s">
        <v>89</v>
      </c>
      <c r="G700" s="154" t="s">
        <v>2718</v>
      </c>
      <c r="H700" s="155" t="s">
        <v>2876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ref="R700:R711" si="13">IF(B700="","",SUM(O700:Q700))</f>
        <v>42</v>
      </c>
      <c r="S700" s="153">
        <v>12</v>
      </c>
      <c r="T700" s="154" t="s">
        <v>2453</v>
      </c>
      <c r="U700" s="210"/>
    </row>
    <row r="701" spans="1:21" ht="15" x14ac:dyDescent="0.25">
      <c r="A701" s="155" t="s">
        <v>2877</v>
      </c>
      <c r="B701" s="136">
        <v>2026</v>
      </c>
      <c r="C701" s="153" t="s">
        <v>23</v>
      </c>
      <c r="D701" s="153" t="s">
        <v>2878</v>
      </c>
      <c r="E701" s="158" t="s">
        <v>2879</v>
      </c>
      <c r="F701" s="169" t="s">
        <v>25</v>
      </c>
      <c r="G701" s="154" t="s">
        <v>76</v>
      </c>
      <c r="H701" s="155" t="s">
        <v>2880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2810</v>
      </c>
      <c r="U701" s="210"/>
    </row>
    <row r="702" spans="1:21" ht="15" x14ac:dyDescent="0.25">
      <c r="A702" s="155" t="s">
        <v>2881</v>
      </c>
      <c r="B702" s="136">
        <v>2026</v>
      </c>
      <c r="C702" s="153" t="s">
        <v>23</v>
      </c>
      <c r="D702" s="153" t="s">
        <v>2882</v>
      </c>
      <c r="E702" s="158" t="s">
        <v>2883</v>
      </c>
      <c r="F702" s="169" t="s">
        <v>70</v>
      </c>
      <c r="G702" s="154" t="s">
        <v>80</v>
      </c>
      <c r="H702" s="155" t="s">
        <v>2787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2884</v>
      </c>
      <c r="U702" s="210"/>
    </row>
    <row r="703" spans="1:21" ht="15" x14ac:dyDescent="0.25">
      <c r="A703" s="155" t="s">
        <v>2885</v>
      </c>
      <c r="B703" s="136">
        <v>2026</v>
      </c>
      <c r="C703" s="153" t="s">
        <v>23</v>
      </c>
      <c r="D703" s="153" t="s">
        <v>2886</v>
      </c>
      <c r="E703" s="158" t="s">
        <v>2887</v>
      </c>
      <c r="F703" s="169" t="s">
        <v>70</v>
      </c>
      <c r="G703" s="154" t="s">
        <v>80</v>
      </c>
      <c r="H703" s="155" t="s">
        <v>2783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2888</v>
      </c>
      <c r="U703" s="210"/>
    </row>
    <row r="704" spans="1:21" ht="15" x14ac:dyDescent="0.25">
      <c r="A704" s="155" t="s">
        <v>2889</v>
      </c>
      <c r="B704" s="136">
        <v>2026</v>
      </c>
      <c r="C704" s="153" t="s">
        <v>23</v>
      </c>
      <c r="D704" s="153" t="s">
        <v>2890</v>
      </c>
      <c r="E704" s="158" t="s">
        <v>2891</v>
      </c>
      <c r="F704" s="169" t="s">
        <v>70</v>
      </c>
      <c r="G704" s="154" t="s">
        <v>80</v>
      </c>
      <c r="H704" s="155" t="s">
        <v>2892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2714</v>
      </c>
      <c r="U704" s="210"/>
    </row>
    <row r="705" spans="1:21" ht="15" x14ac:dyDescent="0.25">
      <c r="A705" s="155" t="s">
        <v>2893</v>
      </c>
      <c r="B705" s="136">
        <v>2026</v>
      </c>
      <c r="C705" s="153" t="s">
        <v>23</v>
      </c>
      <c r="D705" s="153" t="s">
        <v>2894</v>
      </c>
      <c r="E705" s="158" t="s">
        <v>2895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2896</v>
      </c>
      <c r="U705" s="210"/>
    </row>
    <row r="706" spans="1:21" ht="15" x14ac:dyDescent="0.25">
      <c r="A706" s="155" t="s">
        <v>2897</v>
      </c>
      <c r="B706" s="136">
        <v>2026</v>
      </c>
      <c r="C706" s="153" t="s">
        <v>23</v>
      </c>
      <c r="D706" s="153" t="s">
        <v>2898</v>
      </c>
      <c r="E706" s="158" t="s">
        <v>2899</v>
      </c>
      <c r="F706" s="169" t="s">
        <v>70</v>
      </c>
      <c r="G706" s="154" t="s">
        <v>80</v>
      </c>
      <c r="H706" s="155" t="s">
        <v>2900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x14ac:dyDescent="0.25">
      <c r="A707" s="155" t="s">
        <v>2901</v>
      </c>
      <c r="B707" s="136">
        <v>2026</v>
      </c>
      <c r="C707" s="153" t="s">
        <v>23</v>
      </c>
      <c r="D707" s="153" t="s">
        <v>2902</v>
      </c>
      <c r="E707" s="158" t="s">
        <v>2903</v>
      </c>
      <c r="F707" s="169" t="s">
        <v>70</v>
      </c>
      <c r="G707" s="154" t="s">
        <v>80</v>
      </c>
      <c r="H707" s="155" t="s">
        <v>2904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x14ac:dyDescent="0.25">
      <c r="A708" s="155" t="s">
        <v>2905</v>
      </c>
      <c r="B708" s="136">
        <v>2026</v>
      </c>
      <c r="C708" s="153" t="s">
        <v>23</v>
      </c>
      <c r="D708" s="153" t="s">
        <v>2906</v>
      </c>
      <c r="E708" s="158" t="s">
        <v>2907</v>
      </c>
      <c r="F708" s="169" t="s">
        <v>70</v>
      </c>
      <c r="G708" s="154" t="s">
        <v>80</v>
      </c>
      <c r="H708" s="155" t="s">
        <v>2900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2908</v>
      </c>
      <c r="U708" s="210"/>
    </row>
    <row r="709" spans="1:21" ht="15" x14ac:dyDescent="0.25">
      <c r="A709" s="155" t="s">
        <v>2909</v>
      </c>
      <c r="B709" s="136">
        <v>2026</v>
      </c>
      <c r="C709" s="153" t="s">
        <v>2711</v>
      </c>
      <c r="D709" s="153" t="s">
        <v>2910</v>
      </c>
      <c r="E709" s="158" t="s">
        <v>2911</v>
      </c>
      <c r="F709" s="169" t="s">
        <v>25</v>
      </c>
      <c r="G709" s="154" t="s">
        <v>76</v>
      </c>
      <c r="H709" s="155" t="s">
        <v>2912</v>
      </c>
      <c r="I709" s="189">
        <v>46344</v>
      </c>
      <c r="J709" s="189">
        <v>46345</v>
      </c>
      <c r="K709" s="153" t="s">
        <v>28</v>
      </c>
      <c r="L709" s="159">
        <v>13000</v>
      </c>
      <c r="M709" s="181"/>
      <c r="N709" s="157"/>
      <c r="O709" s="157"/>
      <c r="P709" s="157"/>
      <c r="Q709" s="157"/>
      <c r="R709" s="157">
        <f t="shared" si="13"/>
        <v>0</v>
      </c>
      <c r="S709" s="153">
        <v>10</v>
      </c>
      <c r="T709" s="154" t="s">
        <v>2913</v>
      </c>
      <c r="U709" s="211"/>
    </row>
    <row r="710" spans="1:21" ht="15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2900</v>
      </c>
      <c r="I711" s="155" t="s">
        <v>2900</v>
      </c>
      <c r="J711" s="155" t="s">
        <v>2900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x14ac:dyDescent="0.25">
      <c r="A714" s="155" t="s">
        <v>2929</v>
      </c>
      <c r="B714" s="136">
        <v>2026</v>
      </c>
      <c r="C714" s="153" t="s">
        <v>23</v>
      </c>
      <c r="D714" s="153" t="s">
        <v>2930</v>
      </c>
      <c r="E714" s="158" t="s">
        <v>2931</v>
      </c>
      <c r="F714" s="169" t="s">
        <v>89</v>
      </c>
      <c r="G714" s="154" t="s">
        <v>2718</v>
      </c>
      <c r="H714" s="155" t="s">
        <v>2932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2933</v>
      </c>
      <c r="U714" s="210"/>
    </row>
    <row r="715" spans="1:21" ht="30" x14ac:dyDescent="0.25">
      <c r="A715" s="155" t="s">
        <v>2934</v>
      </c>
      <c r="B715" s="136">
        <v>2026</v>
      </c>
      <c r="C715" s="153" t="s">
        <v>23</v>
      </c>
      <c r="D715" s="153" t="s">
        <v>2930</v>
      </c>
      <c r="E715" s="158" t="s">
        <v>2935</v>
      </c>
      <c r="F715" s="169" t="s">
        <v>89</v>
      </c>
      <c r="G715" s="154" t="s">
        <v>2718</v>
      </c>
      <c r="H715" s="155" t="s">
        <v>2936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2933</v>
      </c>
      <c r="U715" s="210"/>
    </row>
    <row r="716" spans="1:21" ht="45" x14ac:dyDescent="0.25">
      <c r="A716" s="155" t="s">
        <v>2937</v>
      </c>
      <c r="B716" s="136">
        <v>2026</v>
      </c>
      <c r="C716" s="153" t="s">
        <v>23</v>
      </c>
      <c r="D716" s="153" t="s">
        <v>2930</v>
      </c>
      <c r="E716" s="158" t="s">
        <v>2938</v>
      </c>
      <c r="F716" s="169" t="s">
        <v>89</v>
      </c>
      <c r="G716" s="154" t="s">
        <v>2718</v>
      </c>
      <c r="H716" s="155" t="s">
        <v>2939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2940</v>
      </c>
      <c r="U716" s="210" t="s">
        <v>2941</v>
      </c>
    </row>
    <row r="717" spans="1:21" ht="30" x14ac:dyDescent="0.25">
      <c r="A717" s="155" t="s">
        <v>2942</v>
      </c>
      <c r="B717" s="136">
        <v>2026</v>
      </c>
      <c r="C717" s="153" t="s">
        <v>23</v>
      </c>
      <c r="D717" s="153" t="s">
        <v>2930</v>
      </c>
      <c r="E717" s="158" t="s">
        <v>2943</v>
      </c>
      <c r="F717" s="169" t="s">
        <v>89</v>
      </c>
      <c r="G717" s="154" t="s">
        <v>2718</v>
      </c>
      <c r="H717" s="155" t="s">
        <v>2944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2945</v>
      </c>
      <c r="U717" s="210" t="s">
        <v>2941</v>
      </c>
    </row>
    <row r="718" spans="1:21" ht="15" x14ac:dyDescent="0.25">
      <c r="A718" s="155" t="s">
        <v>2946</v>
      </c>
      <c r="B718" s="136">
        <v>2026</v>
      </c>
      <c r="C718" s="153" t="s">
        <v>2711</v>
      </c>
      <c r="D718" s="153" t="s">
        <v>2930</v>
      </c>
      <c r="E718" s="158" t="s">
        <v>2947</v>
      </c>
      <c r="F718" s="169" t="s">
        <v>89</v>
      </c>
      <c r="G718" s="154" t="s">
        <v>2718</v>
      </c>
      <c r="H718" s="155" t="s">
        <v>2948</v>
      </c>
      <c r="I718" s="189">
        <v>46303</v>
      </c>
      <c r="J718" s="189">
        <v>46303</v>
      </c>
      <c r="K718" s="153" t="s">
        <v>39</v>
      </c>
      <c r="L718" s="159"/>
      <c r="M718" s="181"/>
      <c r="N718" s="157">
        <v>80</v>
      </c>
      <c r="O718" s="157">
        <v>0</v>
      </c>
      <c r="P718" s="157">
        <v>0</v>
      </c>
      <c r="Q718" s="157"/>
      <c r="R718" s="157">
        <f t="shared" si="14"/>
        <v>0</v>
      </c>
      <c r="S718" s="153">
        <v>4</v>
      </c>
      <c r="T718" s="120"/>
      <c r="U718" s="210"/>
    </row>
    <row r="719" spans="1:21" ht="15" x14ac:dyDescent="0.25">
      <c r="A719" s="155" t="s">
        <v>2949</v>
      </c>
      <c r="B719" s="136">
        <v>2026</v>
      </c>
      <c r="C719" s="153" t="s">
        <v>2711</v>
      </c>
      <c r="D719" s="153" t="s">
        <v>2930</v>
      </c>
      <c r="E719" s="158" t="s">
        <v>2950</v>
      </c>
      <c r="F719" s="169" t="s">
        <v>89</v>
      </c>
      <c r="G719" s="154" t="s">
        <v>2718</v>
      </c>
      <c r="H719" s="155" t="s">
        <v>2951</v>
      </c>
      <c r="I719" s="189">
        <v>46304</v>
      </c>
      <c r="J719" s="189">
        <v>46304</v>
      </c>
      <c r="K719" s="153" t="s">
        <v>39</v>
      </c>
      <c r="L719" s="159"/>
      <c r="M719" s="181"/>
      <c r="N719" s="157">
        <v>40</v>
      </c>
      <c r="O719" s="157">
        <v>0</v>
      </c>
      <c r="P719" s="157">
        <v>0</v>
      </c>
      <c r="Q719" s="157"/>
      <c r="R719" s="157">
        <f t="shared" si="14"/>
        <v>0</v>
      </c>
      <c r="S719" s="153">
        <v>4</v>
      </c>
      <c r="T719" s="120"/>
      <c r="U719" s="210"/>
    </row>
    <row r="720" spans="1:21" ht="30" x14ac:dyDescent="0.25">
      <c r="A720" s="121" t="s">
        <v>2952</v>
      </c>
      <c r="B720" s="136">
        <v>2026</v>
      </c>
      <c r="C720" s="117" t="s">
        <v>23</v>
      </c>
      <c r="D720" s="117" t="s">
        <v>2953</v>
      </c>
      <c r="E720" s="118" t="s">
        <v>2954</v>
      </c>
      <c r="F720" s="119" t="s">
        <v>25</v>
      </c>
      <c r="G720" s="120" t="s">
        <v>207</v>
      </c>
      <c r="H720" s="121" t="s">
        <v>2955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2956</v>
      </c>
      <c r="U720" s="210"/>
    </row>
    <row r="721" spans="1:21" ht="45" x14ac:dyDescent="0.25">
      <c r="A721" s="121" t="s">
        <v>2957</v>
      </c>
      <c r="B721" s="136">
        <v>2026</v>
      </c>
      <c r="C721" s="136" t="s">
        <v>23</v>
      </c>
      <c r="D721" s="136" t="s">
        <v>2930</v>
      </c>
      <c r="E721" s="137" t="s">
        <v>2958</v>
      </c>
      <c r="F721" s="143" t="s">
        <v>89</v>
      </c>
      <c r="G721" s="149" t="s">
        <v>2718</v>
      </c>
      <c r="H721" s="139" t="s">
        <v>2959</v>
      </c>
      <c r="I721" s="140">
        <v>46136</v>
      </c>
      <c r="J721" s="140">
        <v>46136</v>
      </c>
      <c r="K721" s="136" t="s">
        <v>39</v>
      </c>
      <c r="L721" s="161"/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2960</v>
      </c>
      <c r="U721" s="210"/>
    </row>
    <row r="722" spans="1:21" ht="45" x14ac:dyDescent="0.25">
      <c r="A722" s="121" t="s">
        <v>2961</v>
      </c>
      <c r="B722" s="117">
        <v>2026</v>
      </c>
      <c r="C722" s="117" t="s">
        <v>23</v>
      </c>
      <c r="D722" s="117" t="s">
        <v>2930</v>
      </c>
      <c r="E722" s="118" t="s">
        <v>2962</v>
      </c>
      <c r="F722" s="119" t="s">
        <v>89</v>
      </c>
      <c r="G722" s="145" t="s">
        <v>2718</v>
      </c>
      <c r="H722" s="121" t="s">
        <v>2963</v>
      </c>
      <c r="I722" s="122">
        <v>46150</v>
      </c>
      <c r="J722" s="122">
        <v>46150</v>
      </c>
      <c r="K722" s="117" t="s">
        <v>39</v>
      </c>
      <c r="L722" s="160"/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2964</v>
      </c>
      <c r="U722" s="210"/>
    </row>
    <row r="723" spans="1:21" ht="15" x14ac:dyDescent="0.25">
      <c r="A723" s="121" t="s">
        <v>2965</v>
      </c>
      <c r="B723" s="136">
        <v>2026</v>
      </c>
      <c r="C723" s="153" t="s">
        <v>23</v>
      </c>
      <c r="D723" s="153" t="s">
        <v>2966</v>
      </c>
      <c r="E723" s="158" t="s">
        <v>2967</v>
      </c>
      <c r="F723" s="169" t="s">
        <v>89</v>
      </c>
      <c r="G723" s="154" t="s">
        <v>2718</v>
      </c>
      <c r="H723" s="155" t="s">
        <v>2968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/>
      <c r="P723" s="157"/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x14ac:dyDescent="0.25">
      <c r="A724" s="155" t="s">
        <v>2969</v>
      </c>
      <c r="B724" s="171">
        <v>2026</v>
      </c>
      <c r="C724" s="153" t="s">
        <v>23</v>
      </c>
      <c r="D724" s="153" t="s">
        <v>2970</v>
      </c>
      <c r="E724" s="158" t="s">
        <v>2971</v>
      </c>
      <c r="F724" s="169" t="s">
        <v>89</v>
      </c>
      <c r="G724" s="154" t="s">
        <v>2718</v>
      </c>
      <c r="H724" s="155" t="s">
        <v>2972</v>
      </c>
      <c r="I724" s="189">
        <v>46167</v>
      </c>
      <c r="J724" s="189">
        <v>46171</v>
      </c>
      <c r="K724" s="153" t="s">
        <v>39</v>
      </c>
      <c r="L724" s="159"/>
      <c r="M724" s="181"/>
      <c r="N724" s="157"/>
      <c r="O724" s="157"/>
      <c r="P724" s="157"/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x14ac:dyDescent="0.25">
      <c r="A725" s="155" t="s">
        <v>2973</v>
      </c>
      <c r="B725" s="153">
        <v>2026</v>
      </c>
      <c r="C725" s="153" t="s">
        <v>23</v>
      </c>
      <c r="D725" s="153" t="s">
        <v>2966</v>
      </c>
      <c r="E725" s="158" t="s">
        <v>2974</v>
      </c>
      <c r="F725" s="169" t="s">
        <v>89</v>
      </c>
      <c r="G725" s="154" t="s">
        <v>2718</v>
      </c>
      <c r="H725" s="155" t="s">
        <v>2975</v>
      </c>
      <c r="I725" s="189">
        <v>46183</v>
      </c>
      <c r="J725" s="189">
        <v>46183</v>
      </c>
      <c r="K725" s="153" t="s">
        <v>39</v>
      </c>
      <c r="L725" s="159"/>
      <c r="M725" s="181">
        <v>4.4400000000000004</v>
      </c>
      <c r="N725" s="157">
        <v>80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x14ac:dyDescent="0.25">
      <c r="A726" s="155" t="s">
        <v>2976</v>
      </c>
      <c r="B726" s="153">
        <v>2026</v>
      </c>
      <c r="C726" s="153" t="s">
        <v>23</v>
      </c>
      <c r="D726" s="153" t="s">
        <v>2977</v>
      </c>
      <c r="E726" s="158" t="s">
        <v>2978</v>
      </c>
      <c r="F726" s="169" t="s">
        <v>89</v>
      </c>
      <c r="G726" s="154" t="s">
        <v>2718</v>
      </c>
      <c r="H726" s="155" t="s">
        <v>2979</v>
      </c>
      <c r="I726" s="189">
        <v>46287</v>
      </c>
      <c r="J726" s="189">
        <v>46294</v>
      </c>
      <c r="K726" s="153" t="s">
        <v>39</v>
      </c>
      <c r="L726" s="159"/>
      <c r="M726" s="181"/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9" si="15">IF(B726="","",SUM(O726:Q726))</f>
        <v>40</v>
      </c>
      <c r="S726" s="153">
        <v>5</v>
      </c>
      <c r="T726" s="154" t="s">
        <v>2980</v>
      </c>
      <c r="U726" s="210"/>
    </row>
    <row r="727" spans="1:21" ht="15" x14ac:dyDescent="0.25">
      <c r="A727" s="155" t="s">
        <v>2981</v>
      </c>
      <c r="B727" s="153">
        <v>2026</v>
      </c>
      <c r="C727" s="153" t="s">
        <v>2711</v>
      </c>
      <c r="D727" s="153" t="s">
        <v>2966</v>
      </c>
      <c r="E727" s="158" t="s">
        <v>2982</v>
      </c>
      <c r="F727" s="169" t="s">
        <v>89</v>
      </c>
      <c r="G727" s="154" t="s">
        <v>2718</v>
      </c>
      <c r="H727" s="155"/>
      <c r="I727" s="189"/>
      <c r="J727" s="189"/>
      <c r="K727" s="153"/>
      <c r="L727" s="159"/>
      <c r="M727" s="181"/>
      <c r="N727" s="157"/>
      <c r="O727" s="157"/>
      <c r="P727" s="157"/>
      <c r="Q727" s="157"/>
      <c r="R727" s="157">
        <f t="shared" si="15"/>
        <v>0</v>
      </c>
      <c r="S727" s="153"/>
      <c r="T727" s="154"/>
      <c r="U727" s="210"/>
    </row>
    <row r="728" spans="1:21" ht="15" x14ac:dyDescent="0.25">
      <c r="A728" s="155" t="s">
        <v>2983</v>
      </c>
      <c r="B728" s="153">
        <v>2026</v>
      </c>
      <c r="C728" s="153" t="s">
        <v>23</v>
      </c>
      <c r="D728" s="153" t="s">
        <v>2966</v>
      </c>
      <c r="E728" s="158" t="s">
        <v>2984</v>
      </c>
      <c r="F728" s="169" t="s">
        <v>89</v>
      </c>
      <c r="G728" s="154" t="s">
        <v>2718</v>
      </c>
      <c r="H728" s="155" t="s">
        <v>2985</v>
      </c>
      <c r="I728" s="189">
        <v>46267</v>
      </c>
      <c r="J728" s="189">
        <v>46267</v>
      </c>
      <c r="K728" s="153" t="s">
        <v>39</v>
      </c>
      <c r="L728" s="159"/>
      <c r="M728" s="181"/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x14ac:dyDescent="0.25">
      <c r="A729" s="155" t="s">
        <v>2986</v>
      </c>
      <c r="B729" s="153">
        <v>2026</v>
      </c>
      <c r="C729" s="153" t="s">
        <v>2711</v>
      </c>
      <c r="D729" s="153" t="s">
        <v>2966</v>
      </c>
      <c r="E729" s="158" t="s">
        <v>2987</v>
      </c>
      <c r="F729" s="169" t="s">
        <v>89</v>
      </c>
      <c r="G729" s="154" t="s">
        <v>2718</v>
      </c>
      <c r="H729" s="155"/>
      <c r="I729" s="189"/>
      <c r="J729" s="189"/>
      <c r="K729" s="153"/>
      <c r="L729" s="159"/>
      <c r="M729" s="181"/>
      <c r="N729" s="157"/>
      <c r="O729" s="157"/>
      <c r="P729" s="157"/>
      <c r="Q729" s="157"/>
      <c r="R729" s="157">
        <f t="shared" si="15"/>
        <v>0</v>
      </c>
      <c r="S729" s="153"/>
      <c r="T729" s="154"/>
      <c r="U729" s="210"/>
    </row>
    <row r="730" spans="1:21" ht="15" x14ac:dyDescent="0.25">
      <c r="A730" s="155" t="s">
        <v>2988</v>
      </c>
      <c r="B730" s="153">
        <v>2026</v>
      </c>
      <c r="C730" s="153" t="s">
        <v>2711</v>
      </c>
      <c r="D730" s="153" t="s">
        <v>2966</v>
      </c>
      <c r="E730" s="199" t="s">
        <v>2989</v>
      </c>
      <c r="F730" s="169" t="s">
        <v>89</v>
      </c>
      <c r="G730" s="154" t="s">
        <v>2718</v>
      </c>
      <c r="H730" s="155"/>
      <c r="I730" s="189"/>
      <c r="J730" s="189"/>
      <c r="K730" s="153"/>
      <c r="L730" s="159"/>
      <c r="M730" s="181"/>
      <c r="N730" s="157"/>
      <c r="O730" s="157"/>
      <c r="P730" s="157"/>
      <c r="Q730" s="157"/>
      <c r="R730" s="157">
        <f t="shared" si="15"/>
        <v>0</v>
      </c>
      <c r="S730" s="153"/>
      <c r="T730" s="154"/>
      <c r="U730" s="210"/>
    </row>
    <row r="731" spans="1:21" ht="15" x14ac:dyDescent="0.25">
      <c r="A731" s="155" t="s">
        <v>2990</v>
      </c>
      <c r="B731" s="153">
        <v>2026</v>
      </c>
      <c r="C731" s="153" t="s">
        <v>2711</v>
      </c>
      <c r="D731" s="153" t="s">
        <v>2966</v>
      </c>
      <c r="E731" s="199" t="s">
        <v>2991</v>
      </c>
      <c r="F731" s="169" t="s">
        <v>89</v>
      </c>
      <c r="G731" s="154" t="s">
        <v>2718</v>
      </c>
      <c r="H731" s="155" t="s">
        <v>2992</v>
      </c>
      <c r="I731" s="189"/>
      <c r="J731" s="189"/>
      <c r="K731" s="153"/>
      <c r="L731" s="159"/>
      <c r="M731" s="181"/>
      <c r="N731" s="157"/>
      <c r="O731" s="157"/>
      <c r="P731" s="157"/>
      <c r="Q731" s="157"/>
      <c r="R731" s="157">
        <f t="shared" si="15"/>
        <v>0</v>
      </c>
      <c r="S731" s="153"/>
      <c r="T731" s="154"/>
      <c r="U731" s="210"/>
    </row>
    <row r="732" spans="1:21" ht="15" x14ac:dyDescent="0.25">
      <c r="A732" s="155" t="s">
        <v>2993</v>
      </c>
      <c r="B732" s="153">
        <v>2026</v>
      </c>
      <c r="C732" s="153" t="s">
        <v>2711</v>
      </c>
      <c r="D732" s="153" t="s">
        <v>2994</v>
      </c>
      <c r="E732" s="158" t="s">
        <v>2995</v>
      </c>
      <c r="F732" s="169" t="s">
        <v>25</v>
      </c>
      <c r="G732" s="154" t="s">
        <v>207</v>
      </c>
      <c r="H732" s="155"/>
      <c r="I732" s="189"/>
      <c r="J732" s="189"/>
      <c r="K732" s="153"/>
      <c r="L732" s="159"/>
      <c r="M732" s="181"/>
      <c r="N732" s="157"/>
      <c r="O732" s="157"/>
      <c r="P732" s="157"/>
      <c r="Q732" s="157"/>
      <c r="R732" s="157">
        <f t="shared" si="15"/>
        <v>0</v>
      </c>
      <c r="S732" s="153"/>
      <c r="T732" s="154"/>
      <c r="U732" s="210"/>
    </row>
    <row r="733" spans="1:21" ht="15" x14ac:dyDescent="0.25">
      <c r="A733" s="155" t="s">
        <v>2996</v>
      </c>
      <c r="B733" s="153">
        <v>2026</v>
      </c>
      <c r="C733" s="153" t="s">
        <v>2711</v>
      </c>
      <c r="D733" s="153"/>
      <c r="E733" s="199" t="s">
        <v>2997</v>
      </c>
      <c r="F733" s="169" t="s">
        <v>25</v>
      </c>
      <c r="G733" s="154" t="s">
        <v>2718</v>
      </c>
      <c r="H733" s="155" t="s">
        <v>2998</v>
      </c>
      <c r="I733" s="189">
        <v>46343</v>
      </c>
      <c r="J733" s="189">
        <v>46343</v>
      </c>
      <c r="K733" s="153" t="s">
        <v>39</v>
      </c>
      <c r="L733" s="159"/>
      <c r="M733" s="181"/>
      <c r="N733" s="157"/>
      <c r="O733" s="157"/>
      <c r="P733" s="157"/>
      <c r="Q733" s="157"/>
      <c r="R733" s="157">
        <f t="shared" si="15"/>
        <v>0</v>
      </c>
      <c r="S733" s="153"/>
      <c r="T733" s="154"/>
      <c r="U733" s="210"/>
    </row>
    <row r="734" spans="1:21" ht="15" x14ac:dyDescent="0.25">
      <c r="A734" s="155" t="s">
        <v>2999</v>
      </c>
      <c r="B734" s="153">
        <v>2026</v>
      </c>
      <c r="C734" s="153" t="s">
        <v>2711</v>
      </c>
      <c r="D734" s="153" t="s">
        <v>3000</v>
      </c>
      <c r="E734" s="158" t="s">
        <v>3001</v>
      </c>
      <c r="F734" s="169" t="s">
        <v>89</v>
      </c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x14ac:dyDescent="0.25">
      <c r="A735" s="153" t="str">
        <f ca="1">IF(E735="","",IF(B735="",YEAR(TODAY()),B735)&amp;"-"&amp;TEXT(COUNTIF($B$2:B735,IF(B735="",YEAR(TODAY()),B735))+COUNTIFS($E$2:E735,"&lt;&gt;",$B$2:B735,""),"000"))</f>
        <v>2026-079</v>
      </c>
      <c r="B735" s="153">
        <v>2026</v>
      </c>
      <c r="C735" s="153" t="s">
        <v>23</v>
      </c>
      <c r="D735" s="153" t="s">
        <v>3002</v>
      </c>
      <c r="E735" s="158" t="s">
        <v>3003</v>
      </c>
      <c r="F735" s="169" t="s">
        <v>25</v>
      </c>
      <c r="G735" s="154" t="s">
        <v>207</v>
      </c>
      <c r="H735" s="155" t="s">
        <v>3004</v>
      </c>
      <c r="I735" s="189">
        <v>46122</v>
      </c>
      <c r="J735" s="189">
        <v>46122</v>
      </c>
      <c r="K735" s="153" t="s">
        <v>39</v>
      </c>
      <c r="L735" s="159"/>
      <c r="M735" s="181"/>
      <c r="N735" s="157">
        <v>170</v>
      </c>
      <c r="O735" s="157"/>
      <c r="P735" s="157">
        <v>0</v>
      </c>
      <c r="Q735" s="157">
        <v>0</v>
      </c>
      <c r="R735" s="157">
        <f t="shared" si="15"/>
        <v>0</v>
      </c>
      <c r="S735" s="153">
        <v>2</v>
      </c>
      <c r="T735" s="154" t="s">
        <v>3005</v>
      </c>
      <c r="U735" s="210"/>
    </row>
    <row r="736" spans="1:21" ht="15" hidden="1" x14ac:dyDescent="0.25">
      <c r="A736" s="153" t="str">
        <f ca="1">IF(E736="","",IF(B736="",YEAR(TODAY()),B736)&amp;"-"&amp;TEXT(COUNTIF($B$2:B736,IF(B736="",YEAR(TODAY()),B736))+COUNTIFS($E$2:E736,"&lt;&gt;",$B$2:B736,""),"000"))</f>
        <v>2026-080</v>
      </c>
      <c r="B736" s="153">
        <v>2026</v>
      </c>
      <c r="C736" s="153" t="s">
        <v>2790</v>
      </c>
      <c r="D736" s="153" t="s">
        <v>3006</v>
      </c>
      <c r="E736" s="158" t="s">
        <v>3007</v>
      </c>
      <c r="F736" s="169"/>
      <c r="G736" s="154" t="s">
        <v>43</v>
      </c>
      <c r="H736" s="155"/>
      <c r="I736" s="189"/>
      <c r="J736" s="189"/>
      <c r="K736" s="153"/>
      <c r="L736" s="159"/>
      <c r="M736" s="181"/>
      <c r="N736" s="157"/>
      <c r="O736" s="157"/>
      <c r="P736" s="157"/>
      <c r="Q736" s="157"/>
      <c r="R736" s="157">
        <f t="shared" si="15"/>
        <v>0</v>
      </c>
      <c r="S736" s="153"/>
      <c r="T736" s="154"/>
      <c r="U736" s="210"/>
    </row>
    <row r="737" spans="1:21" ht="15" x14ac:dyDescent="0.25">
      <c r="A737" s="155" t="s">
        <v>3008</v>
      </c>
      <c r="B737" s="153">
        <v>2026</v>
      </c>
      <c r="C737" s="153" t="s">
        <v>23</v>
      </c>
      <c r="D737" s="153" t="s">
        <v>3009</v>
      </c>
      <c r="E737" s="158" t="s">
        <v>3010</v>
      </c>
      <c r="F737" s="169" t="s">
        <v>70</v>
      </c>
      <c r="G737" s="154" t="s">
        <v>80</v>
      </c>
      <c r="H737" s="155" t="s">
        <v>3011</v>
      </c>
      <c r="I737" s="189">
        <v>46267</v>
      </c>
      <c r="J737" s="189">
        <v>46269</v>
      </c>
      <c r="K737" s="153" t="s">
        <v>39</v>
      </c>
      <c r="L737" s="159">
        <v>4692.55</v>
      </c>
      <c r="M737" s="181">
        <v>4.67</v>
      </c>
      <c r="N737" s="157">
        <v>30</v>
      </c>
      <c r="O737" s="157">
        <v>0</v>
      </c>
      <c r="P737" s="157">
        <v>30</v>
      </c>
      <c r="Q737" s="157">
        <v>0</v>
      </c>
      <c r="R737" s="157">
        <f t="shared" si="15"/>
        <v>30</v>
      </c>
      <c r="S737" s="153">
        <v>8</v>
      </c>
      <c r="T737" s="154" t="s">
        <v>2714</v>
      </c>
      <c r="U737" s="210"/>
    </row>
    <row r="738" spans="1:21" ht="15" x14ac:dyDescent="0.25">
      <c r="A738" s="155" t="s">
        <v>3012</v>
      </c>
      <c r="B738" s="153">
        <v>2026</v>
      </c>
      <c r="C738" s="153" t="s">
        <v>23</v>
      </c>
      <c r="D738" s="153" t="s">
        <v>3013</v>
      </c>
      <c r="E738" s="158" t="s">
        <v>3014</v>
      </c>
      <c r="F738" s="169" t="s">
        <v>70</v>
      </c>
      <c r="G738" s="154" t="s">
        <v>2694</v>
      </c>
      <c r="H738" s="155" t="s">
        <v>3015</v>
      </c>
      <c r="I738" s="189">
        <v>46273</v>
      </c>
      <c r="J738" s="189">
        <v>46275</v>
      </c>
      <c r="K738" s="153" t="s">
        <v>39</v>
      </c>
      <c r="L738" s="159">
        <v>11246.83</v>
      </c>
      <c r="M738" s="181">
        <v>4.93</v>
      </c>
      <c r="N738" s="157">
        <v>30</v>
      </c>
      <c r="O738" s="157">
        <v>0</v>
      </c>
      <c r="P738" s="157">
        <v>21</v>
      </c>
      <c r="Q738" s="157">
        <v>0</v>
      </c>
      <c r="R738" s="157">
        <f t="shared" si="15"/>
        <v>21</v>
      </c>
      <c r="S738" s="153">
        <v>12</v>
      </c>
      <c r="T738" s="154" t="s">
        <v>3016</v>
      </c>
      <c r="U738" s="210"/>
    </row>
    <row r="739" spans="1:21" ht="15" x14ac:dyDescent="0.25">
      <c r="A739" s="155" t="s">
        <v>3017</v>
      </c>
      <c r="B739" s="153">
        <v>2026</v>
      </c>
      <c r="C739" s="153" t="s">
        <v>23</v>
      </c>
      <c r="D739" s="153" t="s">
        <v>3018</v>
      </c>
      <c r="E739" s="158" t="s">
        <v>3019</v>
      </c>
      <c r="F739" s="169" t="s">
        <v>25</v>
      </c>
      <c r="G739" s="154" t="s">
        <v>2700</v>
      </c>
      <c r="H739" s="155" t="s">
        <v>3020</v>
      </c>
      <c r="I739" s="189">
        <v>46266</v>
      </c>
      <c r="J739" s="189">
        <v>46267</v>
      </c>
      <c r="K739" s="153" t="s">
        <v>39</v>
      </c>
      <c r="L739" s="159">
        <v>5967.7</v>
      </c>
      <c r="M739" s="181">
        <v>4.41</v>
      </c>
      <c r="N739" s="157">
        <v>20</v>
      </c>
      <c r="O739" s="157">
        <v>20</v>
      </c>
      <c r="P739" s="157">
        <v>0</v>
      </c>
      <c r="Q739" s="157">
        <v>0</v>
      </c>
      <c r="R739" s="157">
        <f t="shared" si="15"/>
        <v>20</v>
      </c>
      <c r="S739" s="153">
        <v>9</v>
      </c>
      <c r="T739" s="154" t="s">
        <v>219</v>
      </c>
      <c r="U739" s="210"/>
    </row>
    <row r="740" spans="1:21" ht="15" x14ac:dyDescent="0.25">
      <c r="A740" s="155" t="s">
        <v>3021</v>
      </c>
      <c r="B740" s="153">
        <v>2026</v>
      </c>
      <c r="C740" s="153" t="s">
        <v>2711</v>
      </c>
      <c r="D740" s="153" t="s">
        <v>3022</v>
      </c>
      <c r="E740" s="158" t="s">
        <v>3023</v>
      </c>
      <c r="F740" s="169" t="s">
        <v>25</v>
      </c>
      <c r="G740" s="154" t="s">
        <v>2700</v>
      </c>
      <c r="H740" s="155" t="s">
        <v>3024</v>
      </c>
      <c r="I740" s="155" t="s">
        <v>3024</v>
      </c>
      <c r="J740" s="155" t="s">
        <v>3024</v>
      </c>
      <c r="K740" s="153" t="s">
        <v>39</v>
      </c>
      <c r="L740" s="159">
        <v>2652.31</v>
      </c>
      <c r="M740" s="181"/>
      <c r="N740" s="157">
        <v>20</v>
      </c>
      <c r="O740" s="157"/>
      <c r="P740" s="157"/>
      <c r="Q740" s="157"/>
      <c r="R740" s="157">
        <f t="shared" si="15"/>
        <v>0</v>
      </c>
      <c r="S740" s="153">
        <v>4</v>
      </c>
      <c r="T740" s="154" t="s">
        <v>1910</v>
      </c>
      <c r="U740" s="210"/>
    </row>
    <row r="741" spans="1:21" ht="15" x14ac:dyDescent="0.25">
      <c r="A741" s="155" t="s">
        <v>3025</v>
      </c>
      <c r="B741" s="153">
        <v>2026</v>
      </c>
      <c r="C741" s="153" t="s">
        <v>23</v>
      </c>
      <c r="D741" s="153" t="s">
        <v>3026</v>
      </c>
      <c r="E741" s="158" t="s">
        <v>3027</v>
      </c>
      <c r="F741" s="169" t="s">
        <v>25</v>
      </c>
      <c r="G741" s="154" t="s">
        <v>2700</v>
      </c>
      <c r="H741" s="155" t="s">
        <v>3028</v>
      </c>
      <c r="I741" s="189">
        <v>46286</v>
      </c>
      <c r="J741" s="189">
        <v>46288</v>
      </c>
      <c r="K741" s="153" t="s">
        <v>39</v>
      </c>
      <c r="L741" s="159">
        <v>7038.8307599999998</v>
      </c>
      <c r="M741" s="181">
        <v>4.67</v>
      </c>
      <c r="N741" s="157">
        <v>20</v>
      </c>
      <c r="O741" s="157">
        <v>21</v>
      </c>
      <c r="P741" s="157">
        <v>0</v>
      </c>
      <c r="Q741" s="157">
        <v>0</v>
      </c>
      <c r="R741" s="157">
        <f t="shared" si="15"/>
        <v>21</v>
      </c>
      <c r="S741" s="153">
        <v>8</v>
      </c>
      <c r="T741" s="154" t="s">
        <v>2827</v>
      </c>
      <c r="U741" s="210"/>
    </row>
    <row r="742" spans="1:21" ht="15" x14ac:dyDescent="0.25">
      <c r="A742" s="155" t="s">
        <v>3029</v>
      </c>
      <c r="B742" s="153">
        <v>2026</v>
      </c>
      <c r="C742" s="153" t="s">
        <v>2711</v>
      </c>
      <c r="D742" s="153" t="s">
        <v>3026</v>
      </c>
      <c r="E742" s="158" t="s">
        <v>3030</v>
      </c>
      <c r="F742" s="169" t="s">
        <v>25</v>
      </c>
      <c r="G742" s="154" t="s">
        <v>2700</v>
      </c>
      <c r="H742" s="155" t="s">
        <v>3031</v>
      </c>
      <c r="I742" s="189">
        <v>46322</v>
      </c>
      <c r="J742" s="189">
        <v>46324</v>
      </c>
      <c r="K742" s="153" t="s">
        <v>39</v>
      </c>
      <c r="L742" s="159">
        <v>7038.8307599999998</v>
      </c>
      <c r="M742" s="181"/>
      <c r="N742" s="157">
        <v>20</v>
      </c>
      <c r="O742" s="157"/>
      <c r="P742" s="157"/>
      <c r="Q742" s="157"/>
      <c r="R742" s="157">
        <f t="shared" si="15"/>
        <v>0</v>
      </c>
      <c r="S742" s="153">
        <v>8</v>
      </c>
      <c r="T742" s="154" t="s">
        <v>2827</v>
      </c>
      <c r="U742" s="210"/>
    </row>
    <row r="743" spans="1:21" ht="15" x14ac:dyDescent="0.25">
      <c r="A743" s="155" t="s">
        <v>3032</v>
      </c>
      <c r="B743" s="153">
        <v>2026</v>
      </c>
      <c r="C743" s="153" t="s">
        <v>23</v>
      </c>
      <c r="D743" s="153" t="s">
        <v>3033</v>
      </c>
      <c r="E743" s="158" t="s">
        <v>3034</v>
      </c>
      <c r="F743" s="169" t="s">
        <v>25</v>
      </c>
      <c r="G743" s="154" t="s">
        <v>207</v>
      </c>
      <c r="H743" s="155" t="s">
        <v>3035</v>
      </c>
      <c r="I743" s="189">
        <v>46283</v>
      </c>
      <c r="J743" s="189">
        <v>46283</v>
      </c>
      <c r="K743" s="153" t="s">
        <v>39</v>
      </c>
      <c r="L743" s="159"/>
      <c r="M743" s="181"/>
      <c r="N743" s="157">
        <v>170</v>
      </c>
      <c r="O743" s="157"/>
      <c r="P743" s="157">
        <v>0</v>
      </c>
      <c r="Q743" s="157">
        <v>0</v>
      </c>
      <c r="R743" s="157">
        <f t="shared" si="15"/>
        <v>0</v>
      </c>
      <c r="S743" s="153">
        <v>2</v>
      </c>
      <c r="T743" s="154" t="s">
        <v>3005</v>
      </c>
      <c r="U743" s="210"/>
    </row>
    <row r="744" spans="1:21" ht="15" x14ac:dyDescent="0.25">
      <c r="A744" s="155" t="s">
        <v>3036</v>
      </c>
      <c r="B744" s="153">
        <v>2026</v>
      </c>
      <c r="C744" s="153" t="s">
        <v>2711</v>
      </c>
      <c r="D744" s="153" t="s">
        <v>3037</v>
      </c>
      <c r="E744" s="165" t="s">
        <v>3038</v>
      </c>
      <c r="F744" s="169" t="s">
        <v>25</v>
      </c>
      <c r="G744" s="154" t="s">
        <v>207</v>
      </c>
      <c r="H744" s="155" t="s">
        <v>3039</v>
      </c>
      <c r="I744" s="189">
        <v>46314</v>
      </c>
      <c r="J744" s="189">
        <v>46318</v>
      </c>
      <c r="K744" s="153" t="s">
        <v>28</v>
      </c>
      <c r="L744" s="159">
        <v>19900</v>
      </c>
      <c r="M744" s="181"/>
      <c r="N744" s="157"/>
      <c r="O744" s="157"/>
      <c r="P744" s="157"/>
      <c r="Q744" s="157"/>
      <c r="R744" s="157">
        <f t="shared" si="15"/>
        <v>0</v>
      </c>
      <c r="S744" s="153">
        <v>16</v>
      </c>
      <c r="T744" s="154" t="s">
        <v>804</v>
      </c>
      <c r="U744" s="210"/>
    </row>
    <row r="745" spans="1:21" ht="15" x14ac:dyDescent="0.25">
      <c r="A745" s="155" t="s">
        <v>3040</v>
      </c>
      <c r="B745" s="153">
        <v>2026</v>
      </c>
      <c r="C745" s="153" t="s">
        <v>2711</v>
      </c>
      <c r="D745" s="153" t="s">
        <v>3037</v>
      </c>
      <c r="E745" s="165" t="s">
        <v>3041</v>
      </c>
      <c r="F745" s="169" t="s">
        <v>25</v>
      </c>
      <c r="G745" s="154" t="s">
        <v>207</v>
      </c>
      <c r="H745" s="155" t="s">
        <v>3042</v>
      </c>
      <c r="I745" s="189">
        <v>46349</v>
      </c>
      <c r="J745" s="189">
        <v>46352</v>
      </c>
      <c r="K745" s="153" t="s">
        <v>28</v>
      </c>
      <c r="L745" s="159">
        <v>18900</v>
      </c>
      <c r="M745" s="181"/>
      <c r="N745" s="157"/>
      <c r="O745" s="157"/>
      <c r="P745" s="157"/>
      <c r="Q745" s="157"/>
      <c r="R745" s="157">
        <f t="shared" si="15"/>
        <v>0</v>
      </c>
      <c r="S745" s="153">
        <v>16</v>
      </c>
      <c r="T745" s="154" t="s">
        <v>804</v>
      </c>
      <c r="U745" s="210"/>
    </row>
    <row r="746" spans="1:21" ht="15" hidden="1" x14ac:dyDescent="0.25">
      <c r="A746" s="155" t="s">
        <v>3043</v>
      </c>
      <c r="B746" s="153">
        <v>2026</v>
      </c>
      <c r="C746" s="153" t="s">
        <v>2790</v>
      </c>
      <c r="D746" s="153" t="s">
        <v>3044</v>
      </c>
      <c r="E746" s="165" t="s">
        <v>3045</v>
      </c>
      <c r="F746" s="169" t="s">
        <v>25</v>
      </c>
      <c r="G746" s="154" t="s">
        <v>207</v>
      </c>
      <c r="H746" s="155" t="s">
        <v>3046</v>
      </c>
      <c r="I746" s="189">
        <v>46293</v>
      </c>
      <c r="J746" s="189">
        <v>46297</v>
      </c>
      <c r="K746" s="153" t="s">
        <v>39</v>
      </c>
      <c r="L746" s="159"/>
      <c r="M746" s="181"/>
      <c r="N746" s="157">
        <v>20</v>
      </c>
      <c r="O746" s="157"/>
      <c r="P746" s="157"/>
      <c r="Q746" s="157"/>
      <c r="R746" s="157">
        <f t="shared" si="15"/>
        <v>0</v>
      </c>
      <c r="S746" s="153">
        <v>20</v>
      </c>
      <c r="T746" s="154" t="s">
        <v>3047</v>
      </c>
      <c r="U746" s="210"/>
    </row>
    <row r="747" spans="1:21" ht="15" x14ac:dyDescent="0.25">
      <c r="A747" s="155" t="s">
        <v>3048</v>
      </c>
      <c r="B747" s="153">
        <v>2026</v>
      </c>
      <c r="C747" s="153" t="s">
        <v>23</v>
      </c>
      <c r="D747" s="153" t="s">
        <v>3049</v>
      </c>
      <c r="E747" s="165" t="s">
        <v>3050</v>
      </c>
      <c r="F747" s="169" t="s">
        <v>25</v>
      </c>
      <c r="G747" s="154" t="s">
        <v>207</v>
      </c>
      <c r="H747" s="155" t="s">
        <v>3051</v>
      </c>
      <c r="I747" s="189">
        <v>46282</v>
      </c>
      <c r="J747" s="189">
        <v>46282</v>
      </c>
      <c r="K747" s="153"/>
      <c r="L747" s="159"/>
      <c r="M747" s="181"/>
      <c r="N747" s="157">
        <v>80</v>
      </c>
      <c r="O747" s="157">
        <v>80</v>
      </c>
      <c r="P747" s="157"/>
      <c r="Q747" s="157"/>
      <c r="R747" s="157">
        <f t="shared" ref="R747" si="16">IF(B747="","",SUM(O747:Q747))</f>
        <v>80</v>
      </c>
      <c r="S747" s="153">
        <v>2</v>
      </c>
      <c r="T747" s="154"/>
      <c r="U747" s="210"/>
    </row>
    <row r="748" spans="1:21" ht="15" x14ac:dyDescent="0.25">
      <c r="A748" s="155" t="s">
        <v>3052</v>
      </c>
      <c r="B748" s="153">
        <v>2026</v>
      </c>
      <c r="C748" s="153" t="s">
        <v>23</v>
      </c>
      <c r="D748" s="153" t="s">
        <v>3053</v>
      </c>
      <c r="E748" s="158" t="s">
        <v>3054</v>
      </c>
      <c r="F748" s="169" t="s">
        <v>70</v>
      </c>
      <c r="G748" s="154" t="s">
        <v>80</v>
      </c>
      <c r="H748" s="155" t="s">
        <v>3055</v>
      </c>
      <c r="I748" s="189">
        <v>46293</v>
      </c>
      <c r="J748" s="189">
        <v>46295</v>
      </c>
      <c r="K748" s="153" t="s">
        <v>39</v>
      </c>
      <c r="L748" s="159"/>
      <c r="M748" s="181"/>
      <c r="N748" s="157">
        <v>80</v>
      </c>
      <c r="O748" s="157">
        <v>0</v>
      </c>
      <c r="P748" s="157">
        <v>67</v>
      </c>
      <c r="Q748" s="157">
        <v>0</v>
      </c>
      <c r="R748" s="157">
        <f t="shared" si="15"/>
        <v>67</v>
      </c>
      <c r="S748" s="153">
        <v>12</v>
      </c>
      <c r="T748" s="154" t="s">
        <v>2453</v>
      </c>
      <c r="U748" s="210"/>
    </row>
    <row r="749" spans="1:21" ht="30" hidden="1" x14ac:dyDescent="0.25">
      <c r="A749" s="155" t="s">
        <v>3056</v>
      </c>
      <c r="B749" s="153">
        <v>2026</v>
      </c>
      <c r="C749" s="153" t="s">
        <v>3057</v>
      </c>
      <c r="D749" s="153" t="s">
        <v>3058</v>
      </c>
      <c r="E749" s="165" t="s">
        <v>3059</v>
      </c>
      <c r="F749" s="169" t="s">
        <v>25</v>
      </c>
      <c r="G749" s="154" t="s">
        <v>26</v>
      </c>
      <c r="H749" s="155"/>
      <c r="I749" s="189"/>
      <c r="J749" s="189"/>
      <c r="K749" s="153" t="s">
        <v>39</v>
      </c>
      <c r="L749" s="159"/>
      <c r="M749" s="181"/>
      <c r="N749" s="157">
        <v>30</v>
      </c>
      <c r="O749" s="157"/>
      <c r="P749" s="157"/>
      <c r="Q749" s="157"/>
      <c r="R749" s="157">
        <f t="shared" si="15"/>
        <v>0</v>
      </c>
      <c r="S749" s="153">
        <v>12</v>
      </c>
      <c r="T749" s="154" t="s">
        <v>3060</v>
      </c>
      <c r="U749" s="210"/>
    </row>
    <row r="750" spans="1:21" ht="15" hidden="1" x14ac:dyDescent="0.25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5" hidden="1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hidden="1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hidden="1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hidden="1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hidden="1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hidden="1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hidden="1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hidden="1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hidden="1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hidden="1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hidden="1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hidden="1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hidden="1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hidden="1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hidden="1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hidden="1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hidden="1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hidden="1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hidden="1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hidden="1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hidden="1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hidden="1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hidden="1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hidden="1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hidden="1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hidden="1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hidden="1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hidden="1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hidden="1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hidden="1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hidden="1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hidden="1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hidden="1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hidden="1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hidden="1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hidden="1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hidden="1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hidden="1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hidden="1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hidden="1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hidden="1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hidden="1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hidden="1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hidden="1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hidden="1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hidden="1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hidden="1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hidden="1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hidden="1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hidden="1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hidden="1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hidden="1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hidden="1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hidden="1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hidden="1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hidden="1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hidden="1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hidden="1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hidden="1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hidden="1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hidden="1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hidden="1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hidden="1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hidden="1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hidden="1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hidden="1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hidden="1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hidden="1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hidden="1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hidden="1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hidden="1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hidden="1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hidden="1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hidden="1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hidden="1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hidden="1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hidden="1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hidden="1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hidden="1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hidden="1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hidden="1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hidden="1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hidden="1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hidden="1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hidden="1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hidden="1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hidden="1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hidden="1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hidden="1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hidden="1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hidden="1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hidden="1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hidden="1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hidden="1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hidden="1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hidden="1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hidden="1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hidden="1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hidden="1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hidden="1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hidden="1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hidden="1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hidden="1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hidden="1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hidden="1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hidden="1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hidden="1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hidden="1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hidden="1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hidden="1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hidden="1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hidden="1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hidden="1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hidden="1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hidden="1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hidden="1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hidden="1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hidden="1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hidden="1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hidden="1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hidden="1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hidden="1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hidden="1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hidden="1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hidden="1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hidden="1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hidden="1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hidden="1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hidden="1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hidden="1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hidden="1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hidden="1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hidden="1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hidden="1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hidden="1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hidden="1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hidden="1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hidden="1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hidden="1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hidden="1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hidden="1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hidden="1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hidden="1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hidden="1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hidden="1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hidden="1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hidden="1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hidden="1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hidden="1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hidden="1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hidden="1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hidden="1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hidden="1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hidden="1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hidden="1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hidden="1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hidden="1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hidden="1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hidden="1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hidden="1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hidden="1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hidden="1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hidden="1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hidden="1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hidden="1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hidden="1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hidden="1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hidden="1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hidden="1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hidden="1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hidden="1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hidden="1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hidden="1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hidden="1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hidden="1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hidden="1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hidden="1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hidden="1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hidden="1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hidden="1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hidden="1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hidden="1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hidden="1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hidden="1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hidden="1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hidden="1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hidden="1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hidden="1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hidden="1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hidden="1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hidden="1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hidden="1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hidden="1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hidden="1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hidden="1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hidden="1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hidden="1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hidden="1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hidden="1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hidden="1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hidden="1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hidden="1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hidden="1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hidden="1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hidden="1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hidden="1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hidden="1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hidden="1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hidden="1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hidden="1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hidden="1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hidden="1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hidden="1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hidden="1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hidden="1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hidden="1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hidden="1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hidden="1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hidden="1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hidden="1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hidden="1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hidden="1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hidden="1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hidden="1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hidden="1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hidden="1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hidden="1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hidden="1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hidden="1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hidden="1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hidden="1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hidden="1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hidden="1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hidden="1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hidden="1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hidden="1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hidden="1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hidden="1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hidden="1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hidden="1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hidden="1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hidden="1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hidden="1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hidden="1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hidden="1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hidden="1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hidden="1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hidden="1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hidden="1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hidden="1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hidden="1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hidden="1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hidden="1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hidden="1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hidden="1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hidden="1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hidden="1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hidden="1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hidden="1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hidden="1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hidden="1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hidden="1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hidden="1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hidden="1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hidden="1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hidden="1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hidden="1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hidden="1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hidden="1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hidden="1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hidden="1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hidden="1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hidden="1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hidden="1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hidden="1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hidden="1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hidden="1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hidden="1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hidden="1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hidden="1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hidden="1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hidden="1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hidden="1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hidden="1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hidden="1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hidden="1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hidden="1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hidden="1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hidden="1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hidden="1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hidden="1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hidden="1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hidden="1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hidden="1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hidden="1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hidden="1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hidden="1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hidden="1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hidden="1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hidden="1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hidden="1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hidden="1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hidden="1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hidden="1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hidden="1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hidden="1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hidden="1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hidden="1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hidden="1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hidden="1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hidden="1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hidden="1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hidden="1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hidden="1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hidden="1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hidden="1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hidden="1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hidden="1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hidden="1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hidden="1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hidden="1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hidden="1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hidden="1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hidden="1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hidden="1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hidden="1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hidden="1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hidden="1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hidden="1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hidden="1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hidden="1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hidden="1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hidden="1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hidden="1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hidden="1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hidden="1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hidden="1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hidden="1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hidden="1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hidden="1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hidden="1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hidden="1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hidden="1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hidden="1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hidden="1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hidden="1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hidden="1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hidden="1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hidden="1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hidden="1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hidden="1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hidden="1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hidden="1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hidden="1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hidden="1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hidden="1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hidden="1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hidden="1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hidden="1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hidden="1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hidden="1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hidden="1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hidden="1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hidden="1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hidden="1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hidden="1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hidden="1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hidden="1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hidden="1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hidden="1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hidden="1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hidden="1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hidden="1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hidden="1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hidden="1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hidden="1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hidden="1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hidden="1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hidden="1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hidden="1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hidden="1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hidden="1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hidden="1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hidden="1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hidden="1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hidden="1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hidden="1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hidden="1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hidden="1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hidden="1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hidden="1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hidden="1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hidden="1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hidden="1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hidden="1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hidden="1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hidden="1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hidden="1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hidden="1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hidden="1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hidden="1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hidden="1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hidden="1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hidden="1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hidden="1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hidden="1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hidden="1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hidden="1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hidden="1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hidden="1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hidden="1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hidden="1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hidden="1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hidden="1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hidden="1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hidden="1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hidden="1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hidden="1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hidden="1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hidden="1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hidden="1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hidden="1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hidden="1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hidden="1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hidden="1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hidden="1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hidden="1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hidden="1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hidden="1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hidden="1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hidden="1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hidden="1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hidden="1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hidden="1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hidden="1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hidden="1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hidden="1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hidden="1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hidden="1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hidden="1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hidden="1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hidden="1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hidden="1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hidden="1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hidden="1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hidden="1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hidden="1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hidden="1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hidden="1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hidden="1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hidden="1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hidden="1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hidden="1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hidden="1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hidden="1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hidden="1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hidden="1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hidden="1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hidden="1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hidden="1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hidden="1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hidden="1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hidden="1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hidden="1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hidden="1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hidden="1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hidden="1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hidden="1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hidden="1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hidden="1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hidden="1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hidden="1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hidden="1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hidden="1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hidden="1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hidden="1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hidden="1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hidden="1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hidden="1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hidden="1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hidden="1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hidden="1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hidden="1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hidden="1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hidden="1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hidden="1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hidden="1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hidden="1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hidden="1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hidden="1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hidden="1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hidden="1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hidden="1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hidden="1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hidden="1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hidden="1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hidden="1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hidden="1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hidden="1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hidden="1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hidden="1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hidden="1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hidden="1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hidden="1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hidden="1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hidden="1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hidden="1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hidden="1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hidden="1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hidden="1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hidden="1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hidden="1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hidden="1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hidden="1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hidden="1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hidden="1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hidden="1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hidden="1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hidden="1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hidden="1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hidden="1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hidden="1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hidden="1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hidden="1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hidden="1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hidden="1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hidden="1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hidden="1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hidden="1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hidden="1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hidden="1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hidden="1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hidden="1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hidden="1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hidden="1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hidden="1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hidden="1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hidden="1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hidden="1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hidden="1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hidden="1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hidden="1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hidden="1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hidden="1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hidden="1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hidden="1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hidden="1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hidden="1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hidden="1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hidden="1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hidden="1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hidden="1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hidden="1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hidden="1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hidden="1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hidden="1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hidden="1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hidden="1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hidden="1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hidden="1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hidden="1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hidden="1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hidden="1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hidden="1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hidden="1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hidden="1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hidden="1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hidden="1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hidden="1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hidden="1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hidden="1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hidden="1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hidden="1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hidden="1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hidden="1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hidden="1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hidden="1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hidden="1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hidden="1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hidden="1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hidden="1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hidden="1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hidden="1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hidden="1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hidden="1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hidden="1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hidden="1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hidden="1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hidden="1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hidden="1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hidden="1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hidden="1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hidden="1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hidden="1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hidden="1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hidden="1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hidden="1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hidden="1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hidden="1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hidden="1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hidden="1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hidden="1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hidden="1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hidden="1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hidden="1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hidden="1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hidden="1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hidden="1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hidden="1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hidden="1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hidden="1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hidden="1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hidden="1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hidden="1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hidden="1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hidden="1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hidden="1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hidden="1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hidden="1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hidden="1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hidden="1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hidden="1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hidden="1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hidden="1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hidden="1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hidden="1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hidden="1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hidden="1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hidden="1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hidden="1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hidden="1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hidden="1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hidden="1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hidden="1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hidden="1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hidden="1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hidden="1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hidden="1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hidden="1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hidden="1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hidden="1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hidden="1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hidden="1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hidden="1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hidden="1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hidden="1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hidden="1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hidden="1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hidden="1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hidden="1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hidden="1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hidden="1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hidden="1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hidden="1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hidden="1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hidden="1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hidden="1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hidden="1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hidden="1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hidden="1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hidden="1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hidden="1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hidden="1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hidden="1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hidden="1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hidden="1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hidden="1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hidden="1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hidden="1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hidden="1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hidden="1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hidden="1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hidden="1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hidden="1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hidden="1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hidden="1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hidden="1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hidden="1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hidden="1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hidden="1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hidden="1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hidden="1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hidden="1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hidden="1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hidden="1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hidden="1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hidden="1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hidden="1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hidden="1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hidden="1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hidden="1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hidden="1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hidden="1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hidden="1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hidden="1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hidden="1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hidden="1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hidden="1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hidden="1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hidden="1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hidden="1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hidden="1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hidden="1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hidden="1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hidden="1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hidden="1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hidden="1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hidden="1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hidden="1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hidden="1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hidden="1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hidden="1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hidden="1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hidden="1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hidden="1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hidden="1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hidden="1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hidden="1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hidden="1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hidden="1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hidden="1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hidden="1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hidden="1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hidden="1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hidden="1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hidden="1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hidden="1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hidden="1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hidden="1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hidden="1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hidden="1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hidden="1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hidden="1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hidden="1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hidden="1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hidden="1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hidden="1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hidden="1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hidden="1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hidden="1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hidden="1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hidden="1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hidden="1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hidden="1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hidden="1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hidden="1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hidden="1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hidden="1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hidden="1" x14ac:dyDescent="0.25">
      <c r="A1499" s="153" t="str">
        <f ca="1">IF(E1499="","",IF(B1499="",YEAR(TODAY()),B1499)&amp;"-"&amp;TEXT(COUNTIF($B$2:B1499,IF(B1499="",YEAR(TODAY()),B1499))+COUNTIFS($E$2:E1499,"&lt;&gt;",$B$2:B1499,""),"000"))</f>
        <v/>
      </c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hidden="1" x14ac:dyDescent="0.25">
      <c r="A1500" s="153" t="str">
        <f ca="1">IF(E1500="","",IF(B1500="",YEAR(TODAY()),B1500)&amp;"-"&amp;TEXT(COUNTIF($B$2:B1500,IF(B1500="",YEAR(TODAY()),B1500))+COUNTIFS($E$2:E1500,"&lt;&gt;",$B$2:B1500,""),"000"))</f>
        <v/>
      </c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hidden="1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hidden="1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hidden="1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hidden="1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hidden="1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hidden="1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hidden="1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hidden="1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hidden="1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hidden="1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hidden="1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hidden="1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hidden="1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hidden="1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hidden="1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hidden="1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hidden="1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hidden="1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hidden="1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hidden="1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hidden="1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hidden="1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hidden="1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hidden="1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hidden="1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hidden="1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hidden="1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hidden="1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hidden="1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hidden="1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hidden="1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hidden="1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hidden="1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hidden="1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hidden="1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hidden="1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hidden="1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hidden="1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hidden="1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hidden="1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hidden="1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hidden="1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hidden="1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hidden="1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hidden="1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hidden="1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hidden="1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hidden="1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hidden="1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hidden="1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hidden="1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hidden="1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hidden="1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hidden="1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hidden="1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hidden="1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hidden="1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hidden="1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hidden="1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hidden="1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hidden="1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hidden="1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hidden="1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hidden="1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hidden="1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hidden="1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hidden="1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hidden="1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hidden="1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hidden="1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hidden="1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hidden="1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hidden="1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hidden="1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hidden="1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hidden="1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hidden="1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hidden="1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hidden="1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hidden="1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hidden="1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hidden="1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hidden="1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hidden="1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hidden="1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hidden="1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hidden="1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hidden="1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hidden="1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hidden="1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hidden="1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hidden="1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hidden="1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hidden="1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hidden="1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hidden="1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hidden="1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hidden="1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hidden="1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hidden="1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hidden="1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hidden="1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hidden="1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hidden="1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hidden="1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hidden="1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hidden="1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hidden="1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hidden="1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hidden="1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hidden="1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hidden="1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hidden="1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hidden="1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hidden="1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hidden="1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hidden="1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hidden="1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hidden="1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hidden="1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hidden="1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hidden="1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hidden="1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hidden="1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hidden="1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hidden="1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hidden="1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hidden="1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hidden="1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hidden="1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hidden="1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hidden="1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hidden="1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hidden="1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hidden="1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hidden="1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hidden="1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hidden="1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hidden="1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hidden="1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hidden="1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hidden="1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hidden="1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hidden="1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hidden="1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hidden="1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hidden="1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hidden="1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hidden="1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hidden="1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hidden="1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hidden="1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hidden="1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hidden="1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hidden="1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hidden="1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hidden="1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hidden="1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hidden="1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hidden="1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hidden="1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hidden="1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hidden="1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hidden="1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hidden="1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hidden="1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hidden="1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hidden="1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hidden="1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hidden="1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hidden="1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hidden="1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hidden="1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hidden="1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hidden="1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hidden="1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hidden="1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hidden="1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hidden="1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hidden="1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hidden="1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hidden="1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hidden="1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hidden="1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hidden="1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hidden="1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hidden="1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hidden="1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hidden="1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hidden="1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hidden="1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hidden="1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hidden="1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hidden="1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hidden="1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hidden="1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hidden="1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hidden="1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hidden="1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hidden="1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hidden="1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hidden="1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hidden="1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hidden="1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hidden="1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hidden="1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hidden="1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hidden="1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hidden="1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hidden="1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hidden="1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hidden="1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hidden="1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hidden="1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hidden="1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hidden="1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hidden="1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hidden="1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hidden="1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hidden="1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hidden="1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hidden="1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hidden="1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hidden="1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hidden="1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hidden="1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hidden="1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hidden="1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hidden="1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hidden="1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hidden="1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hidden="1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hidden="1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hidden="1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hidden="1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hidden="1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hidden="1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hidden="1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hidden="1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hidden="1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hidden="1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hidden="1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hidden="1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hidden="1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hidden="1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hidden="1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hidden="1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hidden="1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hidden="1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hidden="1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hidden="1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hidden="1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hidden="1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hidden="1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hidden="1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hidden="1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hidden="1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hidden="1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hidden="1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hidden="1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hidden="1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hidden="1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hidden="1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hidden="1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hidden="1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hidden="1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hidden="1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hidden="1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hidden="1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hidden="1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hidden="1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hidden="1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hidden="1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hidden="1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hidden="1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hidden="1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hidden="1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hidden="1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hidden="1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hidden="1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hidden="1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hidden="1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hidden="1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hidden="1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hidden="1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hidden="1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hidden="1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hidden="1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hidden="1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hidden="1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hidden="1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hidden="1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hidden="1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hidden="1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hidden="1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hidden="1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hidden="1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hidden="1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hidden="1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hidden="1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hidden="1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hidden="1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hidden="1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hidden="1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hidden="1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hidden="1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hidden="1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hidden="1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hidden="1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hidden="1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hidden="1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hidden="1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hidden="1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hidden="1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hidden="1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hidden="1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hidden="1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hidden="1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hidden="1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hidden="1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hidden="1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hidden="1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hidden="1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hidden="1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hidden="1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hidden="1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hidden="1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hidden="1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hidden="1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hidden="1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hidden="1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hidden="1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hidden="1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hidden="1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hidden="1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hidden="1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hidden="1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hidden="1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hidden="1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hidden="1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hidden="1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hidden="1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hidden="1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hidden="1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hidden="1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hidden="1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hidden="1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hidden="1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hidden="1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hidden="1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hidden="1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hidden="1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hidden="1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hidden="1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hidden="1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hidden="1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hidden="1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hidden="1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hidden="1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hidden="1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hidden="1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hidden="1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hidden="1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hidden="1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hidden="1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hidden="1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hidden="1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hidden="1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hidden="1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hidden="1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hidden="1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hidden="1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hidden="1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hidden="1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hidden="1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hidden="1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hidden="1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hidden="1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hidden="1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hidden="1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hidden="1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hidden="1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hidden="1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hidden="1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hidden="1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hidden="1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hidden="1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hidden="1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hidden="1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hidden="1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hidden="1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hidden="1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hidden="1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hidden="1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hidden="1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hidden="1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hidden="1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hidden="1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hidden="1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hidden="1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hidden="1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hidden="1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hidden="1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hidden="1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hidden="1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hidden="1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hidden="1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hidden="1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hidden="1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hidden="1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hidden="1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hidden="1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hidden="1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hidden="1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hidden="1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hidden="1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hidden="1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hidden="1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hidden="1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hidden="1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hidden="1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hidden="1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hidden="1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hidden="1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hidden="1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hidden="1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hidden="1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hidden="1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hidden="1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hidden="1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hidden="1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hidden="1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hidden="1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hidden="1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hidden="1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hidden="1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hidden="1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hidden="1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hidden="1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hidden="1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hidden="1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hidden="1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hidden="1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hidden="1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hidden="1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hidden="1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hidden="1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hidden="1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hidden="1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hidden="1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hidden="1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hidden="1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hidden="1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hidden="1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hidden="1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hidden="1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hidden="1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hidden="1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hidden="1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hidden="1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hidden="1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hidden="1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hidden="1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hidden="1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hidden="1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hidden="1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hidden="1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hidden="1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hidden="1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hidden="1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hidden="1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hidden="1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hidden="1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hidden="1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hidden="1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hidden="1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hidden="1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hidden="1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hidden="1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hidden="1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hidden="1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hidden="1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hidden="1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hidden="1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hidden="1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hidden="1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hidden="1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hidden="1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hidden="1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hidden="1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hidden="1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hidden="1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hidden="1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hidden="1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hidden="1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hidden="1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hidden="1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hidden="1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hidden="1" x14ac:dyDescent="0.25">
      <c r="A1999" s="155"/>
      <c r="B1999" s="153"/>
      <c r="C1999" s="153"/>
      <c r="D1999" s="153"/>
      <c r="E1999" s="158"/>
      <c r="F1999" s="169"/>
      <c r="G1999" s="154"/>
      <c r="H1999" s="155"/>
      <c r="I1999" s="189"/>
      <c r="J1999" s="189"/>
      <c r="K1999" s="153"/>
      <c r="L1999" s="159"/>
      <c r="M1999" s="181"/>
      <c r="N1999" s="157"/>
      <c r="O1999" s="157"/>
      <c r="P1999" s="157"/>
      <c r="Q1999" s="157"/>
      <c r="R1999" s="157"/>
      <c r="S1999" s="153"/>
      <c r="T1999" s="154"/>
      <c r="U1999" s="210"/>
    </row>
    <row r="2000" spans="1:21" ht="15" hidden="1" x14ac:dyDescent="0.25">
      <c r="A2000" s="155"/>
      <c r="B2000" s="153"/>
      <c r="C2000" s="153"/>
      <c r="D2000" s="153"/>
      <c r="E2000" s="158"/>
      <c r="F2000" s="169"/>
      <c r="G2000" s="154"/>
      <c r="H2000" s="155"/>
      <c r="I2000" s="189"/>
      <c r="J2000" s="189"/>
      <c r="K2000" s="153"/>
      <c r="L2000" s="159"/>
      <c r="M2000" s="181"/>
      <c r="N2000" s="157"/>
      <c r="O2000" s="157"/>
      <c r="P2000" s="157"/>
      <c r="Q2000" s="157"/>
      <c r="R2000" s="157"/>
      <c r="S2000" s="153"/>
      <c r="T2000" s="154"/>
      <c r="U2000" s="210"/>
    </row>
    <row r="2001" spans="1:21" ht="15" hidden="1" x14ac:dyDescent="0.25">
      <c r="A2001" s="164"/>
      <c r="B2001" s="193"/>
      <c r="C2001" s="193"/>
      <c r="D2001" s="193"/>
      <c r="E2001" s="199"/>
      <c r="F2001" s="201"/>
      <c r="G2001" s="194"/>
      <c r="H2001" s="164"/>
      <c r="I2001" s="195"/>
      <c r="J2001" s="195"/>
      <c r="K2001" s="193"/>
      <c r="L2001" s="196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15" hidden="1" x14ac:dyDescent="0.25">
      <c r="A2002" s="155"/>
      <c r="B2002" s="202"/>
      <c r="C2002" s="193"/>
      <c r="D2002" s="193"/>
      <c r="E2002" s="158"/>
      <c r="F2002" s="201"/>
      <c r="G2002" s="194"/>
      <c r="H2002" s="164"/>
      <c r="I2002" s="195"/>
      <c r="J2002" s="195"/>
      <c r="K2002" s="203"/>
      <c r="L2002" s="204"/>
      <c r="M2002" s="197"/>
      <c r="N2002" s="198"/>
      <c r="O2002" s="198"/>
      <c r="P2002" s="198"/>
      <c r="Q2002" s="198"/>
      <c r="R2002" s="198"/>
      <c r="S2002" s="193"/>
      <c r="T2002" s="194"/>
      <c r="U2002" s="210"/>
    </row>
    <row r="2003" spans="1:21" ht="15" hidden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 x14ac:dyDescent="0.25">
      <c r="A2005" s="155"/>
      <c r="B2005" s="202"/>
      <c r="C2005" s="193"/>
      <c r="D2005" s="193"/>
      <c r="E2005" s="158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0"/>
    </row>
    <row r="2006" spans="1:21" ht="22.5" hidden="1" customHeight="1" x14ac:dyDescent="0.25">
      <c r="A2006" s="155"/>
      <c r="B2006" s="205"/>
      <c r="C2006" s="153"/>
      <c r="D2006" s="153"/>
      <c r="E2006" s="158"/>
      <c r="F2006" s="169"/>
      <c r="G2006" s="154"/>
      <c r="H2006" s="155"/>
      <c r="I2006" s="189"/>
      <c r="J2006" s="189"/>
      <c r="K2006" s="206"/>
      <c r="L2006" s="207"/>
      <c r="M2006" s="181"/>
      <c r="N2006" s="157"/>
      <c r="O2006" s="157"/>
      <c r="P2006" s="157"/>
      <c r="Q2006" s="157"/>
      <c r="R2006" s="157"/>
      <c r="S2006" s="153"/>
      <c r="T2006" s="154"/>
      <c r="U2006" s="210"/>
    </row>
    <row r="2007" spans="1:21" ht="22.5" hidden="1" customHeight="1" x14ac:dyDescent="0.25">
      <c r="A2007" s="198"/>
      <c r="B2007" s="202"/>
      <c r="C2007" s="193"/>
      <c r="D2007" s="193"/>
      <c r="E2007" s="199"/>
      <c r="F2007" s="201"/>
      <c r="G2007" s="194"/>
      <c r="H2007" s="164"/>
      <c r="I2007" s="195"/>
      <c r="J2007" s="195"/>
      <c r="K2007" s="203"/>
      <c r="L2007" s="204"/>
      <c r="M2007" s="197"/>
      <c r="N2007" s="198"/>
      <c r="O2007" s="198"/>
      <c r="P2007" s="198"/>
      <c r="Q2007" s="198"/>
      <c r="R2007" s="198"/>
      <c r="S2007" s="193"/>
      <c r="T2007" s="194"/>
      <c r="U2007" s="213"/>
    </row>
    <row r="2009" spans="1:21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60" priority="3">
      <formula>TRIM(C2)="Realizado"</formula>
    </cfRule>
  </conditionalFormatting>
  <conditionalFormatting sqref="C2:C2007">
    <cfRule type="expression" dxfId="59" priority="4">
      <formula>TRIM(C2)="Cancelado"</formula>
    </cfRule>
  </conditionalFormatting>
  <conditionalFormatting sqref="C2:C2007">
    <cfRule type="expression" dxfId="58" priority="5">
      <formula>TRIM(C2)="Em andamento"</formula>
    </cfRule>
  </conditionalFormatting>
  <conditionalFormatting sqref="C2:C2007">
    <cfRule type="expression" dxfId="57" priority="6">
      <formula>TRIM(C2)="Adiado"</formula>
    </cfRule>
  </conditionalFormatting>
  <conditionalFormatting sqref="A2:A2007">
    <cfRule type="expression" dxfId="56" priority="7">
      <formula>AND($B2&lt;&gt;"",$A2="")</formula>
    </cfRule>
  </conditionalFormatting>
  <conditionalFormatting sqref="L2:M2007">
    <cfRule type="expression" dxfId="55" priority="8">
      <formula>L2=""</formula>
    </cfRule>
  </conditionalFormatting>
  <conditionalFormatting sqref="A2002:A2006 E2007 A714:S715 A2:T713 A716:T2001">
    <cfRule type="expression" dxfId="54" priority="9">
      <formula>MOD(ROW(),2)=0</formula>
    </cfRule>
  </conditionalFormatting>
  <conditionalFormatting sqref="A2002:A2006 E2007 A714:S715 A2:T713 A716:T2001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12:J720 I706:J710 H2002:I2014 I744:J2001 I704:J704 I736:J739 I741:J742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3061</v>
      </c>
      <c r="H1" s="167" t="s">
        <v>3062</v>
      </c>
    </row>
    <row r="2" spans="1:8" x14ac:dyDescent="0.25">
      <c r="H2" s="166" t="s">
        <v>3063</v>
      </c>
    </row>
    <row r="3" spans="1:8" x14ac:dyDescent="0.25">
      <c r="A3" t="s">
        <v>0</v>
      </c>
      <c r="B3" t="s">
        <v>19</v>
      </c>
      <c r="C3" t="s">
        <v>3064</v>
      </c>
      <c r="D3" t="s">
        <v>3065</v>
      </c>
      <c r="E3" t="s">
        <v>3066</v>
      </c>
      <c r="H3" s="166" t="s">
        <v>3067</v>
      </c>
    </row>
    <row r="4" spans="1:8" x14ac:dyDescent="0.25">
      <c r="A4">
        <v>1</v>
      </c>
      <c r="B4" t="s">
        <v>3068</v>
      </c>
      <c r="D4" t="s">
        <v>3069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3070</v>
      </c>
    </row>
    <row r="5" spans="1:8" x14ac:dyDescent="0.25">
      <c r="A5">
        <v>2</v>
      </c>
      <c r="B5" t="s">
        <v>2508</v>
      </c>
      <c r="D5" t="s">
        <v>3069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3071</v>
      </c>
    </row>
    <row r="6" spans="1:8" x14ac:dyDescent="0.25">
      <c r="A6">
        <v>3</v>
      </c>
      <c r="B6" t="s">
        <v>1031</v>
      </c>
      <c r="D6" t="s">
        <v>3069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3072</v>
      </c>
      <c r="D7" t="s">
        <v>3069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3073</v>
      </c>
    </row>
    <row r="8" spans="1:8" x14ac:dyDescent="0.25">
      <c r="A8">
        <v>5</v>
      </c>
      <c r="B8" t="s">
        <v>3074</v>
      </c>
      <c r="D8" t="s">
        <v>3069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3069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3069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3069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2832</v>
      </c>
      <c r="D12" t="s">
        <v>3069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3069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3069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2805</v>
      </c>
      <c r="D15" t="s">
        <v>3069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3069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3069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3069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3069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3069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3069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3069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3075</v>
      </c>
      <c r="D23" t="s">
        <v>3069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3069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3076</v>
      </c>
      <c r="D25" t="s">
        <v>3069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3077</v>
      </c>
      <c r="D26" t="s">
        <v>3069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3069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3069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3078</v>
      </c>
      <c r="D29" t="s">
        <v>3069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3069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3069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3069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3079</v>
      </c>
      <c r="D33" t="s">
        <v>3069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3080</v>
      </c>
      <c r="D34" t="s">
        <v>3069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3069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3069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3069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3081</v>
      </c>
      <c r="D38" t="s">
        <v>3069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3082</v>
      </c>
      <c r="D39" t="s">
        <v>3069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3069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3083</v>
      </c>
      <c r="D41" t="s">
        <v>3069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3069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3069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3084</v>
      </c>
      <c r="D44" t="s">
        <v>3069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3069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3069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3069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3069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3085</v>
      </c>
      <c r="D49" t="s">
        <v>3069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3069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3086</v>
      </c>
      <c r="D51" t="s">
        <v>3069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3069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3069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3087</v>
      </c>
      <c r="D54" t="s">
        <v>3069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3069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3069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3069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3088</v>
      </c>
      <c r="D58" t="s">
        <v>3069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3069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3069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3089</v>
      </c>
      <c r="D61" t="s">
        <v>3069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3090</v>
      </c>
      <c r="D62" t="s">
        <v>3069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3091</v>
      </c>
      <c r="D63" t="s">
        <v>3069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3092</v>
      </c>
      <c r="D64" t="s">
        <v>3069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2795</v>
      </c>
      <c r="D65" t="s">
        <v>3069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3069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3093</v>
      </c>
      <c r="D67" t="s">
        <v>3069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3094</v>
      </c>
      <c r="D68" t="s">
        <v>3069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3069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3095</v>
      </c>
      <c r="D70" t="s">
        <v>3069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3069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3069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3069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3096</v>
      </c>
      <c r="D74" t="s">
        <v>3069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3069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3069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3069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3069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3097</v>
      </c>
      <c r="D79" t="s">
        <v>3069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3098</v>
      </c>
      <c r="D80" t="s">
        <v>3069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3099</v>
      </c>
      <c r="D81" t="s">
        <v>3069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3100</v>
      </c>
      <c r="D82" t="s">
        <v>3069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3069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3101</v>
      </c>
      <c r="D84" t="s">
        <v>3069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3069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3102</v>
      </c>
      <c r="D86" t="s">
        <v>3069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3103</v>
      </c>
      <c r="D87" t="s">
        <v>3069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3104</v>
      </c>
      <c r="D88" t="s">
        <v>3069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3105</v>
      </c>
      <c r="D89" t="s">
        <v>3069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3106</v>
      </c>
      <c r="D90" t="s">
        <v>3069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3107</v>
      </c>
      <c r="D91" t="s">
        <v>3069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3108</v>
      </c>
      <c r="D92" t="s">
        <v>3069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3109</v>
      </c>
      <c r="D93" t="s">
        <v>3069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3110</v>
      </c>
      <c r="D94" t="s">
        <v>3069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3069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3111</v>
      </c>
      <c r="D96" t="s">
        <v>3069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3069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3112</v>
      </c>
      <c r="D98" t="s">
        <v>3069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3113</v>
      </c>
      <c r="D99" t="s">
        <v>3069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3114</v>
      </c>
      <c r="D100" t="s">
        <v>3069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3115</v>
      </c>
      <c r="D101" t="s">
        <v>3069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2714</v>
      </c>
      <c r="D102" t="s">
        <v>3069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3116</v>
      </c>
      <c r="D103" t="s">
        <v>3069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3117</v>
      </c>
      <c r="D104" t="s">
        <v>3069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3118</v>
      </c>
      <c r="D105" t="s">
        <v>3069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2867</v>
      </c>
      <c r="D106" t="s">
        <v>3069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2872</v>
      </c>
      <c r="D107" t="s">
        <v>3069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3119</v>
      </c>
      <c r="D108" t="s">
        <v>3069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3120</v>
      </c>
      <c r="D109" t="s">
        <v>3069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3121</v>
      </c>
      <c r="D110" t="s">
        <v>3069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3122</v>
      </c>
      <c r="D111" t="s">
        <v>3069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3123</v>
      </c>
      <c r="D112" t="s">
        <v>3069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3124</v>
      </c>
      <c r="D113" t="s">
        <v>3069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3125</v>
      </c>
      <c r="C1" s="18" t="s">
        <v>3126</v>
      </c>
      <c r="D1" s="18" t="s">
        <v>4</v>
      </c>
      <c r="E1" s="18" t="s">
        <v>3127</v>
      </c>
      <c r="F1" s="18" t="s">
        <v>19</v>
      </c>
      <c r="G1" s="18" t="s">
        <v>3128</v>
      </c>
      <c r="H1" s="18" t="s">
        <v>3129</v>
      </c>
      <c r="I1" s="18" t="s">
        <v>3130</v>
      </c>
      <c r="J1" s="18" t="s">
        <v>3131</v>
      </c>
      <c r="L1" s="109" t="s">
        <v>3132</v>
      </c>
      <c r="M1" s="22">
        <v>2026</v>
      </c>
      <c r="U1" s="79" t="s">
        <v>3133</v>
      </c>
      <c r="V1" s="78"/>
      <c r="X1" s="77" t="s">
        <v>3134</v>
      </c>
      <c r="Y1" s="26"/>
      <c r="Z1" s="26"/>
      <c r="AA1" s="26"/>
      <c r="AC1" s="99" t="s">
        <v>3135</v>
      </c>
    </row>
    <row r="2" spans="1:31" x14ac:dyDescent="0.25">
      <c r="A2" s="20" cm="1">
        <f t="array" aca="1" ref="A2:J153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3136</v>
      </c>
      <c r="M2" s="105" t="s">
        <v>2929</v>
      </c>
      <c r="X2" s="111" t="s">
        <v>3125</v>
      </c>
      <c r="Y2" s="111" t="s">
        <v>19</v>
      </c>
      <c r="Z2" s="111" t="s">
        <v>3137</v>
      </c>
      <c r="AA2" s="111" t="s">
        <v>3138</v>
      </c>
      <c r="AC2" s="112" t="s">
        <v>1</v>
      </c>
      <c r="AD2" s="112" t="s">
        <v>3139</v>
      </c>
      <c r="AE2" s="112" t="s">
        <v>3140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3141</v>
      </c>
      <c r="M3" s="110" t="s">
        <v>3142</v>
      </c>
      <c r="N3" s="110" t="s">
        <v>3143</v>
      </c>
      <c r="O3" s="110" t="s">
        <v>3144</v>
      </c>
      <c r="P3" s="110" t="s">
        <v>3145</v>
      </c>
      <c r="Q3" s="110" t="s">
        <v>3146</v>
      </c>
      <c r="R3" s="110" t="s">
        <v>3147</v>
      </c>
      <c r="S3" s="110" t="s">
        <v>3148</v>
      </c>
      <c r="T3" s="110" t="s">
        <v>3149</v>
      </c>
      <c r="X3" t="s">
        <v>2836</v>
      </c>
      <c r="Y3" t="s">
        <v>3082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0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3150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3082</v>
      </c>
      <c r="Z6">
        <v>1</v>
      </c>
      <c r="AA6">
        <v>0</v>
      </c>
      <c r="AC6" s="96">
        <v>2026</v>
      </c>
      <c r="AD6" s="17" t="s">
        <v>3151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2952</v>
      </c>
      <c r="Y11" s="17" t="s">
        <v>3076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2952</v>
      </c>
      <c r="Y12" s="17" t="s">
        <v>3094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2961</v>
      </c>
      <c r="Y16" s="17" t="s">
        <v>3076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2961</v>
      </c>
      <c r="Y17" s="17" t="s">
        <v>3094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2957</v>
      </c>
      <c r="Y21" s="17" t="s">
        <v>3076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2957</v>
      </c>
      <c r="Y22" s="17" t="s">
        <v>3094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2833</v>
      </c>
      <c r="Y24" s="17" t="s">
        <v>3082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7" t="s">
        <v>3082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2721</v>
      </c>
      <c r="Y28" s="17" t="s">
        <v>3117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2721</v>
      </c>
      <c r="Y30" s="17" t="s">
        <v>3113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2754</v>
      </c>
      <c r="Y33" t="s">
        <v>3095</v>
      </c>
      <c r="Z33">
        <v>4</v>
      </c>
      <c r="AA33">
        <v>0.6</v>
      </c>
      <c r="AC33" s="98"/>
      <c r="AD33" s="113" t="s">
        <v>3152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2754</v>
      </c>
      <c r="Y34" t="s">
        <v>3096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3087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7" t="s">
        <v>3104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3103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3115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3112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5 - EC Chapadinha de Brazlândia, EC Incra 06 de Brazlândia e EC 09 de Brazlândia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2686</v>
      </c>
      <c r="Y48" t="s">
        <v>3114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6 - EC 102 Sul e CEF 05 do Guará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2686</v>
      </c>
      <c r="Y49" t="s">
        <v>3111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7 - CEF 02 da Estrutural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8 - EC 16 da Ceilândia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2686</v>
      </c>
      <c r="Y51" t="s">
        <v>3153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2686</v>
      </c>
      <c r="Y53" t="s">
        <v>3118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2686</v>
      </c>
      <c r="Y54" t="s">
        <v>3116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2784</v>
      </c>
      <c r="Y55" t="s">
        <v>3103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2937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2749</v>
      </c>
      <c r="Y58" s="108" t="s">
        <v>3110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2749</v>
      </c>
      <c r="Y59" t="s">
        <v>3109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2749</v>
      </c>
      <c r="Y60" t="s">
        <v>3108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2702</v>
      </c>
      <c r="Y64" t="s">
        <v>3100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2710</v>
      </c>
      <c r="Y65" t="s">
        <v>2714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2710</v>
      </c>
      <c r="Y66" t="s">
        <v>1480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2965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2965</v>
      </c>
      <c r="Y68" t="s">
        <v>3098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Realizado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2789</v>
      </c>
      <c r="Y69" t="s">
        <v>2795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T70">
        <f ca="1"/>
        <v>152</v>
      </c>
      <c r="X70" t="s">
        <v>2823</v>
      </c>
      <c r="Y70" s="17" t="s">
        <v>2832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2823</v>
      </c>
      <c r="Y71" s="17" t="s">
        <v>3082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3087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3101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3105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3102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3106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3088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3088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2961</v>
      </c>
      <c r="Y85" t="s">
        <v>3088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3154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3154</v>
      </c>
      <c r="Y87" t="s">
        <v>3100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3154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3052</v>
      </c>
      <c r="Y89" t="s">
        <v>3087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3056</v>
      </c>
      <c r="Y90" t="s">
        <v>3121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5 - EC Chapadinha de Brazlândia, EC Incra 06 de Brazlândia e EC 09 de Brazlândia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5 - EC Chapadinha de Brazlândia, EC Incra 06 de Brazlândia e EC 09 de Brazlândia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5 - EC Chapadinha de Brazlândia, EC Incra 06 de Brazlândia e EC 09 de Brazlândia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5 - EC Chapadinha de Brazlândia, EC Incra 06 de Brazlândia e EC 09 de Brazlândia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5 - EC Chapadinha de Brazlândia, EC Incra 06 de Brazlândia e EC 09 de Brazlândia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6 - EC 102 Sul e CEF 05 do Guará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6 - EC 102 Sul e CEF 05 do Guará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6 - EC 102 Sul e CEF 05 do Guará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6 - EC 102 Sul e CEF 05 do Guará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6 - EC 102 Sul e CEF 05 do Guará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7 - CEF 02 da Estrutural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8 - EC 16 da Ceilândia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2026-085</v>
      </c>
      <c r="C145" t="str">
        <f ca="1"/>
        <v>Realizado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2026-085</v>
      </c>
      <c r="C146" t="str">
        <f ca="1"/>
        <v>Realizado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2026-087</v>
      </c>
      <c r="C149" t="str">
        <f ca="1"/>
        <v>Realizado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2026-092</v>
      </c>
      <c r="C152" t="str">
        <f ca="1"/>
        <v>Realizado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2026-092</v>
      </c>
      <c r="C153" t="str">
        <f ca="1"/>
        <v>Realizado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 x14ac:dyDescent="0.25">
      <c r="R154" t="str">
        <f ca="1"/>
        <v/>
      </c>
      <c r="S154" t="str">
        <f ca="1"/>
        <v/>
      </c>
    </row>
    <row r="155" spans="1:19" x14ac:dyDescent="0.25"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8" t="s">
        <v>3155</v>
      </c>
      <c r="B1" s="218"/>
      <c r="C1" s="218"/>
      <c r="D1" s="218"/>
      <c r="E1" s="218"/>
      <c r="F1" s="218"/>
      <c r="G1" s="218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9" t="s">
        <v>3156</v>
      </c>
      <c r="B4" s="220"/>
      <c r="D4" s="221" t="s">
        <v>3157</v>
      </c>
      <c r="E4" s="222"/>
      <c r="G4" s="44" t="s">
        <v>3158</v>
      </c>
    </row>
    <row r="5" spans="1:7" ht="54.95" customHeight="1" thickBot="1" x14ac:dyDescent="0.75">
      <c r="A5" s="34">
        <f>COUNTIF('Ações InCompany'!B:B,2026)</f>
        <v>93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17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6" t="s">
        <v>3160</v>
      </c>
      <c r="B8" s="216"/>
      <c r="D8" s="216" t="s">
        <v>3161</v>
      </c>
      <c r="E8" s="216"/>
    </row>
    <row r="9" spans="1:7" ht="5.0999999999999996" customHeight="1" x14ac:dyDescent="0.25">
      <c r="A9" s="217"/>
      <c r="B9" s="217"/>
      <c r="D9" s="217"/>
      <c r="E9" s="217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1047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67</v>
      </c>
      <c r="D14" s="32" t="s">
        <v>3169</v>
      </c>
      <c r="E14" s="33">
        <f>SUM(E11:E13)</f>
        <v>3539</v>
      </c>
    </row>
    <row r="30" spans="1:5" ht="17.25" x14ac:dyDescent="0.3">
      <c r="A30" s="216" t="s">
        <v>3170</v>
      </c>
      <c r="B30" s="216"/>
      <c r="C30" s="216"/>
      <c r="D30" s="216"/>
      <c r="E30" s="216"/>
    </row>
    <row r="31" spans="1:5" ht="5.0999999999999996" customHeight="1" x14ac:dyDescent="0.25">
      <c r="A31" s="217"/>
      <c r="B31" s="217"/>
      <c r="C31" s="217"/>
      <c r="D31" s="217"/>
      <c r="E31" s="217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3126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2711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3057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2793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3" t="s">
        <v>3221</v>
      </c>
      <c r="B1" s="223"/>
      <c r="C1" s="223"/>
      <c r="D1" s="223"/>
      <c r="E1" s="223"/>
      <c r="F1" s="223"/>
      <c r="G1" s="223"/>
      <c r="H1" s="223"/>
    </row>
    <row r="2" spans="1:8" x14ac:dyDescent="0.25">
      <c r="A2" s="48" t="s">
        <v>3222</v>
      </c>
    </row>
    <row r="4" spans="1:8" ht="21.95" customHeight="1" x14ac:dyDescent="0.25">
      <c r="A4" s="224" t="s">
        <v>3223</v>
      </c>
      <c r="B4" s="225"/>
      <c r="D4" s="224" t="s">
        <v>3224</v>
      </c>
      <c r="E4" s="225"/>
      <c r="G4" s="224" t="s">
        <v>3225</v>
      </c>
      <c r="H4" s="225"/>
    </row>
    <row r="5" spans="1:8" ht="35.1" customHeight="1" x14ac:dyDescent="0.25">
      <c r="A5" s="228">
        <f>COUNTIF('Ações InCompany'!E:E,"*maratona*")</f>
        <v>13</v>
      </c>
      <c r="B5" s="227"/>
      <c r="D5" s="226">
        <f>SUM(H8:H100)</f>
        <v>1762</v>
      </c>
      <c r="E5" s="227"/>
      <c r="G5" s="226">
        <f>IFERROR(ROUND(D5/A5,0),"-")</f>
        <v>136</v>
      </c>
      <c r="H5" s="227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3126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9" t="s">
        <v>3231</v>
      </c>
      <c r="B1" s="229"/>
      <c r="C1" s="229"/>
      <c r="D1" s="229"/>
      <c r="E1" s="229"/>
      <c r="F1" s="229"/>
    </row>
    <row r="2" spans="1:7" x14ac:dyDescent="0.25">
      <c r="A2" s="230" t="s">
        <v>3232</v>
      </c>
      <c r="B2" s="230"/>
      <c r="C2" s="230"/>
      <c r="D2" s="230"/>
      <c r="E2" s="230"/>
      <c r="F2" s="230"/>
    </row>
    <row r="4" spans="1:7" x14ac:dyDescent="0.25">
      <c r="A4" s="24" t="s">
        <v>19</v>
      </c>
      <c r="B4" s="24" t="s">
        <v>3129</v>
      </c>
      <c r="C4" s="24" t="s">
        <v>3130</v>
      </c>
      <c r="D4" s="24" t="s">
        <v>3233</v>
      </c>
      <c r="E4" s="24" t="s">
        <v>3131</v>
      </c>
      <c r="F4" s="24" t="s">
        <v>3234</v>
      </c>
    </row>
    <row r="5" spans="1:7" x14ac:dyDescent="0.25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 x14ac:dyDescent="0.25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 x14ac:dyDescent="0.25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 x14ac:dyDescent="0.25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 x14ac:dyDescent="0.25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 x14ac:dyDescent="0.25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 x14ac:dyDescent="0.25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 x14ac:dyDescent="0.25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 x14ac:dyDescent="0.25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 x14ac:dyDescent="0.25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 x14ac:dyDescent="0.25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 x14ac:dyDescent="0.25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 x14ac:dyDescent="0.25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 x14ac:dyDescent="0.25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 x14ac:dyDescent="0.25">
      <c r="A60" t="str">
        <f ca="1"/>
        <v>Túllio Herbeth Teixeira Moraes</v>
      </c>
      <c r="B60" s="25">
        <f ca="1">IF($A60="","",SUMIFS('GECC 2026'!H$2:H$200,'GECC 2026'!F$2:F$200,$A60))</f>
        <v>9</v>
      </c>
      <c r="C60" s="25">
        <f ca="1">IF($A60="","",SUMIFS('GECC 2026'!I$2:I$200,'GECC 2026'!F$2:F$200,$A60))</f>
        <v>2.6999999999999997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11.7</v>
      </c>
      <c r="F60" s="23">
        <f ca="1">IF($A60="","",COUNTIFS('GECC 2026'!F$2:F$200,$A60))</f>
        <v>3</v>
      </c>
    </row>
    <row r="61" spans="1:6" x14ac:dyDescent="0.25">
      <c r="A61" t="str">
        <f ca="1"/>
        <v>Valéria Feitoza</v>
      </c>
      <c r="B61" s="25">
        <f ca="1">IF($A61="","",SUMIFS('GECC 2026'!H$2:H$200,'GECC 2026'!F$2:F$200,$A61))</f>
        <v>2</v>
      </c>
      <c r="C61" s="25">
        <f ca="1">IF($A61="","",SUMIFS('GECC 2026'!I$2:I$200,'GECC 2026'!F$2:F$200,$A61))</f>
        <v>0.6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2.6</v>
      </c>
      <c r="F61" s="23">
        <f ca="1">IF($A61="","",COUNTIFS('GECC 2026'!F$2:F$200,$A61))</f>
        <v>3</v>
      </c>
    </row>
    <row r="62" spans="1:6" x14ac:dyDescent="0.25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 x14ac:dyDescent="0.25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872</v>
      </c>
      <c r="C105" s="94">
        <f ca="1">SUM(C5:C100)</f>
        <v>389.94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3125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2026-10-06T19:22:56Z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