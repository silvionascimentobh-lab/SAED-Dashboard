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18" documentId="8_{454372C2-A99E-4E47-A759-72B38925853E}" xr6:coauthVersionLast="47" xr6:coauthVersionMax="47" xr10:uidLastSave="{D3E90730-189B-4B50-BFE3-76D576BA58B4}"/>
  <bookViews>
    <workbookView xWindow="28680" yWindow="-120" windowWidth="29040" windowHeight="15720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8" l="1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S3" i="29" s="1"/>
  <c r="O4" i="29"/>
  <c r="P4" i="29"/>
  <c r="Q4" i="29"/>
  <c r="R4" i="29" s="1"/>
  <c r="S4" i="29" s="1"/>
  <c r="O5" i="29"/>
  <c r="P5" i="29"/>
  <c r="Q5" i="29"/>
  <c r="R5" i="29" s="1"/>
  <c r="S5" i="29" s="1"/>
  <c r="O6" i="29"/>
  <c r="P6" i="29"/>
  <c r="Q6" i="29"/>
  <c r="R6" i="29" s="1"/>
  <c r="S6" i="29" s="1"/>
  <c r="O7" i="29"/>
  <c r="P7" i="29"/>
  <c r="Q7" i="29"/>
  <c r="R7" i="29" s="1"/>
  <c r="S7" i="29" s="1"/>
  <c r="O8" i="29"/>
  <c r="P8" i="29"/>
  <c r="Q8" i="29"/>
  <c r="R8" i="29" s="1"/>
  <c r="S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<sst xmlns="http://schemas.openxmlformats.org/spreadsheetml/2006/main" count="7192" uniqueCount="3164">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</sst>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9</v>
    <v>8</v>
    <v>111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8" dataDxfId="57" totalsRowDxfId="56" totalsRowBorderDxfId="55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I1:I2001"/>
  </sortState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0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25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opLeftCell="T1" zoomScaleNormal="100" workbookViewId="0">
      <pane ySplit="1" topLeftCell="A700" activePane="bottomLeft" state="frozen"/>
      <selection pane="bottomLeft" activeCell="D719" sqref="D719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hidden="1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hidden="1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hidden="1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hidden="1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hidden="1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hidden="1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hidden="1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hidden="1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hidden="1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hidden="1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hidden="1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hidden="1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hidden="1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hidden="1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hidden="1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hidden="1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hidden="1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hidden="1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hidden="1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hidden="1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hidden="1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hidden="1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hidden="1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hidden="1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hidden="1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hidden="1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hidden="1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hidden="1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hidden="1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hidden="1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hidden="1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hidden="1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hidden="1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hidden="1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hidden="1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hidden="1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hidden="1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hidden="1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hidden="1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hidden="1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hidden="1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hidden="1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hidden="1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hidden="1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hidden="1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hidden="1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hidden="1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hidden="1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hidden="1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hidden="1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hidden="1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hidden="1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hidden="1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hidden="1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hidden="1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hidden="1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hidden="1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hidden="1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hidden="1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hidden="1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hidden="1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hidden="1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hidden="1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hidden="1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hidden="1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hidden="1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hidden="1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hidden="1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hidden="1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hidden="1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hidden="1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hidden="1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hidden="1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hidden="1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hidden="1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hidden="1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hidden="1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hidden="1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hidden="1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hidden="1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hidden="1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hidden="1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hidden="1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hidden="1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hidden="1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hidden="1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hidden="1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hidden="1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hidden="1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hidden="1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hidden="1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hidden="1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hidden="1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hidden="1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hidden="1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hidden="1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hidden="1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hidden="1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hidden="1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hidden="1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hidden="1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hidden="1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hidden="1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hidden="1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hidden="1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hidden="1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hidden="1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hidden="1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hidden="1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hidden="1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hidden="1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hidden="1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hidden="1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hidden="1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hidden="1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hidden="1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hidden="1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hidden="1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hidden="1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hidden="1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hidden="1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hidden="1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hidden="1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hidden="1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hidden="1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hidden="1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hidden="1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hidden="1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hidden="1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hidden="1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hidden="1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hidden="1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hidden="1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hidden="1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hidden="1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hidden="1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hidden="1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hidden="1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hidden="1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hidden="1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hidden="1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hidden="1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hidden="1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hidden="1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hidden="1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hidden="1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hidden="1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hidden="1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hidden="1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hidden="1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hidden="1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hidden="1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hidden="1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hidden="1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hidden="1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hidden="1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hidden="1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hidden="1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hidden="1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hidden="1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hidden="1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hidden="1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hidden="1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hidden="1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hidden="1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hidden="1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hidden="1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hidden="1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hidden="1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hidden="1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hidden="1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hidden="1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hidden="1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hidden="1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hidden="1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hidden="1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hidden="1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hidden="1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hidden="1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hidden="1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hidden="1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hidden="1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hidden="1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hidden="1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hidden="1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hidden="1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hidden="1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hidden="1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hidden="1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hidden="1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hidden="1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hidden="1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hidden="1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hidden="1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hidden="1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hidden="1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hidden="1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hidden="1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hidden="1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hidden="1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hidden="1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hidden="1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hidden="1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hidden="1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hidden="1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hidden="1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hidden="1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hidden="1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hidden="1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hidden="1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hidden="1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hidden="1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hidden="1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hidden="1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hidden="1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hidden="1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hidden="1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hidden="1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hidden="1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hidden="1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hidden="1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hidden="1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hidden="1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hidden="1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hidden="1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hidden="1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hidden="1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hidden="1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hidden="1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hidden="1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hidden="1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hidden="1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hidden="1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hidden="1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hidden="1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hidden="1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hidden="1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hidden="1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hidden="1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hidden="1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hidden="1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hidden="1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hidden="1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hidden="1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hidden="1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hidden="1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hidden="1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hidden="1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hidden="1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hidden="1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hidden="1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hidden="1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hidden="1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hidden="1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hidden="1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hidden="1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hidden="1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hidden="1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hidden="1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hidden="1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hidden="1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hidden="1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hidden="1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hidden="1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hidden="1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hidden="1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hidden="1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hidden="1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hidden="1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hidden="1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hidden="1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hidden="1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hidden="1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hidden="1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hidden="1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hidden="1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hidden="1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hidden="1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hidden="1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hidden="1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hidden="1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hidden="1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hidden="1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hidden="1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hidden="1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hidden="1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hidden="1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hidden="1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hidden="1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hidden="1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hidden="1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hidden="1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hidden="1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hidden="1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hidden="1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hidden="1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hidden="1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hidden="1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hidden="1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hidden="1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hidden="1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hidden="1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hidden="1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hidden="1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hidden="1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hidden="1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hidden="1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hidden="1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hidden="1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hidden="1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hidden="1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hidden="1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hidden="1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hidden="1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hidden="1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hidden="1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hidden="1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hidden="1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hidden="1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hidden="1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hidden="1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hidden="1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hidden="1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hidden="1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hidden="1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hidden="1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hidden="1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hidden="1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hidden="1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hidden="1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hidden="1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hidden="1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hidden="1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hidden="1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hidden="1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hidden="1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hidden="1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hidden="1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hidden="1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hidden="1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hidden="1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hidden="1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hidden="1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hidden="1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hidden="1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hidden="1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hidden="1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hidden="1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hidden="1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hidden="1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hidden="1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hidden="1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hidden="1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hidden="1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hidden="1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hidden="1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hidden="1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hidden="1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hidden="1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hidden="1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hidden="1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hidden="1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hidden="1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hidden="1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hidden="1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hidden="1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hidden="1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hidden="1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hidden="1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hidden="1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hidden="1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hidden="1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hidden="1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hidden="1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hidden="1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hidden="1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hidden="1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hidden="1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hidden="1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hidden="1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hidden="1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449" si="6">SUM(O386:Q386)</f>
        <v>49</v>
      </c>
      <c r="S386" s="127">
        <v>2</v>
      </c>
      <c r="T386" s="130" t="s">
        <v>1622</v>
      </c>
    </row>
    <row r="387" spans="1:20" ht="22.5" hidden="1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hidden="1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hidden="1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hidden="1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hidden="1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hidden="1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hidden="1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hidden="1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hidden="1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hidden="1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hidden="1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hidden="1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hidden="1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hidden="1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hidden="1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hidden="1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hidden="1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hidden="1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hidden="1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hidden="1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hidden="1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hidden="1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hidden="1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hidden="1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hidden="1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hidden="1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hidden="1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hidden="1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hidden="1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hidden="1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hidden="1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hidden="1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hidden="1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hidden="1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hidden="1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hidden="1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hidden="1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hidden="1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hidden="1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hidden="1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hidden="1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hidden="1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hidden="1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hidden="1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hidden="1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hidden="1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hidden="1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hidden="1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hidden="1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hidden="1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hidden="1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hidden="1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hidden="1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hidden="1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hidden="1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hidden="1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hidden="1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hidden="1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hidden="1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hidden="1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hidden="1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hidden="1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hidden="1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hidden="1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hidden="1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hidden="1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hidden="1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hidden="1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hidden="1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hidden="1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hidden="1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hidden="1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hidden="1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hidden="1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hidden="1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hidden="1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hidden="1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hidden="1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hidden="1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hidden="1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hidden="1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hidden="1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hidden="1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hidden="1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hidden="1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hidden="1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hidden="1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hidden="1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hidden="1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hidden="1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hidden="1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hidden="1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hidden="1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hidden="1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hidden="1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hidden="1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hidden="1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hidden="1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hidden="1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hidden="1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hidden="1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hidden="1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hidden="1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hidden="1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hidden="1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hidden="1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hidden="1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hidden="1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hidden="1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hidden="1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hidden="1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hidden="1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hidden="1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hidden="1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hidden="1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hidden="1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hidden="1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hidden="1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hidden="1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hidden="1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hidden="1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hidden="1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hidden="1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hidden="1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hidden="1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hidden="1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hidden="1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hidden="1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hidden="1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hidden="1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hidden="1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hidden="1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hidden="1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hidden="1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hidden="1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hidden="1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hidden="1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hidden="1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hidden="1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hidden="1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hidden="1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hidden="1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hidden="1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hidden="1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hidden="1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hidden="1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hidden="1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hidden="1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hidden="1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hidden="1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hidden="1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hidden="1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hidden="1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hidden="1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hidden="1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hidden="1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hidden="1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hidden="1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hidden="1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hidden="1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hidden="1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hidden="1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hidden="1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hidden="1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hidden="1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hidden="1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hidden="1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hidden="1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hidden="1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hidden="1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hidden="1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hidden="1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hidden="1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hidden="1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hidden="1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hidden="1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hidden="1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hidden="1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hidden="1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hidden="1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hidden="1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hidden="1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hidden="1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hidden="1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hidden="1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hidden="1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hidden="1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hidden="1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hidden="1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hidden="1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hidden="1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hidden="1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hidden="1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hidden="1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hidden="1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hidden="1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hidden="1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hidden="1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hidden="1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hidden="1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9" si="10">SUM(O586:Q586)</f>
        <v>30</v>
      </c>
      <c r="S586" s="127">
        <v>3</v>
      </c>
      <c r="T586" s="147" t="s">
        <v>2054</v>
      </c>
    </row>
    <row r="587" spans="1:20" ht="22.5" hidden="1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hidden="1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hidden="1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hidden="1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hidden="1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hidden="1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hidden="1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hidden="1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hidden="1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hidden="1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hidden="1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hidden="1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hidden="1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hidden="1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hidden="1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hidden="1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hidden="1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hidden="1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hidden="1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hidden="1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hidden="1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hidden="1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hidden="1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hidden="1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hidden="1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hidden="1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hidden="1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hidden="1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hidden="1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hidden="1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hidden="1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hidden="1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hidden="1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hidden="1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hidden="1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hidden="1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hidden="1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hidden="1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hidden="1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hidden="1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hidden="1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hidden="1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hidden="1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hidden="1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hidden="1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hidden="1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hidden="1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hidden="1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hidden="1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hidden="1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hidden="1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hidden="1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hidden="1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hidden="1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hidden="1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hidden="1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hidden="1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hidden="1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hidden="1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hidden="1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hidden="1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hidden="1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hidden="1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hidden="1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hidden="1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hidden="1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hidden="1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hidden="1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hidden="1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hidden="1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>SUM(O663:Q663)</f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>SUM(O664:Q664)</f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>SUM(O665:Q665)</f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>SUM(O666:Q666)</f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>SUM(O667:Q667)</f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>SUM(O668:Q668)</f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>IF(B698="","",SUM(O698:Q698))</f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>IF(B699="","",SUM(O699:Q699))</f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>IF(B700="","",SUM(O700:Q700))</f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>IF(B701="","",SUM(O701:Q701))</f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>IF(B702="","",SUM(O702:Q702))</f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>IF(B703="","",SUM(O703:Q703))</f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>IF(B704="","",SUM(O704:Q704))</f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>IF(B705="","",SUM(O705:Q705))</f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>IF(B706="","",SUM(O706:Q706))</f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>IF(B707="","",SUM(O707:Q707))</f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>IF(B708="","",SUM(O708:Q708))</f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>IF(B709="","",SUM(O709:Q709))</f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>IF(B710="","",SUM(O710:Q710))</f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>IF(B711="","",SUM(O711:Q711))</f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>IF(B712="","",SUM(O712:Q712))</f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>IF(B713="","",SUM(O713:Q713))</f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>IF(B722="","",SUM(O722:Q722))</f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>IF(B723="","",SUM(O723:Q723))</f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>IF(B724="","",SUM(O724:Q724))</f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>IF(B725="","",SUM(O725:Q725))</f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>IF(B726="","",SUM(O726:Q726))</f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>IF(B727="","",SUM(O727:Q727))</f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>IF(B728="","",SUM(O728:Q728))</f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>IF(B729="","",SUM(O729:Q729))</f>
        <v>0</v>
      </c>
      <c r="S729" s="183"/>
      <c r="T729" s="186"/>
    </row>
    <row r="730" spans="1:20" ht="22.5" hidden="1" customHeight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ref="R721:R749" si="12">IF(B730="","",SUM(O730:Q730))</f>
        <v/>
      </c>
      <c r="S730" s="183"/>
      <c r="T730" s="186"/>
    </row>
    <row r="731" spans="1:20" ht="22.5" hidden="1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2"/>
        <v/>
      </c>
      <c r="S731" s="183"/>
      <c r="T731" s="186"/>
    </row>
    <row r="732" spans="1:20" ht="22.5" hidden="1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2"/>
        <v/>
      </c>
      <c r="S732" s="183"/>
      <c r="T732" s="186"/>
    </row>
    <row r="733" spans="1:20" ht="22.5" hidden="1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2"/>
        <v/>
      </c>
      <c r="S733" s="183"/>
      <c r="T733" s="186"/>
    </row>
    <row r="734" spans="1:20" ht="22.5" hidden="1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2"/>
        <v/>
      </c>
      <c r="S734" s="183"/>
      <c r="T734" s="186"/>
    </row>
    <row r="735" spans="1:20" ht="22.5" hidden="1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2"/>
        <v/>
      </c>
      <c r="S735" s="183"/>
      <c r="T735" s="186"/>
    </row>
    <row r="736" spans="1:20" ht="22.5" hidden="1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2"/>
        <v/>
      </c>
      <c r="S736" s="183"/>
      <c r="T736" s="186"/>
    </row>
    <row r="737" spans="1:20" ht="22.5" hidden="1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2"/>
        <v/>
      </c>
      <c r="S737" s="183"/>
      <c r="T737" s="186"/>
    </row>
    <row r="738" spans="1:20" ht="22.5" hidden="1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2"/>
        <v/>
      </c>
      <c r="S738" s="183"/>
      <c r="T738" s="186"/>
    </row>
    <row r="739" spans="1:20" ht="22.5" hidden="1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2"/>
        <v/>
      </c>
      <c r="S739" s="183"/>
      <c r="T739" s="186"/>
    </row>
    <row r="740" spans="1:20" ht="22.5" hidden="1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2"/>
        <v/>
      </c>
      <c r="S740" s="183"/>
      <c r="T740" s="186"/>
    </row>
    <row r="741" spans="1:20" ht="22.5" hidden="1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2"/>
        <v/>
      </c>
      <c r="S741" s="183"/>
      <c r="T741" s="186"/>
    </row>
    <row r="742" spans="1:20" ht="22.5" hidden="1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2"/>
        <v/>
      </c>
      <c r="S742" s="183"/>
      <c r="T742" s="186"/>
    </row>
    <row r="743" spans="1:20" ht="22.5" hidden="1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2"/>
        <v/>
      </c>
      <c r="S743" s="183"/>
      <c r="T743" s="186"/>
    </row>
    <row r="744" spans="1:20" ht="22.5" hidden="1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2"/>
        <v/>
      </c>
      <c r="S744" s="183"/>
      <c r="T744" s="186"/>
    </row>
    <row r="745" spans="1:20" ht="22.5" hidden="1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2"/>
        <v/>
      </c>
      <c r="S745" s="183"/>
      <c r="T745" s="186"/>
    </row>
    <row r="746" spans="1:20" ht="22.5" hidden="1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2"/>
        <v/>
      </c>
      <c r="S746" s="183"/>
      <c r="T746" s="186"/>
    </row>
    <row r="747" spans="1:20" ht="22.5" hidden="1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2"/>
        <v/>
      </c>
      <c r="S747" s="183"/>
      <c r="T747" s="186"/>
    </row>
    <row r="748" spans="1:20" ht="22.5" hidden="1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2"/>
        <v/>
      </c>
      <c r="S748" s="183"/>
      <c r="T748" s="186"/>
    </row>
    <row r="749" spans="1:20" ht="22.5" hidden="1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2"/>
        <v/>
      </c>
      <c r="S749" s="183"/>
      <c r="T749" s="186"/>
    </row>
    <row r="750" spans="1:20" ht="22.5" hidden="1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hidden="1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hidden="1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hidden="1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hidden="1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hidden="1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hidden="1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hidden="1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hidden="1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hidden="1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hidden="1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hidden="1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hidden="1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hidden="1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hidden="1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hidden="1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hidden="1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hidden="1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hidden="1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hidden="1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hidden="1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hidden="1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hidden="1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hidden="1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hidden="1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hidden="1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hidden="1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hidden="1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hidden="1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hidden="1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hidden="1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hidden="1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hidden="1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hidden="1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hidden="1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hidden="1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hidden="1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hidden="1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hidden="1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hidden="1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hidden="1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hidden="1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hidden="1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hidden="1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hidden="1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hidden="1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hidden="1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hidden="1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hidden="1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hidden="1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hidden="1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hidden="1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hidden="1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hidden="1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hidden="1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hidden="1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hidden="1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hidden="1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hidden="1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hidden="1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hidden="1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hidden="1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hidden="1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hidden="1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hidden="1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hidden="1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hidden="1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hidden="1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hidden="1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hidden="1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hidden="1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hidden="1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hidden="1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hidden="1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hidden="1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hidden="1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hidden="1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hidden="1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hidden="1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hidden="1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hidden="1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hidden="1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hidden="1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hidden="1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hidden="1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hidden="1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hidden="1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hidden="1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hidden="1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hidden="1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hidden="1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hidden="1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hidden="1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hidden="1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hidden="1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hidden="1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hidden="1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hidden="1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hidden="1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hidden="1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hidden="1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hidden="1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hidden="1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hidden="1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hidden="1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hidden="1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hidden="1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hidden="1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hidden="1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hidden="1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hidden="1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hidden="1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hidden="1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hidden="1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hidden="1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hidden="1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hidden="1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hidden="1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hidden="1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hidden="1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hidden="1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hidden="1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hidden="1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hidden="1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hidden="1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hidden="1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hidden="1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hidden="1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hidden="1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hidden="1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hidden="1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hidden="1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hidden="1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hidden="1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hidden="1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hidden="1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hidden="1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hidden="1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hidden="1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hidden="1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hidden="1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hidden="1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hidden="1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hidden="1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hidden="1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hidden="1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hidden="1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hidden="1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hidden="1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hidden="1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hidden="1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hidden="1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hidden="1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hidden="1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hidden="1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hidden="1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hidden="1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hidden="1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hidden="1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hidden="1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hidden="1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hidden="1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hidden="1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hidden="1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hidden="1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hidden="1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hidden="1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hidden="1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hidden="1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hidden="1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hidden="1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hidden="1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hidden="1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hidden="1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hidden="1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hidden="1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hidden="1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hidden="1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hidden="1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hidden="1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hidden="1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hidden="1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hidden="1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hidden="1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hidden="1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hidden="1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hidden="1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hidden="1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hidden="1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hidden="1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hidden="1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hidden="1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hidden="1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hidden="1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hidden="1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hidden="1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hidden="1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hidden="1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hidden="1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hidden="1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hidden="1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hidden="1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hidden="1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hidden="1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hidden="1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hidden="1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hidden="1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hidden="1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hidden="1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hidden="1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hidden="1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hidden="1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hidden="1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hidden="1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hidden="1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hidden="1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hidden="1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hidden="1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hidden="1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hidden="1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hidden="1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hidden="1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hidden="1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hidden="1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hidden="1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hidden="1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hidden="1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hidden="1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hidden="1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hidden="1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hidden="1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hidden="1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hidden="1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hidden="1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hidden="1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hidden="1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hidden="1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hidden="1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hidden="1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hidden="1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hidden="1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hidden="1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hidden="1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hidden="1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hidden="1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hidden="1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hidden="1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hidden="1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hidden="1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hidden="1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hidden="1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hidden="1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hidden="1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hidden="1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hidden="1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hidden="1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hidden="1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hidden="1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hidden="1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hidden="1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hidden="1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hidden="1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hidden="1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hidden="1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hidden="1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hidden="1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hidden="1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hidden="1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hidden="1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hidden="1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hidden="1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hidden="1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hidden="1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hidden="1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hidden="1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hidden="1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hidden="1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hidden="1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hidden="1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hidden="1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hidden="1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hidden="1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hidden="1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hidden="1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hidden="1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hidden="1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hidden="1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hidden="1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hidden="1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hidden="1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hidden="1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hidden="1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hidden="1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hidden="1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hidden="1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hidden="1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hidden="1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hidden="1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hidden="1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hidden="1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hidden="1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hidden="1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hidden="1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hidden="1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hidden="1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hidden="1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hidden="1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hidden="1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hidden="1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hidden="1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hidden="1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hidden="1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hidden="1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hidden="1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hidden="1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hidden="1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hidden="1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hidden="1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hidden="1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hidden="1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hidden="1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hidden="1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hidden="1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hidden="1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hidden="1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hidden="1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hidden="1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hidden="1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hidden="1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hidden="1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hidden="1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hidden="1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hidden="1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hidden="1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hidden="1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hidden="1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hidden="1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hidden="1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hidden="1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hidden="1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hidden="1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hidden="1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hidden="1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hidden="1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hidden="1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hidden="1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hidden="1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hidden="1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hidden="1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hidden="1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hidden="1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hidden="1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hidden="1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hidden="1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hidden="1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hidden="1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hidden="1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hidden="1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hidden="1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hidden="1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hidden="1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hidden="1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hidden="1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hidden="1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hidden="1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hidden="1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hidden="1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hidden="1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hidden="1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hidden="1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hidden="1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hidden="1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hidden="1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hidden="1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hidden="1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hidden="1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hidden="1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hidden="1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hidden="1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hidden="1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hidden="1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hidden="1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hidden="1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hidden="1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hidden="1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hidden="1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hidden="1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hidden="1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hidden="1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hidden="1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hidden="1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hidden="1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hidden="1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hidden="1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hidden="1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hidden="1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hidden="1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hidden="1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hidden="1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hidden="1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hidden="1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hidden="1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hidden="1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hidden="1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hidden="1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hidden="1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hidden="1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hidden="1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hidden="1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hidden="1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hidden="1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hidden="1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hidden="1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hidden="1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hidden="1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hidden="1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hidden="1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hidden="1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hidden="1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hidden="1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hidden="1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hidden="1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hidden="1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hidden="1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hidden="1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hidden="1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hidden="1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hidden="1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hidden="1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hidden="1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hidden="1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hidden="1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hidden="1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hidden="1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hidden="1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hidden="1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hidden="1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hidden="1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hidden="1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hidden="1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hidden="1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hidden="1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hidden="1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hidden="1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hidden="1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hidden="1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hidden="1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hidden="1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hidden="1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hidden="1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hidden="1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hidden="1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hidden="1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hidden="1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hidden="1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hidden="1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hidden="1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hidden="1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hidden="1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hidden="1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hidden="1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hidden="1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hidden="1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hidden="1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hidden="1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hidden="1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hidden="1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hidden="1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hidden="1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hidden="1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hidden="1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hidden="1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hidden="1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hidden="1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hidden="1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hidden="1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hidden="1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hidden="1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hidden="1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hidden="1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hidden="1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hidden="1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hidden="1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hidden="1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hidden="1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hidden="1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hidden="1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hidden="1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hidden="1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hidden="1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hidden="1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hidden="1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hidden="1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hidden="1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hidden="1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hidden="1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hidden="1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hidden="1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hidden="1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hidden="1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hidden="1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hidden="1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hidden="1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hidden="1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hidden="1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hidden="1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hidden="1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hidden="1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hidden="1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hidden="1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hidden="1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hidden="1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hidden="1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hidden="1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hidden="1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hidden="1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hidden="1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hidden="1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hidden="1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hidden="1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hidden="1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hidden="1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hidden="1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hidden="1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hidden="1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hidden="1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hidden="1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hidden="1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hidden="1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hidden="1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hidden="1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hidden="1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hidden="1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hidden="1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hidden="1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hidden="1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hidden="1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hidden="1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hidden="1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hidden="1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hidden="1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hidden="1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hidden="1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hidden="1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hidden="1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hidden="1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hidden="1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hidden="1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hidden="1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hidden="1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hidden="1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hidden="1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hidden="1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hidden="1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hidden="1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hidden="1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hidden="1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hidden="1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hidden="1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hidden="1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hidden="1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hidden="1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hidden="1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hidden="1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hidden="1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hidden="1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hidden="1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hidden="1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hidden="1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hidden="1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hidden="1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hidden="1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hidden="1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hidden="1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hidden="1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hidden="1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hidden="1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hidden="1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hidden="1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hidden="1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hidden="1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hidden="1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hidden="1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hidden="1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hidden="1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hidden="1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hidden="1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hidden="1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hidden="1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hidden="1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hidden="1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hidden="1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hidden="1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hidden="1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hidden="1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hidden="1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hidden="1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hidden="1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hidden="1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hidden="1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hidden="1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hidden="1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hidden="1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hidden="1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hidden="1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hidden="1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hidden="1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hidden="1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hidden="1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hidden="1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hidden="1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hidden="1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hidden="1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hidden="1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hidden="1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hidden="1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hidden="1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hidden="1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hidden="1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hidden="1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hidden="1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hidden="1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hidden="1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hidden="1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hidden="1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hidden="1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hidden="1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hidden="1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hidden="1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hidden="1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hidden="1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hidden="1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hidden="1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hidden="1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hidden="1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hidden="1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hidden="1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hidden="1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hidden="1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hidden="1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hidden="1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hidden="1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hidden="1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hidden="1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hidden="1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hidden="1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hidden="1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hidden="1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hidden="1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hidden="1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hidden="1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hidden="1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hidden="1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hidden="1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hidden="1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hidden="1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hidden="1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hidden="1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hidden="1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hidden="1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hidden="1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hidden="1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hidden="1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hidden="1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hidden="1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hidden="1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hidden="1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hidden="1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hidden="1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hidden="1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hidden="1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hidden="1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hidden="1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hidden="1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hidden="1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hidden="1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hidden="1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hidden="1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hidden="1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hidden="1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hidden="1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hidden="1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hidden="1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hidden="1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hidden="1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hidden="1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hidden="1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hidden="1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hidden="1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hidden="1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hidden="1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hidden="1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hidden="1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hidden="1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hidden="1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hidden="1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hidden="1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hidden="1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hidden="1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hidden="1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hidden="1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hidden="1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hidden="1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hidden="1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hidden="1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hidden="1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hidden="1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hidden="1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hidden="1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hidden="1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hidden="1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hidden="1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hidden="1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hidden="1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hidden="1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hidden="1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hidden="1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hidden="1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hidden="1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hidden="1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hidden="1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hidden="1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hidden="1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hidden="1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hidden="1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hidden="1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hidden="1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hidden="1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hidden="1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hidden="1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hidden="1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hidden="1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hidden="1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hidden="1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hidden="1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hidden="1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hidden="1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hidden="1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hidden="1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hidden="1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hidden="1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hidden="1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hidden="1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hidden="1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hidden="1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hidden="1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hidden="1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hidden="1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hidden="1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hidden="1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hidden="1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hidden="1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hidden="1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hidden="1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hidden="1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hidden="1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hidden="1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hidden="1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hidden="1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hidden="1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hidden="1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hidden="1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hidden="1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hidden="1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hidden="1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hidden="1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hidden="1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hidden="1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hidden="1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hidden="1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hidden="1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hidden="1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hidden="1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hidden="1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hidden="1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hidden="1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hidden="1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hidden="1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hidden="1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hidden="1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hidden="1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hidden="1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hidden="1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hidden="1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hidden="1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hidden="1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hidden="1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hidden="1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hidden="1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hidden="1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hidden="1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hidden="1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hidden="1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hidden="1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hidden="1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hidden="1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hidden="1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hidden="1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hidden="1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hidden="1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hidden="1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hidden="1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hidden="1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hidden="1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hidden="1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hidden="1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hidden="1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hidden="1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hidden="1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hidden="1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hidden="1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hidden="1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hidden="1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hidden="1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hidden="1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hidden="1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hidden="1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hidden="1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hidden="1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hidden="1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hidden="1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hidden="1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hidden="1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hidden="1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hidden="1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hidden="1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hidden="1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hidden="1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hidden="1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hidden="1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hidden="1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hidden="1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hidden="1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hidden="1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hidden="1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hidden="1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hidden="1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hidden="1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hidden="1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hidden="1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hidden="1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hidden="1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hidden="1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hidden="1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hidden="1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hidden="1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hidden="1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hidden="1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hidden="1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hidden="1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hidden="1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hidden="1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hidden="1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hidden="1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hidden="1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hidden="1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hidden="1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hidden="1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hidden="1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hidden="1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hidden="1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hidden="1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hidden="1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hidden="1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hidden="1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hidden="1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hidden="1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hidden="1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hidden="1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hidden="1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hidden="1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hidden="1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hidden="1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hidden="1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hidden="1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hidden="1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hidden="1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hidden="1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hidden="1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hidden="1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hidden="1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hidden="1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hidden="1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hidden="1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hidden="1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hidden="1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hidden="1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hidden="1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hidden="1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hidden="1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hidden="1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hidden="1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hidden="1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hidden="1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hidden="1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hidden="1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hidden="1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hidden="1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hidden="1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hidden="1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hidden="1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hidden="1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hidden="1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hidden="1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hidden="1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hidden="1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hidden="1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hidden="1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hidden="1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hidden="1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hidden="1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hidden="1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hidden="1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hidden="1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hidden="1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hidden="1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hidden="1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hidden="1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hidden="1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hidden="1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hidden="1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hidden="1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hidden="1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hidden="1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hidden="1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hidden="1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hidden="1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hidden="1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hidden="1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hidden="1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hidden="1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hidden="1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hidden="1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hidden="1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hidden="1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hidden="1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hidden="1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hidden="1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hidden="1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hidden="1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hidden="1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hidden="1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hidden="1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hidden="1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hidden="1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hidden="1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hidden="1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hidden="1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hidden="1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hidden="1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hidden="1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hidden="1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hidden="1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hidden="1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hidden="1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hidden="1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hidden="1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hidden="1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hidden="1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hidden="1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hidden="1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hidden="1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hidden="1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hidden="1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hidden="1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hidden="1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hidden="1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hidden="1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hidden="1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hidden="1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hidden="1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hidden="1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hidden="1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hidden="1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hidden="1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hidden="1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hidden="1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hidden="1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hidden="1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hidden="1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hidden="1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hidden="1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hidden="1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hidden="1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hidden="1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hidden="1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hidden="1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hidden="1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hidden="1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hidden="1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hidden="1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hidden="1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hidden="1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hidden="1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hidden="1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hidden="1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hidden="1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hidden="1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hidden="1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hidden="1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hidden="1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hidden="1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hidden="1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hidden="1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hidden="1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hidden="1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hidden="1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hidden="1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hidden="1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hidden="1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hidden="1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hidden="1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hidden="1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hidden="1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hidden="1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hidden="1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hidden="1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hidden="1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hidden="1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hidden="1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hidden="1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hidden="1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hidden="1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hidden="1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hidden="1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hidden="1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hidden="1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hidden="1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hidden="1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hidden="1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hidden="1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hidden="1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hidden="1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hidden="1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hidden="1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hidden="1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hidden="1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hidden="1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hidden="1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hidden="1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hidden="1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hidden="1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hidden="1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hidden="1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hidden="1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hidden="1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hidden="1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hidden="1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hidden="1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hidden="1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hidden="1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hidden="1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hidden="1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hidden="1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hidden="1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hidden="1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hidden="1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hidden="1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hidden="1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hidden="1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hidden="1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hidden="1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hidden="1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hidden="1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hidden="1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hidden="1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hidden="1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hidden="1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hidden="1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hidden="1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hidden="1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hidden="1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hidden="1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hidden="1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hidden="1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hidden="1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hidden="1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hidden="1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hidden="1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hidden="1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hidden="1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hidden="1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hidden="1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hidden="1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hidden="1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hidden="1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hidden="1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hidden="1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hidden="1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hidden="1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hidden="1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hidden="1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hidden="1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hidden="1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hidden="1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hidden="1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hidden="1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hidden="1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hidden="1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hidden="1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hidden="1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hidden="1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hidden="1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hidden="1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hidden="1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hidden="1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hidden="1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hidden="1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hidden="1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hidden="1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hidden="1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hidden="1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hidden="1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hidden="1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hidden="1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hidden="1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hidden="1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hidden="1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hidden="1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hidden="1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hidden="1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hidden="1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hidden="1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hidden="1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hidden="1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hidden="1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hidden="1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hidden="1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hidden="1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hidden="1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hidden="1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hidden="1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hidden="1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hidden="1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hidden="1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hidden="1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hidden="1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hidden="1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hidden="1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hidden="1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hidden="1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hidden="1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hidden="1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hidden="1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hidden="1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hidden="1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hidden="1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hidden="1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hidden="1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hidden="1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hidden="1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hidden="1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hidden="1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hidden="1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hidden="1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hidden="1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hidden="1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hidden="1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hidden="1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hidden="1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hidden="1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hidden="1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hidden="1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hidden="1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hidden="1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hidden="1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hidden="1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hidden="1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hidden="1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hidden="1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hidden="1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hidden="1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hidden="1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hidden="1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hidden="1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hidden="1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hidden="1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hidden="1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hidden="1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hidden="1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hidden="1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hidden="1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hidden="1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hidden="1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hidden="1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hidden="1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hidden="1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hidden="1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hidden="1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hidden="1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hidden="1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hidden="1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hidden="1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hidden="1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hidden="1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hidden="1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hidden="1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hidden="1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hidden="1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hidden="1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hidden="1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hidden="1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hidden="1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hidden="1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hidden="1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hidden="1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hidden="1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hidden="1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hidden="1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hidden="1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hidden="1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hidden="1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hidden="1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hidden="1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hidden="1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hidden="1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hidden="1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hidden="1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hidden="1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hidden="1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hidden="1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hidden="1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hidden="1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hidden="1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hidden="1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hidden="1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hidden="1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hidden="1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hidden="1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hidden="1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hidden="1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hidden="1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hidden="1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hidden="1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hidden="1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hidden="1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hidden="1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hidden="1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hidden="1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hidden="1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hidden="1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hidden="1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hidden="1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hidden="1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hidden="1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hidden="1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hidden="1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hidden="1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hidden="1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hidden="1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hidden="1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hidden="1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14" priority="1">
      <formula>TRIM(C2)="Realizado"</formula>
    </cfRule>
  </conditionalFormatting>
  <conditionalFormatting sqref="C2:C2001">
    <cfRule type="expression" dxfId="13" priority="2">
      <formula>TRIM(C2)="Cancelado"</formula>
    </cfRule>
  </conditionalFormatting>
  <conditionalFormatting sqref="C2:C2001">
    <cfRule type="expression" dxfId="12" priority="3">
      <formula>TRIM(C2)="Em andamento"</formula>
    </cfRule>
  </conditionalFormatting>
  <conditionalFormatting sqref="C2:C2001">
    <cfRule type="expression" dxfId="11" priority="4">
      <formula>TRIM(C2)="Adiado"</formula>
    </cfRule>
  </conditionalFormatting>
  <conditionalFormatting sqref="A2:A2001">
    <cfRule type="expression" dxfId="10" priority="5">
      <formula>AND($B2&lt;&gt;"",$A2="")</formula>
    </cfRule>
  </conditionalFormatting>
  <conditionalFormatting sqref="L2:M2001">
    <cfRule type="expression" dxfId="9" priority="6">
      <formula>L2=""</formula>
    </cfRule>
  </conditionalFormatting>
  <conditionalFormatting sqref="A2:T2001">
    <cfRule type="expression" dxfId="8" priority="7">
      <formula>MOD(ROW(),2)=0</formula>
    </cfRule>
  </conditionalFormatting>
  <conditionalFormatting sqref="A2:T2001">
    <cfRule type="expression" dxfId="7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abSelected="1" topLeftCell="A92"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40" t="s">
        <v>2969</v>
      </c>
    </row>
    <row r="2" spans="1:8" x14ac:dyDescent="0.25">
      <c r="H2" s="239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39" t="s">
        <v>2973</v>
      </c>
    </row>
    <row r="4" spans="1:8" x14ac:dyDescent="0.25">
      <c r="A4">
        <v>1</v>
      </c>
      <c r="B4" t="s">
        <v>2974</v>
      </c>
      <c r="D4" t="s">
        <v>2975</v>
      </c>
      <c r="E4" s="241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39" t="s">
        <v>2976</v>
      </c>
    </row>
    <row r="5" spans="1:8" x14ac:dyDescent="0.25">
      <c r="A5">
        <v>2</v>
      </c>
      <c r="B5" t="s">
        <v>2506</v>
      </c>
      <c r="D5" t="s">
        <v>2975</v>
      </c>
      <c r="E5" s="241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39" t="s">
        <v>2977</v>
      </c>
    </row>
    <row r="6" spans="1:8" x14ac:dyDescent="0.25">
      <c r="A6">
        <v>3</v>
      </c>
      <c r="B6" t="s">
        <v>1030</v>
      </c>
      <c r="D6" t="s">
        <v>2975</v>
      </c>
      <c r="E6" s="241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39"/>
    </row>
    <row r="7" spans="1:8" x14ac:dyDescent="0.25">
      <c r="A7">
        <v>4</v>
      </c>
      <c r="B7" t="s">
        <v>2978</v>
      </c>
      <c r="D7" t="s">
        <v>2975</v>
      </c>
      <c r="E7" s="241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40" t="s">
        <v>2979</v>
      </c>
    </row>
    <row r="8" spans="1:8" x14ac:dyDescent="0.25">
      <c r="A8">
        <v>5</v>
      </c>
      <c r="B8" t="s">
        <v>2980</v>
      </c>
      <c r="D8" t="s">
        <v>2975</v>
      </c>
      <c r="E8" s="241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41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41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41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41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41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41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41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41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41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41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41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41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41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41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41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41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41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41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41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41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41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41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41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41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41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41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41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41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41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41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41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41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41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41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41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41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41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41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41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41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41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41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41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41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41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41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41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41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41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41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41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41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41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41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41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41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41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41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41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41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41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41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41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41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41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41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41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41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41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41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41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41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41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41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41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41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41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41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41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41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41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41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41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41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41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41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41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41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41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41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41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41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41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41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41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41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41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41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41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41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41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1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02" activePane="bottomLeft" state="frozen"/>
      <selection pane="bottomLeft" activeCell="F111" sqref="F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t="e" cm="1" vm="1">
        <f t="array" aca="1" ref="A2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#VALUE!</v>
      </c>
      <c r="B2" s="21"/>
      <c r="C2" s="21"/>
      <c r="D2" s="18"/>
      <c r="E2" s="20"/>
      <c r="F2" s="18"/>
      <c r="G2" s="20"/>
      <c r="H2" s="22"/>
      <c r="I2" s="22"/>
      <c r="J2" s="22"/>
      <c r="L2" s="113" t="s">
        <v>3027</v>
      </c>
      <c r="M2" s="107" t="s">
        <v>2918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/>
      <c r="B3" s="21"/>
      <c r="C3" s="21"/>
      <c r="D3" s="18"/>
      <c r="E3" s="20"/>
      <c r="F3" s="18"/>
      <c r="G3" s="20"/>
      <c r="H3" s="22"/>
      <c r="I3" s="22"/>
      <c r="J3" s="22"/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/>
      <c r="B4" s="21"/>
      <c r="C4" s="21"/>
      <c r="D4" s="18"/>
      <c r="E4" s="20"/>
      <c r="F4" s="18"/>
      <c r="G4" s="20"/>
      <c r="H4" s="22"/>
      <c r="I4" s="22"/>
      <c r="J4" s="22"/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/>
      <c r="B5" s="21"/>
      <c r="C5" s="21"/>
      <c r="D5" s="18"/>
      <c r="E5" s="20"/>
      <c r="F5" s="18"/>
      <c r="G5" s="20"/>
      <c r="H5" s="22"/>
      <c r="I5" s="22"/>
      <c r="J5" s="22"/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/>
      <c r="B6" s="21"/>
      <c r="C6" s="21"/>
      <c r="D6" s="18"/>
      <c r="E6" s="20"/>
      <c r="F6" s="18"/>
      <c r="G6" s="20"/>
      <c r="H6" s="22"/>
      <c r="I6" s="22"/>
      <c r="J6" s="22"/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/>
      <c r="B7" s="21"/>
      <c r="C7" s="21"/>
      <c r="D7" s="18"/>
      <c r="E7" s="20"/>
      <c r="F7" s="18"/>
      <c r="G7" s="20"/>
      <c r="H7" s="22"/>
      <c r="I7" s="22"/>
      <c r="J7" s="22"/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/>
      <c r="B8" s="21"/>
      <c r="C8" s="21"/>
      <c r="D8" s="18"/>
      <c r="E8" s="20"/>
      <c r="F8" s="18"/>
      <c r="G8" s="20"/>
      <c r="H8" s="22"/>
      <c r="I8" s="22"/>
      <c r="J8" s="22"/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/>
      <c r="B9" s="21"/>
      <c r="C9" s="21"/>
      <c r="D9" s="18"/>
      <c r="E9" s="20"/>
      <c r="F9" s="18"/>
      <c r="G9" s="20"/>
      <c r="H9" s="22"/>
      <c r="I9" s="22"/>
      <c r="J9" s="22"/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/>
      <c r="B10" s="21"/>
      <c r="C10" s="21"/>
      <c r="D10" s="18"/>
      <c r="E10" s="20"/>
      <c r="F10" s="18"/>
      <c r="G10" s="20"/>
      <c r="H10" s="22"/>
      <c r="I10" s="22"/>
      <c r="J10" s="22"/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/>
      <c r="B11" s="21"/>
      <c r="C11" s="21"/>
      <c r="D11" s="18"/>
      <c r="E11" s="20"/>
      <c r="F11" s="18"/>
      <c r="G11" s="20"/>
      <c r="H11" s="22"/>
      <c r="I11" s="22"/>
      <c r="J11" s="22"/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/>
      <c r="B12" s="21"/>
      <c r="C12" s="21"/>
      <c r="D12" s="18"/>
      <c r="E12" s="20"/>
      <c r="F12" s="18"/>
      <c r="G12" s="20"/>
      <c r="H12" s="22"/>
      <c r="I12" s="22"/>
      <c r="J12" s="22"/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/>
      <c r="B13" s="21"/>
      <c r="C13" s="21"/>
      <c r="D13" s="18"/>
      <c r="E13" s="20"/>
      <c r="F13" s="18"/>
      <c r="G13" s="20"/>
      <c r="H13" s="22"/>
      <c r="I13" s="22"/>
      <c r="J13" s="22"/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/>
      <c r="B14" s="21"/>
      <c r="C14" s="21"/>
      <c r="D14" s="18"/>
      <c r="E14" s="20"/>
      <c r="F14" s="18"/>
      <c r="G14" s="20"/>
      <c r="H14" s="22"/>
      <c r="I14" s="22"/>
      <c r="J14" s="22"/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/>
      <c r="B15" s="21"/>
      <c r="C15" s="21"/>
      <c r="D15" s="18"/>
      <c r="E15" s="20"/>
      <c r="F15" s="18"/>
      <c r="G15" s="20"/>
      <c r="H15" s="22"/>
      <c r="I15" s="22"/>
      <c r="J15" s="22"/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/>
      <c r="B16" s="21"/>
      <c r="C16" s="21"/>
      <c r="D16" s="18"/>
      <c r="E16" s="20"/>
      <c r="F16" s="18"/>
      <c r="G16" s="20"/>
      <c r="H16" s="22"/>
      <c r="I16" s="22"/>
      <c r="J16" s="22"/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/>
      <c r="B17" s="21"/>
      <c r="C17" s="21"/>
      <c r="D17" s="18"/>
      <c r="E17" s="20"/>
      <c r="F17" s="18"/>
      <c r="G17" s="20"/>
      <c r="H17" s="22"/>
      <c r="I17" s="22"/>
      <c r="J17" s="22"/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/>
      <c r="B18" s="21"/>
      <c r="C18" s="21"/>
      <c r="D18" s="18"/>
      <c r="E18" s="20"/>
      <c r="F18" s="18"/>
      <c r="G18" s="20"/>
      <c r="H18" s="22"/>
      <c r="I18" s="22"/>
      <c r="J18" s="22"/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/>
      <c r="B19" s="21"/>
      <c r="C19" s="21"/>
      <c r="D19" s="18"/>
      <c r="E19" s="20"/>
      <c r="F19" s="18"/>
      <c r="G19" s="20"/>
      <c r="H19" s="22"/>
      <c r="I19" s="22"/>
      <c r="J19" s="22"/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/>
      <c r="B20" s="21"/>
      <c r="C20" s="21"/>
      <c r="D20" s="18"/>
      <c r="E20" s="20"/>
      <c r="F20" s="18"/>
      <c r="G20" s="20"/>
      <c r="H20" s="22"/>
      <c r="I20" s="22"/>
      <c r="J20" s="22"/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/>
      <c r="B21" s="21"/>
      <c r="C21" s="21"/>
      <c r="D21" s="18"/>
      <c r="E21" s="20"/>
      <c r="F21" s="18"/>
      <c r="G21" s="20"/>
      <c r="H21" s="22"/>
      <c r="I21" s="22"/>
      <c r="J21" s="22"/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/>
      <c r="B22" s="21"/>
      <c r="C22" s="21"/>
      <c r="D22" s="18"/>
      <c r="E22" s="20"/>
      <c r="F22" s="18"/>
      <c r="G22" s="20"/>
      <c r="H22" s="22"/>
      <c r="I22" s="22"/>
      <c r="J22" s="22"/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/>
      <c r="B23" s="21"/>
      <c r="C23" s="21"/>
      <c r="D23" s="18"/>
      <c r="E23" s="20"/>
      <c r="F23" s="18"/>
      <c r="G23" s="20"/>
      <c r="H23" s="22"/>
      <c r="I23" s="22"/>
      <c r="J23" s="22"/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/>
      <c r="B24" s="21"/>
      <c r="C24" s="21"/>
      <c r="D24" s="18"/>
      <c r="E24" s="20"/>
      <c r="F24" s="18"/>
      <c r="G24" s="20"/>
      <c r="H24" s="22"/>
      <c r="I24" s="22"/>
      <c r="J24" s="22"/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/>
      <c r="B25" s="21"/>
      <c r="C25" s="21"/>
      <c r="D25" s="18"/>
      <c r="E25" s="20"/>
      <c r="F25" s="18"/>
      <c r="G25" s="20"/>
      <c r="H25" s="22"/>
      <c r="I25" s="22"/>
      <c r="J25" s="22"/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/>
      <c r="B26" s="21"/>
      <c r="C26" s="21"/>
      <c r="D26" s="18"/>
      <c r="E26" s="20"/>
      <c r="F26" s="18"/>
      <c r="G26" s="20"/>
      <c r="H26" s="22"/>
      <c r="I26" s="22"/>
      <c r="J26" s="22"/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/>
      <c r="B27" s="21"/>
      <c r="C27" s="21"/>
      <c r="D27" s="18"/>
      <c r="E27" s="20"/>
      <c r="F27" s="18"/>
      <c r="G27" s="20"/>
      <c r="H27" s="22"/>
      <c r="I27" s="22"/>
      <c r="J27" s="22"/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/>
      <c r="B28" s="21"/>
      <c r="C28" s="21"/>
      <c r="D28" s="18"/>
      <c r="E28" s="20"/>
      <c r="F28" s="18"/>
      <c r="G28" s="20"/>
      <c r="H28" s="22"/>
      <c r="I28" s="22"/>
      <c r="J28" s="22"/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/>
      <c r="B29" s="21"/>
      <c r="C29" s="21"/>
      <c r="D29" s="18"/>
      <c r="E29" s="20"/>
      <c r="F29" s="18"/>
      <c r="G29" s="20"/>
      <c r="H29" s="22"/>
      <c r="I29" s="22"/>
      <c r="J29" s="22"/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/>
      <c r="B30" s="21"/>
      <c r="C30" s="21"/>
      <c r="D30" s="18"/>
      <c r="E30" s="20"/>
      <c r="F30" s="18"/>
      <c r="G30" s="20"/>
      <c r="H30" s="22"/>
      <c r="I30" s="22"/>
      <c r="J30" s="22"/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/>
      <c r="B31" s="21"/>
      <c r="C31" s="21"/>
      <c r="D31" s="18"/>
      <c r="E31" s="20"/>
      <c r="F31" s="18"/>
      <c r="G31" s="20"/>
      <c r="H31" s="22"/>
      <c r="I31" s="22"/>
      <c r="J31" s="22"/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/>
      <c r="B32" s="21"/>
      <c r="C32" s="21"/>
      <c r="D32" s="18"/>
      <c r="E32" s="20"/>
      <c r="F32" s="18"/>
      <c r="G32" s="20"/>
      <c r="H32" s="22"/>
      <c r="I32" s="22"/>
      <c r="J32" s="22"/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/>
      <c r="B33" s="21"/>
      <c r="C33" s="21"/>
      <c r="D33" s="18"/>
      <c r="E33" s="20"/>
      <c r="F33" s="18"/>
      <c r="G33" s="20"/>
      <c r="H33" s="22"/>
      <c r="I33" s="22"/>
      <c r="J33" s="22"/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/>
      <c r="B34" s="21"/>
      <c r="C34" s="21"/>
      <c r="D34" s="18"/>
      <c r="E34" s="20"/>
      <c r="F34" s="18"/>
      <c r="G34" s="20"/>
      <c r="H34" s="22"/>
      <c r="I34" s="22"/>
      <c r="J34" s="22"/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/>
      <c r="B35" s="21"/>
      <c r="C35" s="21"/>
      <c r="D35" s="18"/>
      <c r="E35" s="20"/>
      <c r="F35" s="18"/>
      <c r="G35" s="20"/>
      <c r="H35" s="22"/>
      <c r="I35" s="22"/>
      <c r="J35" s="22"/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/>
      <c r="B36" s="21"/>
      <c r="C36" s="21"/>
      <c r="D36" s="18"/>
      <c r="E36" s="20"/>
      <c r="F36" s="18"/>
      <c r="G36" s="20"/>
      <c r="H36" s="22"/>
      <c r="I36" s="22"/>
      <c r="J36" s="22"/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C37" s="81"/>
      <c r="E37" s="81"/>
      <c r="G37" s="81"/>
      <c r="H37" s="81"/>
      <c r="I37" s="81"/>
      <c r="J37" s="81"/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C38" s="81"/>
      <c r="E38" s="81"/>
      <c r="G38" s="81"/>
      <c r="H38" s="81"/>
      <c r="I38" s="81"/>
      <c r="J38" s="81"/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C39" s="81"/>
      <c r="E39" s="81"/>
      <c r="G39" s="81"/>
      <c r="H39" s="81"/>
      <c r="I39" s="81"/>
      <c r="J39" s="81"/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C40" s="81"/>
      <c r="E40" s="81"/>
      <c r="G40" s="81"/>
      <c r="H40" s="81"/>
      <c r="I40" s="81"/>
      <c r="J40" s="81"/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C41" s="81"/>
      <c r="E41" s="81"/>
      <c r="G41" s="81"/>
      <c r="H41" s="81"/>
      <c r="I41" s="81"/>
      <c r="J41" s="81"/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C42" s="81"/>
      <c r="E42" s="81"/>
      <c r="G42" s="81"/>
      <c r="H42" s="81"/>
      <c r="I42" s="81"/>
      <c r="J42" s="81"/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2883</v>
      </c>
      <c r="Y43" s="18" t="s">
        <v>3009</v>
      </c>
      <c r="AA43">
        <v>1.2</v>
      </c>
    </row>
    <row r="44" spans="1:31" x14ac:dyDescent="0.25"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2883</v>
      </c>
      <c r="Y44" s="18" t="s">
        <v>942</v>
      </c>
      <c r="AA44">
        <v>1.2</v>
      </c>
    </row>
    <row r="45" spans="1:31" x14ac:dyDescent="0.25"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2868</v>
      </c>
      <c r="Y48" t="s">
        <v>3048</v>
      </c>
      <c r="Z48">
        <v>1</v>
      </c>
      <c r="AA48">
        <v>0.3</v>
      </c>
    </row>
    <row r="49" spans="12:27" x14ac:dyDescent="0.25"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2868</v>
      </c>
      <c r="Y49" t="s">
        <v>3049</v>
      </c>
      <c r="Z49">
        <v>0</v>
      </c>
      <c r="AA49">
        <v>0</v>
      </c>
    </row>
    <row r="50" spans="12:27" x14ac:dyDescent="0.25"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99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2:27" x14ac:dyDescent="0.25"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100</v>
      </c>
      <c r="T51">
        <v>99</v>
      </c>
      <c r="X51" t="s">
        <v>2868</v>
      </c>
      <c r="Y51" t="s">
        <v>3050</v>
      </c>
      <c r="Z51">
        <v>1</v>
      </c>
      <c r="AA51">
        <v>0.3</v>
      </c>
    </row>
    <row r="52" spans="12:27" x14ac:dyDescent="0.25"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104</v>
      </c>
      <c r="T52">
        <v>100</v>
      </c>
      <c r="X52" t="s">
        <v>2868</v>
      </c>
      <c r="Y52" t="s">
        <v>1350</v>
      </c>
      <c r="Z52">
        <v>1</v>
      </c>
      <c r="AA52">
        <v>0.3</v>
      </c>
    </row>
    <row r="53" spans="12:27" x14ac:dyDescent="0.25"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2:27" x14ac:dyDescent="0.25"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2:27" x14ac:dyDescent="0.25"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>
        <v>0</v>
      </c>
      <c r="R55">
        <v>1</v>
      </c>
      <c r="S55">
        <v>107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2:27" x14ac:dyDescent="0.25"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>
        <v>0</v>
      </c>
      <c r="R56">
        <v>1</v>
      </c>
      <c r="S56">
        <v>108</v>
      </c>
      <c r="T56">
        <v>107</v>
      </c>
      <c r="X56" t="s">
        <v>2928</v>
      </c>
      <c r="Y56" t="s">
        <v>1030</v>
      </c>
      <c r="Z56">
        <v>0</v>
      </c>
      <c r="AA56">
        <v>0</v>
      </c>
    </row>
    <row r="57" spans="12:27" x14ac:dyDescent="0.25"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110</v>
      </c>
      <c r="T57">
        <v>108</v>
      </c>
      <c r="X57" t="s">
        <v>2918</v>
      </c>
      <c r="Y57" t="s">
        <v>425</v>
      </c>
      <c r="Z57">
        <v>20</v>
      </c>
      <c r="AA57">
        <v>3.6</v>
      </c>
    </row>
    <row r="58" spans="12:27" ht="12" customHeight="1" x14ac:dyDescent="0.25"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112</v>
      </c>
      <c r="T58">
        <v>110</v>
      </c>
      <c r="X58" t="s">
        <v>2918</v>
      </c>
      <c r="Y58" s="110" t="s">
        <v>3015</v>
      </c>
      <c r="Z58">
        <v>0</v>
      </c>
      <c r="AA58">
        <v>0</v>
      </c>
    </row>
    <row r="59" spans="12:27" x14ac:dyDescent="0.25">
      <c r="R59" t="str">
        <v/>
      </c>
      <c r="S59" t="str">
        <v/>
      </c>
      <c r="T59">
        <v>112</v>
      </c>
      <c r="X59" t="s">
        <v>2918</v>
      </c>
      <c r="Y59" t="s">
        <v>3014</v>
      </c>
      <c r="Z59">
        <v>8</v>
      </c>
      <c r="AA59">
        <v>2.4</v>
      </c>
    </row>
    <row r="60" spans="12:27" x14ac:dyDescent="0.25"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2:27" x14ac:dyDescent="0.25"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2:27" x14ac:dyDescent="0.25"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2:27" x14ac:dyDescent="0.25"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2:27" x14ac:dyDescent="0.25"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6:27" x14ac:dyDescent="0.25"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6:27" x14ac:dyDescent="0.25"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6:27" x14ac:dyDescent="0.25"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6:27" x14ac:dyDescent="0.25"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6:27" x14ac:dyDescent="0.25"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6:27" x14ac:dyDescent="0.25"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6:27" x14ac:dyDescent="0.25"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6:27" x14ac:dyDescent="0.25"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6:27" x14ac:dyDescent="0.25"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6:27" x14ac:dyDescent="0.25"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6:27" x14ac:dyDescent="0.25"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6:27" x14ac:dyDescent="0.25"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6:27" x14ac:dyDescent="0.25">
      <c r="F77" t="s">
        <v>3010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6:27" x14ac:dyDescent="0.25"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6:27" x14ac:dyDescent="0.25"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6:27" x14ac:dyDescent="0.25"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8:27" x14ac:dyDescent="0.25"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8:27" x14ac:dyDescent="0.25"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8:27" x14ac:dyDescent="0.25">
      <c r="R83" t="str">
        <v/>
      </c>
      <c r="S83" t="str">
        <v/>
      </c>
    </row>
    <row r="84" spans="18:27" x14ac:dyDescent="0.25">
      <c r="R84" t="str">
        <v/>
      </c>
      <c r="S84" t="str">
        <v/>
      </c>
    </row>
    <row r="85" spans="18:27" x14ac:dyDescent="0.25">
      <c r="R85" t="str">
        <v/>
      </c>
      <c r="S85" t="str">
        <v/>
      </c>
    </row>
    <row r="86" spans="18:27" x14ac:dyDescent="0.25">
      <c r="R86" t="str">
        <v/>
      </c>
      <c r="S86" t="str">
        <v/>
      </c>
    </row>
    <row r="87" spans="18:27" x14ac:dyDescent="0.25">
      <c r="R87" t="str">
        <v/>
      </c>
      <c r="S87" t="str">
        <v/>
      </c>
    </row>
    <row r="88" spans="18:27" x14ac:dyDescent="0.25">
      <c r="R88" t="str">
        <v/>
      </c>
      <c r="S88" t="str">
        <v/>
      </c>
    </row>
    <row r="89" spans="18:27" x14ac:dyDescent="0.25">
      <c r="R89" t="str">
        <v/>
      </c>
      <c r="S89" t="str">
        <v/>
      </c>
    </row>
    <row r="90" spans="18:27" x14ac:dyDescent="0.25">
      <c r="R90" t="str">
        <v/>
      </c>
      <c r="S90" t="str">
        <v/>
      </c>
    </row>
    <row r="91" spans="18:27" x14ac:dyDescent="0.25">
      <c r="R91" t="str">
        <v/>
      </c>
      <c r="S91" t="str">
        <v/>
      </c>
    </row>
    <row r="92" spans="18:27" x14ac:dyDescent="0.25">
      <c r="R92" t="str">
        <v/>
      </c>
      <c r="S92" t="str">
        <v/>
      </c>
    </row>
    <row r="93" spans="18:27" x14ac:dyDescent="0.25">
      <c r="R93" t="str">
        <v/>
      </c>
      <c r="S93" t="str">
        <v/>
      </c>
    </row>
    <row r="94" spans="18:27" x14ac:dyDescent="0.25">
      <c r="R94" t="str">
        <v/>
      </c>
      <c r="S94" t="str">
        <v/>
      </c>
    </row>
    <row r="95" spans="18:27" x14ac:dyDescent="0.25">
      <c r="R95" t="str">
        <v/>
      </c>
      <c r="S95" t="str">
        <v/>
      </c>
    </row>
    <row r="96" spans="18:27" x14ac:dyDescent="0.25">
      <c r="R96" t="str">
        <v/>
      </c>
      <c r="S96" t="str">
        <v/>
      </c>
    </row>
    <row r="97" spans="18:19" x14ac:dyDescent="0.25">
      <c r="R97" t="str">
        <v/>
      </c>
      <c r="S97" t="str">
        <v/>
      </c>
    </row>
    <row r="98" spans="18:19" x14ac:dyDescent="0.25">
      <c r="R98" t="str">
        <v/>
      </c>
      <c r="S98" t="str">
        <v/>
      </c>
    </row>
    <row r="99" spans="18:19" x14ac:dyDescent="0.25">
      <c r="R99" t="str">
        <v/>
      </c>
      <c r="S99" t="str">
        <v/>
      </c>
    </row>
    <row r="100" spans="18:19" x14ac:dyDescent="0.25">
      <c r="R100" t="str">
        <v/>
      </c>
      <c r="S100" t="str">
        <v/>
      </c>
    </row>
    <row r="101" spans="18:19" x14ac:dyDescent="0.25">
      <c r="R101" t="str">
        <v/>
      </c>
      <c r="S101" t="str">
        <v/>
      </c>
    </row>
    <row r="102" spans="18:19" x14ac:dyDescent="0.25">
      <c r="R102" t="str">
        <v/>
      </c>
      <c r="S102" t="str">
        <v/>
      </c>
    </row>
    <row r="103" spans="18:19" x14ac:dyDescent="0.25">
      <c r="R103" t="str">
        <v/>
      </c>
      <c r="S103" t="str">
        <v/>
      </c>
    </row>
    <row r="104" spans="18:19" x14ac:dyDescent="0.25">
      <c r="R104" t="str">
        <v/>
      </c>
      <c r="S104" t="str">
        <v/>
      </c>
    </row>
    <row r="105" spans="18:19" x14ac:dyDescent="0.25">
      <c r="R105" t="str">
        <v/>
      </c>
      <c r="S105" t="str">
        <v/>
      </c>
    </row>
    <row r="106" spans="18:19" x14ac:dyDescent="0.25">
      <c r="R106" t="str">
        <v/>
      </c>
      <c r="S106" t="str">
        <v/>
      </c>
    </row>
    <row r="107" spans="18:19" x14ac:dyDescent="0.25">
      <c r="R107" t="str">
        <v/>
      </c>
      <c r="S107" t="str">
        <v/>
      </c>
    </row>
    <row r="108" spans="18:19" x14ac:dyDescent="0.25">
      <c r="R108" t="str">
        <v/>
      </c>
      <c r="S108" t="str">
        <v/>
      </c>
    </row>
    <row r="109" spans="18:19" x14ac:dyDescent="0.25">
      <c r="R109" t="str">
        <v/>
      </c>
      <c r="S109" t="str">
        <v/>
      </c>
    </row>
    <row r="110" spans="18:19" x14ac:dyDescent="0.25">
      <c r="R110" t="str">
        <v/>
      </c>
      <c r="S110" t="str">
        <v/>
      </c>
    </row>
    <row r="111" spans="18:19" x14ac:dyDescent="0.25">
      <c r="R111" t="str">
        <v/>
      </c>
      <c r="S111" t="str">
        <v/>
      </c>
    </row>
    <row r="112" spans="18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6" t="s">
        <v>3054</v>
      </c>
      <c r="B1" s="226"/>
      <c r="C1" s="226"/>
      <c r="D1" s="226"/>
      <c r="E1" s="226"/>
      <c r="F1" s="226"/>
      <c r="G1" s="226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7" t="s">
        <v>3055</v>
      </c>
      <c r="B4" s="228"/>
      <c r="D4" s="229" t="s">
        <v>3056</v>
      </c>
      <c r="E4" s="230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4" t="s">
        <v>3059</v>
      </c>
      <c r="B8" s="224"/>
      <c r="D8" s="224" t="s">
        <v>3060</v>
      </c>
      <c r="E8" s="224"/>
    </row>
    <row r="9" spans="1:7" ht="5.0999999999999996" customHeight="1" x14ac:dyDescent="0.25">
      <c r="A9" s="225"/>
      <c r="B9" s="225"/>
      <c r="D9" s="225"/>
      <c r="E9" s="225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4" t="s">
        <v>3069</v>
      </c>
      <c r="B30" s="224"/>
      <c r="C30" s="224"/>
      <c r="D30" s="224"/>
      <c r="E30" s="224"/>
    </row>
    <row r="31" spans="1:5" ht="5.0999999999999996" customHeight="1" x14ac:dyDescent="0.25">
      <c r="A31" s="225"/>
      <c r="B31" s="225"/>
      <c r="C31" s="225"/>
      <c r="D31" s="225"/>
      <c r="E31" s="225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1" t="s">
        <v>3120</v>
      </c>
      <c r="B1" s="231"/>
      <c r="C1" s="231"/>
      <c r="D1" s="231"/>
      <c r="E1" s="231"/>
      <c r="F1" s="231"/>
      <c r="G1" s="231"/>
      <c r="H1" s="231"/>
    </row>
    <row r="2" spans="1:8" x14ac:dyDescent="0.25">
      <c r="A2" s="49" t="s">
        <v>3121</v>
      </c>
    </row>
    <row r="4" spans="1:8" ht="21.95" customHeight="1" x14ac:dyDescent="0.25">
      <c r="A4" s="232" t="s">
        <v>3122</v>
      </c>
      <c r="B4" s="233"/>
      <c r="D4" s="232" t="s">
        <v>3123</v>
      </c>
      <c r="E4" s="233"/>
      <c r="G4" s="232" t="s">
        <v>3124</v>
      </c>
      <c r="H4" s="233"/>
    </row>
    <row r="5" spans="1:8" ht="35.1" customHeight="1" x14ac:dyDescent="0.25">
      <c r="A5" s="236">
        <f>COUNTIF('Ações InCompany'!E:E,"*maratona*")</f>
        <v>13</v>
      </c>
      <c r="B5" s="235"/>
      <c r="D5" s="234">
        <f>SUM(H8:H100)</f>
        <v>1762</v>
      </c>
      <c r="E5" s="235"/>
      <c r="G5" s="234">
        <f>IFERROR(ROUND(D5/A5,0),"-")</f>
        <v>136</v>
      </c>
      <c r="H5" s="235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6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7" t="s">
        <v>3130</v>
      </c>
      <c r="B1" s="237"/>
      <c r="C1" s="237"/>
      <c r="D1" s="237"/>
      <c r="E1" s="237"/>
      <c r="F1" s="237"/>
    </row>
    <row r="2" spans="1:7" x14ac:dyDescent="0.25">
      <c r="A2" s="238" t="s">
        <v>3131</v>
      </c>
      <c r="B2" s="238"/>
      <c r="C2" s="238"/>
      <c r="D2" s="238"/>
      <c r="E2" s="238"/>
      <c r="F2" s="238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10">IFERROR(_xlfn._xlws.SORT(_xlfn.UNIQUE(_xlfn._xlws.FILTER(_xlfn.VSTACK('GECC 2026'!F2:F200,'GECC 2026'!AD3:AD32),_xlfn.VSTACK('GECC 2026'!F2:F200,'GECC 2026'!AD3:AD32)&lt;&gt;""))),"")</f>
        <v>Cássio Murilo Alves Costa Filho</v>
      </c>
      <c r="B5" s="26">
        <f>IF($A5="","",SUMIFS('GECC 2026'!H$2:H$200,'GECC 2026'!F$2:F$200,$A5))</f>
        <v>0</v>
      </c>
      <c r="C5" s="26">
        <f>IF($A5="","",SUMIFS('GECC 2026'!I$2:I$200,'GECC 2026'!F$2:F$200,$A5))</f>
        <v>0</v>
      </c>
      <c r="D5" s="101">
        <f>IF($A5="","",SUMIFS('GECC 2026'!$AE$3:$AE$32,'GECC 2026'!$AD$3:$AD$32,$A5))</f>
        <v>16</v>
      </c>
      <c r="E5" s="93">
        <f>IF($A5="","",SUMIFS('GECC 2026'!J$2:J$200,'GECC 2026'!F$2:F$200,$A5)+SUMIFS('GECC 2026'!$AE$3:$AE$32,'GECC 2026'!$AD$3:$AD$32,$A5))</f>
        <v>16</v>
      </c>
      <c r="F5" s="24">
        <f>IF($A5="","",COUNTIFS('GECC 2026'!F$2:F$200,$A5))</f>
        <v>0</v>
      </c>
      <c r="G5" s="24">
        <f>IF($A5="","",COUNTIFS('GECC 2026'!G$2:G$200,$A5))</f>
        <v>0</v>
      </c>
    </row>
    <row r="6" spans="1:7" x14ac:dyDescent="0.25">
      <c r="A6" t="str">
        <v>Marcelo Bálbio Moraes</v>
      </c>
      <c r="B6" s="26">
        <f>IF($A6="","",SUMIFS('GECC 2026'!H$2:H$200,'GECC 2026'!F$2:F$200,$A6))</f>
        <v>0</v>
      </c>
      <c r="C6" s="26">
        <f>IF($A6="","",SUMIFS('GECC 2026'!I$2:I$200,'GECC 2026'!F$2:F$200,$A6))</f>
        <v>0</v>
      </c>
      <c r="D6" s="101">
        <f>IF($A6="","",SUMIFS('GECC 2026'!$AE$3:$AE$32,'GECC 2026'!$AD$3:$AD$32,$A6))</f>
        <v>16</v>
      </c>
      <c r="E6" s="93">
        <f>IF($A6="","",SUMIFS('GECC 2026'!J$2:J$200,'GECC 2026'!F$2:F$200,$A6)+SUMIFS('GECC 2026'!$AE$3:$AE$32,'GECC 2026'!$AD$3:$AD$32,$A6))</f>
        <v>16</v>
      </c>
      <c r="F6" s="24">
        <f>IF($A6="","",COUNTIFS('GECC 2026'!F$2:F$200,$A6))</f>
        <v>0</v>
      </c>
    </row>
    <row r="7" spans="1:7" x14ac:dyDescent="0.25">
      <c r="A7" t="str">
        <v>Marcelo Silva Santana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Mauri Siqueira Montessi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16</v>
      </c>
      <c r="E8" s="93">
        <f>IF($A8="","",SUMIFS('GECC 2026'!J$2:J$200,'GECC 2026'!F$2:F$200,$A8)+SUMIFS('GECC 2026'!$AE$3:$AE$32,'GECC 2026'!$AD$3:$AD$32,$A8))</f>
        <v>16</v>
      </c>
      <c r="F8" s="24">
        <f>IF($A8="","",COUNTIFS('GECC 2026'!F$2:F$200,$A8))</f>
        <v>0</v>
      </c>
    </row>
    <row r="9" spans="1:7" x14ac:dyDescent="0.25">
      <c r="A9" t="str">
        <v>Michel Martins de Morais</v>
      </c>
      <c r="B9" s="26">
        <f>IF($A9="","",SUMIFS('GECC 2026'!H$2:H$200,'GECC 2026'!F$2:F$200,$A9))</f>
        <v>0</v>
      </c>
      <c r="C9" s="26">
        <f>IF($A9="","",SUMIFS('GECC 2026'!I$2:I$200,'GECC 2026'!F$2:F$200,$A9))</f>
        <v>0</v>
      </c>
      <c r="D9" s="101">
        <f>IF($A9="","",SUMIFS('GECC 2026'!$AE$3:$AE$32,'GECC 2026'!$AD$3:$AD$32,$A9))</f>
        <v>16</v>
      </c>
      <c r="E9" s="93">
        <f>IF($A9="","",SUMIFS('GECC 2026'!J$2:J$200,'GECC 2026'!F$2:F$200,$A9)+SUMIFS('GECC 2026'!$AE$3:$AE$32,'GECC 2026'!$AD$3:$AD$32,$A9))</f>
        <v>16</v>
      </c>
      <c r="F9" s="24">
        <f>IF($A9="","",COUNTIFS('GECC 2026'!F$2:F$200,$A9))</f>
        <v>0</v>
      </c>
    </row>
    <row r="10" spans="1:7" x14ac:dyDescent="0.25">
      <c r="A10" t="str">
        <v>Rômulo Miranda Alvim</v>
      </c>
      <c r="B10" s="26">
        <f>IF($A10="","",SUMIFS('GECC 2026'!H$2:H$200,'GECC 2026'!F$2:F$200,$A10))</f>
        <v>0</v>
      </c>
      <c r="C10" s="26">
        <f>IF($A10="","",SUMIFS('GECC 2026'!I$2:I$200,'GECC 2026'!F$2:F$200,$A10))</f>
        <v>0</v>
      </c>
      <c r="D10" s="101">
        <f>IF($A10="","",SUMIFS('GECC 2026'!$AE$3:$AE$32,'GECC 2026'!$AD$3:$AD$32,$A10))</f>
        <v>16</v>
      </c>
      <c r="E10" s="93">
        <f>IF($A10="","",SUMIFS('GECC 2026'!J$2:J$200,'GECC 2026'!F$2:F$200,$A10)+SUMIFS('GECC 2026'!$AE$3:$AE$32,'GECC 2026'!$AD$3:$AD$32,$A10))</f>
        <v>16</v>
      </c>
      <c r="F10" s="24">
        <f>IF($A10="","",COUNTIFS('GECC 2026'!F$2:F$200,$A10))</f>
        <v>0</v>
      </c>
    </row>
    <row r="11" spans="1:7" x14ac:dyDescent="0.25">
      <c r="B11" s="26" t="str">
        <f>IF($A11="","",SUMIFS('GECC 2026'!H$2:H$200,'GECC 2026'!F$2:F$200,$A11))</f>
        <v/>
      </c>
      <c r="C11" s="26" t="str">
        <f>IF($A11="","",SUMIFS('GECC 2026'!I$2:I$200,'GECC 2026'!F$2:F$200,$A11))</f>
        <v/>
      </c>
      <c r="D11" s="101" t="str">
        <f>IF($A11="","",SUMIFS('GECC 2026'!$AE$3:$AE$32,'GECC 2026'!$AD$3:$AD$32,$A11))</f>
        <v/>
      </c>
      <c r="E11" s="93" t="str">
        <f>IF($A11="","",SUMIFS('GECC 2026'!J$2:J$200,'GECC 2026'!F$2:F$200,$A11)+SUMIFS('GECC 2026'!$AE$3:$AE$32,'GECC 2026'!$AD$3:$AD$32,$A11))</f>
        <v/>
      </c>
      <c r="F11" s="24" t="str">
        <f>IF($A11="","",COUNTIFS('GECC 2026'!F$2:F$200,$A11))</f>
        <v/>
      </c>
    </row>
    <row r="12" spans="1:7" x14ac:dyDescent="0.25">
      <c r="B12" s="26" t="str">
        <f>IF($A12="","",SUMIFS('GECC 2026'!H$2:H$200,'GECC 2026'!F$2:F$200,$A12))</f>
        <v/>
      </c>
      <c r="C12" s="26" t="str">
        <f>IF($A12="","",SUMIFS('GECC 2026'!I$2:I$200,'GECC 2026'!F$2:F$200,$A12))</f>
        <v/>
      </c>
      <c r="D12" s="101" t="str">
        <f>IF($A12="","",SUMIFS('GECC 2026'!$AE$3:$AE$32,'GECC 2026'!$AD$3:$AD$32,$A12))</f>
        <v/>
      </c>
      <c r="E12" s="93" t="str">
        <f>IF($A12="","",SUMIFS('GECC 2026'!J$2:J$200,'GECC 2026'!F$2:F$200,$A12)+SUMIFS('GECC 2026'!$AE$3:$AE$32,'GECC 2026'!$AD$3:$AD$32,$A12))</f>
        <v/>
      </c>
      <c r="F12" s="24" t="str">
        <f>IF($A12="","",COUNTIFS('GECC 2026'!F$2:F$200,$A12))</f>
        <v/>
      </c>
    </row>
    <row r="13" spans="1:7" x14ac:dyDescent="0.25">
      <c r="B13" s="26" t="str">
        <f>IF($A13="","",SUMIFS('GECC 2026'!H$2:H$200,'GECC 2026'!F$2:F$200,$A13))</f>
        <v/>
      </c>
      <c r="C13" s="26" t="str">
        <f>IF($A13="","",SUMIFS('GECC 2026'!I$2:I$200,'GECC 2026'!F$2:F$200,$A13))</f>
        <v/>
      </c>
      <c r="D13" s="101" t="str">
        <f>IF($A13="","",SUMIFS('GECC 2026'!$AE$3:$AE$32,'GECC 2026'!$AD$3:$AD$32,$A13))</f>
        <v/>
      </c>
      <c r="E13" s="93" t="str">
        <f>IF($A13="","",SUMIFS('GECC 2026'!J$2:J$200,'GECC 2026'!F$2:F$200,$A13)+SUMIFS('GECC 2026'!$AE$3:$AE$32,'GECC 2026'!$AD$3:$AD$32,$A13))</f>
        <v/>
      </c>
      <c r="F13" s="24" t="str">
        <f>IF($A13="","",COUNTIFS('GECC 2026'!F$2:F$200,$A13))</f>
        <v/>
      </c>
    </row>
    <row r="14" spans="1:7" x14ac:dyDescent="0.25">
      <c r="B14" s="26" t="str">
        <f>IF($A14="","",SUMIFS('GECC 2026'!H$2:H$200,'GECC 2026'!F$2:F$200,$A14))</f>
        <v/>
      </c>
      <c r="C14" s="26" t="str">
        <f>IF($A14="","",SUMIFS('GECC 2026'!I$2:I$200,'GECC 2026'!F$2:F$200,$A14))</f>
        <v/>
      </c>
      <c r="D14" s="101" t="str">
        <f>IF($A14="","",SUMIFS('GECC 2026'!$AE$3:$AE$32,'GECC 2026'!$AD$3:$AD$32,$A14))</f>
        <v/>
      </c>
      <c r="E14" s="93" t="str">
        <f>IF($A14="","",SUMIFS('GECC 2026'!J$2:J$200,'GECC 2026'!F$2:F$200,$A14)+SUMIFS('GECC 2026'!$AE$3:$AE$32,'GECC 2026'!$AD$3:$AD$32,$A14))</f>
        <v/>
      </c>
      <c r="F14" s="24" t="str">
        <f>IF($A14="","",COUNTIFS('GECC 2026'!F$2:F$200,$A14))</f>
        <v/>
      </c>
    </row>
    <row r="15" spans="1:7" x14ac:dyDescent="0.25">
      <c r="B15" s="26" t="str">
        <f>IF($A15="","",SUMIFS('GECC 2026'!H$2:H$200,'GECC 2026'!F$2:F$200,$A15))</f>
        <v/>
      </c>
      <c r="C15" s="26" t="str">
        <f>IF($A15="","",SUMIFS('GECC 2026'!I$2:I$200,'GECC 2026'!F$2:F$200,$A15))</f>
        <v/>
      </c>
      <c r="D15" s="101" t="str">
        <f>IF($A15="","",SUMIFS('GECC 2026'!$AE$3:$AE$32,'GECC 2026'!$AD$3:$AD$32,$A15))</f>
        <v/>
      </c>
      <c r="E15" s="93" t="str">
        <f>IF($A15="","",SUMIFS('GECC 2026'!J$2:J$200,'GECC 2026'!F$2:F$200,$A15)+SUMIFS('GECC 2026'!$AE$3:$AE$32,'GECC 2026'!$AD$3:$AD$32,$A15))</f>
        <v/>
      </c>
      <c r="F15" s="24" t="str">
        <f>IF($A15="","",COUNTIFS('GECC 2026'!F$2:F$200,$A15))</f>
        <v/>
      </c>
    </row>
    <row r="16" spans="1:7" x14ac:dyDescent="0.25">
      <c r="B16" s="26" t="str">
        <f>IF($A16="","",SUMIFS('GECC 2026'!H$2:H$200,'GECC 2026'!F$2:F$200,$A16))</f>
        <v/>
      </c>
      <c r="C16" s="26" t="str">
        <f>IF($A16="","",SUMIFS('GECC 2026'!I$2:I$200,'GECC 2026'!F$2:F$200,$A16))</f>
        <v/>
      </c>
      <c r="D16" s="101" t="str">
        <f>IF($A16="","",SUMIFS('GECC 2026'!$AE$3:$AE$32,'GECC 2026'!$AD$3:$AD$32,$A16))</f>
        <v/>
      </c>
      <c r="E16" s="93" t="str">
        <f>IF($A16="","",SUMIFS('GECC 2026'!J$2:J$200,'GECC 2026'!F$2:F$200,$A16)+SUMIFS('GECC 2026'!$AE$3:$AE$32,'GECC 2026'!$AD$3:$AD$32,$A16))</f>
        <v/>
      </c>
      <c r="F16" s="24" t="str">
        <f>IF($A16="","",COUNTIFS('GECC 2026'!F$2:F$200,$A16))</f>
        <v/>
      </c>
    </row>
    <row r="17" spans="2:6" x14ac:dyDescent="0.25">
      <c r="B17" s="26" t="str">
        <f>IF($A17="","",SUMIFS('GECC 2026'!H$2:H$200,'GECC 2026'!F$2:F$200,$A17))</f>
        <v/>
      </c>
      <c r="C17" s="26" t="str">
        <f>IF($A17="","",SUMIFS('GECC 2026'!I$2:I$200,'GECC 2026'!F$2:F$200,$A17))</f>
        <v/>
      </c>
      <c r="D17" s="101" t="str">
        <f>IF($A17="","",SUMIFS('GECC 2026'!$AE$3:$AE$32,'GECC 2026'!$AD$3:$AD$32,$A17))</f>
        <v/>
      </c>
      <c r="E17" s="93" t="str">
        <f>IF($A17="","",SUMIFS('GECC 2026'!J$2:J$200,'GECC 2026'!F$2:F$200,$A17)+SUMIFS('GECC 2026'!$AE$3:$AE$32,'GECC 2026'!$AD$3:$AD$32,$A17))</f>
        <v/>
      </c>
      <c r="F17" s="24" t="str">
        <f>IF($A17="","",COUNTIFS('GECC 2026'!F$2:F$200,$A17))</f>
        <v/>
      </c>
    </row>
    <row r="18" spans="2:6" x14ac:dyDescent="0.25">
      <c r="B18" s="26" t="str">
        <f>IF($A18="","",SUMIFS('GECC 2026'!H$2:H$200,'GECC 2026'!F$2:F$200,$A18))</f>
        <v/>
      </c>
      <c r="C18" s="26" t="str">
        <f>IF($A18="","",SUMIFS('GECC 2026'!I$2:I$200,'GECC 2026'!F$2:F$200,$A18))</f>
        <v/>
      </c>
      <c r="D18" s="101" t="str">
        <f>IF($A18="","",SUMIFS('GECC 2026'!$AE$3:$AE$32,'GECC 2026'!$AD$3:$AD$32,$A18))</f>
        <v/>
      </c>
      <c r="E18" s="93" t="str">
        <f>IF($A18="","",SUMIFS('GECC 2026'!J$2:J$200,'GECC 2026'!F$2:F$200,$A18)+SUMIFS('GECC 2026'!$AE$3:$AE$32,'GECC 2026'!$AD$3:$AD$32,$A18))</f>
        <v/>
      </c>
      <c r="F18" s="24" t="str">
        <f>IF($A18="","",COUNTIFS('GECC 2026'!F$2:F$200,$A18))</f>
        <v/>
      </c>
    </row>
    <row r="19" spans="2:6" x14ac:dyDescent="0.25">
      <c r="B19" s="26" t="str">
        <f>IF($A19="","",SUMIFS('GECC 2026'!H$2:H$200,'GECC 2026'!F$2:F$200,$A19))</f>
        <v/>
      </c>
      <c r="C19" s="26" t="str">
        <f>IF($A19="","",SUMIFS('GECC 2026'!I$2:I$200,'GECC 2026'!F$2:F$200,$A19))</f>
        <v/>
      </c>
      <c r="D19" s="101" t="str">
        <f>IF($A19="","",SUMIFS('GECC 2026'!$AE$3:$AE$32,'GECC 2026'!$AD$3:$AD$32,$A19))</f>
        <v/>
      </c>
      <c r="E19" s="93" t="str">
        <f>IF($A19="","",SUMIFS('GECC 2026'!J$2:J$200,'GECC 2026'!F$2:F$200,$A19)+SUMIFS('GECC 2026'!$AE$3:$AE$32,'GECC 2026'!$AD$3:$AD$32,$A19))</f>
        <v/>
      </c>
      <c r="F19" s="24" t="str">
        <f>IF($A19="","",COUNTIFS('GECC 2026'!F$2:F$200,$A19))</f>
        <v/>
      </c>
    </row>
    <row r="20" spans="2:6" x14ac:dyDescent="0.25">
      <c r="B20" s="26" t="str">
        <f>IF($A20="","",SUMIFS('GECC 2026'!H$2:H$200,'GECC 2026'!F$2:F$200,$A20))</f>
        <v/>
      </c>
      <c r="C20" s="26" t="str">
        <f>IF($A20="","",SUMIFS('GECC 2026'!I$2:I$200,'GECC 2026'!F$2:F$200,$A20))</f>
        <v/>
      </c>
      <c r="D20" s="101" t="str">
        <f>IF($A20="","",SUMIFS('GECC 2026'!$AE$3:$AE$32,'GECC 2026'!$AD$3:$AD$32,$A20))</f>
        <v/>
      </c>
      <c r="E20" s="93" t="str">
        <f>IF($A20="","",SUMIFS('GECC 2026'!J$2:J$200,'GECC 2026'!F$2:F$200,$A20)+SUMIFS('GECC 2026'!$AE$3:$AE$32,'GECC 2026'!$AD$3:$AD$32,$A20))</f>
        <v/>
      </c>
      <c r="F20" s="24" t="str">
        <f>IF($A20="","",COUNTIFS('GECC 2026'!F$2:F$200,$A20))</f>
        <v/>
      </c>
    </row>
    <row r="21" spans="2:6" x14ac:dyDescent="0.25">
      <c r="B21" s="26" t="str">
        <f>IF($A21="","",SUMIFS('GECC 2026'!H$2:H$200,'GECC 2026'!F$2:F$200,$A21))</f>
        <v/>
      </c>
      <c r="C21" s="26" t="str">
        <f>IF($A21="","",SUMIFS('GECC 2026'!I$2:I$200,'GECC 2026'!F$2:F$200,$A21))</f>
        <v/>
      </c>
      <c r="D21" s="101" t="str">
        <f>IF($A21="","",SUMIFS('GECC 2026'!$AE$3:$AE$32,'GECC 2026'!$AD$3:$AD$32,$A21))</f>
        <v/>
      </c>
      <c r="E21" s="93" t="str">
        <f>IF($A21="","",SUMIFS('GECC 2026'!J$2:J$200,'GECC 2026'!F$2:F$200,$A21)+SUMIFS('GECC 2026'!$AE$3:$AE$32,'GECC 2026'!$AD$3:$AD$32,$A21))</f>
        <v/>
      </c>
      <c r="F21" s="24" t="str">
        <f>IF($A21="","",COUNTIFS('GECC 2026'!F$2:F$200,$A21))</f>
        <v/>
      </c>
    </row>
    <row r="22" spans="2:6" x14ac:dyDescent="0.25">
      <c r="B22" s="26" t="str">
        <f>IF($A22="","",SUMIFS('GECC 2026'!H$2:H$200,'GECC 2026'!F$2:F$200,$A22))</f>
        <v/>
      </c>
      <c r="C22" s="26" t="str">
        <f>IF($A22="","",SUMIFS('GECC 2026'!I$2:I$200,'GECC 2026'!F$2:F$200,$A22))</f>
        <v/>
      </c>
      <c r="D22" s="101" t="str">
        <f>IF($A22="","",SUMIFS('GECC 2026'!$AE$3:$AE$32,'GECC 2026'!$AD$3:$AD$32,$A22))</f>
        <v/>
      </c>
      <c r="E22" s="93" t="str">
        <f>IF($A22="","",SUMIFS('GECC 2026'!J$2:J$200,'GECC 2026'!F$2:F$200,$A22)+SUMIFS('GECC 2026'!$AE$3:$AE$32,'GECC 2026'!$AD$3:$AD$32,$A22))</f>
        <v/>
      </c>
      <c r="F22" s="24" t="str">
        <f>IF($A22="","",COUNTIFS('GECC 2026'!F$2:F$200,$A22))</f>
        <v/>
      </c>
    </row>
    <row r="23" spans="2:6" x14ac:dyDescent="0.25">
      <c r="B23" s="26" t="str">
        <f>IF($A23="","",SUMIFS('GECC 2026'!H$2:H$200,'GECC 2026'!F$2:F$200,$A23))</f>
        <v/>
      </c>
      <c r="C23" s="26" t="str">
        <f>IF($A23="","",SUMIFS('GECC 2026'!I$2:I$200,'GECC 2026'!F$2:F$200,$A23))</f>
        <v/>
      </c>
      <c r="D23" s="101" t="str">
        <f>IF($A23="","",SUMIFS('GECC 2026'!$AE$3:$AE$32,'GECC 2026'!$AD$3:$AD$32,$A23))</f>
        <v/>
      </c>
      <c r="E23" s="93" t="str">
        <f>IF($A23="","",SUMIFS('GECC 2026'!J$2:J$200,'GECC 2026'!F$2:F$200,$A23)+SUMIFS('GECC 2026'!$AE$3:$AE$32,'GECC 2026'!$AD$3:$AD$32,$A23))</f>
        <v/>
      </c>
      <c r="F23" s="24" t="str">
        <f>IF($A23="","",COUNTIFS('GECC 2026'!F$2:F$200,$A23))</f>
        <v/>
      </c>
    </row>
    <row r="24" spans="2:6" x14ac:dyDescent="0.25">
      <c r="B24" s="26" t="str">
        <f>IF($A24="","",SUMIFS('GECC 2026'!H$2:H$200,'GECC 2026'!F$2:F$200,$A24))</f>
        <v/>
      </c>
      <c r="C24" s="26" t="str">
        <f>IF($A24="","",SUMIFS('GECC 2026'!I$2:I$200,'GECC 2026'!F$2:F$200,$A24))</f>
        <v/>
      </c>
      <c r="D24" s="101" t="str">
        <f>IF($A24="","",SUMIFS('GECC 2026'!$AE$3:$AE$32,'GECC 2026'!$AD$3:$AD$32,$A24))</f>
        <v/>
      </c>
      <c r="E24" s="93" t="str">
        <f>IF($A24="","",SUMIFS('GECC 2026'!J$2:J$200,'GECC 2026'!F$2:F$200,$A24)+SUMIFS('GECC 2026'!$AE$3:$AE$32,'GECC 2026'!$AD$3:$AD$32,$A24))</f>
        <v/>
      </c>
      <c r="F24" s="24" t="str">
        <f>IF($A24="","",COUNTIFS('GECC 2026'!F$2:F$200,$A24))</f>
        <v/>
      </c>
    </row>
    <row r="25" spans="2:6" x14ac:dyDescent="0.25">
      <c r="B25" s="26" t="str">
        <f>IF($A25="","",SUMIFS('GECC 2026'!H$2:H$200,'GECC 2026'!F$2:F$200,$A25))</f>
        <v/>
      </c>
      <c r="C25" s="26" t="str">
        <f>IF($A25="","",SUMIFS('GECC 2026'!I$2:I$200,'GECC 2026'!F$2:F$200,$A25))</f>
        <v/>
      </c>
      <c r="D25" s="101" t="str">
        <f>IF($A25="","",SUMIFS('GECC 2026'!$AE$3:$AE$32,'GECC 2026'!$AD$3:$AD$32,$A25))</f>
        <v/>
      </c>
      <c r="E25" s="93" t="str">
        <f>IF($A25="","",SUMIFS('GECC 2026'!J$2:J$200,'GECC 2026'!F$2:F$200,$A25)+SUMIFS('GECC 2026'!$AE$3:$AE$32,'GECC 2026'!$AD$3:$AD$32,$A25))</f>
        <v/>
      </c>
      <c r="F25" s="24" t="str">
        <f>IF($A25="","",COUNTIFS('GECC 2026'!F$2:F$200,$A25))</f>
        <v/>
      </c>
    </row>
    <row r="26" spans="2:6" x14ac:dyDescent="0.25">
      <c r="B26" s="26" t="str">
        <f>IF($A26="","",SUMIFS('GECC 2026'!H$2:H$200,'GECC 2026'!F$2:F$200,$A26))</f>
        <v/>
      </c>
      <c r="C26" s="26" t="str">
        <f>IF($A26="","",SUMIFS('GECC 2026'!I$2:I$200,'GECC 2026'!F$2:F$200,$A26))</f>
        <v/>
      </c>
      <c r="D26" s="101" t="str">
        <f>IF($A26="","",SUMIFS('GECC 2026'!$AE$3:$AE$32,'GECC 2026'!$AD$3:$AD$32,$A26))</f>
        <v/>
      </c>
      <c r="E26" s="93" t="str">
        <f>IF($A26="","",SUMIFS('GECC 2026'!J$2:J$200,'GECC 2026'!F$2:F$200,$A26)+SUMIFS('GECC 2026'!$AE$3:$AE$32,'GECC 2026'!$AD$3:$AD$32,$A26))</f>
        <v/>
      </c>
      <c r="F26" s="24" t="str">
        <f>IF($A26="","",COUNTIFS('GECC 2026'!F$2:F$200,$A26))</f>
        <v/>
      </c>
    </row>
    <row r="27" spans="2:6" x14ac:dyDescent="0.25">
      <c r="B27" s="26" t="str">
        <f>IF($A27="","",SUMIFS('GECC 2026'!H$2:H$200,'GECC 2026'!F$2:F$200,$A27))</f>
        <v/>
      </c>
      <c r="C27" s="26" t="str">
        <f>IF($A27="","",SUMIFS('GECC 2026'!I$2:I$200,'GECC 2026'!F$2:F$200,$A27))</f>
        <v/>
      </c>
      <c r="D27" s="101" t="str">
        <f>IF($A27="","",SUMIFS('GECC 2026'!$AE$3:$AE$32,'GECC 2026'!$AD$3:$AD$32,$A27))</f>
        <v/>
      </c>
      <c r="E27" s="93" t="str">
        <f>IF($A27="","",SUMIFS('GECC 2026'!J$2:J$200,'GECC 2026'!F$2:F$200,$A27)+SUMIFS('GECC 2026'!$AE$3:$AE$32,'GECC 2026'!$AD$3:$AD$32,$A27))</f>
        <v/>
      </c>
      <c r="F27" s="24" t="str">
        <f>IF($A27="","",COUNTIFS('GECC 2026'!F$2:F$200,$A27))</f>
        <v/>
      </c>
    </row>
    <row r="28" spans="2:6" x14ac:dyDescent="0.25">
      <c r="B28" s="26" t="str">
        <f>IF($A28="","",SUMIFS('GECC 2026'!H$2:H$200,'GECC 2026'!F$2:F$200,$A28))</f>
        <v/>
      </c>
      <c r="C28" s="26" t="str">
        <f>IF($A28="","",SUMIFS('GECC 2026'!I$2:I$200,'GECC 2026'!F$2:F$200,$A28))</f>
        <v/>
      </c>
      <c r="D28" s="101" t="str">
        <f>IF($A28="","",SUMIFS('GECC 2026'!$AE$3:$AE$32,'GECC 2026'!$AD$3:$AD$32,$A28))</f>
        <v/>
      </c>
      <c r="E28" s="93" t="str">
        <f>IF($A28="","",SUMIFS('GECC 2026'!J$2:J$200,'GECC 2026'!F$2:F$200,$A28)+SUMIFS('GECC 2026'!$AE$3:$AE$32,'GECC 2026'!$AD$3:$AD$32,$A28))</f>
        <v/>
      </c>
      <c r="F28" s="24" t="str">
        <f>IF($A28="","",COUNTIFS('GECC 2026'!F$2:F$200,$A28))</f>
        <v/>
      </c>
    </row>
    <row r="29" spans="2:6" x14ac:dyDescent="0.25">
      <c r="B29" s="26" t="str">
        <f>IF($A29="","",SUMIFS('GECC 2026'!H$2:H$200,'GECC 2026'!F$2:F$200,$A29))</f>
        <v/>
      </c>
      <c r="C29" s="26" t="str">
        <f>IF($A29="","",SUMIFS('GECC 2026'!I$2:I$200,'GECC 2026'!F$2:F$200,$A29))</f>
        <v/>
      </c>
      <c r="D29" s="101" t="str">
        <f>IF($A29="","",SUMIFS('GECC 2026'!$AE$3:$AE$32,'GECC 2026'!$AD$3:$AD$32,$A29))</f>
        <v/>
      </c>
      <c r="E29" s="93" t="str">
        <f>IF($A29="","",SUMIFS('GECC 2026'!J$2:J$200,'GECC 2026'!F$2:F$200,$A29)+SUMIFS('GECC 2026'!$AE$3:$AE$32,'GECC 2026'!$AD$3:$AD$32,$A29))</f>
        <v/>
      </c>
      <c r="F29" s="24" t="str">
        <f>IF($A29="","",COUNTIFS('GECC 2026'!F$2:F$200,$A29))</f>
        <v/>
      </c>
    </row>
    <row r="30" spans="2:6" x14ac:dyDescent="0.25">
      <c r="B30" s="26" t="str">
        <f>IF($A30="","",SUMIFS('GECC 2026'!H$2:H$200,'GECC 2026'!F$2:F$200,$A30))</f>
        <v/>
      </c>
      <c r="C30" s="26" t="str">
        <f>IF($A30="","",SUMIFS('GECC 2026'!I$2:I$200,'GECC 2026'!F$2:F$200,$A30))</f>
        <v/>
      </c>
      <c r="D30" s="101" t="str">
        <f>IF($A30="","",SUMIFS('GECC 2026'!$AE$3:$AE$32,'GECC 2026'!$AD$3:$AD$32,$A30))</f>
        <v/>
      </c>
      <c r="E30" s="93" t="str">
        <f>IF($A30="","",SUMIFS('GECC 2026'!J$2:J$200,'GECC 2026'!F$2:F$200,$A30)+SUMIFS('GECC 2026'!$AE$3:$AE$32,'GECC 2026'!$AD$3:$AD$32,$A30))</f>
        <v/>
      </c>
      <c r="F30" s="24" t="str">
        <f>IF($A30="","",COUNTIFS('GECC 2026'!F$2:F$200,$A30))</f>
        <v/>
      </c>
    </row>
    <row r="31" spans="2:6" x14ac:dyDescent="0.25">
      <c r="B31" s="26" t="str">
        <f>IF($A31="","",SUMIFS('GECC 2026'!H$2:H$200,'GECC 2026'!F$2:F$200,$A31))</f>
        <v/>
      </c>
      <c r="C31" s="26" t="str">
        <f>IF($A31="","",SUMIFS('GECC 2026'!I$2:I$200,'GECC 2026'!F$2:F$200,$A31))</f>
        <v/>
      </c>
      <c r="D31" s="101" t="str">
        <f>IF($A31="","",SUMIFS('GECC 2026'!$AE$3:$AE$32,'GECC 2026'!$AD$3:$AD$32,$A31))</f>
        <v/>
      </c>
      <c r="E31" s="93" t="str">
        <f>IF($A31="","",SUMIFS('GECC 2026'!J$2:J$200,'GECC 2026'!F$2:F$200,$A31)+SUMIFS('GECC 2026'!$AE$3:$AE$32,'GECC 2026'!$AD$3:$AD$32,$A31))</f>
        <v/>
      </c>
      <c r="F31" s="24" t="str">
        <f>IF($A31="","",COUNTIFS('GECC 2026'!F$2:F$200,$A31))</f>
        <v/>
      </c>
    </row>
    <row r="32" spans="2:6" x14ac:dyDescent="0.25">
      <c r="B32" s="26" t="str">
        <f>IF($A32="","",SUMIFS('GECC 2026'!H$2:H$200,'GECC 2026'!F$2:F$200,$A32))</f>
        <v/>
      </c>
      <c r="C32" s="26" t="str">
        <f>IF($A32="","",SUMIFS('GECC 2026'!I$2:I$200,'GECC 2026'!F$2:F$200,$A32))</f>
        <v/>
      </c>
      <c r="D32" s="101" t="str">
        <f>IF($A32="","",SUMIFS('GECC 2026'!$AE$3:$AE$32,'GECC 2026'!$AD$3:$AD$32,$A32))</f>
        <v/>
      </c>
      <c r="E32" s="93" t="str">
        <f>IF($A32="","",SUMIFS('GECC 2026'!J$2:J$200,'GECC 2026'!F$2:F$200,$A32)+SUMIFS('GECC 2026'!$AE$3:$AE$32,'GECC 2026'!$AD$3:$AD$32,$A32))</f>
        <v/>
      </c>
      <c r="F32" s="24" t="str">
        <f>IF($A32="","",COUNTIFS('GECC 2026'!F$2:F$200,$A32))</f>
        <v/>
      </c>
    </row>
    <row r="33" spans="2:6" x14ac:dyDescent="0.25">
      <c r="B33" s="26" t="str">
        <f>IF($A33="","",SUMIFS('GECC 2026'!H$2:H$200,'GECC 2026'!F$2:F$200,$A33))</f>
        <v/>
      </c>
      <c r="C33" s="26" t="str">
        <f>IF($A33="","",SUMIFS('GECC 2026'!I$2:I$200,'GECC 2026'!F$2:F$200,$A33))</f>
        <v/>
      </c>
      <c r="D33" s="101" t="str">
        <f>IF($A33="","",SUMIFS('GECC 2026'!$AE$3:$AE$32,'GECC 2026'!$AD$3:$AD$32,$A33))</f>
        <v/>
      </c>
      <c r="E33" s="93" t="str">
        <f>IF($A33="","",SUMIFS('GECC 2026'!J$2:J$200,'GECC 2026'!F$2:F$200,$A33)+SUMIFS('GECC 2026'!$AE$3:$AE$32,'GECC 2026'!$AD$3:$AD$32,$A33))</f>
        <v/>
      </c>
      <c r="F33" s="24" t="str">
        <f>IF($A33="","",COUNTIFS('GECC 2026'!F$2:F$200,$A33))</f>
        <v/>
      </c>
    </row>
    <row r="34" spans="2:6" x14ac:dyDescent="0.25">
      <c r="B34" s="26" t="str">
        <f>IF($A34="","",SUMIFS('GECC 2026'!H$2:H$200,'GECC 2026'!F$2:F$200,$A34))</f>
        <v/>
      </c>
      <c r="C34" s="26" t="str">
        <f>IF($A34="","",SUMIFS('GECC 2026'!I$2:I$200,'GECC 2026'!F$2:F$200,$A34))</f>
        <v/>
      </c>
      <c r="D34" s="101" t="str">
        <f>IF($A34="","",SUMIFS('GECC 2026'!$AE$3:$AE$32,'GECC 2026'!$AD$3:$AD$32,$A34))</f>
        <v/>
      </c>
      <c r="E34" s="93" t="str">
        <f>IF($A34="","",SUMIFS('GECC 2026'!J$2:J$200,'GECC 2026'!F$2:F$200,$A34)+SUMIFS('GECC 2026'!$AE$3:$AE$32,'GECC 2026'!$AD$3:$AD$32,$A34))</f>
        <v/>
      </c>
      <c r="F34" s="24" t="str">
        <f>IF($A34="","",COUNTIFS('GECC 2026'!F$2:F$200,$A34))</f>
        <v/>
      </c>
    </row>
    <row r="35" spans="2:6" x14ac:dyDescent="0.25">
      <c r="B35" s="26" t="str">
        <f>IF($A35="","",SUMIFS('GECC 2026'!H$2:H$200,'GECC 2026'!F$2:F$200,$A35))</f>
        <v/>
      </c>
      <c r="C35" s="26" t="str">
        <f>IF($A35="","",SUMIFS('GECC 2026'!I$2:I$200,'GECC 2026'!F$2:F$200,$A35))</f>
        <v/>
      </c>
      <c r="D35" s="101" t="str">
        <f>IF($A35="","",SUMIFS('GECC 2026'!$AE$3:$AE$32,'GECC 2026'!$AD$3:$AD$32,$A35))</f>
        <v/>
      </c>
      <c r="E35" s="93" t="str">
        <f>IF($A35="","",SUMIFS('GECC 2026'!J$2:J$200,'GECC 2026'!F$2:F$200,$A35)+SUMIFS('GECC 2026'!$AE$3:$AE$32,'GECC 2026'!$AD$3:$AD$32,$A35))</f>
        <v/>
      </c>
      <c r="F35" s="24" t="str">
        <f>IF($A35="","",COUNTIFS('GECC 2026'!F$2:F$200,$A35))</f>
        <v/>
      </c>
    </row>
    <row r="36" spans="2:6" x14ac:dyDescent="0.25">
      <c r="B36" s="26" t="str">
        <f>IF($A36="","",SUMIFS('GECC 2026'!H$2:H$200,'GECC 2026'!F$2:F$200,$A36))</f>
        <v/>
      </c>
      <c r="C36" s="26" t="str">
        <f>IF($A36="","",SUMIFS('GECC 2026'!I$2:I$200,'GECC 2026'!F$2:F$200,$A36))</f>
        <v/>
      </c>
      <c r="D36" s="101" t="str">
        <f>IF($A36="","",SUMIFS('GECC 2026'!$AE$3:$AE$32,'GECC 2026'!$AD$3:$AD$32,$A36))</f>
        <v/>
      </c>
      <c r="E36" s="93" t="str">
        <f>IF($A36="","",SUMIFS('GECC 2026'!J$2:J$200,'GECC 2026'!F$2:F$200,$A36)+SUMIFS('GECC 2026'!$AE$3:$AE$32,'GECC 2026'!$AD$3:$AD$32,$A36))</f>
        <v/>
      </c>
      <c r="F36" s="24" t="str">
        <f>IF($A36="","",COUNTIFS('GECC 2026'!F$2:F$200,$A36))</f>
        <v/>
      </c>
    </row>
    <row r="37" spans="2:6" x14ac:dyDescent="0.25">
      <c r="B37" s="26" t="str">
        <f>IF($A37="","",SUMIFS('GECC 2026'!H$2:H$200,'GECC 2026'!F$2:F$200,$A37))</f>
        <v/>
      </c>
      <c r="C37" s="26" t="str">
        <f>IF($A37="","",SUMIFS('GECC 2026'!I$2:I$200,'GECC 2026'!F$2:F$200,$A37))</f>
        <v/>
      </c>
      <c r="D37" s="101" t="str">
        <f>IF($A37="","",SUMIFS('GECC 2026'!$AE$3:$AE$32,'GECC 2026'!$AD$3:$AD$32,$A37))</f>
        <v/>
      </c>
      <c r="E37" s="93" t="str">
        <f>IF($A37="","",SUMIFS('GECC 2026'!J$2:J$200,'GECC 2026'!F$2:F$200,$A37)+SUMIFS('GECC 2026'!$AE$3:$AE$32,'GECC 2026'!$AD$3:$AD$32,$A37))</f>
        <v/>
      </c>
      <c r="F37" s="24" t="str">
        <f>IF($A37="","",COUNTIFS('GECC 2026'!F$2:F$200,$A37))</f>
        <v/>
      </c>
    </row>
    <row r="38" spans="2:6" x14ac:dyDescent="0.25">
      <c r="B38" s="26" t="str">
        <f>IF($A38="","",SUMIFS('GECC 2026'!H$2:H$200,'GECC 2026'!F$2:F$200,$A38))</f>
        <v/>
      </c>
      <c r="C38" s="26" t="str">
        <f>IF($A38="","",SUMIFS('GECC 2026'!I$2:I$200,'GECC 2026'!F$2:F$200,$A38))</f>
        <v/>
      </c>
      <c r="D38" s="101" t="str">
        <f>IF($A38="","",SUMIFS('GECC 2026'!$AE$3:$AE$32,'GECC 2026'!$AD$3:$AD$32,$A38))</f>
        <v/>
      </c>
      <c r="E38" s="93" t="str">
        <f>IF($A38="","",SUMIFS('GECC 2026'!J$2:J$200,'GECC 2026'!F$2:F$200,$A38)+SUMIFS('GECC 2026'!$AE$3:$AE$32,'GECC 2026'!$AD$3:$AD$32,$A38))</f>
        <v/>
      </c>
      <c r="F38" s="24" t="str">
        <f>IF($A38="","",COUNTIFS('GECC 2026'!F$2:F$200,$A38))</f>
        <v/>
      </c>
    </row>
    <row r="39" spans="2:6" x14ac:dyDescent="0.25">
      <c r="B39" s="26" t="str">
        <f>IF($A39="","",SUMIFS('GECC 2026'!H$2:H$200,'GECC 2026'!F$2:F$200,$A39))</f>
        <v/>
      </c>
      <c r="C39" s="26" t="str">
        <f>IF($A39="","",SUMIFS('GECC 2026'!I$2:I$200,'GECC 2026'!F$2:F$200,$A39))</f>
        <v/>
      </c>
      <c r="D39" s="101" t="str">
        <f>IF($A39="","",SUMIFS('GECC 2026'!$AE$3:$AE$32,'GECC 2026'!$AD$3:$AD$32,$A39))</f>
        <v/>
      </c>
      <c r="E39" s="93" t="str">
        <f>IF($A39="","",SUMIFS('GECC 2026'!J$2:J$200,'GECC 2026'!F$2:F$200,$A39)+SUMIFS('GECC 2026'!$AE$3:$AE$32,'GECC 2026'!$AD$3:$AD$32,$A39))</f>
        <v/>
      </c>
      <c r="F39" s="24" t="str">
        <f>IF($A39="","",COUNTIFS('GECC 2026'!F$2:F$200,$A39))</f>
        <v/>
      </c>
    </row>
    <row r="40" spans="2:6" x14ac:dyDescent="0.25">
      <c r="B40" s="26" t="str">
        <f>IF($A40="","",SUMIFS('GECC 2026'!H$2:H$200,'GECC 2026'!F$2:F$200,$A40))</f>
        <v/>
      </c>
      <c r="C40" s="26" t="str">
        <f>IF($A40="","",SUMIFS('GECC 2026'!I$2:I$200,'GECC 2026'!F$2:F$200,$A40))</f>
        <v/>
      </c>
      <c r="D40" s="101" t="str">
        <f>IF($A40="","",SUMIFS('GECC 2026'!$AE$3:$AE$32,'GECC 2026'!$AD$3:$AD$32,$A40))</f>
        <v/>
      </c>
      <c r="E40" s="93" t="str">
        <f>IF($A40="","",SUMIFS('GECC 2026'!J$2:J$200,'GECC 2026'!F$2:F$200,$A40)+SUMIFS('GECC 2026'!$AE$3:$AE$32,'GECC 2026'!$AD$3:$AD$32,$A40))</f>
        <v/>
      </c>
      <c r="F40" s="24" t="str">
        <f>IF($A40="","",COUNTIFS('GECC 2026'!F$2:F$200,$A40))</f>
        <v/>
      </c>
    </row>
    <row r="41" spans="2:6" x14ac:dyDescent="0.25">
      <c r="B41" s="26" t="str">
        <f>IF($A41="","",SUMIFS('GECC 2026'!H$2:H$200,'GECC 2026'!F$2:F$200,$A41))</f>
        <v/>
      </c>
      <c r="C41" s="26" t="str">
        <f>IF($A41="","",SUMIFS('GECC 2026'!I$2:I$200,'GECC 2026'!F$2:F$200,$A41))</f>
        <v/>
      </c>
      <c r="D41" s="101" t="str">
        <f>IF($A41="","",SUMIFS('GECC 2026'!$AE$3:$AE$32,'GECC 2026'!$AD$3:$AD$32,$A41))</f>
        <v/>
      </c>
      <c r="E41" s="93" t="str">
        <f>IF($A41="","",SUMIFS('GECC 2026'!J$2:J$200,'GECC 2026'!F$2:F$200,$A41)+SUMIFS('GECC 2026'!$AE$3:$AE$32,'GECC 2026'!$AD$3:$AD$32,$A41))</f>
        <v/>
      </c>
      <c r="F41" s="24" t="str">
        <f>IF($A41="","",COUNTIFS('GECC 2026'!F$2:F$200,$A41))</f>
        <v/>
      </c>
    </row>
    <row r="42" spans="2:6" x14ac:dyDescent="0.25">
      <c r="B42" s="26" t="str">
        <f>IF($A42="","",SUMIFS('GECC 2026'!H$2:H$200,'GECC 2026'!F$2:F$200,$A42))</f>
        <v/>
      </c>
      <c r="C42" s="26" t="str">
        <f>IF($A42="","",SUMIFS('GECC 2026'!I$2:I$200,'GECC 2026'!F$2:F$200,$A42))</f>
        <v/>
      </c>
      <c r="D42" s="101" t="str">
        <f>IF($A42="","",SUMIFS('GECC 2026'!$AE$3:$AE$32,'GECC 2026'!$AD$3:$AD$32,$A42))</f>
        <v/>
      </c>
      <c r="E42" s="93" t="str">
        <f>IF($A42="","",SUMIFS('GECC 2026'!J$2:J$200,'GECC 2026'!F$2:F$200,$A42)+SUMIFS('GECC 2026'!$AE$3:$AE$32,'GECC 2026'!$AD$3:$AD$32,$A42))</f>
        <v/>
      </c>
      <c r="F42" s="24" t="str">
        <f>IF($A42="","",COUNTIFS('GECC 2026'!F$2:F$200,$A42))</f>
        <v/>
      </c>
    </row>
    <row r="43" spans="2:6" x14ac:dyDescent="0.25">
      <c r="B43" s="26" t="str">
        <f>IF($A43="","",SUMIFS('GECC 2026'!H$2:H$200,'GECC 2026'!F$2:F$200,$A43))</f>
        <v/>
      </c>
      <c r="C43" s="26" t="str">
        <f>IF($A43="","",SUMIFS('GECC 2026'!I$2:I$200,'GECC 2026'!F$2:F$200,$A43))</f>
        <v/>
      </c>
      <c r="D43" s="101" t="str">
        <f>IF($A43="","",SUMIFS('GECC 2026'!$AE$3:$AE$32,'GECC 2026'!$AD$3:$AD$32,$A43))</f>
        <v/>
      </c>
      <c r="E43" s="93" t="str">
        <f>IF($A43="","",SUMIFS('GECC 2026'!J$2:J$200,'GECC 2026'!F$2:F$200,$A43)+SUMIFS('GECC 2026'!$AE$3:$AE$32,'GECC 2026'!$AD$3:$AD$32,$A43))</f>
        <v/>
      </c>
      <c r="F43" s="24" t="str">
        <f>IF($A43="","",COUNTIFS('GECC 2026'!F$2:F$200,$A43))</f>
        <v/>
      </c>
    </row>
    <row r="44" spans="2:6" x14ac:dyDescent="0.25">
      <c r="B44" s="26" t="str">
        <f>IF($A44="","",SUMIFS('GECC 2026'!H$2:H$200,'GECC 2026'!F$2:F$200,$A44))</f>
        <v/>
      </c>
      <c r="C44" s="26" t="str">
        <f>IF($A44="","",SUMIFS('GECC 2026'!I$2:I$200,'GECC 2026'!F$2:F$200,$A44))</f>
        <v/>
      </c>
      <c r="D44" s="101" t="str">
        <f>IF($A44="","",SUMIFS('GECC 2026'!$AE$3:$AE$32,'GECC 2026'!$AD$3:$AD$32,$A44))</f>
        <v/>
      </c>
      <c r="E44" s="93" t="str">
        <f>IF($A44="","",SUMIFS('GECC 2026'!J$2:J$200,'GECC 2026'!F$2:F$200,$A44)+SUMIFS('GECC 2026'!$AE$3:$AE$32,'GECC 2026'!$AD$3:$AD$32,$A44))</f>
        <v/>
      </c>
      <c r="F44" s="24" t="str">
        <f>IF($A44="","",COUNTIFS('GECC 2026'!F$2:F$200,$A44))</f>
        <v/>
      </c>
    </row>
    <row r="45" spans="2:6" x14ac:dyDescent="0.25">
      <c r="B45" s="26" t="str">
        <f>IF($A45="","",SUMIFS('GECC 2026'!H$2:H$200,'GECC 2026'!F$2:F$200,$A45))</f>
        <v/>
      </c>
      <c r="C45" s="26" t="str">
        <f>IF($A45="","",SUMIFS('GECC 2026'!I$2:I$200,'GECC 2026'!F$2:F$200,$A45))</f>
        <v/>
      </c>
      <c r="D45" s="101" t="str">
        <f>IF($A45="","",SUMIFS('GECC 2026'!$AE$3:$AE$32,'GECC 2026'!$AD$3:$AD$32,$A45))</f>
        <v/>
      </c>
      <c r="E45" s="93" t="str">
        <f>IF($A45="","",SUMIFS('GECC 2026'!J$2:J$200,'GECC 2026'!F$2:F$200,$A45)+SUMIFS('GECC 2026'!$AE$3:$AE$32,'GECC 2026'!$AD$3:$AD$32,$A45))</f>
        <v/>
      </c>
      <c r="F45" s="24" t="str">
        <f>IF($A45="","",COUNTIFS('GECC 2026'!F$2:F$200,$A45))</f>
        <v/>
      </c>
    </row>
    <row r="46" spans="2:6" x14ac:dyDescent="0.25">
      <c r="B46" s="26" t="str">
        <f>IF($A46="","",SUMIFS('GECC 2026'!H$2:H$200,'GECC 2026'!F$2:F$200,$A46))</f>
        <v/>
      </c>
      <c r="C46" s="26" t="str">
        <f>IF($A46="","",SUMIFS('GECC 2026'!I$2:I$200,'GECC 2026'!F$2:F$200,$A46))</f>
        <v/>
      </c>
      <c r="D46" s="101" t="str">
        <f>IF($A46="","",SUMIFS('GECC 2026'!$AE$3:$AE$32,'GECC 2026'!$AD$3:$AD$32,$A46))</f>
        <v/>
      </c>
      <c r="E46" s="93" t="str">
        <f>IF($A46="","",SUMIFS('GECC 2026'!J$2:J$200,'GECC 2026'!F$2:F$200,$A46)+SUMIFS('GECC 2026'!$AE$3:$AE$32,'GECC 2026'!$AD$3:$AD$32,$A46))</f>
        <v/>
      </c>
      <c r="F46" s="24" t="str">
        <f>IF($A46="","",COUNTIFS('GECC 2026'!F$2:F$200,$A46))</f>
        <v/>
      </c>
    </row>
    <row r="47" spans="2:6" x14ac:dyDescent="0.25">
      <c r="B47" s="26" t="str">
        <f>IF($A47="","",SUMIFS('GECC 2026'!H$2:H$200,'GECC 2026'!F$2:F$200,$A47))</f>
        <v/>
      </c>
      <c r="C47" s="26" t="str">
        <f>IF($A47="","",SUMIFS('GECC 2026'!I$2:I$200,'GECC 2026'!F$2:F$200,$A47))</f>
        <v/>
      </c>
      <c r="D47" s="101" t="str">
        <f>IF($A47="","",SUMIFS('GECC 2026'!$AE$3:$AE$32,'GECC 2026'!$AD$3:$AD$32,$A47))</f>
        <v/>
      </c>
      <c r="E47" s="93" t="str">
        <f>IF($A47="","",SUMIFS('GECC 2026'!J$2:J$200,'GECC 2026'!F$2:F$200,$A47)+SUMIFS('GECC 2026'!$AE$3:$AE$32,'GECC 2026'!$AD$3:$AD$32,$A47))</f>
        <v/>
      </c>
      <c r="F47" s="24" t="str">
        <f>IF($A47="","",COUNTIFS('GECC 2026'!F$2:F$200,$A47))</f>
        <v/>
      </c>
    </row>
    <row r="48" spans="2:6" x14ac:dyDescent="0.25">
      <c r="B48" s="26" t="str">
        <f>IF($A48="","",SUMIFS('GECC 2026'!H$2:H$200,'GECC 2026'!F$2:F$200,$A48))</f>
        <v/>
      </c>
      <c r="C48" s="26" t="str">
        <f>IF($A48="","",SUMIFS('GECC 2026'!I$2:I$200,'GECC 2026'!F$2:F$200,$A48))</f>
        <v/>
      </c>
      <c r="D48" s="101" t="str">
        <f>IF($A48="","",SUMIFS('GECC 2026'!$AE$3:$AE$32,'GECC 2026'!$AD$3:$AD$32,$A48))</f>
        <v/>
      </c>
      <c r="E48" s="93" t="str">
        <f>IF($A48="","",SUMIFS('GECC 2026'!J$2:J$200,'GECC 2026'!F$2:F$200,$A48)+SUMIFS('GECC 2026'!$AE$3:$AE$32,'GECC 2026'!$AD$3:$AD$32,$A48))</f>
        <v/>
      </c>
      <c r="F48" s="24" t="str">
        <f>IF($A48="","",COUNTIFS('GECC 2026'!F$2:F$200,$A48))</f>
        <v/>
      </c>
    </row>
    <row r="49" spans="2:6" x14ac:dyDescent="0.25">
      <c r="B49" s="26" t="str">
        <f>IF($A49="","",SUMIFS('GECC 2026'!H$2:H$200,'GECC 2026'!F$2:F$200,$A49))</f>
        <v/>
      </c>
      <c r="C49" s="26" t="str">
        <f>IF($A49="","",SUMIFS('GECC 2026'!I$2:I$200,'GECC 2026'!F$2:F$200,$A49))</f>
        <v/>
      </c>
      <c r="D49" s="101" t="str">
        <f>IF($A49="","",SUMIFS('GECC 2026'!$AE$3:$AE$32,'GECC 2026'!$AD$3:$AD$32,$A49))</f>
        <v/>
      </c>
      <c r="E49" s="93" t="str">
        <f>IF($A49="","",SUMIFS('GECC 2026'!J$2:J$200,'GECC 2026'!F$2:F$200,$A49)+SUMIFS('GECC 2026'!$AE$3:$AE$32,'GECC 2026'!$AD$3:$AD$32,$A49))</f>
        <v/>
      </c>
      <c r="F49" s="24" t="str">
        <f>IF($A49="","",COUNTIFS('GECC 2026'!F$2:F$200,$A49))</f>
        <v/>
      </c>
    </row>
    <row r="50" spans="2:6" x14ac:dyDescent="0.25">
      <c r="B50" s="26" t="str">
        <f>IF($A50="","",SUMIFS('GECC 2026'!H$2:H$200,'GECC 2026'!F$2:F$200,$A50))</f>
        <v/>
      </c>
      <c r="C50" s="26" t="str">
        <f>IF($A50="","",SUMIFS('GECC 2026'!I$2:I$200,'GECC 2026'!F$2:F$200,$A50))</f>
        <v/>
      </c>
      <c r="D50" s="101" t="str">
        <f>IF($A50="","",SUMIFS('GECC 2026'!$AE$3:$AE$32,'GECC 2026'!$AD$3:$AD$32,$A50))</f>
        <v/>
      </c>
      <c r="E50" s="93" t="str">
        <f>IF($A50="","",SUMIFS('GECC 2026'!J$2:J$200,'GECC 2026'!F$2:F$200,$A50)+SUMIFS('GECC 2026'!$AE$3:$AE$32,'GECC 2026'!$AD$3:$AD$32,$A50))</f>
        <v/>
      </c>
      <c r="F50" s="24" t="str">
        <f>IF($A50="","",COUNTIFS('GECC 2026'!F$2:F$200,$A50))</f>
        <v/>
      </c>
    </row>
    <row r="51" spans="2:6" x14ac:dyDescent="0.25">
      <c r="B51" s="26" t="str">
        <f>IF($A51="","",SUMIFS('GECC 2026'!H$2:H$200,'GECC 2026'!F$2:F$200,$A51))</f>
        <v/>
      </c>
      <c r="C51" s="26" t="str">
        <f>IF($A51="","",SUMIFS('GECC 2026'!I$2:I$200,'GECC 2026'!F$2:F$200,$A51))</f>
        <v/>
      </c>
      <c r="D51" s="101" t="str">
        <f>IF($A51="","",SUMIFS('GECC 2026'!$AE$3:$AE$32,'GECC 2026'!$AD$3:$AD$32,$A51))</f>
        <v/>
      </c>
      <c r="E51" s="93" t="str">
        <f>IF($A51="","",SUMIFS('GECC 2026'!J$2:J$200,'GECC 2026'!F$2:F$200,$A51)+SUMIFS('GECC 2026'!$AE$3:$AE$32,'GECC 2026'!$AD$3:$AD$32,$A51))</f>
        <v/>
      </c>
      <c r="F51" s="24" t="str">
        <f>IF($A51="","",COUNTIFS('GECC 2026'!F$2:F$200,$A51))</f>
        <v/>
      </c>
    </row>
    <row r="52" spans="2:6" x14ac:dyDescent="0.25">
      <c r="B52" s="26" t="str">
        <f>IF($A52="","",SUMIFS('GECC 2026'!H$2:H$200,'GECC 2026'!F$2:F$200,$A52))</f>
        <v/>
      </c>
      <c r="C52" s="26" t="str">
        <f>IF($A52="","",SUMIFS('GECC 2026'!I$2:I$200,'GECC 2026'!F$2:F$200,$A52))</f>
        <v/>
      </c>
      <c r="D52" s="101" t="str">
        <f>IF($A52="","",SUMIFS('GECC 2026'!$AE$3:$AE$32,'GECC 2026'!$AD$3:$AD$32,$A52))</f>
        <v/>
      </c>
      <c r="E52" s="93" t="str">
        <f>IF($A52="","",SUMIFS('GECC 2026'!J$2:J$200,'GECC 2026'!F$2:F$200,$A52)+SUMIFS('GECC 2026'!$AE$3:$AE$32,'GECC 2026'!$AD$3:$AD$32,$A52))</f>
        <v/>
      </c>
      <c r="F52" s="24" t="str">
        <f>IF($A52="","",COUNTIFS('GECC 2026'!F$2:F$200,$A52))</f>
        <v/>
      </c>
    </row>
    <row r="53" spans="2:6" x14ac:dyDescent="0.25">
      <c r="B53" s="26" t="str">
        <f>IF($A53="","",SUMIFS('GECC 2026'!H$2:H$200,'GECC 2026'!F$2:F$200,$A53))</f>
        <v/>
      </c>
      <c r="C53" s="26" t="str">
        <f>IF($A53="","",SUMIFS('GECC 2026'!I$2:I$200,'GECC 2026'!F$2:F$200,$A53))</f>
        <v/>
      </c>
      <c r="D53" s="101" t="str">
        <f>IF($A53="","",SUMIFS('GECC 2026'!$AE$3:$AE$32,'GECC 2026'!$AD$3:$AD$32,$A53))</f>
        <v/>
      </c>
      <c r="E53" s="93" t="str">
        <f>IF($A53="","",SUMIFS('GECC 2026'!J$2:J$200,'GECC 2026'!F$2:F$200,$A53)+SUMIFS('GECC 2026'!$AE$3:$AE$32,'GECC 2026'!$AD$3:$AD$32,$A53))</f>
        <v/>
      </c>
      <c r="F53" s="24" t="str">
        <f>IF($A53="","",COUNTIFS('GECC 2026'!F$2:F$200,$A53))</f>
        <v/>
      </c>
    </row>
    <row r="54" spans="2:6" x14ac:dyDescent="0.25">
      <c r="B54" s="26" t="str">
        <f>IF($A54="","",SUMIFS('GECC 2026'!H$2:H$200,'GECC 2026'!F$2:F$200,$A54))</f>
        <v/>
      </c>
      <c r="C54" s="26" t="str">
        <f>IF($A54="","",SUMIFS('GECC 2026'!I$2:I$200,'GECC 2026'!F$2:F$200,$A54))</f>
        <v/>
      </c>
      <c r="D54" s="101" t="str">
        <f>IF($A54="","",SUMIFS('GECC 2026'!$AE$3:$AE$32,'GECC 2026'!$AD$3:$AD$32,$A54))</f>
        <v/>
      </c>
      <c r="E54" s="93" t="str">
        <f>IF($A54="","",SUMIFS('GECC 2026'!J$2:J$200,'GECC 2026'!F$2:F$200,$A54)+SUMIFS('GECC 2026'!$AE$3:$AE$32,'GECC 2026'!$AD$3:$AD$32,$A54))</f>
        <v/>
      </c>
      <c r="F54" s="24" t="str">
        <f>IF($A54="","",COUNTIFS('GECC 2026'!F$2:F$200,$A54))</f>
        <v/>
      </c>
    </row>
    <row r="55" spans="2:6" x14ac:dyDescent="0.25">
      <c r="B55" s="26" t="str">
        <f>IF($A55="","",SUMIFS('GECC 2026'!H$2:H$200,'GECC 2026'!F$2:F$200,$A55))</f>
        <v/>
      </c>
      <c r="C55" s="26" t="str">
        <f>IF($A55="","",SUMIFS('GECC 2026'!I$2:I$200,'GECC 2026'!F$2:F$200,$A55))</f>
        <v/>
      </c>
      <c r="D55" s="101" t="str">
        <f>IF($A55="","",SUMIFS('GECC 2026'!$AE$3:$AE$32,'GECC 2026'!$AD$3:$AD$32,$A55))</f>
        <v/>
      </c>
      <c r="E55" s="93" t="str">
        <f>IF($A55="","",SUMIFS('GECC 2026'!J$2:J$200,'GECC 2026'!F$2:F$200,$A55)+SUMIFS('GECC 2026'!$AE$3:$AE$32,'GECC 2026'!$AD$3:$AD$32,$A55))</f>
        <v/>
      </c>
      <c r="F55" s="24" t="str">
        <f>IF($A55="","",COUNTIFS('GECC 2026'!F$2:F$200,$A55))</f>
        <v/>
      </c>
    </row>
    <row r="56" spans="2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2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2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2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2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2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2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2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2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0</v>
      </c>
      <c r="C105" s="95">
        <f>SUM(C5:C100)</f>
        <v>0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5" priority="1">
      <formula>$J2="CORRIGIR"</formula>
    </cfRule>
  </conditionalFormatting>
  <conditionalFormatting sqref="A2:L65">
    <cfRule type="expression" dxfId="4" priority="2">
      <formula>$J2="REVISAR"</formula>
    </cfRule>
  </conditionalFormatting>
  <conditionalFormatting sqref="A2:L65">
    <cfRule type="expression" dxfId="3" priority="3">
      <formula>$J2="OK"</formula>
    </cfRule>
  </conditionalFormatting>
  <conditionalFormatting sqref="I2:I65">
    <cfRule type="containsText" dxfId="2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2026-07-30T19:04:27Z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