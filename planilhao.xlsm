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691" documentId="8_{454372C2-A99E-4E47-A759-72B38925853E}" xr6:coauthVersionLast="47" xr6:coauthVersionMax="47" xr10:uidLastSave="{4BAC5B5B-6ADA-49A0-B8FE-084D8023A8FB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2" i="3"/>
  <c r="R706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AE33" i="20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12" i="3"/>
  <c r="R701" i="3"/>
  <c r="R709" i="3"/>
  <c r="R707" i="3"/>
  <c r="R705" i="3"/>
  <c r="R704" i="3"/>
  <c r="R703" i="3"/>
  <c r="R708" i="3"/>
  <c r="R717" i="3"/>
  <c r="R716" i="3"/>
  <c r="R702" i="3"/>
  <c r="R676" i="3"/>
  <c r="R715" i="3"/>
  <c r="R714" i="3"/>
  <c r="R711" i="3"/>
  <c r="R710" i="3"/>
  <c r="R693" i="3"/>
  <c r="R721" i="3"/>
  <c r="R690" i="3"/>
  <c r="R700" i="3"/>
  <c r="R699" i="3"/>
  <c r="R720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8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19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3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l="1"/>
  <c r="T4" i="20" l="1" a="1"/>
  <c r="T4" i="20" s="1"/>
  <c r="A2" i="20" l="1" a="1"/>
  <c r="E105" i="23" l="1"/>
  <c r="A5" i="23" a="1"/>
  <c r="A2" i="20"/>
  <c r="B54" i="23" l="1"/>
  <c r="D14" i="23"/>
  <c r="D36" i="23"/>
  <c r="F32" i="23"/>
  <c r="E45" i="23"/>
  <c r="D47" i="23"/>
  <c r="B13" i="23"/>
  <c r="C46" i="23"/>
  <c r="B17" i="23"/>
  <c r="D12" i="23"/>
  <c r="E42" i="23"/>
  <c r="B24" i="23"/>
  <c r="E25" i="23"/>
  <c r="F23" i="23"/>
  <c r="E22" i="23"/>
  <c r="E38" i="23"/>
  <c r="F44" i="23"/>
  <c r="C26" i="23"/>
  <c r="B42" i="23"/>
  <c r="B46" i="23"/>
  <c r="E8" i="23"/>
  <c r="C40" i="23"/>
  <c r="D41" i="23"/>
  <c r="D53" i="23"/>
  <c r="C19" i="23"/>
  <c r="B10" i="23"/>
  <c r="B29" i="23"/>
  <c r="B45" i="23"/>
  <c r="B27" i="23"/>
  <c r="C36" i="23"/>
  <c r="F6" i="23"/>
  <c r="B50" i="23"/>
  <c r="C21" i="23"/>
  <c r="B21" i="23"/>
  <c r="C20" i="23"/>
  <c r="C52" i="23"/>
  <c r="B25" i="23"/>
  <c r="F7" i="23"/>
  <c r="D40" i="23"/>
  <c r="F46" i="23"/>
  <c r="B37" i="23"/>
  <c r="F52" i="23"/>
  <c r="C7" i="23"/>
  <c r="F15" i="23"/>
  <c r="D26" i="23"/>
  <c r="C37" i="23"/>
  <c r="E50" i="23"/>
  <c r="E37" i="23"/>
  <c r="B32" i="23"/>
  <c r="D37" i="23"/>
  <c r="E35" i="23"/>
  <c r="C22" i="23"/>
  <c r="F42" i="23"/>
  <c r="F34" i="23"/>
  <c r="C16" i="23"/>
  <c r="D38" i="23"/>
  <c r="C47" i="23"/>
  <c r="C17" i="23"/>
  <c r="B15" i="23"/>
  <c r="E53" i="23"/>
  <c r="F22" i="23"/>
  <c r="D7" i="23"/>
  <c r="B30" i="23"/>
  <c r="D48" i="23"/>
  <c r="D30" i="23"/>
  <c r="B43" i="23"/>
  <c r="E46" i="23"/>
  <c r="F9" i="23"/>
  <c r="C49" i="23"/>
  <c r="D11" i="23"/>
  <c r="B28" i="23"/>
  <c r="D50" i="23"/>
  <c r="D49" i="23"/>
  <c r="D54" i="23"/>
  <c r="F24" i="23"/>
  <c r="E21" i="23"/>
  <c r="C11" i="23"/>
  <c r="E11" i="23"/>
  <c r="C25" i="23"/>
  <c r="C43" i="23"/>
  <c r="C41" i="23"/>
  <c r="F33" i="23"/>
  <c r="F27" i="23"/>
  <c r="D15" i="23"/>
  <c r="E18" i="23"/>
  <c r="E44" i="23"/>
  <c r="C28" i="23"/>
  <c r="B33" i="23"/>
  <c r="C15" i="23"/>
  <c r="E39" i="23"/>
  <c r="B14" i="23"/>
  <c r="F12" i="23"/>
  <c r="C42" i="23"/>
  <c r="F13" i="23"/>
  <c r="D25" i="23"/>
  <c r="B52" i="23"/>
  <c r="E20" i="23"/>
  <c r="F11" i="23"/>
  <c r="F18" i="23"/>
  <c r="D27" i="23"/>
  <c r="D52" i="23"/>
  <c r="F37" i="23"/>
  <c r="B40" i="23"/>
  <c r="D28" i="23"/>
  <c r="B18" i="23"/>
  <c r="F47" i="23"/>
  <c r="D31" i="23"/>
  <c r="B51" i="23"/>
  <c r="E17" i="23"/>
  <c r="F45" i="23"/>
  <c r="F38" i="23"/>
  <c r="C30" i="23"/>
  <c r="B49" i="23"/>
  <c r="F20" i="23"/>
  <c r="C54" i="23"/>
  <c r="B36" i="23"/>
  <c r="D10" i="23"/>
  <c r="D39" i="23"/>
  <c r="D13" i="23"/>
  <c r="E33" i="23"/>
  <c r="F14" i="23"/>
  <c r="C50" i="23"/>
  <c r="D43" i="23"/>
  <c r="F8" i="23"/>
  <c r="E32" i="23"/>
  <c r="C14" i="23"/>
  <c r="F17" i="23"/>
  <c r="D8" i="23"/>
  <c r="F48" i="23"/>
  <c r="C24" i="23"/>
  <c r="E13" i="23"/>
  <c r="E15" i="23"/>
  <c r="D44" i="23"/>
  <c r="E43" i="23"/>
  <c r="D51" i="23"/>
  <c r="F40" i="23"/>
  <c r="B41" i="23"/>
  <c r="B26" i="23"/>
  <c r="E19" i="23"/>
  <c r="E49" i="23"/>
  <c r="C10" i="23"/>
  <c r="F30" i="23"/>
  <c r="E27" i="23"/>
  <c r="B35" i="23"/>
  <c r="E16" i="23"/>
  <c r="E41" i="23"/>
  <c r="C12" i="23"/>
  <c r="C38" i="23"/>
  <c r="B12" i="23"/>
  <c r="F43" i="23"/>
  <c r="F49" i="23"/>
  <c r="B8" i="23"/>
  <c r="F39" i="23"/>
  <c r="E29" i="23"/>
  <c r="F25" i="23"/>
  <c r="C53" i="23"/>
  <c r="E36" i="23"/>
  <c r="E34" i="23"/>
  <c r="E12" i="23"/>
  <c r="B20" i="23"/>
  <c r="E26" i="23"/>
  <c r="D42" i="23"/>
  <c r="B34" i="23"/>
  <c r="C6" i="23"/>
  <c r="D18" i="23"/>
  <c r="C27" i="23"/>
  <c r="D34" i="23"/>
  <c r="B11" i="23"/>
  <c r="C51" i="23"/>
  <c r="E52" i="23"/>
  <c r="E47" i="23"/>
  <c r="C33" i="23"/>
  <c r="C44" i="23"/>
  <c r="D45" i="23"/>
  <c r="E14" i="23"/>
  <c r="F51" i="23"/>
  <c r="B48" i="23"/>
  <c r="D29" i="23"/>
  <c r="C32" i="23"/>
  <c r="C9" i="23"/>
  <c r="E51" i="23"/>
  <c r="E10" i="23"/>
  <c r="E54" i="23"/>
  <c r="F54" i="23"/>
  <c r="D19" i="23"/>
  <c r="D33" i="23"/>
  <c r="B19" i="23"/>
  <c r="C29" i="23"/>
  <c r="B44" i="23"/>
  <c r="F35" i="23"/>
  <c r="F50" i="23"/>
  <c r="C13" i="23"/>
  <c r="E30" i="23"/>
  <c r="C23" i="23"/>
  <c r="D9" i="23"/>
  <c r="D35" i="23"/>
  <c r="E24" i="23"/>
  <c r="B23" i="23"/>
  <c r="B16" i="23"/>
  <c r="E7" i="23"/>
  <c r="D24" i="23"/>
  <c r="F16" i="23"/>
  <c r="C35" i="23"/>
  <c r="B47" i="23"/>
  <c r="D16" i="23"/>
  <c r="C45" i="23"/>
  <c r="D46" i="23"/>
  <c r="B53" i="23"/>
  <c r="F10" i="23"/>
  <c r="B39" i="23"/>
  <c r="D6" i="23"/>
  <c r="E40" i="23"/>
  <c r="F28" i="23"/>
  <c r="B9" i="23"/>
  <c r="C18" i="23"/>
  <c r="C31" i="23"/>
  <c r="F31" i="23"/>
  <c r="B6" i="23"/>
  <c r="C48" i="23"/>
  <c r="D21" i="23"/>
  <c r="F36" i="23"/>
  <c r="D20" i="23"/>
  <c r="B31" i="23"/>
  <c r="C39" i="23"/>
  <c r="C34" i="23"/>
  <c r="F21" i="23"/>
  <c r="E28" i="23"/>
  <c r="F41" i="23"/>
  <c r="B22" i="23"/>
  <c r="F26" i="23"/>
  <c r="E6" i="23"/>
  <c r="E23" i="23"/>
  <c r="D17" i="23"/>
  <c r="F53" i="23"/>
  <c r="F19" i="23"/>
  <c r="C8" i="23"/>
  <c r="B7" i="23"/>
  <c r="D32" i="23"/>
  <c r="D22" i="23"/>
  <c r="E31" i="23"/>
  <c r="B38" i="23"/>
  <c r="D23" i="23"/>
  <c r="E48" i="23"/>
  <c r="E9" i="23"/>
  <c r="F29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<sst xmlns="http://schemas.openxmlformats.org/spreadsheetml/2006/main" count="6269" uniqueCount="2418">
  <si>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</si>
  <si>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</si>
  <si>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</si>
  <si>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</si>
  <si>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</si>
  <si>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</si>
  <si>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</si>
  <si>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</si>
  <si>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</si>
  <si>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</si>
  <si>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</si>
  <si>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</si>
  <si>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</si>
  <si>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</si>
  <si>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</si>
  <si>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</si>
  <si>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</si>
  <si>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</si>
  <si>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</si>
  <si>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</si>
  <si>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</si>
  <si>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</si>
  <si>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</si>
  <si>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</si>
  <si>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</si>
  <si>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</si>
  <si>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</si>
  <si>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</si>
  <si>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</si>
  <si>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</si>
  <si>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</si>
  <si>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</si>
  <si>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</si>
  <si>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</si>
  <si>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</si>
  <si>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</si>
  <si>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</si>
  <si>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</si>
  <si>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</si>
  <si>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</si>
  <si>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</si>
  <si>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</si>
  <si>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</si>
  <si>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</si>
  <si>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</si>
  <si>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</si>
  <si>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</si>
  <si>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</si>
  <si>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</si>
  <si>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</si>
  <si>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</si>
  <si>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</si>
  <si>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</si>
  <si>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</si>
  <si>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</si>
  <si>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</si>
  <si>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</si>
  <si>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</si>
  <si>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</si>
  <si>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</si>
  <si>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</si>
  <si>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</si>
  <si>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</si>
  <si>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</si>
  <si>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</si>
  <si>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</si>
  <si>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</si>
  <si>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</si>
  <si>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</si>
  <si>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</si>
  <si>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</si>
  <si>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</si>
  <si>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</si>
  <si>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</si>
  <si>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</si>
  <si>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</si>
  <si>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</si>
  <si>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</si>
  <si>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</si>
  <si>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</si>
  <si>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</si>
  <si>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</si>
  <si>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</si>
  <si>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</si>
  <si>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</si>
  <si>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</si>
  <si>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</si>
  <si>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</si>
  <si>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</si>
  <si>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</si>
  <si>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</si>
  <si>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</si>
  <si>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</si>
  <si>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</si>
  <si>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</si>
  <si>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</si>
  <si>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</si>
  <si>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</si>
  <si>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</si>
  <si>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</si>
  <si>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</si>
  <si>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</si>
  <si>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</si>
  <si>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</si>
  <si>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</si>
  <si>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</si>
  <si>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</si>
  <si>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</si>
  <si>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</si>
  <si>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</si>
  <si>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</si>
  <si>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</si>
  <si>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</si>
  <si>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</si>
  <si>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</si>
  <si>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</si>
  <si>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</si>
  <si>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</si>
  <si>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</si>
  <si>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</si>
  <si>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</si>
  <si>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</si>
  <si>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</si>
  <si>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</si>
  <si>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</si>
  <si>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</si>
  <si>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</si>
  <si>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</si>
  <si>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</si>
  <si>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</si>
  <si>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</si>
  <si>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</si>
  <si>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</si>
  <si>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</si>
  <si>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</si>
  <si>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</si>
  <si>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</si>
  <si>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</si>
  <si>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</si>
  <si>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</si>
  <si>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</si>
  <si>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</si>
  <si>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</si>
  <si>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</si>
  <si>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</si>
  <si>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</si>
  <si>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</si>
  <si>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</si>
  <si>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</si>
  <si>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</si>
  <si>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</si>
  <si>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</si>
  <si>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</si>
  <si>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</si>
  <si>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</si>
  <si>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</si>
  <si>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</si>
  <si>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</si>
  <si>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</si>
  <si>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</si>
  <si>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</si>
  <si>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</si>
  <si>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</si>
  <si>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</si>
  <si>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</si>
  <si>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</si>
  <si>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</si>
  <si>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</si>
  <si>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</si>
  <si>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</si>
  <si>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</si>
  <si>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</si>
  <si>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</si>
  <si>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</si>
  <si>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</si>
  <si>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</si>
  <si>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</si>
  <si>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</si>
  <si>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</si>
  <si>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</si>
  <si>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</si>
  <si>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</si>
  <si>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</si>
  <si>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</si>
  <si>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</si>
  <si>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</si>
  <si>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</si>
  <si>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</si>
  <si>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</si>
  <si>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</si>
  <si>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</si>
  <si>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</si>
  <si>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</si>
  <si>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</si>
  <si>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</si>
  <si>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</si>
  <si>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</si>
  <si>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</si>
  <si>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</si>
  <si>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</si>
  <si>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</si>
  <si>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</si>
  <si>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</si>
  <si>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</si>
  <si>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</si>
  <si>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</si>
  <si>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</si>
  <si>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</si>
  <si>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</si>
  <si>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</si>
  <si>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</si>
  <si>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</si>
  <si>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</si>
  <si>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</si>
  <si>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</si>
  <si>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</si>
  <si>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</si>
  <si>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</si>
  <si>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</si>
  <si>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</si>
  <si>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</si>
  <si>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</si>
  <si>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</si>
  <si>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</si>
  <si>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</si>
  <si>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</si>
  <si>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</si>
  <si>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</si>
  <si>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</si>
  <si>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</si>
  <si>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</si>
  <si>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</si>
  <si>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</si>
  <si>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</si>
  <si>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</si>
  <si>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</si>
  <si>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</si>
  <si>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</si>
  <si>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</si>
  <si>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</si>
  <si>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</si>
  <si>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</si>
  <si>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</si>
  <si>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</si>
  <si>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</si>
  <si>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</si>
  <si>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</si>
  <si>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</si>
  <si>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</si>
  <si>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</si>
  <si>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</si>
  <si>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</si>
  <si>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</si>
  <si>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</si>
  <si>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</si>
  <si>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</si>
  <si>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</si>
  <si>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</si>
  <si>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</si>
  <si>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</si>
  <si>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</si>
  <si>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</si>
  <si>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</si>
  <si>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</si>
  <si>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</si>
  <si>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</si>
  <si>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</si>
  <si>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</si>
  <si>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</si>
  <si>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</si>
  <si>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</si>
  <si>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</si>
  <si>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</si>
  <si>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</si>
  <si>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</si>
  <si>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</si>
  <si>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</si>
  <si>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</si>
  <si>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</si>
  <si>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</si>
  <si>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</si>
  <si>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</si>
  <si>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</si>
  <si>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</si>
  <si>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</si>
  <si>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</si>
  <si>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</si>
  <si>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</si>
  <si>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</si>
  <si>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</si>
  <si>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</si>
  <si>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</si>
  <si>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</si>
  <si>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</si>
  <si>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</si>
  <si>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</si>
  <si>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</si>
  <si>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</si>
  <si>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</si>
  <si>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</si>
  <si>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</si>
  <si>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</si>
  <si>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</si>
  <si>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</si>
  <si>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</si>
  <si>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</si>
  <si>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</si>
  <si>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</si>
  <si>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</si>
  <si>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</si>
  <si>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</si>
  <si>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</si>
  <si>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</si>
  <si>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</si>
  <si>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</si>
  <si>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</si>
  <si>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</si>
  <si>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</si>
  <si>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</si>
  <si>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</si>
  <si>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</si>
  <si>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</si>
  <si>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</si>
  <si>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</si>
  <si>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</si>
  <si>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</si>
  <si>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</si>
  <si>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</si>
  <si>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</si>
  <si>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</si>
  <si>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</si>
  <si>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</si>
  <si>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</si>
  <si>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</si>
  <si>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</si>
  <si>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</si>
  <si>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</si>
  <si>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</si>
  <si>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</si>
  <si>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</si>
  <si>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</si>
  <si>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</si>
  <si>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</si>
  <si>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</si>
  <si>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</si>
  <si>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</si>
  <si>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</si>
  <si>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</si>
  <si>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</si>
  <si>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</si>
  <si>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</si>
  <si>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</si>
  <si>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</si>
  <si>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</si>
  <si>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</si>
  <si>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</si>
  <si>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</si>
  <si>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</si>
  <si>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</si>
  <si>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</si>
  <si>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</si>
  <si>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</si>
  <si>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</si>
  <si>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</si>
  <si>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</si>
  <si>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</si>
  <si>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</si>
  <si>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</si>
  <si>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</si>
  <si>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</si>
  <si>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</si>
  <si>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</si>
  <si>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</si>
  <si>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</si>
  <si>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</si>
  <si>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</si>
  <si>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</si>
  <si>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</si>
  <si>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</si>
  <si>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</si>
  <si>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</si>
  <si>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</si>
  <si>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</si>
  <si>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</si>
  <si>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</si>
  <si>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</si>
  <si>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</si>
  <si>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</si>
  <si>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</si>
  <si>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</si>
  <si>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</si>
  <si>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</si>
  <si>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</si>
  <si>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</si>
  <si>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</si>
  <si>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</si>
  <si>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</si>
  <si>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</si>
  <si>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</si>
  <si>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</si>
  <si>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</si>
  <si>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</si>
  <si>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</si>
  <si>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</si>
  <si>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</si>
  <si>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</si>
  <si>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</si>
  <si>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</si>
  <si>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</si>
  <si>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</si>
  <si>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</si>
  <si>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</si>
  <si>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</si>
  <si>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</si>
  <si>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</si>
  <si>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</si>
  <si>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</si>
  <si>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</si>
  <si>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</si>
  <si>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</si>
  <si>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</si>
  <si>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</si>
  <si>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</si>
  <si>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</si>
  <si>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</si>
  <si>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</si>
  <si>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</si>
  <si>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</si>
  <si>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</si>
  <si>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</si>
  <si>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</si>
  <si>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</si>
  <si>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</si>
  <si>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</si>
  <si>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</si>
  <si>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</si>
  <si>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</si>
  <si>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</si>
  <si>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</si>
  <si>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</si>
  <si>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</si>
  <si>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</si>
  <si>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</si>
  <si>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</si>
  <si>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</si>
  <si>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</si>
  <si>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</si>
  <si>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</si>
  <si>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</si>
  <si>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</si>
  <si>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</si>
  <si>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</si>
  <si>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</si>
  <si>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</si>
  <si>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</si>
  <si>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</si>
  <si>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</si>
  <si>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</si>
  <si>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</si>
  <si>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</si>
  <si>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</si>
  <si>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</si>
  <si>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</si>
  <si>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</si>
  <si>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</si>
  <si>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</si>
  <si>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</si>
  <si>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</si>
  <si>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</si>
  <si>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</si>
  <si>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</si>
  <si>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</si>
  <si>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</si>
  <si>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</si>
  <si>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</si>
  <si>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</si>
  <si>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</si>
  <si>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</si>
  <si>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</si>
  <si>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</si>
  <si>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</si>
  <si>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</si>
  <si>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</si>
  <si>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</si>
  <si>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</si>
  <si>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</si>
  <si>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</si>
  <si>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</si>
  <si>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</si>
  <si>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</si>
  <si>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</si>
  <si>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</si>
  <si>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</si>
  <si>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</si>
  <si>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</si>
  <si>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</si>
  <si>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</si>
  <si>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</si>
  <si>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</si>
  <si>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</si>
  <si>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</si>
  <si>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</si>
  <si>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</si>
  <si>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</si>
  <si>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</si>
  <si>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</si>
  <si>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</si>
  <si>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</si>
  <si>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</si>
  <si>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</si>
  <si>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</si>
  <si>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</si>
  <si>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</si>
  <si>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</si>
  <si>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</si>
  <si>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</si>
  <si>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</si>
  <si>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</si>
  <si>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</si>
  <si>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</si>
  <si>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</si>
  <si>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</si>
  <si>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</si>
  <si>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</si>
  <si>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</si>
  <si>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</si>
  <si>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</si>
  <si>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</si>
  <si>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</si>
  <si>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</si>
  <si>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</si>
  <si>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</si>
  <si>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</si>
  <si>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</si>
  <si>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</si>
  <si>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</si>
  <si>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</si>
  <si>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</si>
  <si>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</si>
  <si>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</si>
  <si>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</si>
  <si>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</si>
  <si>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</si>
  <si>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</si>
  <si>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</si>
  <si>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</si>
  <si>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</si>
  <si>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</si>
  <si>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</si>
  <si>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</si>
  <si>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</si>
  <si>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</si>
  <si>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</si>
  <si>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</si>
  <si>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</si>
  <si>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</si>
  <si>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</si>
  <si>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</si>
  <si>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</si>
  <si>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</si>
  <si>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</si>
  <si>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</si>
  <si>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</si>
  <si>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</si>
  <si>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</si>
  <si>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</si>
  <si>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</si>
  <si>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</si>
  <si>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</si>
  <si>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</si>
  <si>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</si>
  <si>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</si>
  <si>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</si>
  <si>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</si>
  <si>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</si>
  <si>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</si>
  <si>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</si>
  <si>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</si>
  <si>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</si>
  <si>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</si>
  <si>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</si>
  <si>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</si>
  <si>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</si>
  <si>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</si>
  <si>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</si>
  <si>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</si>
  <si>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</si>
  <si>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</si>
  <si>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</si>
  <si>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</si>
  <si>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</si>
  <si>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</si>
  <si>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</si>
  <si>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</si>
  <si>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</si>
  <si>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</si>
  <si>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</si>
  <si>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</si>
  <si>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</si>
  <si>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</si>
  <si>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</si>
  <si>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</si>
  <si>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</si>
  <si>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</si>
  <si>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</si>
  <si>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</si>
  <si>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</si>
  <si>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</si>
  <si>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</si>
  <si>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</si>
  <si>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</si>
  <si>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</si>
  <si>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</si>
  <si>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</si>
  <si>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</si>
  <si>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</si>
  <si>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</si>
  <si>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</si>
  <si>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</si>
  <si>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</si>
  <si>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</si>
  <si>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</si>
  <si>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</si>
  <si>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</si>
  <si>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</si>
  <si>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</si>
  <si>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</si>
  <si>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</si>
  <si>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</si>
  <si>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</si>
  <si>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</si>
  <si>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</si>
  <si>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</si>
  <si>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</si>
  <si>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</si>
  <si>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</si>
  <si>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</si>
  <si>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</si>
  <si>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</si>
  <si>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</si>
  <si>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</si>
  <si>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</si>
  <si>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</si>
  <si>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</si>
  <si>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</si>
  <si>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</si>
  <si>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</si>
  <si>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</si>
  <si>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</si>
  <si>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</si>
  <si>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</si>
  <si>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</si>
  <si>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</si>
  <si>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</si>
  <si>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</si>
  <si>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</si>
  <si>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</si>
  <si>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</si>
  <si>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</si>
  <si>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</si>
  <si>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</si>
  <si>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</si>
  <si>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</si>
  <si>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</si>
  <si>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</si>
  <si>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</si>
  <si>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</si>
  <si>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</si>
  <si>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</si>
  <si>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</si>
  <si>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</si>
  <si>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</si>
  <si>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</si>
  <si>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</si>
  <si>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</si>
  <si>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</si>
  <si>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</si>
  <si>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</si>
  <si>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</si>
  <si>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</si>
  <si>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</si>
  <si>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</si>
  <si>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</si>
  <si>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</si>
  <si>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</si>
  <si>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</si>
  <si>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</si>
  <si>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</si>
  <si>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</si>
  <si>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</si>
  <si>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</si>
  <si>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</si>
  <si>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</si>
  <si>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</si>
  <si>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</si>
  <si>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</si>
  <si>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</si>
  <si>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</si>
  <si>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</si>
  <si>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</si>
  <si>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</si>
  <si>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</si>
  <si>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</si>
  <si>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</si>
  <si>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</si>
  <si>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</si>
  <si>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</si>
  <si>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</si>
  <si>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</si>
  <si>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</si>
  <si>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</si>
  <si>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</si>
  <si>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</si>
  <si>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</si>
  <si>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</si>
  <si>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</si>
  <si>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</si>
  <si>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</si>
  <si>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</si>
  <si>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</si>
  <si>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</si>
  <si>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</si>
  <si>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</si>
  <si>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</si>
  <si>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</si>
  <si>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</si>
  <si>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</si>
  <si>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</si>
  <si>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</si>
  <si>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</si>
  <si>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</si>
  <si>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</si>
  <si>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</si>
  <si>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</si>
  <si>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</si>
  <si>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</si>
  <si>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</si>
  <si>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</si>
  <si>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</si>
  <si>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</si>
  <si>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</si>
  <si>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</si>
  <si>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</si>
  <si>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</si>
  <si>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</si>
  <si>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</si>
  <si>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</si>
  <si>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</si>
  <si>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</si>
  <si>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</si>
  <si>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</si>
  <si>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</si>
  <si>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</si>
  <si>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</si>
  <si>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</si>
  <si>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</si>
  <si>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</si>
  <si>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</si>
  <si>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</si>
  <si>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</si>
  <si>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</si>
  <si>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</si>
  <si>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</si>
  <si>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</si>
  <si>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</si>
  <si>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</si>
  <si>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</si>
  <si>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</si>
  <si>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</si>
  <si>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</si>
  <si>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</si>
  <si>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</si>
  <si>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</si>
  <si>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</si>
  <si>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</si>
  <si>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</si>
  <si>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</si>
  <si>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</si>
  <si>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</si>
  <si>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</si>
  <si>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</si>
  <si>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</si>
  <si>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</si>
  <si>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</si>
  <si>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</si>
  <si>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</si>
  <si>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</si>
  <si>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</si>
  <si>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</si>
  <si>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</si>
  <si>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</si>
  <si>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</si>
  <si>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</si>
  <si>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</si>
  <si>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</si>
  <si>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</si>
  <si>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</si>
  <si>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</si>
  <si>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</si>
  <si>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</si>
  <si>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</si>
  <si>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</si>
  <si>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</si>
  <si>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</si>
  <si>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</si>
  <si>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</si>
  <si>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</si>
  <si>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</si>
  <si>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</si>
  <si>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</si>
  <si>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</si>
  <si>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</si>
  <si>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</si>
  <si>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</si>
  <si>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</si>
  <si>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</si>
  <si>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</si>
  <si>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</si>
  <si>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</si>
  <si>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</si>
  <si>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</si>
  <si>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</si>
  <si>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</si>
  <si>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</si>
  <si>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</si>
  <si>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</si>
  <si>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</si>
  <si>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</si>
  <si>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</si>
  <si>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</si>
  <si>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</si>
  <si>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</si>
  <si>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</si>
  <si>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</si>
  <si>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</si>
  <si>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</si>
  <si>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</si>
  <si>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</si>
  <si>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</si>
  <si>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</si>
  <si>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</si>
  <si>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</si>
  <si>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</si>
  <si>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</si>
  <si>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</si>
  <si>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</si>
  <si>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</si>
  <si>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</si>
  <si>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</si>
  <si>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</si>
  <si>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</si>
  <si>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</si>
  <si>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</si>
  <si>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</si>
  <si>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</si>
  <si>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</si>
  <si>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</si>
  <si>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</si>
  <si>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</si>
  <si>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</si>
  <si>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</si>
  <si>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</si>
  <si>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</si>
  <si>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</si>
  <si>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</si>
  <si>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</si>
  <si>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</si>
  <si>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</si>
  <si>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</si>
  <si>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</si>
  <si>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</si>
  <si>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</si>
  <si>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</si>
  <si>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</si>
  <si>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</si>
  <si>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</si>
  <si>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</si>
  <si>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</si>
  <si>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</si>
  <si>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</si>
  <si>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</si>
  <si>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</si>
  <si>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</si>
  <si>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</si>
  <si>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</si>
  <si>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</si>
  <si>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</si>
  <si>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</si>
  <si>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</si>
  <si>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</si>
  <si>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</si>
  <si>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</si>
  <si>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</si>
  <si>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</si>
  <si>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</si>
  <si>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</si>
  <si>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</si>
  <si>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</si>
  <si>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</si>
  <si>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</si>
  <si>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</si>
  <si>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</si>
  <si>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</si>
  <si>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</si>
  <si>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</si>
  <si>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</si>
  <si>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</si>
  <si>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</si>
  <si>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</si>
  <si>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</si>
  <si>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</si>
  <si>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</si>
  <si>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</si>
  <si>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</si>
  <si>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</si>
  <si>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</si>
  <si>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</si>
  <si>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</si>
  <si>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</si>
  <si>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</si>
  <si>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</si>
  <si>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</si>
  <si>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</si>
  <si>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</si>
  <si>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</si>
  <si>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</si>
  <si>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</si>
  <si>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</si>
  <si>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</si>
  <si>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</si>
  <si>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</si>
  <si>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</si>
  <si>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</si>
  <si>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</si>
  <si>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</si>
  <si>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</si>
  <si>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</si>
  <si>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</si>
  <si>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</si>
  <si>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</si>
  <si>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</si>
  <si>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</si>
  <si>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</si>
  <si>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</si>
  <si>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</si>
  <si>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</si>
  <si>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</si>
  <si>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</si>
  <si>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</si>
  <si>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</si>
  <si>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</si>
  <si>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</si>
  <si>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</si>
  <si>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</si>
  <si>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</si>
  <si>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</si>
  <si>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</si>
  <si>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</si>
  <si>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</si>
  <si>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</si>
  <si>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</si>
  <si>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</si>
  <si>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</si>
  <si>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</si>
  <si>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</si>
  <si>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</si>
  <si>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</si>
  <si>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</si>
  <si>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</si>
  <si>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</si>
  <si>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</si>
  <si>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</si>
  <si>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</si>
  <si>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</si>
  <si>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</si>
  <si>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</si>
  <si>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</si>
  <si>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</si>
  <si>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</si>
  <si>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</si>
  <si>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</si>
  <si>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</si>
  <si>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</si>
  <si>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</si>
  <si>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</si>
  <si>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</si>
  <si>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</si>
  <si>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</si>
  <si>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</si>
  <si>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</si>
  <si>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</si>
  <si>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</si>
  <si>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</si>
  <si>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</si>
  <si>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</si>
  <si>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</si>
  <si>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</si>
  <si>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</si>
  <si>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</si>
  <si>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</si>
  <si>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</si>
  <si>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</si>
  <si>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</si>
  <si>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</si>
  <si>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</si>
  <si>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</si>
  <si>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</si>
  <si>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</si>
  <si>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</si>
  <si>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</si>
  <si>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</si>
  <si>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</si>
  <si>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</si>
  <si>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</si>
  <si>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</si>
  <si>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</si>
  <si>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</si>
  <si>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</si>
  <si>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</si>
  <si>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</si>
  <si>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</si>
  <si>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</si>
  <si>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</si>
  <si>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</si>
  <si>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</si>
  <si>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</si>
  <si>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</si>
  <si>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</si>
  <si>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</si>
  <si>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</si>
  <si>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</si>
  <si>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</si>
  <si>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</si>
  <si>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</si>
  <si>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</si>
  <si>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</si>
  <si>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</si>
  <si>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</si>
  <si>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</si>
  <si>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</si>
  <si>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</si>
  <si>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</si>
  <si>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</si>
  <si>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</si>
  <si>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</si>
  <si>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</si>
  <si>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</si>
  <si>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</si>
  <si>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</si>
  <si>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</si>
  <si>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</si>
  <si>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</si>
  <si>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</si>
  <si>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</si>
  <si>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</si>
  <si>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</si>
  <si>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</si>
  <si>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</si>
  <si>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</si>
  <si>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</si>
  <si>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</si>
  <si>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</si>
  <si>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</si>
  <si>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</si>
  <si>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</si>
  <si>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</si>
  <si>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</si>
  <si>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</si>
  <si>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</si>
  <si>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</si>
  <si>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</si>
  <si>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</si>
  <si>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</si>
  <si>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</si>
  <si>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</si>
  <si>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</si>
  <si>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</si>
  <si>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</si>
  <si>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</si>
  <si>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</si>
  <si>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</si>
  <si>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</si>
  <si>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</si>
  <si>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</si>
  <si>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</si>
  <si>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</si>
  <si>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</si>
  <si>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</si>
  <si>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</si>
  <si>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</si>
  <si>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</si>
  <si>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</si>
  <si>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</si>
  <si>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</si>
  <si>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</si>
  <si>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</si>
  <si>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</si>
  <si>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</si>
  <si>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</si>
  <si>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</si>
  <si>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</si>
  <si>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</si>
  <si>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</si>
  <si>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</si>
  <si>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</si>
  <si>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</si>
  <si>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</si>
  <si>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</si>
  <si>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</si>
  <si>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</si>
  <si>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</si>
  <si>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</si>
  <si>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</si>
  <si>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</si>
  <si>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</si>
  <si>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</si>
  <si>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</si>
  <si>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</si>
  <si>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</si>
  <si>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</si>
  <si>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</si>
  <si>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</si>
  <si>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</si>
  <si>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</si>
  <si>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</si>
  <si>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</si>
  <si>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</si>
  <si>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</si>
  <si>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</si>
  <si>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</si>
  <si>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</si>
  <si>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</si>
  <si>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</si>
  <si>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</si>
  <si>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</si>
  <si>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</si>
  <si>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</si>
  <si>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</si>
  <si>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</si>
  <si>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</si>
  <si>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</si>
  <si>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</si>
  <si>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</si>
  <si>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</si>
  <si>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</si>
  <si>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</si>
  <si>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</si>
  <si>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</si>
  <si>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</si>
  <si>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</si>
  <si>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</si>
  <si>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</si>
  <si>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</si>
  <si>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</si>
  <si>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</si>
  <si>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</si>
  <si>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</si>
  <si>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</si>
  <si>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</si>
  <si>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</si>
  <si>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</si>
  <si>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</si>
  <si>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</si>
  <si>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</si>
  <si>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</si>
  <si>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</si>
  <si>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</si>
  <si>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</si>
  <si>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</si>
  <si>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</si>
  <si>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</si>
  <si>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</si>
  <si>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</si>
  <si>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</si>
  <si>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</si>
  <si>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</si>
  <si>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</si>
  <si>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</si>
  <si>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</si>
  <si>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</si>
  <si>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</si>
  <si>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</si>
  <si>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</si>
  <si>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</si>
  <si>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</si>
  <si>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</si>
  <si>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</si>
  <si>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</si>
  <si>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</si>
  <si>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</si>
  <si>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</si>
  <si>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</si>
  <si>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</si>
  <si>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</si>
  <si>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</si>
  <si>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</si>
  <si>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</si>
  <si>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</si>
  <si>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</si>
  <si>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</si>
  <si>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</si>
  <si>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</si>
  <si>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</si>
  <si>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</si>
  <si>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</si>
  <si>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</si>
  <si>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</si>
  <si>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</si>
  <si>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</si>
  <si>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</si>
  <si>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</si>
  <si>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</si>
  <si>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</si>
  <si>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</si>
  <si>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</si>
  <si>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</si>
  <si>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</si>
  <si>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</si>
  <si>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</si>
  <si>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</si>
  <si>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</si>
  <si>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</si>
  <si>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</si>
  <si>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</si>
  <si>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</si>
  <si>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</si>
  <si>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</si>
  <si>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</si>
  <si>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</si>
  <si>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</si>
  <si>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</si>
  <si>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</si>
  <si>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</si>
  <si>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</si>
  <si>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</si>
  <si>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</si>
  <si>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</si>
  <si>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</si>
  <si>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</si>
  <si>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</si>
  <si>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</si>
  <si>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</si>
  <si>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</si>
  <si>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</si>
  <si>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</si>
  <si>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</si>
  <si>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</si>
  <si>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</si>
  <si>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</si>
  <si>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</si>
  <si>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</si>
  <si>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</si>
  <si>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</si>
  <si>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</si>
  <si>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</si>
  <si>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</si>
  <si>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</si>
  <si>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</si>
  <si>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</si>
  <si>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</si>
  <si>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</si>
  <si>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</si>
  <si>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</si>
  <si>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</si>
  <si>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</si>
  <si>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</si>
  <si>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</si>
  <si>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</si>
  <si>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</si>
  <si>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</si>
  <si>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</si>
  <si>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</si>
  <si>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</si>
  <si>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</si>
  <si>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</si>
  <si>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</si>
  <si>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</si>
  <si>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</si>
  <si>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</si>
  <si>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</si>
  <si>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</si>
  <si>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</si>
  <si>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</si>
  <si>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</si>
  <si>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</si>
  <si>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</si>
  <si>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</si>
  <si>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</si>
  <si>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</si>
  <si>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</si>
  <si>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</si>
  <si>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</si>
  <si>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</si>
  <si>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</si>
  <si>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</si>
  <si>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</si>
  <si>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</si>
  <si>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</si>
  <si>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</si>
  <si>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</si>
  <si>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</si>
  <si>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</si>
  <si>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</si>
  <si>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</si>
  <si>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</si>
  <si>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</si>
  <si>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</si>
  <si>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</si>
  <si>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</si>
  <si>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</si>
  <si>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</si>
  <si>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</si>
  <si>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</si>
  <si>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</si>
  <si>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</si>
  <si>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</si>
  <si>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</si>
  <si>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</si>
  <si>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</si>
  <si>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</si>
  <si>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</si>
  <si>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</si>
  <si>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</si>
  <si>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</si>
  <si>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</si>
  <si>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</si>
  <si>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</si>
  <si>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</si>
  <si>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</si>
  <si>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</si>
  <si>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</si>
  <si>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</si>
  <si>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</si>
  <si>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</si>
  <si>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</si>
  <si>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</si>
  <si>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</si>
  <si>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</si>
  <si>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</si>
  <si>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</si>
  <si>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</si>
  <si>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</si>
  <si>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</si>
  <si>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</si>
  <si>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</si>
  <si>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</si>
  <si>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</si>
  <si>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</si>
  <si>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</si>
  <si>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</si>
  <si>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</si>
  <si>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</si>
  <si>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</si>
  <si>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</si>
  <si>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</si>
  <si>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</si>
  <si>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</si>
  <si>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</si>
  <si>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</si>
  <si>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</si>
  <si>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</si>
  <si>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</si>
  <si>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</si>
  <si>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</si>
  <si>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</si>
  <si>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</si>
  <si>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</si>
  <si>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</si>
  <si>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</si>
  <si>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</si>
  <si>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</si>
  <si>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</si>
  <si>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</si>
  <si>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</si>
  <si>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</si>
  <si>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</si>
  <si>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</si>
  <si>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</si>
  <si>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</si>
  <si>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</si>
  <si>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</si>
  <si>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</si>
  <si>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</si>
  <si>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</si>
  <si>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</si>
  <si>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</si>
  <si>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</si>
  <si>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</si>
  <si>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</si>
  <si>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</si>
  <si>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</si>
  <si>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</si>
  <si>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</si>
  <si>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</si>
  <si>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</si>
  <si>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</si>
  <si>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</si>
  <si>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</si>
  <si>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</si>
  <si>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</si>
  <si>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</si>
  <si>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</si>
  <si>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</si>
  <si>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</si>
  <si>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</si>
  <si>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</si>
  <si>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</si>
  <si>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</si>
  <si>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</si>
  <si>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</si>
  <si>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</si>
  <si>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</si>
  <si>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</si>
  <si>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</si>
  <si>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</si>
  <si>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</si>
  <si>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</si>
  <si>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</si>
  <si>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</si>
  <si>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</si>
  <si>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</si>
  <si>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</si>
  <si>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</si>
  <si>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</si>
  <si>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</si>
  <si>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</si>
  <si>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</si>
  <si>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</si>
  <si>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</si>
  <si>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</si>
  <si>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</si>
  <si>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</si>
  <si>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</si>
  <si>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</si>
  <si>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</si>
  <si>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</si>
  <si>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</si>
  <si>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</si>
  <si>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</si>
  <si>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</si>
  <si>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</si>
  <si>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</si>
  <si>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</si>
  <si>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</si>
  <si>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</si>
  <si>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</si>
  <si>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</si>
  <si>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</si>
  <si>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</si>
  <si>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</si>
  <si>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</si>
  <si>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</si>
  <si>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</si>
  <si>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</si>
  <si>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</si>
  <si>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</si>
  <si>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</si>
  <si>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</si>
  <si>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</si>
  <si>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</si>
  <si>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</si>
  <si>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</si>
  <si>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</si>
  <si>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</si>
  <si>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</si>
  <si>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</si>
  <si>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</si>
  <si>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</si>
  <si>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</si>
  <si>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</si>
  <si>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</si>
  <si>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</si>
  <si>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</si>
  <si>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</si>
  <si>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</si>
  <si>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</si>
  <si>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</si>
  <si>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</si>
  <si>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</si>
  <si>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</si>
  <si>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</si>
  <si>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</si>
  <si>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</si>
  <si>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</si>
  <si>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</si>
  <si>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</si>
  <si>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</si>
  <si>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</si>
  <si>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</si>
  <si>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</si>
  <si>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</si>
  <si>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</si>
  <si>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</si>
  <si>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</si>
  <si>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</si>
  <si>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</si>
  <si>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</si>
  <si>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</si>
  <si>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</si>
  <si>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</si>
  <si>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</si>
  <si>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</si>
  <si>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</si>
  <si>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</si>
  <si>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</si>
  <si>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</si>
  <si>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</si>
  <si>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</si>
  <si>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</si>
  <si>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</si>
  <si>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</si>
  <si>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</si>
  <si>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</si>
  <si>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</si>
  <si>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</si>
  <si>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</si>
  <si>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</si>
  <si>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</si>
  <si>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</si>
  <si>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</si>
  <si>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</si>
  <si>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</si>
  <si>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</si>
  <si>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</si>
  <si>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</si>
  <si>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</si>
  <si>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</si>
  <si>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</si>
  <si>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</si>
  <si>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</si>
  <si>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</si>
  <si>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</si>
  <si>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</si>
  <si>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</si>
  <si>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</si>
  <si>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</si>
  <si>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</si>
  <si>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</si>
  <si>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</si>
  <si>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</si>
  <si>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</si>
  <si>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</si>
  <si>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</si>
  <si>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</si>
  <si>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</si>
  <si>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</si>
  <si>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</si>
  <si>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</si>
  <si>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</si>
  <si>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</si>
  <si>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</si>
  <si>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</si>
  <si>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</si>
  <si>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</si>
  <si>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</si>
  <si>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</si>
  <si>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</si>
  <si>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</si>
  <si>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</si>
  <si>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</si>
  <si>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</si>
  <si>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</si>
  <si>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</si>
  <si>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</si>
  <si>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</si>
  <si>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</si>
  <si>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</si>
  <si>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</si>
  <si>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</si>
  <si>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</si>
  <si>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</si>
  <si>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</si>
  <si>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</si>
  <si>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</si>
  <si>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</si>
  <si>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</si>
  <si>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</si>
  <si>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</si>
  <si>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</si>
  <si>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</si>
  <si>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</si>
  <si>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</si>
  <si>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</si>
  <si>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</si>
  <si>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</si>
  <si>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</si>
  <si>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</si>
  <si>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</si>
  <si>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</si>
  <si>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</si>
  <si>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</si>
  <si>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</si>
  <si>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</si>
  <si>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</si>
  <si>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</si>
  <si>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</si>
  <si>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</si>
  <si>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</si>
  <si>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</si>
  <si>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</si>
  <si>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</si>
  <si>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</si>
  <si>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</si>
  <si>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</si>
  <si>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</si>
  <si>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</si>
  <si>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</si>
  <si>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</si>
  <si>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</si>
  <si>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</si>
  <si>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</si>
  <si>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</si>
  <si>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</si>
  <si>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</si>
  <si>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</si>
  <si>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</si>
  <si>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</si>
  <si>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</si>
  <si>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</si>
  <si>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</si>
  <si>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</si>
  <si>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</si>
  <si>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</si>
  <si>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</si>
  <si>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</si>
  <si>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</si>
  <si>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</si>
  <si>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</si>
  <si>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</si>
  <si>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</si>
  <si>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</si>
  <si>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</si>
  <si>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</si>
  <si>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</si>
  <si>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</si>
  <si>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</si>
  <si>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</si>
  <si>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</si>
  <si>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</si>
  <si>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</si>
  <si>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</si>
  <si>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</si>
  <si>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</si>
  <si>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</si>
  <si>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</si>
  <si>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</si>
  <si>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</si>
  <si>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</si>
  <si>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</si>
  <si>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</si>
  <si>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</si>
  <si>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</si>
  <si>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</si>
  <si>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</si>
  <si>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</si>
  <si>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</si>
  <si>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</si>
  <si>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</si>
  <si>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</si>
  <si>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</si>
  <si>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</si>
  <si>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</si>
  <si>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</si>
  <si>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</si>
  <si>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</si>
  <si>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</si>
  <si>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</si>
  <si>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</si>
  <si>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</si>
  <si>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</si>
  <si>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</si>
  <si>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</si>
  <si>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</si>
  <si>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</si>
  <si>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</si>
  <si>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</si>
  <si>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</si>
  <si>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</si>
  <si>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</si>
  <si>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</si>
  <si>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</si>
  <si>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</si>
  <si>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</si>
  <si>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</si>
  <si>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</si>
  <si>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</si>
  <si>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</si>
  <si>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</si>
  <si>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</si>
  <si>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</si>
  <si>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</si>
  <si>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</si>
  <si>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</si>
  <si>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</si>
  <si>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</si>
  <si>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</si>
  <si>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</si>
  <si>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</si>
  <si>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</si>
  <si>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</si>
  <si>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</si>
  <si>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</si>
  <si>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</si>
  <si>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</si>
  <si>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</si>
  <si>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</si>
  <si>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</si>
  <si>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</si>
  <si>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</si>
  <si>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</si>
  <si>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</si>
  <si>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</si>
  <si>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</si>
  <si>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</si>
  <si>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</si>
  <si>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</si>
  <si>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</si>
  <si>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</si>
  <si>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</si>
  <si>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</si>
  <si>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</si>
  <si>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</si>
  <si>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</si>
  <si>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</si>
  <si>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</si>
  <si>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</si>
  <si>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</si>
  <si>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</si>
  <si>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</si>
  <si>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</si>
  <si>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</si>
  <si>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</si>
  <si>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</si>
  <si>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</si>
  <si>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</si>
  <si>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</si>
  <si>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</si>
  <si>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</si>
  <si>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</si>
  <si>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</si>
  <si>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</si>
  <si>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</si>
  <si>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</si>
  <si>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</si>
  <si>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</si>
  <si>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</si>
  <si>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</si>
  <si>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</si>
  <si>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</si>
  <si>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</si>
  <si>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</si>
  <si>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</si>
  <si>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</si>
  <si>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</si>
  <si>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</si>
  <si>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</si>
  <si>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</si>
  <si>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</si>
  <si>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</si>
  <si>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</si>
  <si>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</si>
  <si>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</si>
  <si>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</si>
  <si>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</si>
  <si>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</si>
  <si>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</si>
  <si>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</si>
  <si>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</si>
  <si>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</si>
  <si>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</si>
  <si>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</si>
  <si>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</si>
  <si>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</si>
  <si>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</si>
  <si>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</si>
  <si>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</si>
  <si>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</si>
  <si>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</si>
  <si>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</si>
  <si>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</si>
  <si>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</si>
  <si>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</si>
  <si>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</si>
  <si>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</si>
  <si>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</si>
  <si>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</si>
  <si>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</si>
  <si>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</si>
  <si>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</si>
  <si>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</si>
  <si>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</si>
  <si>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</si>
  <si>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</si>
  <si>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</si>
  <si>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</si>
  <si>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</si>
  <si>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</si>
  <si>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</si>
  <si>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</si>
  <si>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</si>
  <si>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</si>
  <si>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</si>
  <si>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</si>
  <si>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</si>
  <si>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</si>
  <si>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</si>
  <si>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</si>
  <si>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</si>
  <si>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</si>
  <si>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</si>
  <si>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</si>
  <si>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</si>
  <si>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</si>
  <si>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</si>
  <si>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</si>
  <si>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</si>
  <si>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</si>
  <si>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</si>
  <si>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</si>
  <si>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</si>
  <si>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</si>
  <si>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</si>
  <si>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</si>
  <si>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</si>
  <si>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</si>
  <si>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</si>
  <si>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</si>
  <si>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</si>
  <si>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</si>
  <si>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</si>
  <si>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</si>
  <si>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</si>
  <si>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</si>
  <si>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</si>
  <si>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</si>
  <si>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</si>
  <si>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</si>
  <si>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</si>
  <si>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</si>
  <si>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</si>
  <si>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</si>
  <si>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</si>
  <si>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</si>
  <si>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</si>
  <si>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</si>
  <si>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</si>
  <si>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</si>
  <si>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</si>
  <si>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</si>
  <si>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</si>
  <si>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</si>
  <si>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</si>
  <si>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</si>
  <si>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</si>
  <si>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</si>
  <si>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</si>
  <si>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</si>
  <si>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</si>
  <si>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</si>
  <si>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</si>
  <si>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</si>
  <si>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</si>
  <si>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</si>
  <si>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</si>
  <si>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</si>
  <si>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</si>
  <si>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</si>
  <si>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</si>
  <si>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</si>
  <si>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</si>
  <si>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</si>
  <si>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</si>
  <si>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</si>
  <si>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</si>
  <si>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</si>
  <si>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</si>
  <si>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</si>
  <si>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</si>
  <si>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</si>
  <si>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</si>
  <si>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</si>
  <si>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</si>
  <si>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</si>
  <si>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</si>
  <si>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</si>
  <si>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</si>
  <si>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</si>
  <si>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</si>
  <si>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</si>
  <si>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</si>
  <si>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</si>
  <si>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</si>
  <si>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</si>
  <si>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</si>
  <si>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</si>
  <si>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</si>
  <si>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</si>
  <si>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</si>
  <si>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</si>
  <si>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</si>
  <si>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</si>
  <si>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</si>
  <si>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</si>
  <si>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</si>
  <si>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</si>
  <si>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</si>
  <si>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</si>
  <si>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</si>
  <si>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</si>
  <si>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</si>
  <si>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</si>
  <si>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</si>
  <si>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</si>
  <si>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</si>
  <si>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</si>
  <si>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</si>
  <si>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</si>
  <si>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</si>
  <si>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</si>
  <si>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</si>
  <si>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</si>
  <si>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</si>
  <si>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</si>
  <si>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</si>
  <si>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</si>
  <si>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</si>
  <si>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</si>
  <si>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</si>
  <si>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</si>
  <si>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</si>
  <si>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</si>
  <si>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</si>
  <si>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</si>
  <si>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</si>
  <si>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</si>
  <si>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</si>
  <si>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</si>
  <si>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</si>
  <si>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</si>
  <si>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</si>
  <si>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</si>
  <si>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</si>
  <si>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</si>
  <si>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</si>
  <si>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</si>
  <si>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</si>
  <si>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</si>
  <si>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</si>
  <si>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</si>
  <si>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</si>
  <si>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</si>
  <si>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</si>
  <si>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</si>
  <si>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</si>
  <si>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</si>
  <si>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</si>
  <si>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</si>
  <si>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</si>
  <si>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</si>
  <si>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</si>
  <si>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</si>
  <si>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</si>
  <si>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</si>
  <si>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</si>
  <si>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</si>
  <si>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</si>
  <si>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</si>
  <si>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</si>
  <si>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</si>
  <si>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</si>
  <si>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</si>
  <si>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</si>
  <si>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</si>
  <si>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</si>
  <si>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</si>
  <si>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</si>
  <si>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</si>
  <si>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</si>
  <si>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</si>
  <si>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</si>
  <si>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</si>
  <si>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</si>
  <si>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</si>
  <si>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</si>
  <si>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</si>
  <si>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</si>
  <si>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</si>
  <si>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</si>
  <si>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</si>
  <si>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</si>
  <si>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</si>
  <si>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</si>
  <si>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</si>
  <si>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</si>
  <si>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</si>
  <si>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</si>
  <si>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</si>
  <si>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</si>
  <si>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</si>
  <si>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</si>
  <si>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</si>
  <si>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</si>
  <si>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</si>
  <si>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</si>
  <si>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</si>
  <si>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</si>
  <si>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</si>
  <si>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</si>
  <si>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</si>
  <si>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</si>
  <si>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</si>
  <si>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</si>
  <si>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</si>
  <si>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</si>
  <si>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</si>
  <si>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</si>
  <si>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</si>
  <si>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</si>
  <si>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</si>
  <si>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</si>
  <si>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</si>
  <si>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</si>
  <si>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</si>
  <si>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</si>
  <si>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</si>
  <si>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</si>
  <si>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</si>
  <si>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</si>
  <si>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</si>
  <si>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</si>
  <si>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</si>
  <si>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</si>
  <si>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</si>
  <si>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</si>
  <si>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</si>
  <si>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</si>
  <si>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</si>
  <si>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</si>
  <si>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</si>
  <si>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</si>
  <si>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</si>
  <si>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</si>
  <si>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</si>
  <si>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</si>
  <si>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</si>
  <si>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</si>
  <si>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</si>
  <si>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</si>
  <si>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</si>
  <si>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</si>
  <si>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</si>
  <si>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</si>
  <si>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</si>
  <si>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</si>
  <si>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</si>
  <si>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</si>
  <si>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</si>
  <si>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</si>
  <si>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</si>
  <si>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</si>
  <si>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</si>
  <si>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</si>
  <si>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</si>
  <si>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</si>
  <si>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</si>
  <si>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</si>
  <si>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</si>
  <si>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</si>
  <si>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</si>
  <si>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</si>
  <si>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</si>
  <si>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</si>
  <si>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</si>
  <si>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</si>
  <si>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</si>
  <si>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</si>
  <si>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</si>
  <si>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</si>
  <si>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</si>
  <si>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</si>
  <si>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</si>
  <si>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</si>
  <si>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</si>
  <si>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</si>
  <si>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</si>
  <si>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</si>
  <si>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</si>
  <si>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</si>
  <si>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</si>
  <si>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</si>
  <si>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</si>
  <si>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</si>
  <si>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</si>
  <si>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</si>
  <si>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</si>
  <si>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</si>
  <si>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</si>
  <si>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</si>
  <si>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</si>
  <si>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</si>
  <si>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</si>
  <si>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</si>
  <si>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</si>
  <si>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</si>
  <si>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</si>
  <si>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</si>
  <si>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</si>
  <si>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</si>
  <si>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</si>
  <si>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</si>
  <si>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</si>
  <si>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</si>
  <si>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</si>
  <si>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</si>
  <si>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</si>
  <si>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</si>
  <si>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</si>
  <si>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</si>
  <si>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</si>
  <si>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</si>
  <si>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</si>
  <si>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</si>
  <si>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</si>
  <si>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</si>
  <si>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</si>
  <si>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</si>
  <si>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</si>
  <si>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</si>
  <si>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</si>
  <si>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</si>
  <si>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</si>
  <si>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</si>
  <si>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</si>
  <si>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</si>
  <si>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</si>
  <si>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</si>
  <si>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</si>
  <si>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</si>
  <si>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</si>
  <si>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</si>
  <si>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</si>
  <si>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</si>
  <si>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</si>
  <si>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</si>
  <si>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</si>
  <si>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</si>
  <si>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</si>
  <si>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</si>
  <si>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</si>
  <si>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</si>
  <si>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</si>
  <si>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</si>
  <si>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</si>
  <si>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</si>
  <si>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</si>
  <si>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</si>
  <si>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</si>
  <si>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</si>
  <si>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</si>
  <si>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</si>
  <si>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</si>
  <si>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</si>
  <si>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</si>
  <si>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</si>
  <si>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</si>
  <si>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</si>
  <si>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</si>
  <si>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</si>
  <si>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</si>
  <si>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</si>
  <si>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</si>
  <si>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</si>
  <si>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</si>
  <si>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</si>
  <si>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</si>
  <si>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</si>
  <si>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</si>
  <si>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</si>
  <si>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</si>
  <si>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</si>
  <si>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</si>
  <si>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</si>
  <si>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</si>
  <si>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</si>
  <si>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</si>
  <si>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</si>
  <si>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</si>
  <si>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</si>
  <si>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</si>
  <si>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</si>
  <si>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</si>
  <si>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</si>
  <si>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</si>
  <si>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</si>
  <si>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</si>
  <si>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</si>
  <si>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</si>
  <si>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</si>
  <si>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</si>
  <si>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</si>
  <si>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</si>
  <si>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</si>
  <si>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</si>
  <si>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</si>
  <si>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</si>
  <si>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</si>
  <si>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</si>
  <si>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</si>
  <si>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</si>
  <si>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</si>
  <si>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</si>
  <si>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</si>
  <si>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</si>
  <si>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</si>
  <si>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</si>
  <si>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</si>
  <si>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</si>
  <si>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</si>
  <si>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</si>
  <si>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</si>
  <si>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</si>
  <si>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</si>
  <si>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</si>
  <si>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</si>
  <si>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</si>
  <si>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</si>
  <si>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</si>
  <si>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</si>
  <si>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</si>
  <si>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</si>
  <si>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</si>
  <si>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</si>
  <si>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</si>
  <si>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</si>
  <si>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</si>
  <si>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</si>
  <si>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</si>
  <si>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</si>
  <si>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</si>
  <si>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</si>
  <si>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</si>
  <si>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</si>
  <si>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</si>
  <si>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</si>
  <si>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</si>
  <si>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</si>
  <si>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</si>
  <si>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</si>
  <si>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</si>
  <si>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</si>
  <si>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</si>
  <si>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</si>
  <si>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</si>
  <si>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</si>
  <si>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</si>
  <si>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</si>
  <si>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</si>
  <si>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</si>
  <si>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</si>
  <si>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</si>
  <si>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</si>
  <si>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</si>
  <si>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</si>
  <si>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</si>
  <si>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</si>
  <si>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</si>
  <si>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</si>
  <si>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</si>
  <si>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</si>
  <si>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</si>
  <si>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</si>
  <si>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</si>
  <si>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</si>
  <si>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</si>
  <si>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</si>
  <si>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</si>
  <si>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</si>
  <si>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</si>
  <si>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</si>
  <si>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</si>
  <si>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</si>
  <si>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</si>
  <si>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</si>
  <si>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</si>
  <si>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</si>
  <si>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</si>
  <si>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</si>
  <si>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</si>
  <si>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</si>
  <si>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</si>
  <si>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</si>
  <si>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</si>
  <si>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</si>
  <si>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</si>
  <si>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</si>
  <si>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</si>
  <si>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</si>
  <si>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</si>
  <si>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</si>
  <si>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</si>
  <si>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</si>
  <si>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</si>
  <si>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</si>
  <si>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</si>
  <si>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</si>
  <si>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</si>
  <si>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</si>
  <si>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</si>
  <si>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</si>
  <si>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</si>
  <si>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</si>
  <si>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</si>
  <si>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</si>
  <si>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</si>
  <si>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</si>
  <si>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</si>
  <si>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</si>
  <si>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</si>
  <si>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</si>
  <si>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</si>
  <si>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</si>
  <si>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</si>
  <si>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</si>
  <si>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</si>
  <si>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</si>
  <si>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</si>
  <si>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</si>
  <si>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</si>
  <si>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</si>
  <si>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</si>
  <si>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</si>
  <si>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</si>
  <si>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</si>
  <si>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</si>
  <si>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</si>
  <si>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</si>
  <si>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</si>
  <si>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</si>
  <si>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</si>
  <si>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</si>
  <si>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</si>
  <si>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</si>
  <si>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</si>
  <si>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</si>
  <si>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</si>
  <si>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</si>
  <si>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</si>
  <si>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</si>
  <si>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</si>
  <si>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</si>
  <si>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</si>
  <si>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</si>
  <si>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</si>
  <si>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</si>
  <si>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</si>
  <si>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</si>
  <si>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</si>
  <si>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</si>
  <si>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</si>
  <si>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</si>
  <si>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</si>
  <si>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</si>
  <si>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</si>
  <si>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</si>
  <si>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</si>
  <si>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</si>
  <si>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</si>
  <si>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</si>
  <si>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</si>
  <si>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</si>
  <si>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</si>
  <si>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</si>
  <si>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</si>
  <si>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</si>
  <si>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</si>
  <si>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</si>
  <si>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</si>
  <si>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</si>
  <si>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</si>
  <si>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</si>
  <si>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</si>
  <si>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</si>
  <si>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</si>
  <si>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</si>
  <si>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</si>
  <si>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</si>
  <si>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</si>
  <si>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</si>
  <si>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</si>
  <si>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</si>
  <si>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</si>
  <si>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</si>
  <si>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</si>
  <si>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</si>
  <si>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</si>
  <si>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</si>
  <si>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</si>
  <si>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</si>
  <si>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</si>
  <si>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</si>
  <si>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</si>
  <si>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</si>
  <si>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</si>
  <si>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</si>
  <si>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</si>
  <si>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</si>
  <si>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</si>
  <si>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</si>
  <si>
    <t>3600/2026</t>
  </si>
  <si>
    <t>Curso de formação sobre "Programa de Descentralização Progressiva das Ações de Saúde - PDPAS</t>
  </si>
  <si>
    <t xml:space="preserve">25 a 27/08; 01 e 03/09/2026 </t>
  </si>
  <si>
    <t>Sara Cristina Lins Ramos</t>
  </si>
  <si>
    <t>Carina de Souza Mariuba Herthel</t>
  </si>
  <si>
    <t>Elvis Aaron Teixeira dos Santos Lima</t>
  </si>
  <si>
    <t>Tarsila Firmino Ely; Sara Cristina Lins Ramos; Carina de Souza Mariuba Herthel; Elvis Aaron Teixeira dos Santos Lima</t>
  </si>
  <si>
    <t>2026-025</t>
  </si>
  <si>
    <t>2026-056</t>
  </si>
  <si>
    <t>18 e 19/11/2026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</si>
</sst>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49" fontId="54" fillId="16" borderId="1" xfId="0" applyNumberFormat="1" applyFont="1" applyFill="1" applyBorder="1" applyAlignment="1">
      <alignment horizontal="center" vertical="center"/>
    </xf>
    <xf numFmtId="14" fontId="54" fillId="16" borderId="1" xfId="0" applyNumberFormat="1" applyFont="1" applyFill="1" applyBorder="1" applyAlignment="1">
      <alignment horizontal="center" vertical="center"/>
    </xf>
    <xf numFmtId="1" fontId="54" fillId="16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49" fontId="41" fillId="4" borderId="1" xfId="0" applyNumberFormat="1" applyFont="1" applyFill="1" applyBorder="1" applyAlignment="1">
      <alignment vertical="center"/>
    </xf>
    <xf numFmtId="0" fontId="55" fillId="4" borderId="2" xfId="0" applyFont="1" applyFill="1" applyBorder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6" totalsRowShown="0">
  <autoFilter ref="A3:D96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topLeftCell="G1" zoomScaleNormal="100" workbookViewId="0">
      <pane ySplit="1" topLeftCell="A711" activePane="bottomLeft" state="frozen"/>
      <selection pane="bottomLeft" activeCell="T724" sqref="T724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09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95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2400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2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296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297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296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297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298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297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296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297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296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297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298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298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296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299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296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0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298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2370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1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88" t="s">
        <v>2139</v>
      </c>
      <c r="I675" s="290">
        <v>46140</v>
      </c>
      <c r="J675" s="290">
        <v>46147</v>
      </c>
      <c r="K675" s="236" t="s">
        <v>32</v>
      </c>
      <c r="L675" s="302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2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4" t="s">
        <v>2140</v>
      </c>
      <c r="E677" s="237" t="s">
        <v>2372</v>
      </c>
      <c r="F677" s="241" t="s">
        <v>22</v>
      </c>
      <c r="G677" s="287" t="s">
        <v>23</v>
      </c>
      <c r="H677" s="289" t="s">
        <v>2141</v>
      </c>
      <c r="I677" s="291">
        <v>46148</v>
      </c>
      <c r="J677" s="291">
        <v>46150</v>
      </c>
      <c r="K677" s="235" t="s">
        <v>32</v>
      </c>
      <c r="L677" s="303">
        <v>9454.4</v>
      </c>
      <c r="M677" s="264">
        <v>4.9400000000000004</v>
      </c>
      <c r="N677" s="292">
        <v>30</v>
      </c>
      <c r="O677" s="293">
        <v>30</v>
      </c>
      <c r="P677" s="293">
        <v>0</v>
      </c>
      <c r="Q677" s="293">
        <v>0</v>
      </c>
      <c r="R677" s="293">
        <f>IF(B677="","",SUM(O677:Q677))</f>
        <v>30</v>
      </c>
      <c r="S677" s="284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4" t="s">
        <v>2152</v>
      </c>
      <c r="E678" s="237" t="s">
        <v>2153</v>
      </c>
      <c r="F678" s="241" t="s">
        <v>66</v>
      </c>
      <c r="G678" s="287" t="s">
        <v>2072</v>
      </c>
      <c r="H678" s="289" t="s">
        <v>2154</v>
      </c>
      <c r="I678" s="291">
        <v>46148</v>
      </c>
      <c r="J678" s="291">
        <v>46148</v>
      </c>
      <c r="K678" s="235" t="s">
        <v>32</v>
      </c>
      <c r="L678" s="302">
        <v>2342.36</v>
      </c>
      <c r="M678" s="264">
        <v>4.9000000000000004</v>
      </c>
      <c r="N678" s="265">
        <v>25</v>
      </c>
      <c r="O678" s="293"/>
      <c r="P678" s="293"/>
      <c r="Q678" s="293">
        <v>50</v>
      </c>
      <c r="R678" s="293">
        <f>IF(B678="","",SUM(O678:Q678))</f>
        <v>50</v>
      </c>
      <c r="S678" s="284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2371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4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4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4" t="s">
        <v>2130</v>
      </c>
      <c r="E680" s="285" t="s">
        <v>2131</v>
      </c>
      <c r="F680" s="241" t="s">
        <v>22</v>
      </c>
      <c r="G680" s="243" t="s">
        <v>2056</v>
      </c>
      <c r="H680" s="289" t="s">
        <v>2132</v>
      </c>
      <c r="I680" s="291">
        <v>46154</v>
      </c>
      <c r="J680" s="291">
        <v>46156</v>
      </c>
      <c r="K680" s="235" t="s">
        <v>32</v>
      </c>
      <c r="L680" s="305">
        <v>6497.28</v>
      </c>
      <c r="M680" s="264">
        <v>4.88</v>
      </c>
      <c r="N680" s="292">
        <v>20</v>
      </c>
      <c r="O680" s="293">
        <v>22</v>
      </c>
      <c r="P680" s="293">
        <v>0</v>
      </c>
      <c r="Q680" s="293">
        <v>0</v>
      </c>
      <c r="R680" s="293">
        <f>IF(B680="","",SUM(O680:Q680))</f>
        <v>22</v>
      </c>
      <c r="S680" s="284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0" t="s">
        <v>2144</v>
      </c>
      <c r="F681" s="242" t="s">
        <v>51</v>
      </c>
      <c r="G681" s="263" t="s">
        <v>2035</v>
      </c>
      <c r="H681" s="313" t="s">
        <v>2145</v>
      </c>
      <c r="I681" s="314">
        <v>46157</v>
      </c>
      <c r="J681" s="314">
        <v>46387</v>
      </c>
      <c r="K681" s="236" t="s">
        <v>32</v>
      </c>
      <c r="L681" s="303"/>
      <c r="M681" s="264"/>
      <c r="N681" s="265"/>
      <c r="O681" s="266"/>
      <c r="P681" s="266"/>
      <c r="Q681" s="266"/>
      <c r="R681" s="266">
        <f>IF(B681="","",SUM(O681:Q681))</f>
        <v>0</v>
      </c>
      <c r="S681" s="262">
        <v>65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15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4" t="s">
        <v>2135</v>
      </c>
      <c r="E683" s="285" t="s">
        <v>2015</v>
      </c>
      <c r="F683" s="241" t="s">
        <v>22</v>
      </c>
      <c r="G683" s="243" t="s">
        <v>34</v>
      </c>
      <c r="H683" s="289" t="s">
        <v>2136</v>
      </c>
      <c r="I683" s="291">
        <v>46160</v>
      </c>
      <c r="J683" s="291">
        <v>46167</v>
      </c>
      <c r="K683" s="235" t="s">
        <v>32</v>
      </c>
      <c r="L683" s="303">
        <v>12221.73</v>
      </c>
      <c r="M683" s="264">
        <v>4.93</v>
      </c>
      <c r="N683" s="292">
        <v>20</v>
      </c>
      <c r="O683" s="293">
        <v>21</v>
      </c>
      <c r="P683" s="293">
        <v>0</v>
      </c>
      <c r="Q683" s="293">
        <v>0</v>
      </c>
      <c r="R683" s="293">
        <f>IF(B683="","",SUM(O683:Q683))</f>
        <v>21</v>
      </c>
      <c r="S683" s="284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1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06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2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2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3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298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297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86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296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2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0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05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05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2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2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298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2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05">
        <v>11334.44</v>
      </c>
      <c r="M698" s="250">
        <v>4.9000000000000004</v>
      </c>
      <c r="N698" s="251">
        <v>30</v>
      </c>
      <c r="O698" s="254">
        <v>0</v>
      </c>
      <c r="P698" s="24">
        <v>0</v>
      </c>
      <c r="Q698" s="254">
        <v>48</v>
      </c>
      <c r="R698" s="254">
        <f>IF(B698="","",SUM(O698:Q698))</f>
        <v>48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2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2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>2026-045</v>
      </c>
      <c r="B701" s="69">
        <v>2026</v>
      </c>
      <c r="C701" s="234" t="s">
        <v>2102</v>
      </c>
      <c r="D701" s="21" t="s">
        <v>2089</v>
      </c>
      <c r="E701" s="26" t="s">
        <v>2103</v>
      </c>
      <c r="F701" s="241" t="s">
        <v>22</v>
      </c>
      <c r="G701" s="243" t="s">
        <v>2040</v>
      </c>
      <c r="H701" s="245" t="s">
        <v>2406</v>
      </c>
      <c r="I701" s="247">
        <v>46237</v>
      </c>
      <c r="J701" s="247">
        <v>46239</v>
      </c>
      <c r="K701" s="235" t="s">
        <v>32</v>
      </c>
      <c r="L701" s="302">
        <v>0</v>
      </c>
      <c r="M701" s="250"/>
      <c r="N701" s="251">
        <v>15</v>
      </c>
      <c r="O701" s="254"/>
      <c r="P701" s="254"/>
      <c r="Q701" s="254"/>
      <c r="R701" s="254">
        <f>IF(B701="","",SUM(O701:Q701))</f>
        <v>0</v>
      </c>
      <c r="S701" s="235">
        <v>15</v>
      </c>
      <c r="T701" s="243" t="s">
        <v>2042</v>
      </c>
    </row>
    <row r="702" spans="1:20" ht="22.5" customHeight="1" x14ac:dyDescent="0.25">
      <c r="A702" s="189" t="str">
        <f>IF(B702="","",B702&amp;"-"&amp;TEXT(COUNTIF(B$2:B702,B702),"000"))</f>
        <v>2026-046</v>
      </c>
      <c r="B702" s="69">
        <v>2026</v>
      </c>
      <c r="C702" s="234" t="s">
        <v>2102</v>
      </c>
      <c r="D702" s="236" t="s">
        <v>2190</v>
      </c>
      <c r="E702" s="240" t="s">
        <v>2191</v>
      </c>
      <c r="F702" s="242" t="s">
        <v>51</v>
      </c>
      <c r="G702" s="244" t="s">
        <v>59</v>
      </c>
      <c r="H702" s="246" t="s">
        <v>2160</v>
      </c>
      <c r="I702" s="248">
        <v>46244</v>
      </c>
      <c r="J702" s="248">
        <v>46245</v>
      </c>
      <c r="K702" s="236" t="s">
        <v>32</v>
      </c>
      <c r="L702" s="302"/>
      <c r="M702" s="250"/>
      <c r="N702" s="252">
        <v>40</v>
      </c>
      <c r="O702" s="255"/>
      <c r="P702" s="255"/>
      <c r="Q702" s="255"/>
      <c r="R702" s="255">
        <f>IF(B702="","",SUM(O702:Q702))</f>
        <v>0</v>
      </c>
      <c r="S702" s="236">
        <v>8</v>
      </c>
      <c r="T702" s="260" t="s">
        <v>2192</v>
      </c>
    </row>
    <row r="703" spans="1:20" ht="22.5" customHeight="1" x14ac:dyDescent="0.25">
      <c r="A703" s="188" t="str">
        <f>IF(B703="","",B703&amp;"-"&amp;TEXT(COUNTIF(B$2:B703,B703),"000"))</f>
        <v>2026-047</v>
      </c>
      <c r="B703" s="69">
        <v>2026</v>
      </c>
      <c r="C703" s="234" t="s">
        <v>2102</v>
      </c>
      <c r="D703" s="235" t="s">
        <v>2378</v>
      </c>
      <c r="E703" s="237" t="s">
        <v>2399</v>
      </c>
      <c r="F703" s="241" t="s">
        <v>51</v>
      </c>
      <c r="G703" s="243" t="s">
        <v>59</v>
      </c>
      <c r="H703" s="245" t="s">
        <v>2381</v>
      </c>
      <c r="I703" s="247">
        <v>46244</v>
      </c>
      <c r="J703" s="247">
        <v>46244</v>
      </c>
      <c r="K703" s="235" t="s">
        <v>32</v>
      </c>
      <c r="L703" s="302">
        <v>1990</v>
      </c>
      <c r="M703" s="250"/>
      <c r="N703" s="251">
        <v>20</v>
      </c>
      <c r="O703" s="254"/>
      <c r="P703" s="254"/>
      <c r="Q703" s="254"/>
      <c r="R703" s="254">
        <f>IF(B703="","",SUM(O703:Q703))</f>
        <v>0</v>
      </c>
      <c r="S703" s="235">
        <v>4</v>
      </c>
      <c r="T703" s="243" t="s">
        <v>1847</v>
      </c>
    </row>
    <row r="704" spans="1:20" ht="22.5" customHeight="1" x14ac:dyDescent="0.25">
      <c r="A704" s="189" t="str">
        <f>IF(B704="","",B704&amp;"-"&amp;TEXT(COUNTIF(B$2:B704,B704),"000"))</f>
        <v>2026-048</v>
      </c>
      <c r="B704" s="69">
        <v>2026</v>
      </c>
      <c r="C704" s="234" t="s">
        <v>2102</v>
      </c>
      <c r="D704" s="236" t="s">
        <v>2383</v>
      </c>
      <c r="E704" s="239" t="s">
        <v>2401</v>
      </c>
      <c r="F704" s="242" t="s">
        <v>51</v>
      </c>
      <c r="G704" s="244" t="s">
        <v>59</v>
      </c>
      <c r="H704" s="246" t="s">
        <v>2381</v>
      </c>
      <c r="I704" s="248">
        <v>46244</v>
      </c>
      <c r="J704" s="248">
        <v>46244</v>
      </c>
      <c r="K704" s="236" t="s">
        <v>32</v>
      </c>
      <c r="L704" s="302">
        <v>3520</v>
      </c>
      <c r="M704" s="250"/>
      <c r="N704" s="252">
        <v>30</v>
      </c>
      <c r="O704" s="255"/>
      <c r="P704" s="255"/>
      <c r="Q704" s="255"/>
      <c r="R704" s="255">
        <f>IF(B704="","",SUM(O704:Q704))</f>
        <v>0</v>
      </c>
      <c r="S704" s="236">
        <v>4</v>
      </c>
      <c r="T704" s="244" t="s">
        <v>2385</v>
      </c>
    </row>
    <row r="705" spans="1:21" ht="22.5" customHeight="1" x14ac:dyDescent="0.25">
      <c r="A705" s="188" t="str">
        <f>IF(B705="","",B705&amp;"-"&amp;TEXT(COUNTIF(B$2:B705,B705),"000"))</f>
        <v>2026-049</v>
      </c>
      <c r="B705" s="69">
        <v>2026</v>
      </c>
      <c r="C705" s="234" t="s">
        <v>2102</v>
      </c>
      <c r="D705" s="235" t="s">
        <v>2386</v>
      </c>
      <c r="E705" s="237" t="s">
        <v>2402</v>
      </c>
      <c r="F705" s="241" t="s">
        <v>51</v>
      </c>
      <c r="G705" s="243" t="s">
        <v>59</v>
      </c>
      <c r="H705" s="245" t="s">
        <v>2387</v>
      </c>
      <c r="I705" s="247">
        <v>46245</v>
      </c>
      <c r="J705" s="247">
        <v>46245</v>
      </c>
      <c r="K705" s="235" t="s">
        <v>32</v>
      </c>
      <c r="L705" s="302">
        <v>3520</v>
      </c>
      <c r="M705" s="250"/>
      <c r="N705" s="251">
        <v>30</v>
      </c>
      <c r="O705" s="254"/>
      <c r="P705" s="254"/>
      <c r="Q705" s="254"/>
      <c r="R705" s="254">
        <f>IF(B705="","",SUM(O705:Q705))</f>
        <v>0</v>
      </c>
      <c r="S705" s="235">
        <v>4</v>
      </c>
      <c r="T705" s="243" t="s">
        <v>1855</v>
      </c>
    </row>
    <row r="706" spans="1:21" ht="22.5" customHeight="1" x14ac:dyDescent="0.25">
      <c r="A706" s="189" t="str">
        <f>IF(B706="","",B706&amp;"-"&amp;TEXT(COUNTIF(B$2:B706,B706),"000"))</f>
        <v>2026-050</v>
      </c>
      <c r="B706" s="69">
        <v>2026</v>
      </c>
      <c r="C706" s="234" t="s">
        <v>2102</v>
      </c>
      <c r="D706" s="236" t="s">
        <v>2377</v>
      </c>
      <c r="E706" s="239" t="s">
        <v>2379</v>
      </c>
      <c r="F706" s="242" t="s">
        <v>51</v>
      </c>
      <c r="G706" s="244" t="s">
        <v>59</v>
      </c>
      <c r="H706" s="246" t="s">
        <v>2380</v>
      </c>
      <c r="I706" s="248">
        <v>46246</v>
      </c>
      <c r="J706" s="248">
        <v>46246</v>
      </c>
      <c r="K706" s="236" t="s">
        <v>32</v>
      </c>
      <c r="L706" s="302">
        <v>2347</v>
      </c>
      <c r="M706" s="250"/>
      <c r="N706" s="252">
        <v>50</v>
      </c>
      <c r="O706" s="255"/>
      <c r="P706" s="255"/>
      <c r="Q706" s="255"/>
      <c r="R706" s="255">
        <f>IF(B706="","",SUM(O706:Q706))</f>
        <v>0</v>
      </c>
      <c r="S706" s="236">
        <v>4</v>
      </c>
      <c r="T706" s="244" t="s">
        <v>1477</v>
      </c>
    </row>
    <row r="707" spans="1:21" ht="22.5" customHeight="1" x14ac:dyDescent="0.25">
      <c r="A707" s="188" t="str">
        <f>IF(B707="","",B707&amp;"-"&amp;TEXT(COUNTIF(B$2:B707,B707),"000"))</f>
        <v>2026-051</v>
      </c>
      <c r="B707" s="69">
        <v>2026</v>
      </c>
      <c r="C707" s="234" t="s">
        <v>2102</v>
      </c>
      <c r="D707" s="236" t="s">
        <v>2388</v>
      </c>
      <c r="E707" s="239" t="s">
        <v>2403</v>
      </c>
      <c r="F707" s="242" t="s">
        <v>51</v>
      </c>
      <c r="G707" s="244" t="s">
        <v>59</v>
      </c>
      <c r="H707" s="246" t="s">
        <v>2380</v>
      </c>
      <c r="I707" s="248">
        <v>46246</v>
      </c>
      <c r="J707" s="248">
        <v>46246</v>
      </c>
      <c r="K707" s="236" t="s">
        <v>32</v>
      </c>
      <c r="L707" s="302">
        <v>3520</v>
      </c>
      <c r="M707" s="250"/>
      <c r="N707" s="252">
        <v>30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2390</v>
      </c>
    </row>
    <row r="708" spans="1:21" ht="22.5" customHeight="1" x14ac:dyDescent="0.25">
      <c r="A708" s="189" t="str">
        <f>IF(B708="","",B708&amp;"-"&amp;TEXT(COUNTIF(B$2:B708,B708),"000"))</f>
        <v>2026-052</v>
      </c>
      <c r="B708" s="69">
        <v>2026</v>
      </c>
      <c r="C708" s="234" t="s">
        <v>2102</v>
      </c>
      <c r="D708" s="235" t="s">
        <v>2373</v>
      </c>
      <c r="E708" s="237" t="s">
        <v>2398</v>
      </c>
      <c r="F708" s="241" t="s">
        <v>51</v>
      </c>
      <c r="G708" s="243" t="s">
        <v>59</v>
      </c>
      <c r="H708" s="245" t="s">
        <v>2374</v>
      </c>
      <c r="I708" s="247">
        <v>46247</v>
      </c>
      <c r="J708" s="247">
        <v>46247</v>
      </c>
      <c r="K708" s="235" t="s">
        <v>32</v>
      </c>
      <c r="L708" s="302">
        <v>1770</v>
      </c>
      <c r="M708" s="250"/>
      <c r="N708" s="251">
        <v>50</v>
      </c>
      <c r="O708" s="254"/>
      <c r="P708" s="254"/>
      <c r="Q708" s="254"/>
      <c r="R708" s="254">
        <f>IF(B708="","",SUM(O708:Q708))</f>
        <v>0</v>
      </c>
      <c r="S708" s="235">
        <v>4</v>
      </c>
      <c r="T708" s="243" t="s">
        <v>2376</v>
      </c>
    </row>
    <row r="709" spans="1:21" ht="22.5" customHeight="1" x14ac:dyDescent="0.25">
      <c r="A709" s="188" t="str">
        <f>IF(B709="","",B709&amp;"-"&amp;TEXT(COUNTIF(B$2:B709,B709),"000"))</f>
        <v>2026-053</v>
      </c>
      <c r="B709" s="69">
        <v>2026</v>
      </c>
      <c r="C709" s="234" t="s">
        <v>2102</v>
      </c>
      <c r="D709" s="235" t="s">
        <v>2391</v>
      </c>
      <c r="E709" s="237" t="s">
        <v>2404</v>
      </c>
      <c r="F709" s="241" t="s">
        <v>51</v>
      </c>
      <c r="G709" s="243" t="s">
        <v>59</v>
      </c>
      <c r="H709" s="245" t="s">
        <v>2374</v>
      </c>
      <c r="I709" s="247">
        <v>46247</v>
      </c>
      <c r="J709" s="247">
        <v>46247</v>
      </c>
      <c r="K709" s="235" t="s">
        <v>32</v>
      </c>
      <c r="L709" s="302">
        <v>3520</v>
      </c>
      <c r="M709" s="250"/>
      <c r="N709" s="251">
        <v>30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2393</v>
      </c>
      <c r="U709" s="230"/>
    </row>
    <row r="710" spans="1:21" ht="22.5" customHeight="1" x14ac:dyDescent="0.25">
      <c r="A710" s="189" t="str">
        <f>IF(B710="","",B710&amp;"-"&amp;TEXT(COUNTIF(B$2:B710,B710),"000"))</f>
        <v>2026-054</v>
      </c>
      <c r="B710" s="69">
        <v>2026</v>
      </c>
      <c r="C710" s="234" t="s">
        <v>2102</v>
      </c>
      <c r="D710" s="235" t="s">
        <v>2084</v>
      </c>
      <c r="E710" s="237" t="s">
        <v>2181</v>
      </c>
      <c r="F710" s="241" t="s">
        <v>66</v>
      </c>
      <c r="G710" s="243" t="s">
        <v>2072</v>
      </c>
      <c r="H710" s="245" t="s">
        <v>2182</v>
      </c>
      <c r="I710" s="247">
        <v>46254</v>
      </c>
      <c r="J710" s="247">
        <v>46254</v>
      </c>
      <c r="K710" s="235" t="s">
        <v>32</v>
      </c>
      <c r="L710" s="302"/>
      <c r="M710" s="250"/>
      <c r="N710" s="251">
        <v>80</v>
      </c>
      <c r="O710" s="254"/>
      <c r="P710" s="254"/>
      <c r="Q710" s="254"/>
      <c r="R710" s="254">
        <f>IF(B710="","",SUM(O710:Q710))</f>
        <v>0</v>
      </c>
      <c r="S710" s="235">
        <v>4</v>
      </c>
      <c r="T710" s="259" t="s">
        <v>2183</v>
      </c>
    </row>
    <row r="711" spans="1:21" ht="22.5" customHeight="1" x14ac:dyDescent="0.25">
      <c r="A711" s="188" t="str">
        <f>IF(B711="","",B711&amp;"-"&amp;TEXT(COUNTIF(B$2:B711,B711),"000"))</f>
        <v>2026-055</v>
      </c>
      <c r="B711" s="69">
        <v>2026</v>
      </c>
      <c r="C711" s="234" t="s">
        <v>2102</v>
      </c>
      <c r="D711" s="235" t="s">
        <v>2084</v>
      </c>
      <c r="E711" s="240" t="s">
        <v>2181</v>
      </c>
      <c r="F711" s="242" t="s">
        <v>66</v>
      </c>
      <c r="G711" s="244" t="s">
        <v>2072</v>
      </c>
      <c r="H711" s="246" t="s">
        <v>2184</v>
      </c>
      <c r="I711" s="248">
        <v>46255</v>
      </c>
      <c r="J711" s="248">
        <v>46255</v>
      </c>
      <c r="K711" s="236" t="s">
        <v>32</v>
      </c>
      <c r="L711" s="302"/>
      <c r="M711" s="250"/>
      <c r="N711" s="252">
        <v>80</v>
      </c>
      <c r="O711" s="255"/>
      <c r="P711" s="255"/>
      <c r="Q711" s="255"/>
      <c r="R711" s="255">
        <f>IF(B711="","",SUM(O711:Q711))</f>
        <v>0</v>
      </c>
      <c r="S711" s="236">
        <v>4</v>
      </c>
      <c r="T711" s="260" t="s">
        <v>2185</v>
      </c>
    </row>
    <row r="712" spans="1:21" ht="22.5" customHeight="1" x14ac:dyDescent="0.25">
      <c r="A712" s="189" t="str">
        <f>IF(B712="","",B712&amp;"-"&amp;TEXT(COUNTIF(B$2:B712,B712),"000"))</f>
        <v>2026-056</v>
      </c>
      <c r="B712" s="69">
        <v>2026</v>
      </c>
      <c r="C712" s="234" t="s">
        <v>2102</v>
      </c>
      <c r="D712" s="236" t="s">
        <v>2408</v>
      </c>
      <c r="E712" s="239" t="s">
        <v>2409</v>
      </c>
      <c r="F712" s="242" t="s">
        <v>51</v>
      </c>
      <c r="G712" s="244" t="s">
        <v>59</v>
      </c>
      <c r="H712" s="319" t="s">
        <v>2410</v>
      </c>
      <c r="I712" s="248">
        <v>46259</v>
      </c>
      <c r="J712" s="248">
        <v>46268</v>
      </c>
      <c r="K712" s="236" t="s">
        <v>32</v>
      </c>
      <c r="L712" s="302"/>
      <c r="M712" s="250"/>
      <c r="N712" s="252">
        <v>30</v>
      </c>
      <c r="O712" s="255"/>
      <c r="P712" s="255"/>
      <c r="Q712" s="255"/>
      <c r="R712" s="255">
        <f>IF(B712="","",SUM(O712:Q712))</f>
        <v>0</v>
      </c>
      <c r="S712" s="236">
        <v>20</v>
      </c>
      <c r="T712" s="244" t="s">
        <v>2414</v>
      </c>
    </row>
    <row r="713" spans="1:21" ht="22.5" customHeight="1" x14ac:dyDescent="0.25">
      <c r="A713" s="189" t="str">
        <f>IF(B713="","",B713&amp;"-"&amp;TEXT(COUNTIF(B$2:B713,B713),"000"))</f>
        <v>2026-057</v>
      </c>
      <c r="B713" s="69">
        <v>2026</v>
      </c>
      <c r="C713" s="47" t="s">
        <v>2102</v>
      </c>
      <c r="D713" s="21" t="s">
        <v>2114</v>
      </c>
      <c r="E713" s="81" t="s">
        <v>2115</v>
      </c>
      <c r="F713" s="28" t="s">
        <v>66</v>
      </c>
      <c r="G713" s="19" t="s">
        <v>2072</v>
      </c>
      <c r="H713" s="35" t="s">
        <v>2407</v>
      </c>
      <c r="I713" s="36">
        <v>46273</v>
      </c>
      <c r="J713" s="36">
        <v>46283</v>
      </c>
      <c r="K713" s="21" t="s">
        <v>25</v>
      </c>
      <c r="L713" s="297">
        <v>25200</v>
      </c>
      <c r="M713" s="183"/>
      <c r="N713" s="40">
        <v>60</v>
      </c>
      <c r="O713" s="22"/>
      <c r="P713" s="22"/>
      <c r="Q713" s="22"/>
      <c r="R713" s="22">
        <f>SUM(O713:Q713)</f>
        <v>0</v>
      </c>
      <c r="S713" s="21">
        <v>32</v>
      </c>
      <c r="T713" s="19" t="s">
        <v>2116</v>
      </c>
    </row>
    <row r="714" spans="1:21" ht="22.5" customHeight="1" x14ac:dyDescent="0.25">
      <c r="A714" s="189" t="str">
        <f>IF(B714="","",B714&amp;"-"&amp;TEXT(COUNTIF(B$2:B714,B714),"000"))</f>
        <v>2026-058</v>
      </c>
      <c r="B714" s="69">
        <v>2026</v>
      </c>
      <c r="C714" s="234" t="s">
        <v>2102</v>
      </c>
      <c r="D714" s="235" t="s">
        <v>2084</v>
      </c>
      <c r="E714" s="237" t="s">
        <v>2181</v>
      </c>
      <c r="F714" s="241" t="s">
        <v>66</v>
      </c>
      <c r="G714" s="243" t="s">
        <v>2072</v>
      </c>
      <c r="H714" s="245" t="s">
        <v>2186</v>
      </c>
      <c r="I714" s="247">
        <v>46289</v>
      </c>
      <c r="J714" s="247">
        <v>46289</v>
      </c>
      <c r="K714" s="235" t="s">
        <v>32</v>
      </c>
      <c r="L714" s="302"/>
      <c r="M714" s="250"/>
      <c r="N714" s="251">
        <v>80</v>
      </c>
      <c r="O714" s="254"/>
      <c r="P714" s="254"/>
      <c r="Q714" s="254"/>
      <c r="R714" s="254">
        <f>IF(B714="","",SUM(O714:Q714))</f>
        <v>0</v>
      </c>
      <c r="S714" s="235">
        <v>4</v>
      </c>
      <c r="T714" s="260" t="s">
        <v>2185</v>
      </c>
    </row>
    <row r="715" spans="1:21" ht="22.5" customHeight="1" x14ac:dyDescent="0.25">
      <c r="A715" s="188" t="str">
        <f>IF(B715="","",B715&amp;"-"&amp;TEXT(COUNTIF(B$2:B715,B715),"000"))</f>
        <v>2026-059</v>
      </c>
      <c r="B715" s="69">
        <v>2026</v>
      </c>
      <c r="C715" s="234" t="s">
        <v>2102</v>
      </c>
      <c r="D715" s="235" t="s">
        <v>2084</v>
      </c>
      <c r="E715" s="240" t="s">
        <v>2181</v>
      </c>
      <c r="F715" s="242" t="s">
        <v>66</v>
      </c>
      <c r="G715" s="244" t="s">
        <v>2072</v>
      </c>
      <c r="H715" s="246" t="s">
        <v>2187</v>
      </c>
      <c r="I715" s="248">
        <v>46290</v>
      </c>
      <c r="J715" s="248">
        <v>46290</v>
      </c>
      <c r="K715" s="236" t="s">
        <v>32</v>
      </c>
      <c r="L715" s="302"/>
      <c r="M715" s="250"/>
      <c r="N715" s="252">
        <v>80</v>
      </c>
      <c r="O715" s="255"/>
      <c r="P715" s="255"/>
      <c r="Q715" s="255"/>
      <c r="R715" s="255">
        <f>IF(B715="","",SUM(O715:Q715))</f>
        <v>0</v>
      </c>
      <c r="S715" s="236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2026-060</v>
      </c>
      <c r="B716" s="69">
        <v>2026</v>
      </c>
      <c r="C716" s="234" t="s">
        <v>2102</v>
      </c>
      <c r="D716" s="235" t="s">
        <v>2084</v>
      </c>
      <c r="E716" s="237" t="s">
        <v>2181</v>
      </c>
      <c r="F716" s="241" t="s">
        <v>66</v>
      </c>
      <c r="G716" s="243" t="s">
        <v>2072</v>
      </c>
      <c r="H716" s="245" t="s">
        <v>2193</v>
      </c>
      <c r="I716" s="247">
        <v>46303</v>
      </c>
      <c r="J716" s="247">
        <v>46303</v>
      </c>
      <c r="K716" s="235" t="s">
        <v>32</v>
      </c>
      <c r="L716" s="302"/>
      <c r="M716" s="250"/>
      <c r="N716" s="251"/>
      <c r="O716" s="254"/>
      <c r="P716" s="254"/>
      <c r="Q716" s="254"/>
      <c r="R716" s="254">
        <f>IF(B716="","",SUM(O716:Q716))</f>
        <v>0</v>
      </c>
      <c r="S716" s="235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2026-061</v>
      </c>
      <c r="B717" s="69">
        <v>2026</v>
      </c>
      <c r="C717" s="234" t="s">
        <v>2102</v>
      </c>
      <c r="D717" s="236" t="s">
        <v>2084</v>
      </c>
      <c r="E717" s="240" t="s">
        <v>2181</v>
      </c>
      <c r="F717" s="242" t="s">
        <v>66</v>
      </c>
      <c r="G717" s="244" t="s">
        <v>2072</v>
      </c>
      <c r="H717" s="246" t="s">
        <v>2194</v>
      </c>
      <c r="I717" s="248">
        <v>46304</v>
      </c>
      <c r="J717" s="248">
        <v>46274</v>
      </c>
      <c r="K717" s="236" t="s">
        <v>32</v>
      </c>
      <c r="L717" s="302"/>
      <c r="M717" s="250"/>
      <c r="N717" s="252"/>
      <c r="O717" s="255"/>
      <c r="P717" s="255"/>
      <c r="Q717" s="255"/>
      <c r="R717" s="255">
        <f>IF(B717="","",SUM(O717:Q717))</f>
        <v>0</v>
      </c>
      <c r="S717" s="236">
        <v>4</v>
      </c>
      <c r="T717" s="260" t="s">
        <v>2185</v>
      </c>
    </row>
    <row r="718" spans="1:21" ht="22.5" customHeight="1" x14ac:dyDescent="0.25">
      <c r="A718" s="189" t="str">
        <f>IF(B718="","",B718&amp;"-"&amp;TEXT(COUNTIF(B$2:B718,B718),"000"))</f>
        <v>2026-062</v>
      </c>
      <c r="B718" s="69">
        <v>2026</v>
      </c>
      <c r="C718" s="234" t="s">
        <v>2102</v>
      </c>
      <c r="D718" s="235" t="s">
        <v>2117</v>
      </c>
      <c r="E718" s="237" t="s">
        <v>2118</v>
      </c>
      <c r="F718" s="241" t="s">
        <v>51</v>
      </c>
      <c r="G718" s="243" t="s">
        <v>59</v>
      </c>
      <c r="H718" s="245" t="s">
        <v>2119</v>
      </c>
      <c r="I718" s="247">
        <v>46321</v>
      </c>
      <c r="J718" s="247">
        <v>46322</v>
      </c>
      <c r="K718" s="249" t="s">
        <v>25</v>
      </c>
      <c r="L718" s="302"/>
      <c r="M718" s="250"/>
      <c r="N718" s="251">
        <v>170</v>
      </c>
      <c r="O718" s="254"/>
      <c r="P718" s="254"/>
      <c r="Q718" s="254"/>
      <c r="R718" s="254">
        <f>IF(B718="","",SUM(O718:Q718))</f>
        <v>0</v>
      </c>
      <c r="S718" s="235">
        <v>14</v>
      </c>
      <c r="T718" s="257" t="s">
        <v>365</v>
      </c>
    </row>
    <row r="719" spans="1:21" ht="22.5" customHeight="1" x14ac:dyDescent="0.25">
      <c r="A719" s="188" t="str">
        <f>IF(B719="","",B719&amp;"-"&amp;TEXT(COUNTIF(B$2:B719,B719),"000"))</f>
        <v>2026-063</v>
      </c>
      <c r="B719" s="63">
        <v>2026</v>
      </c>
      <c r="C719" s="21" t="s">
        <v>2102</v>
      </c>
      <c r="D719" s="163" t="s">
        <v>2110</v>
      </c>
      <c r="E719" s="321" t="s">
        <v>2111</v>
      </c>
      <c r="F719" s="30" t="s">
        <v>51</v>
      </c>
      <c r="G719" s="20" t="s">
        <v>59</v>
      </c>
      <c r="H719" s="165" t="s">
        <v>2112</v>
      </c>
      <c r="I719" s="166">
        <v>46335</v>
      </c>
      <c r="J719" s="166">
        <v>46335</v>
      </c>
      <c r="K719" s="23" t="s">
        <v>25</v>
      </c>
      <c r="L719" s="300"/>
      <c r="M719" s="184"/>
      <c r="N719" s="167">
        <v>170</v>
      </c>
      <c r="O719" s="168"/>
      <c r="P719" s="168"/>
      <c r="Q719" s="168"/>
      <c r="R719" s="168">
        <f>SUM(O719:Q719)</f>
        <v>0</v>
      </c>
      <c r="S719" s="163">
        <v>14</v>
      </c>
      <c r="T719" s="20" t="s">
        <v>365</v>
      </c>
    </row>
    <row r="720" spans="1:21" ht="22.5" customHeight="1" x14ac:dyDescent="0.25">
      <c r="A720" s="282" t="str">
        <f>IF(B720="","",B720&amp;"-"&amp;TEXT(COUNTIF(B$2:B720,B720),"000"))</f>
        <v>2026-064</v>
      </c>
      <c r="B720" s="69">
        <v>2026</v>
      </c>
      <c r="C720" s="261" t="s">
        <v>2102</v>
      </c>
      <c r="D720" s="284" t="s">
        <v>2158</v>
      </c>
      <c r="E720" s="285" t="s">
        <v>2159</v>
      </c>
      <c r="F720" s="322" t="s">
        <v>22</v>
      </c>
      <c r="G720" s="287" t="s">
        <v>56</v>
      </c>
      <c r="H720" s="289" t="s">
        <v>2417</v>
      </c>
      <c r="I720" s="291">
        <v>46344</v>
      </c>
      <c r="J720" s="291">
        <v>46345</v>
      </c>
      <c r="K720" s="284" t="s">
        <v>25</v>
      </c>
      <c r="L720" s="303">
        <v>13000</v>
      </c>
      <c r="M720" s="264"/>
      <c r="N720" s="292"/>
      <c r="O720" s="293"/>
      <c r="P720" s="293"/>
      <c r="Q720" s="293"/>
      <c r="R720" s="293">
        <f>IF(B720="","",SUM(O720:Q720))</f>
        <v>0</v>
      </c>
      <c r="S720" s="284">
        <v>10</v>
      </c>
      <c r="T720" s="287" t="s">
        <v>2161</v>
      </c>
    </row>
    <row r="721" spans="1:20" ht="22.5" customHeight="1" x14ac:dyDescent="0.25">
      <c r="A721" s="188" t="str">
        <f>IF(B721="","",B721&amp;"-"&amp;TEXT(COUNTIF(B$2:B721,B721),"000"))</f>
        <v>2026-065</v>
      </c>
      <c r="B721" s="21">
        <v>2026</v>
      </c>
      <c r="C721" s="234" t="s">
        <v>2102</v>
      </c>
      <c r="D721" s="235" t="s">
        <v>2173</v>
      </c>
      <c r="E721" s="237" t="s">
        <v>2174</v>
      </c>
      <c r="F721" s="241" t="s">
        <v>51</v>
      </c>
      <c r="G721" s="243" t="s">
        <v>59</v>
      </c>
      <c r="H721" s="245" t="s">
        <v>2145</v>
      </c>
      <c r="I721" s="247" t="s">
        <v>2175</v>
      </c>
      <c r="J721" s="247" t="s">
        <v>2176</v>
      </c>
      <c r="K721" s="235" t="s">
        <v>32</v>
      </c>
      <c r="L721" s="302"/>
      <c r="M721" s="250"/>
      <c r="N721" s="251"/>
      <c r="O721" s="254"/>
      <c r="P721" s="254"/>
      <c r="Q721" s="254"/>
      <c r="R721" s="254">
        <f>IF(B721="","",SUM(O721:Q721))</f>
        <v>0</v>
      </c>
      <c r="S721" s="235">
        <v>17.45</v>
      </c>
      <c r="T721" s="243" t="s">
        <v>2177</v>
      </c>
    </row>
    <row r="722" spans="1:20" ht="22.5" customHeight="1" x14ac:dyDescent="0.25">
      <c r="A722" s="189" t="str">
        <f>IF(B722="","",B722&amp;"-"&amp;TEXT(COUNTIF(B$2:B722,B722),"000"))</f>
        <v>2026-066</v>
      </c>
      <c r="B722" s="69">
        <v>2026</v>
      </c>
      <c r="C722" s="234" t="s">
        <v>2102</v>
      </c>
      <c r="D722" s="236" t="s">
        <v>2397</v>
      </c>
      <c r="E722" s="238" t="s">
        <v>2405</v>
      </c>
      <c r="F722" s="242" t="s">
        <v>51</v>
      </c>
      <c r="G722" s="244" t="s">
        <v>59</v>
      </c>
      <c r="H722" s="316" t="s">
        <v>2394</v>
      </c>
      <c r="I722" s="317" t="s">
        <v>2394</v>
      </c>
      <c r="J722" s="317" t="s">
        <v>2394</v>
      </c>
      <c r="K722" s="236" t="s">
        <v>32</v>
      </c>
      <c r="L722" s="302">
        <v>3520</v>
      </c>
      <c r="M722" s="250"/>
      <c r="N722" s="252">
        <v>30</v>
      </c>
      <c r="O722" s="255"/>
      <c r="P722" s="255"/>
      <c r="Q722" s="255"/>
      <c r="R722" s="318">
        <f>IF(B722="","",SUM(O722:Q722))</f>
        <v>0</v>
      </c>
      <c r="S722" s="236">
        <v>4</v>
      </c>
      <c r="T722" s="244" t="s">
        <v>2396</v>
      </c>
    </row>
    <row r="723" spans="1:20" ht="22.5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2"/>
      <c r="M723" s="250"/>
      <c r="N723" s="251"/>
      <c r="O723" s="254"/>
      <c r="P723" s="254"/>
      <c r="Q723" s="254"/>
      <c r="R723" s="254" t="str">
        <f>IF(B723="","",SUM(O723:Q723))</f>
        <v/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2"/>
      <c r="M724" s="250"/>
      <c r="N724" s="252"/>
      <c r="O724" s="255"/>
      <c r="P724" s="255"/>
      <c r="Q724" s="255"/>
      <c r="R724" s="255" t="str">
        <f>IF(B724="","",SUM(O724:Q724))</f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2"/>
      <c r="M725" s="250"/>
      <c r="N725" s="251"/>
      <c r="O725" s="254"/>
      <c r="P725" s="254"/>
      <c r="Q725" s="254"/>
      <c r="R725" s="254" t="str">
        <f>IF(B725="","",SUM(O725:Q725))</f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2"/>
      <c r="M726" s="250"/>
      <c r="N726" s="252"/>
      <c r="O726" s="255"/>
      <c r="P726" s="255"/>
      <c r="Q726" s="255"/>
      <c r="R726" s="255" t="str">
        <f>IF(B726="","",SUM(O726:Q726))</f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2"/>
      <c r="M727" s="250"/>
      <c r="N727" s="251"/>
      <c r="O727" s="254"/>
      <c r="P727" s="254"/>
      <c r="Q727" s="254"/>
      <c r="R727" s="254" t="str">
        <f>IF(B727="","",SUM(O727:Q727))</f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2"/>
      <c r="M728" s="250"/>
      <c r="N728" s="252"/>
      <c r="O728" s="255"/>
      <c r="P728" s="255"/>
      <c r="Q728" s="255"/>
      <c r="R728" s="255" t="str">
        <f>IF(B728="","",SUM(O728:Q728))</f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2"/>
      <c r="M729" s="250"/>
      <c r="N729" s="251"/>
      <c r="O729" s="254"/>
      <c r="P729" s="254"/>
      <c r="Q729" s="254"/>
      <c r="R729" s="254" t="str">
        <f>IF(B729="","",SUM(O729:Q729))</f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2"/>
      <c r="M730" s="250"/>
      <c r="N730" s="252"/>
      <c r="O730" s="255"/>
      <c r="P730" s="255"/>
      <c r="Q730" s="255"/>
      <c r="R730" s="255" t="str">
        <f>IF(B730="","",SUM(O730:Q730))</f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2"/>
      <c r="M731" s="250"/>
      <c r="N731" s="251"/>
      <c r="O731" s="254"/>
      <c r="P731" s="254"/>
      <c r="Q731" s="254"/>
      <c r="R731" s="254" t="str">
        <f>IF(B731="","",SUM(O731:Q731))</f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2"/>
      <c r="M732" s="250"/>
      <c r="N732" s="252"/>
      <c r="O732" s="255"/>
      <c r="P732" s="255"/>
      <c r="Q732" s="255"/>
      <c r="R732" s="255" t="str">
        <f>IF(B732="","",SUM(O732:Q732))</f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2"/>
      <c r="M733" s="250"/>
      <c r="N733" s="251"/>
      <c r="O733" s="254"/>
      <c r="P733" s="254"/>
      <c r="Q733" s="254"/>
      <c r="R733" s="254" t="str">
        <f>IF(B733="","",SUM(O733:Q733))</f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2"/>
      <c r="M734" s="250"/>
      <c r="N734" s="252"/>
      <c r="O734" s="255"/>
      <c r="P734" s="255"/>
      <c r="Q734" s="255"/>
      <c r="R734" s="255" t="str">
        <f>IF(B734="","",SUM(O734:Q734))</f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2"/>
      <c r="M735" s="250"/>
      <c r="N735" s="251"/>
      <c r="O735" s="254"/>
      <c r="P735" s="254"/>
      <c r="Q735" s="254"/>
      <c r="R735" s="254" t="str">
        <f>IF(B735="","",SUM(O735:Q735))</f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2"/>
      <c r="M736" s="250"/>
      <c r="N736" s="252"/>
      <c r="O736" s="255"/>
      <c r="P736" s="255"/>
      <c r="Q736" s="255"/>
      <c r="R736" s="255" t="str">
        <f>IF(B736="","",SUM(O736:Q736))</f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2"/>
      <c r="M737" s="250"/>
      <c r="N737" s="251"/>
      <c r="O737" s="254"/>
      <c r="P737" s="254"/>
      <c r="Q737" s="254"/>
      <c r="R737" s="254" t="str">
        <f>IF(B737="","",SUM(O737:Q737))</f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2"/>
      <c r="M738" s="250"/>
      <c r="N738" s="252"/>
      <c r="O738" s="255"/>
      <c r="P738" s="255"/>
      <c r="Q738" s="255"/>
      <c r="R738" s="255" t="str">
        <f>IF(B738="","",SUM(O738:Q738))</f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2"/>
      <c r="M739" s="250"/>
      <c r="N739" s="251"/>
      <c r="O739" s="254"/>
      <c r="P739" s="254"/>
      <c r="Q739" s="254"/>
      <c r="R739" s="254" t="str">
        <f>IF(B739="","",SUM(O739:Q739))</f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2"/>
      <c r="M740" s="250"/>
      <c r="N740" s="252"/>
      <c r="O740" s="255"/>
      <c r="P740" s="255"/>
      <c r="Q740" s="255"/>
      <c r="R740" s="255" t="str">
        <f>IF(B740="","",SUM(O740:Q740))</f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2"/>
      <c r="M741" s="250"/>
      <c r="N741" s="251"/>
      <c r="O741" s="254"/>
      <c r="P741" s="254"/>
      <c r="Q741" s="254"/>
      <c r="R741" s="254" t="str">
        <f>IF(B741="","",SUM(O741:Q741))</f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2"/>
      <c r="M742" s="250"/>
      <c r="N742" s="252"/>
      <c r="O742" s="255"/>
      <c r="P742" s="255"/>
      <c r="Q742" s="255"/>
      <c r="R742" s="255" t="str">
        <f>IF(B742="","",SUM(O742:Q742))</f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2"/>
      <c r="M743" s="250"/>
      <c r="N743" s="251"/>
      <c r="O743" s="254"/>
      <c r="P743" s="254"/>
      <c r="Q743" s="254"/>
      <c r="R743" s="254" t="str">
        <f>IF(B743="","",SUM(O743:Q743))</f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2"/>
      <c r="M744" s="250"/>
      <c r="N744" s="252"/>
      <c r="O744" s="255"/>
      <c r="P744" s="255"/>
      <c r="Q744" s="255"/>
      <c r="R744" s="255" t="str">
        <f>IF(B744="","",SUM(O744:Q744))</f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2"/>
      <c r="M745" s="250"/>
      <c r="N745" s="251"/>
      <c r="O745" s="254"/>
      <c r="P745" s="254"/>
      <c r="Q745" s="254"/>
      <c r="R745" s="254" t="str">
        <f>IF(B745="","",SUM(O745:Q745))</f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2"/>
      <c r="M746" s="250"/>
      <c r="N746" s="252"/>
      <c r="O746" s="255"/>
      <c r="P746" s="255"/>
      <c r="Q746" s="255"/>
      <c r="R746" s="255" t="str">
        <f>IF(B746="","",SUM(O746:Q746))</f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2"/>
      <c r="M747" s="250"/>
      <c r="N747" s="251"/>
      <c r="O747" s="254"/>
      <c r="P747" s="254"/>
      <c r="Q747" s="254"/>
      <c r="R747" s="254" t="str">
        <f>IF(B747="","",SUM(O747:Q747))</f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2"/>
      <c r="M748" s="250"/>
      <c r="N748" s="252"/>
      <c r="O748" s="255"/>
      <c r="P748" s="255"/>
      <c r="Q748" s="255"/>
      <c r="R748" s="255" t="str">
        <f>IF(B748="","",SUM(O748:Q748))</f>
        <v/>
      </c>
      <c r="S748" s="236"/>
      <c r="T748" s="244"/>
    </row>
    <row r="749" spans="1:20" ht="22.5" customHeight="1" x14ac:dyDescent="0.25">
      <c r="A749" s="187"/>
      <c r="B749" s="267"/>
      <c r="C749" s="234"/>
      <c r="D749" s="234"/>
      <c r="E749" s="268"/>
      <c r="F749" s="269"/>
      <c r="G749" s="258"/>
      <c r="H749" s="270"/>
      <c r="I749" s="271"/>
      <c r="J749" s="271"/>
      <c r="K749" s="234"/>
      <c r="L749" s="307"/>
      <c r="M749" s="272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67"/>
      <c r="C750" s="234"/>
      <c r="D750" s="234"/>
      <c r="E750" s="268"/>
      <c r="F750" s="269"/>
      <c r="G750" s="258"/>
      <c r="H750" s="270"/>
      <c r="I750" s="271"/>
      <c r="J750" s="271"/>
      <c r="K750" s="234"/>
      <c r="L750" s="307"/>
      <c r="M750" s="272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67"/>
      <c r="C751" s="234"/>
      <c r="D751" s="234"/>
      <c r="E751" s="268"/>
      <c r="F751" s="269"/>
      <c r="G751" s="258"/>
      <c r="H751" s="270"/>
      <c r="I751" s="271"/>
      <c r="J751" s="271"/>
      <c r="K751" s="234"/>
      <c r="L751" s="307"/>
      <c r="M751" s="272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67"/>
      <c r="C752" s="234"/>
      <c r="D752" s="234"/>
      <c r="E752" s="268"/>
      <c r="F752" s="269"/>
      <c r="G752" s="258"/>
      <c r="H752" s="270"/>
      <c r="I752" s="271"/>
      <c r="J752" s="271"/>
      <c r="K752" s="234"/>
      <c r="L752" s="307"/>
      <c r="M752" s="272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67"/>
      <c r="C753" s="234"/>
      <c r="D753" s="234"/>
      <c r="E753" s="268"/>
      <c r="F753" s="269"/>
      <c r="G753" s="258"/>
      <c r="H753" s="270"/>
      <c r="I753" s="271"/>
      <c r="J753" s="271"/>
      <c r="K753" s="234"/>
      <c r="L753" s="307"/>
      <c r="M753" s="272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67"/>
      <c r="C754" s="234"/>
      <c r="D754" s="234"/>
      <c r="E754" s="268"/>
      <c r="F754" s="269"/>
      <c r="G754" s="258"/>
      <c r="H754" s="270"/>
      <c r="I754" s="271"/>
      <c r="J754" s="271"/>
      <c r="K754" s="234"/>
      <c r="L754" s="307"/>
      <c r="M754" s="272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67"/>
      <c r="C755" s="234"/>
      <c r="D755" s="234"/>
      <c r="E755" s="268"/>
      <c r="F755" s="269"/>
      <c r="G755" s="258"/>
      <c r="H755" s="270"/>
      <c r="I755" s="271"/>
      <c r="J755" s="271"/>
      <c r="K755" s="234"/>
      <c r="L755" s="307"/>
      <c r="M755" s="272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67"/>
      <c r="C756" s="234"/>
      <c r="D756" s="234"/>
      <c r="E756" s="268"/>
      <c r="F756" s="269"/>
      <c r="G756" s="258"/>
      <c r="H756" s="270"/>
      <c r="I756" s="271"/>
      <c r="J756" s="271"/>
      <c r="K756" s="234"/>
      <c r="L756" s="307"/>
      <c r="M756" s="272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67"/>
      <c r="C757" s="234"/>
      <c r="D757" s="234"/>
      <c r="E757" s="268"/>
      <c r="F757" s="269"/>
      <c r="G757" s="258"/>
      <c r="H757" s="270"/>
      <c r="I757" s="271"/>
      <c r="J757" s="271"/>
      <c r="K757" s="234"/>
      <c r="L757" s="307"/>
      <c r="M757" s="272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67"/>
      <c r="C758" s="234"/>
      <c r="D758" s="234"/>
      <c r="E758" s="268"/>
      <c r="F758" s="269"/>
      <c r="G758" s="258"/>
      <c r="H758" s="270"/>
      <c r="I758" s="271"/>
      <c r="J758" s="271"/>
      <c r="K758" s="234"/>
      <c r="L758" s="307"/>
      <c r="M758" s="272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67"/>
      <c r="C759" s="234"/>
      <c r="D759" s="234"/>
      <c r="E759" s="268"/>
      <c r="F759" s="269"/>
      <c r="G759" s="258"/>
      <c r="H759" s="270"/>
      <c r="I759" s="271"/>
      <c r="J759" s="271"/>
      <c r="K759" s="234"/>
      <c r="L759" s="307"/>
      <c r="M759" s="272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67"/>
      <c r="C760" s="234"/>
      <c r="D760" s="234"/>
      <c r="E760" s="268"/>
      <c r="F760" s="269"/>
      <c r="G760" s="258"/>
      <c r="H760" s="270"/>
      <c r="I760" s="271"/>
      <c r="J760" s="271"/>
      <c r="K760" s="234"/>
      <c r="L760" s="307"/>
      <c r="M760" s="272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67"/>
      <c r="C761" s="234"/>
      <c r="D761" s="234"/>
      <c r="E761" s="268"/>
      <c r="F761" s="269"/>
      <c r="G761" s="258"/>
      <c r="H761" s="270"/>
      <c r="I761" s="271"/>
      <c r="J761" s="271"/>
      <c r="K761" s="234"/>
      <c r="L761" s="307"/>
      <c r="M761" s="272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67"/>
      <c r="C762" s="234"/>
      <c r="D762" s="234"/>
      <c r="E762" s="268"/>
      <c r="F762" s="269"/>
      <c r="G762" s="258"/>
      <c r="H762" s="270"/>
      <c r="I762" s="271"/>
      <c r="J762" s="271"/>
      <c r="K762" s="234"/>
      <c r="L762" s="307"/>
      <c r="M762" s="272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67"/>
      <c r="C763" s="234"/>
      <c r="D763" s="234"/>
      <c r="E763" s="268"/>
      <c r="F763" s="269"/>
      <c r="G763" s="258"/>
      <c r="H763" s="270"/>
      <c r="I763" s="271"/>
      <c r="J763" s="271"/>
      <c r="K763" s="234"/>
      <c r="L763" s="307"/>
      <c r="M763" s="272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67"/>
      <c r="C764" s="234"/>
      <c r="D764" s="234"/>
      <c r="E764" s="268"/>
      <c r="F764" s="269"/>
      <c r="G764" s="258"/>
      <c r="H764" s="270"/>
      <c r="I764" s="271"/>
      <c r="J764" s="271"/>
      <c r="K764" s="234"/>
      <c r="L764" s="307"/>
      <c r="M764" s="272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67"/>
      <c r="C765" s="234"/>
      <c r="D765" s="234"/>
      <c r="E765" s="268"/>
      <c r="F765" s="269"/>
      <c r="G765" s="258"/>
      <c r="H765" s="270"/>
      <c r="I765" s="271"/>
      <c r="J765" s="271"/>
      <c r="K765" s="234"/>
      <c r="L765" s="307"/>
      <c r="M765" s="272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67"/>
      <c r="C766" s="234"/>
      <c r="D766" s="234"/>
      <c r="E766" s="268"/>
      <c r="F766" s="269"/>
      <c r="G766" s="258"/>
      <c r="H766" s="270"/>
      <c r="I766" s="271"/>
      <c r="J766" s="271"/>
      <c r="K766" s="234"/>
      <c r="L766" s="307"/>
      <c r="M766" s="272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67"/>
      <c r="C767" s="234"/>
      <c r="D767" s="234"/>
      <c r="E767" s="268"/>
      <c r="F767" s="269"/>
      <c r="G767" s="258"/>
      <c r="H767" s="270"/>
      <c r="I767" s="271"/>
      <c r="J767" s="271"/>
      <c r="K767" s="234"/>
      <c r="L767" s="307"/>
      <c r="M767" s="272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67"/>
      <c r="C768" s="234"/>
      <c r="D768" s="234"/>
      <c r="E768" s="268"/>
      <c r="F768" s="269"/>
      <c r="G768" s="258"/>
      <c r="H768" s="270"/>
      <c r="I768" s="271"/>
      <c r="J768" s="271"/>
      <c r="K768" s="234"/>
      <c r="L768" s="307"/>
      <c r="M768" s="272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67"/>
      <c r="C769" s="234"/>
      <c r="D769" s="234"/>
      <c r="E769" s="268"/>
      <c r="F769" s="269"/>
      <c r="G769" s="258"/>
      <c r="H769" s="270"/>
      <c r="I769" s="271"/>
      <c r="J769" s="271"/>
      <c r="K769" s="234"/>
      <c r="L769" s="307"/>
      <c r="M769" s="272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67"/>
      <c r="C770" s="234"/>
      <c r="D770" s="234"/>
      <c r="E770" s="268"/>
      <c r="F770" s="269"/>
      <c r="G770" s="258"/>
      <c r="H770" s="270"/>
      <c r="I770" s="271"/>
      <c r="J770" s="271"/>
      <c r="K770" s="234"/>
      <c r="L770" s="307"/>
      <c r="M770" s="272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67"/>
      <c r="C771" s="234"/>
      <c r="D771" s="234"/>
      <c r="E771" s="268"/>
      <c r="F771" s="269"/>
      <c r="G771" s="258"/>
      <c r="H771" s="270"/>
      <c r="I771" s="271"/>
      <c r="J771" s="271"/>
      <c r="K771" s="234"/>
      <c r="L771" s="307"/>
      <c r="M771" s="272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67"/>
      <c r="C772" s="234"/>
      <c r="D772" s="234"/>
      <c r="E772" s="268"/>
      <c r="F772" s="269"/>
      <c r="G772" s="258"/>
      <c r="H772" s="270"/>
      <c r="I772" s="271"/>
      <c r="J772" s="271"/>
      <c r="K772" s="234"/>
      <c r="L772" s="307"/>
      <c r="M772" s="272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67"/>
      <c r="C773" s="234"/>
      <c r="D773" s="234"/>
      <c r="E773" s="268"/>
      <c r="F773" s="269"/>
      <c r="G773" s="258"/>
      <c r="H773" s="270"/>
      <c r="I773" s="271"/>
      <c r="J773" s="271"/>
      <c r="K773" s="234"/>
      <c r="L773" s="307"/>
      <c r="M773" s="272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67"/>
      <c r="C774" s="234"/>
      <c r="D774" s="234"/>
      <c r="E774" s="268"/>
      <c r="F774" s="269"/>
      <c r="G774" s="258"/>
      <c r="H774" s="270"/>
      <c r="I774" s="271"/>
      <c r="J774" s="271"/>
      <c r="K774" s="234"/>
      <c r="L774" s="307"/>
      <c r="M774" s="272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67"/>
      <c r="C775" s="234"/>
      <c r="D775" s="234"/>
      <c r="E775" s="268"/>
      <c r="F775" s="269"/>
      <c r="G775" s="258"/>
      <c r="H775" s="270"/>
      <c r="I775" s="271"/>
      <c r="J775" s="271"/>
      <c r="K775" s="234"/>
      <c r="L775" s="307"/>
      <c r="M775" s="272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67"/>
      <c r="C776" s="234"/>
      <c r="D776" s="234"/>
      <c r="E776" s="268"/>
      <c r="F776" s="269"/>
      <c r="G776" s="258"/>
      <c r="H776" s="270"/>
      <c r="I776" s="271"/>
      <c r="J776" s="271"/>
      <c r="K776" s="234"/>
      <c r="L776" s="307"/>
      <c r="M776" s="272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67"/>
      <c r="C777" s="234"/>
      <c r="D777" s="234"/>
      <c r="E777" s="268"/>
      <c r="F777" s="269"/>
      <c r="G777" s="258"/>
      <c r="H777" s="270"/>
      <c r="I777" s="271"/>
      <c r="J777" s="271"/>
      <c r="K777" s="234"/>
      <c r="L777" s="307"/>
      <c r="M777" s="272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67"/>
      <c r="C778" s="234"/>
      <c r="D778" s="234"/>
      <c r="E778" s="268"/>
      <c r="F778" s="269"/>
      <c r="G778" s="258"/>
      <c r="H778" s="270"/>
      <c r="I778" s="271"/>
      <c r="J778" s="271"/>
      <c r="K778" s="234"/>
      <c r="L778" s="307"/>
      <c r="M778" s="272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67"/>
      <c r="C779" s="234"/>
      <c r="D779" s="234"/>
      <c r="E779" s="268"/>
      <c r="F779" s="269"/>
      <c r="G779" s="258"/>
      <c r="H779" s="270"/>
      <c r="I779" s="271"/>
      <c r="J779" s="271"/>
      <c r="K779" s="234"/>
      <c r="L779" s="307"/>
      <c r="M779" s="272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67"/>
      <c r="C780" s="234"/>
      <c r="D780" s="234"/>
      <c r="E780" s="268"/>
      <c r="F780" s="269"/>
      <c r="G780" s="258"/>
      <c r="H780" s="270"/>
      <c r="I780" s="271"/>
      <c r="J780" s="271"/>
      <c r="K780" s="234"/>
      <c r="L780" s="307"/>
      <c r="M780" s="272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67"/>
      <c r="C781" s="234"/>
      <c r="D781" s="234"/>
      <c r="E781" s="268"/>
      <c r="F781" s="269"/>
      <c r="G781" s="258"/>
      <c r="H781" s="270"/>
      <c r="I781" s="271"/>
      <c r="J781" s="271"/>
      <c r="K781" s="234"/>
      <c r="L781" s="307"/>
      <c r="M781" s="272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67"/>
      <c r="C782" s="234"/>
      <c r="D782" s="234"/>
      <c r="E782" s="268"/>
      <c r="F782" s="269"/>
      <c r="G782" s="258"/>
      <c r="H782" s="270"/>
      <c r="I782" s="271"/>
      <c r="J782" s="271"/>
      <c r="K782" s="234"/>
      <c r="L782" s="307"/>
      <c r="M782" s="272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67"/>
      <c r="C783" s="234"/>
      <c r="D783" s="234"/>
      <c r="E783" s="268"/>
      <c r="F783" s="269"/>
      <c r="G783" s="258"/>
      <c r="H783" s="270"/>
      <c r="I783" s="271"/>
      <c r="J783" s="271"/>
      <c r="K783" s="234"/>
      <c r="L783" s="307"/>
      <c r="M783" s="272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67"/>
      <c r="C784" s="234"/>
      <c r="D784" s="234"/>
      <c r="E784" s="268"/>
      <c r="F784" s="269"/>
      <c r="G784" s="258"/>
      <c r="H784" s="270"/>
      <c r="I784" s="271"/>
      <c r="J784" s="271"/>
      <c r="K784" s="234"/>
      <c r="L784" s="307"/>
      <c r="M784" s="272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67"/>
      <c r="C785" s="234"/>
      <c r="D785" s="234"/>
      <c r="E785" s="268"/>
      <c r="F785" s="269"/>
      <c r="G785" s="258"/>
      <c r="H785" s="270"/>
      <c r="I785" s="271"/>
      <c r="J785" s="271"/>
      <c r="K785" s="234"/>
      <c r="L785" s="307"/>
      <c r="M785" s="272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67"/>
      <c r="C786" s="234"/>
      <c r="D786" s="234"/>
      <c r="E786" s="268"/>
      <c r="F786" s="269"/>
      <c r="G786" s="258"/>
      <c r="H786" s="270"/>
      <c r="I786" s="271"/>
      <c r="J786" s="271"/>
      <c r="K786" s="234"/>
      <c r="L786" s="307"/>
      <c r="M786" s="272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67"/>
      <c r="C787" s="234"/>
      <c r="D787" s="234"/>
      <c r="E787" s="268"/>
      <c r="F787" s="269"/>
      <c r="G787" s="258"/>
      <c r="H787" s="270"/>
      <c r="I787" s="271"/>
      <c r="J787" s="271"/>
      <c r="K787" s="234"/>
      <c r="L787" s="307"/>
      <c r="M787" s="272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67"/>
      <c r="C788" s="234"/>
      <c r="D788" s="234"/>
      <c r="E788" s="268"/>
      <c r="F788" s="269"/>
      <c r="G788" s="258"/>
      <c r="H788" s="270"/>
      <c r="I788" s="271"/>
      <c r="J788" s="271"/>
      <c r="K788" s="234"/>
      <c r="L788" s="307"/>
      <c r="M788" s="272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67"/>
      <c r="C789" s="234"/>
      <c r="D789" s="234"/>
      <c r="E789" s="268"/>
      <c r="F789" s="269"/>
      <c r="G789" s="258"/>
      <c r="H789" s="270"/>
      <c r="I789" s="271"/>
      <c r="J789" s="271"/>
      <c r="K789" s="234"/>
      <c r="L789" s="307"/>
      <c r="M789" s="272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67"/>
      <c r="C790" s="234"/>
      <c r="D790" s="234"/>
      <c r="E790" s="268"/>
      <c r="F790" s="269"/>
      <c r="G790" s="258"/>
      <c r="H790" s="270"/>
      <c r="I790" s="271"/>
      <c r="J790" s="271"/>
      <c r="K790" s="234"/>
      <c r="L790" s="307"/>
      <c r="M790" s="272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67"/>
      <c r="C791" s="234"/>
      <c r="D791" s="234"/>
      <c r="E791" s="268"/>
      <c r="F791" s="269"/>
      <c r="G791" s="258"/>
      <c r="H791" s="270"/>
      <c r="I791" s="271"/>
      <c r="J791" s="271"/>
      <c r="K791" s="234"/>
      <c r="L791" s="307"/>
      <c r="M791" s="272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67"/>
      <c r="C792" s="234"/>
      <c r="D792" s="234"/>
      <c r="E792" s="268"/>
      <c r="F792" s="269"/>
      <c r="G792" s="258"/>
      <c r="H792" s="270"/>
      <c r="I792" s="271"/>
      <c r="J792" s="271"/>
      <c r="K792" s="234"/>
      <c r="L792" s="307"/>
      <c r="M792" s="272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67"/>
      <c r="C793" s="234"/>
      <c r="D793" s="234"/>
      <c r="E793" s="268"/>
      <c r="F793" s="269"/>
      <c r="G793" s="258"/>
      <c r="H793" s="270"/>
      <c r="I793" s="271"/>
      <c r="J793" s="271"/>
      <c r="K793" s="234"/>
      <c r="L793" s="307"/>
      <c r="M793" s="272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67"/>
      <c r="C794" s="234"/>
      <c r="D794" s="234"/>
      <c r="E794" s="268"/>
      <c r="F794" s="269"/>
      <c r="G794" s="258"/>
      <c r="H794" s="270"/>
      <c r="I794" s="271"/>
      <c r="J794" s="271"/>
      <c r="K794" s="234"/>
      <c r="L794" s="307"/>
      <c r="M794" s="272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67"/>
      <c r="C795" s="234"/>
      <c r="D795" s="234"/>
      <c r="E795" s="268"/>
      <c r="F795" s="269"/>
      <c r="G795" s="258"/>
      <c r="H795" s="270"/>
      <c r="I795" s="271"/>
      <c r="J795" s="271"/>
      <c r="K795" s="234"/>
      <c r="L795" s="307"/>
      <c r="M795" s="272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67"/>
      <c r="C796" s="234"/>
      <c r="D796" s="234"/>
      <c r="E796" s="268"/>
      <c r="F796" s="269"/>
      <c r="G796" s="258"/>
      <c r="H796" s="270"/>
      <c r="I796" s="271"/>
      <c r="J796" s="271"/>
      <c r="K796" s="234"/>
      <c r="L796" s="307"/>
      <c r="M796" s="272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67"/>
      <c r="C797" s="234"/>
      <c r="D797" s="234"/>
      <c r="E797" s="268"/>
      <c r="F797" s="269"/>
      <c r="G797" s="258"/>
      <c r="H797" s="270"/>
      <c r="I797" s="271"/>
      <c r="J797" s="271"/>
      <c r="K797" s="234"/>
      <c r="L797" s="307"/>
      <c r="M797" s="272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67"/>
      <c r="C798" s="234"/>
      <c r="D798" s="234"/>
      <c r="E798" s="268"/>
      <c r="F798" s="269"/>
      <c r="G798" s="258"/>
      <c r="H798" s="270"/>
      <c r="I798" s="271"/>
      <c r="J798" s="271"/>
      <c r="K798" s="234"/>
      <c r="L798" s="307"/>
      <c r="M798" s="272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67"/>
      <c r="C799" s="234"/>
      <c r="D799" s="234"/>
      <c r="E799" s="268"/>
      <c r="F799" s="269"/>
      <c r="G799" s="258"/>
      <c r="H799" s="270"/>
      <c r="I799" s="271"/>
      <c r="J799" s="271"/>
      <c r="K799" s="234"/>
      <c r="L799" s="307"/>
      <c r="M799" s="272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67"/>
      <c r="C800" s="234"/>
      <c r="D800" s="234"/>
      <c r="E800" s="268"/>
      <c r="F800" s="269"/>
      <c r="G800" s="258"/>
      <c r="H800" s="270"/>
      <c r="I800" s="271"/>
      <c r="J800" s="271"/>
      <c r="K800" s="234"/>
      <c r="L800" s="307"/>
      <c r="M800" s="272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67"/>
      <c r="C801" s="234"/>
      <c r="D801" s="234"/>
      <c r="E801" s="268"/>
      <c r="F801" s="269"/>
      <c r="G801" s="258"/>
      <c r="H801" s="270"/>
      <c r="I801" s="271"/>
      <c r="J801" s="271"/>
      <c r="K801" s="234"/>
      <c r="L801" s="307"/>
      <c r="M801" s="272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67"/>
      <c r="C802" s="234"/>
      <c r="D802" s="234"/>
      <c r="E802" s="268"/>
      <c r="F802" s="269"/>
      <c r="G802" s="258"/>
      <c r="H802" s="270"/>
      <c r="I802" s="271"/>
      <c r="J802" s="271"/>
      <c r="K802" s="234"/>
      <c r="L802" s="307"/>
      <c r="M802" s="272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67"/>
      <c r="C803" s="234"/>
      <c r="D803" s="234"/>
      <c r="E803" s="268"/>
      <c r="F803" s="269"/>
      <c r="G803" s="258"/>
      <c r="H803" s="270"/>
      <c r="I803" s="271"/>
      <c r="J803" s="271"/>
      <c r="K803" s="234"/>
      <c r="L803" s="307"/>
      <c r="M803" s="272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67"/>
      <c r="C804" s="234"/>
      <c r="D804" s="234"/>
      <c r="E804" s="268"/>
      <c r="F804" s="269"/>
      <c r="G804" s="258"/>
      <c r="H804" s="270"/>
      <c r="I804" s="271"/>
      <c r="J804" s="271"/>
      <c r="K804" s="234"/>
      <c r="L804" s="307"/>
      <c r="M804" s="272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67"/>
      <c r="C805" s="234"/>
      <c r="D805" s="234"/>
      <c r="E805" s="268"/>
      <c r="F805" s="269"/>
      <c r="G805" s="258"/>
      <c r="H805" s="270"/>
      <c r="I805" s="271"/>
      <c r="J805" s="271"/>
      <c r="K805" s="234"/>
      <c r="L805" s="307"/>
      <c r="M805" s="272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67"/>
      <c r="C806" s="234"/>
      <c r="D806" s="234"/>
      <c r="E806" s="268"/>
      <c r="F806" s="269"/>
      <c r="G806" s="258"/>
      <c r="H806" s="270"/>
      <c r="I806" s="271"/>
      <c r="J806" s="271"/>
      <c r="K806" s="234"/>
      <c r="L806" s="307"/>
      <c r="M806" s="272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67"/>
      <c r="C807" s="234"/>
      <c r="D807" s="234"/>
      <c r="E807" s="268"/>
      <c r="F807" s="269"/>
      <c r="G807" s="258"/>
      <c r="H807" s="270"/>
      <c r="I807" s="271"/>
      <c r="J807" s="271"/>
      <c r="K807" s="234"/>
      <c r="L807" s="307"/>
      <c r="M807" s="272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67"/>
      <c r="C808" s="234"/>
      <c r="D808" s="234"/>
      <c r="E808" s="268"/>
      <c r="F808" s="269"/>
      <c r="G808" s="258"/>
      <c r="H808" s="270"/>
      <c r="I808" s="271"/>
      <c r="J808" s="271"/>
      <c r="K808" s="234"/>
      <c r="L808" s="307"/>
      <c r="M808" s="272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67"/>
      <c r="C809" s="234"/>
      <c r="D809" s="234"/>
      <c r="E809" s="268"/>
      <c r="F809" s="269"/>
      <c r="G809" s="258"/>
      <c r="H809" s="270"/>
      <c r="I809" s="271"/>
      <c r="J809" s="271"/>
      <c r="K809" s="234"/>
      <c r="L809" s="307"/>
      <c r="M809" s="272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67"/>
      <c r="C810" s="234"/>
      <c r="D810" s="234"/>
      <c r="E810" s="268"/>
      <c r="F810" s="269"/>
      <c r="G810" s="258"/>
      <c r="H810" s="270"/>
      <c r="I810" s="271"/>
      <c r="J810" s="271"/>
      <c r="K810" s="234"/>
      <c r="L810" s="307"/>
      <c r="M810" s="272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67"/>
      <c r="C811" s="234"/>
      <c r="D811" s="234"/>
      <c r="E811" s="268"/>
      <c r="F811" s="269"/>
      <c r="G811" s="258"/>
      <c r="H811" s="270"/>
      <c r="I811" s="271"/>
      <c r="J811" s="271"/>
      <c r="K811" s="234"/>
      <c r="L811" s="307"/>
      <c r="M811" s="272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67"/>
      <c r="C812" s="234"/>
      <c r="D812" s="234"/>
      <c r="E812" s="268"/>
      <c r="F812" s="269"/>
      <c r="G812" s="258"/>
      <c r="H812" s="270"/>
      <c r="I812" s="271"/>
      <c r="J812" s="271"/>
      <c r="K812" s="234"/>
      <c r="L812" s="307"/>
      <c r="M812" s="272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67"/>
      <c r="C813" s="234"/>
      <c r="D813" s="234"/>
      <c r="E813" s="268"/>
      <c r="F813" s="269"/>
      <c r="G813" s="258"/>
      <c r="H813" s="270"/>
      <c r="I813" s="271"/>
      <c r="J813" s="271"/>
      <c r="K813" s="234"/>
      <c r="L813" s="307"/>
      <c r="M813" s="272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67"/>
      <c r="C814" s="234"/>
      <c r="D814" s="234"/>
      <c r="E814" s="268"/>
      <c r="F814" s="269"/>
      <c r="G814" s="258"/>
      <c r="H814" s="270"/>
      <c r="I814" s="271"/>
      <c r="J814" s="271"/>
      <c r="K814" s="234"/>
      <c r="L814" s="307"/>
      <c r="M814" s="272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67"/>
      <c r="C815" s="234"/>
      <c r="D815" s="234"/>
      <c r="E815" s="268"/>
      <c r="F815" s="269"/>
      <c r="G815" s="258"/>
      <c r="H815" s="270"/>
      <c r="I815" s="271"/>
      <c r="J815" s="271"/>
      <c r="K815" s="234"/>
      <c r="L815" s="307"/>
      <c r="M815" s="272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67"/>
      <c r="C816" s="234"/>
      <c r="D816" s="234"/>
      <c r="E816" s="268"/>
      <c r="F816" s="269"/>
      <c r="G816" s="258"/>
      <c r="H816" s="270"/>
      <c r="I816" s="271"/>
      <c r="J816" s="271"/>
      <c r="K816" s="234"/>
      <c r="L816" s="307"/>
      <c r="M816" s="272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67"/>
      <c r="C817" s="234"/>
      <c r="D817" s="234"/>
      <c r="E817" s="268"/>
      <c r="F817" s="269"/>
      <c r="G817" s="258"/>
      <c r="H817" s="270"/>
      <c r="I817" s="271"/>
      <c r="J817" s="271"/>
      <c r="K817" s="234"/>
      <c r="L817" s="307"/>
      <c r="M817" s="272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67"/>
      <c r="C818" s="234"/>
      <c r="D818" s="234"/>
      <c r="E818" s="268"/>
      <c r="F818" s="269"/>
      <c r="G818" s="258"/>
      <c r="H818" s="270"/>
      <c r="I818" s="271"/>
      <c r="J818" s="271"/>
      <c r="K818" s="234"/>
      <c r="L818" s="307"/>
      <c r="M818" s="272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67"/>
      <c r="C819" s="234"/>
      <c r="D819" s="234"/>
      <c r="E819" s="268"/>
      <c r="F819" s="269"/>
      <c r="G819" s="258"/>
      <c r="H819" s="270"/>
      <c r="I819" s="271"/>
      <c r="J819" s="271"/>
      <c r="K819" s="234"/>
      <c r="L819" s="307"/>
      <c r="M819" s="272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67"/>
      <c r="C820" s="234"/>
      <c r="D820" s="234"/>
      <c r="E820" s="268"/>
      <c r="F820" s="269"/>
      <c r="G820" s="258"/>
      <c r="H820" s="270"/>
      <c r="I820" s="271"/>
      <c r="J820" s="271"/>
      <c r="K820" s="234"/>
      <c r="L820" s="307"/>
      <c r="M820" s="272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67"/>
      <c r="C821" s="234"/>
      <c r="D821" s="234"/>
      <c r="E821" s="268"/>
      <c r="F821" s="269"/>
      <c r="G821" s="258"/>
      <c r="H821" s="270"/>
      <c r="I821" s="271"/>
      <c r="J821" s="271"/>
      <c r="K821" s="234"/>
      <c r="L821" s="307"/>
      <c r="M821" s="272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67"/>
      <c r="C822" s="234"/>
      <c r="D822" s="234"/>
      <c r="E822" s="268"/>
      <c r="F822" s="269"/>
      <c r="G822" s="258"/>
      <c r="H822" s="270"/>
      <c r="I822" s="271"/>
      <c r="J822" s="271"/>
      <c r="K822" s="234"/>
      <c r="L822" s="307"/>
      <c r="M822" s="272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67"/>
      <c r="C823" s="234"/>
      <c r="D823" s="234"/>
      <c r="E823" s="268"/>
      <c r="F823" s="269"/>
      <c r="G823" s="258"/>
      <c r="H823" s="270"/>
      <c r="I823" s="271"/>
      <c r="J823" s="271"/>
      <c r="K823" s="234"/>
      <c r="L823" s="307"/>
      <c r="M823" s="272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67"/>
      <c r="C824" s="234"/>
      <c r="D824" s="234"/>
      <c r="E824" s="268"/>
      <c r="F824" s="269"/>
      <c r="G824" s="258"/>
      <c r="H824" s="270"/>
      <c r="I824" s="271"/>
      <c r="J824" s="271"/>
      <c r="K824" s="234"/>
      <c r="L824" s="307"/>
      <c r="M824" s="272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67"/>
      <c r="C825" s="234"/>
      <c r="D825" s="234"/>
      <c r="E825" s="268"/>
      <c r="F825" s="269"/>
      <c r="G825" s="258"/>
      <c r="H825" s="270"/>
      <c r="I825" s="271"/>
      <c r="J825" s="271"/>
      <c r="K825" s="234"/>
      <c r="L825" s="307"/>
      <c r="M825" s="272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67"/>
      <c r="C826" s="234"/>
      <c r="D826" s="234"/>
      <c r="E826" s="268"/>
      <c r="F826" s="269"/>
      <c r="G826" s="258"/>
      <c r="H826" s="270"/>
      <c r="I826" s="271"/>
      <c r="J826" s="271"/>
      <c r="K826" s="234"/>
      <c r="L826" s="307"/>
      <c r="M826" s="272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67"/>
      <c r="C827" s="234"/>
      <c r="D827" s="234"/>
      <c r="E827" s="268"/>
      <c r="F827" s="269"/>
      <c r="G827" s="258"/>
      <c r="H827" s="270"/>
      <c r="I827" s="271"/>
      <c r="J827" s="271"/>
      <c r="K827" s="234"/>
      <c r="L827" s="307"/>
      <c r="M827" s="272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67"/>
      <c r="C828" s="234"/>
      <c r="D828" s="234"/>
      <c r="E828" s="268"/>
      <c r="F828" s="269"/>
      <c r="G828" s="258"/>
      <c r="H828" s="270"/>
      <c r="I828" s="271"/>
      <c r="J828" s="271"/>
      <c r="K828" s="234"/>
      <c r="L828" s="307"/>
      <c r="M828" s="272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67"/>
      <c r="C829" s="234"/>
      <c r="D829" s="234"/>
      <c r="E829" s="268"/>
      <c r="F829" s="269"/>
      <c r="G829" s="258"/>
      <c r="H829" s="270"/>
      <c r="I829" s="271"/>
      <c r="J829" s="271"/>
      <c r="K829" s="234"/>
      <c r="L829" s="307"/>
      <c r="M829" s="272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67"/>
      <c r="C830" s="234"/>
      <c r="D830" s="234"/>
      <c r="E830" s="268"/>
      <c r="F830" s="269"/>
      <c r="G830" s="258"/>
      <c r="H830" s="270"/>
      <c r="I830" s="271"/>
      <c r="J830" s="271"/>
      <c r="K830" s="234"/>
      <c r="L830" s="307"/>
      <c r="M830" s="272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67"/>
      <c r="C831" s="234"/>
      <c r="D831" s="234"/>
      <c r="E831" s="268"/>
      <c r="F831" s="269"/>
      <c r="G831" s="258"/>
      <c r="H831" s="270"/>
      <c r="I831" s="271"/>
      <c r="J831" s="271"/>
      <c r="K831" s="234"/>
      <c r="L831" s="307"/>
      <c r="M831" s="272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67"/>
      <c r="C832" s="234"/>
      <c r="D832" s="234"/>
      <c r="E832" s="268"/>
      <c r="F832" s="269"/>
      <c r="G832" s="258"/>
      <c r="H832" s="270"/>
      <c r="I832" s="271"/>
      <c r="J832" s="271"/>
      <c r="K832" s="234"/>
      <c r="L832" s="307"/>
      <c r="M832" s="272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67"/>
      <c r="C833" s="234"/>
      <c r="D833" s="234"/>
      <c r="E833" s="268"/>
      <c r="F833" s="269"/>
      <c r="G833" s="258"/>
      <c r="H833" s="270"/>
      <c r="I833" s="271"/>
      <c r="J833" s="271"/>
      <c r="K833" s="234"/>
      <c r="L833" s="307"/>
      <c r="M833" s="272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67"/>
      <c r="C834" s="234"/>
      <c r="D834" s="234"/>
      <c r="E834" s="268"/>
      <c r="F834" s="269"/>
      <c r="G834" s="258"/>
      <c r="H834" s="270"/>
      <c r="I834" s="271"/>
      <c r="J834" s="271"/>
      <c r="K834" s="234"/>
      <c r="L834" s="307"/>
      <c r="M834" s="272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67"/>
      <c r="C835" s="234"/>
      <c r="D835" s="234"/>
      <c r="E835" s="268"/>
      <c r="F835" s="269"/>
      <c r="G835" s="258"/>
      <c r="H835" s="270"/>
      <c r="I835" s="271"/>
      <c r="J835" s="271"/>
      <c r="K835" s="234"/>
      <c r="L835" s="307"/>
      <c r="M835" s="272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67"/>
      <c r="C836" s="234"/>
      <c r="D836" s="234"/>
      <c r="E836" s="268"/>
      <c r="F836" s="269"/>
      <c r="G836" s="258"/>
      <c r="H836" s="270"/>
      <c r="I836" s="271"/>
      <c r="J836" s="271"/>
      <c r="K836" s="234"/>
      <c r="L836" s="307"/>
      <c r="M836" s="272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67"/>
      <c r="C837" s="234"/>
      <c r="D837" s="234"/>
      <c r="E837" s="268"/>
      <c r="F837" s="269"/>
      <c r="G837" s="258"/>
      <c r="H837" s="270"/>
      <c r="I837" s="271"/>
      <c r="J837" s="271"/>
      <c r="K837" s="234"/>
      <c r="L837" s="307"/>
      <c r="M837" s="272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67"/>
      <c r="C838" s="234"/>
      <c r="D838" s="234"/>
      <c r="E838" s="268"/>
      <c r="F838" s="269"/>
      <c r="G838" s="258"/>
      <c r="H838" s="270"/>
      <c r="I838" s="271"/>
      <c r="J838" s="271"/>
      <c r="K838" s="234"/>
      <c r="L838" s="307"/>
      <c r="M838" s="272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67"/>
      <c r="C839" s="234"/>
      <c r="D839" s="234"/>
      <c r="E839" s="268"/>
      <c r="F839" s="269"/>
      <c r="G839" s="258"/>
      <c r="H839" s="270"/>
      <c r="I839" s="271"/>
      <c r="J839" s="271"/>
      <c r="K839" s="234"/>
      <c r="L839" s="307"/>
      <c r="M839" s="272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67"/>
      <c r="C840" s="234"/>
      <c r="D840" s="234"/>
      <c r="E840" s="268"/>
      <c r="F840" s="269"/>
      <c r="G840" s="258"/>
      <c r="H840" s="270"/>
      <c r="I840" s="271"/>
      <c r="J840" s="271"/>
      <c r="K840" s="234"/>
      <c r="L840" s="307"/>
      <c r="M840" s="272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67"/>
      <c r="C841" s="234"/>
      <c r="D841" s="234"/>
      <c r="E841" s="268"/>
      <c r="F841" s="269"/>
      <c r="G841" s="258"/>
      <c r="H841" s="270"/>
      <c r="I841" s="271"/>
      <c r="J841" s="271"/>
      <c r="K841" s="234"/>
      <c r="L841" s="307"/>
      <c r="M841" s="272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67"/>
      <c r="C842" s="234"/>
      <c r="D842" s="234"/>
      <c r="E842" s="268"/>
      <c r="F842" s="269"/>
      <c r="G842" s="258"/>
      <c r="H842" s="270"/>
      <c r="I842" s="271"/>
      <c r="J842" s="271"/>
      <c r="K842" s="234"/>
      <c r="L842" s="307"/>
      <c r="M842" s="272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67"/>
      <c r="C843" s="234"/>
      <c r="D843" s="234"/>
      <c r="E843" s="268"/>
      <c r="F843" s="269"/>
      <c r="G843" s="258"/>
      <c r="H843" s="270"/>
      <c r="I843" s="271"/>
      <c r="J843" s="271"/>
      <c r="K843" s="234"/>
      <c r="L843" s="307"/>
      <c r="M843" s="272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67"/>
      <c r="C844" s="234"/>
      <c r="D844" s="234"/>
      <c r="E844" s="268"/>
      <c r="F844" s="269"/>
      <c r="G844" s="258"/>
      <c r="H844" s="270"/>
      <c r="I844" s="271"/>
      <c r="J844" s="271"/>
      <c r="K844" s="234"/>
      <c r="L844" s="307"/>
      <c r="M844" s="272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67"/>
      <c r="C845" s="234"/>
      <c r="D845" s="234"/>
      <c r="E845" s="268"/>
      <c r="F845" s="269"/>
      <c r="G845" s="258"/>
      <c r="H845" s="270"/>
      <c r="I845" s="271"/>
      <c r="J845" s="271"/>
      <c r="K845" s="234"/>
      <c r="L845" s="307"/>
      <c r="M845" s="272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67"/>
      <c r="C846" s="234"/>
      <c r="D846" s="234"/>
      <c r="E846" s="268"/>
      <c r="F846" s="269"/>
      <c r="G846" s="258"/>
      <c r="H846" s="270"/>
      <c r="I846" s="271"/>
      <c r="J846" s="271"/>
      <c r="K846" s="234"/>
      <c r="L846" s="307"/>
      <c r="M846" s="272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67"/>
      <c r="C847" s="234"/>
      <c r="D847" s="234"/>
      <c r="E847" s="268"/>
      <c r="F847" s="269"/>
      <c r="G847" s="258"/>
      <c r="H847" s="270"/>
      <c r="I847" s="271"/>
      <c r="J847" s="271"/>
      <c r="K847" s="234"/>
      <c r="L847" s="307"/>
      <c r="M847" s="272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67"/>
      <c r="C848" s="234"/>
      <c r="D848" s="234"/>
      <c r="E848" s="268"/>
      <c r="F848" s="269"/>
      <c r="G848" s="258"/>
      <c r="H848" s="270"/>
      <c r="I848" s="271"/>
      <c r="J848" s="271"/>
      <c r="K848" s="234"/>
      <c r="L848" s="307"/>
      <c r="M848" s="272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67"/>
      <c r="C849" s="234"/>
      <c r="D849" s="234"/>
      <c r="E849" s="268"/>
      <c r="F849" s="269"/>
      <c r="G849" s="258"/>
      <c r="H849" s="270"/>
      <c r="I849" s="271"/>
      <c r="J849" s="271"/>
      <c r="K849" s="234"/>
      <c r="L849" s="307"/>
      <c r="M849" s="272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67"/>
      <c r="C850" s="234"/>
      <c r="D850" s="234"/>
      <c r="E850" s="268"/>
      <c r="F850" s="269"/>
      <c r="G850" s="258"/>
      <c r="H850" s="270"/>
      <c r="I850" s="271"/>
      <c r="J850" s="271"/>
      <c r="K850" s="234"/>
      <c r="L850" s="307"/>
      <c r="M850" s="272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67"/>
      <c r="C851" s="234"/>
      <c r="D851" s="234"/>
      <c r="E851" s="268"/>
      <c r="F851" s="269"/>
      <c r="G851" s="258"/>
      <c r="H851" s="270"/>
      <c r="I851" s="271"/>
      <c r="J851" s="271"/>
      <c r="K851" s="234"/>
      <c r="L851" s="307"/>
      <c r="M851" s="272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67"/>
      <c r="C852" s="234"/>
      <c r="D852" s="234"/>
      <c r="E852" s="268"/>
      <c r="F852" s="269"/>
      <c r="G852" s="258"/>
      <c r="H852" s="270"/>
      <c r="I852" s="271"/>
      <c r="J852" s="271"/>
      <c r="K852" s="234"/>
      <c r="L852" s="307"/>
      <c r="M852" s="272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67"/>
      <c r="C853" s="234"/>
      <c r="D853" s="234"/>
      <c r="E853" s="268"/>
      <c r="F853" s="269"/>
      <c r="G853" s="258"/>
      <c r="H853" s="270"/>
      <c r="I853" s="271"/>
      <c r="J853" s="271"/>
      <c r="K853" s="234"/>
      <c r="L853" s="307"/>
      <c r="M853" s="272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67"/>
      <c r="C854" s="234"/>
      <c r="D854" s="234"/>
      <c r="E854" s="268"/>
      <c r="F854" s="269"/>
      <c r="G854" s="258"/>
      <c r="H854" s="270"/>
      <c r="I854" s="271"/>
      <c r="J854" s="271"/>
      <c r="K854" s="234"/>
      <c r="L854" s="307"/>
      <c r="M854" s="272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67"/>
      <c r="C855" s="234"/>
      <c r="D855" s="234"/>
      <c r="E855" s="268"/>
      <c r="F855" s="269"/>
      <c r="G855" s="258"/>
      <c r="H855" s="270"/>
      <c r="I855" s="271"/>
      <c r="J855" s="271"/>
      <c r="K855" s="234"/>
      <c r="L855" s="307"/>
      <c r="M855" s="272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67"/>
      <c r="C856" s="234"/>
      <c r="D856" s="234"/>
      <c r="E856" s="268"/>
      <c r="F856" s="269"/>
      <c r="G856" s="258"/>
      <c r="H856" s="270"/>
      <c r="I856" s="271"/>
      <c r="J856" s="271"/>
      <c r="K856" s="234"/>
      <c r="L856" s="307"/>
      <c r="M856" s="272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67"/>
      <c r="C857" s="234"/>
      <c r="D857" s="234"/>
      <c r="E857" s="268"/>
      <c r="F857" s="269"/>
      <c r="G857" s="258"/>
      <c r="H857" s="270"/>
      <c r="I857" s="271"/>
      <c r="J857" s="271"/>
      <c r="K857" s="234"/>
      <c r="L857" s="307"/>
      <c r="M857" s="272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67"/>
      <c r="C858" s="234"/>
      <c r="D858" s="234"/>
      <c r="E858" s="268"/>
      <c r="F858" s="269"/>
      <c r="G858" s="258"/>
      <c r="H858" s="270"/>
      <c r="I858" s="271"/>
      <c r="J858" s="271"/>
      <c r="K858" s="234"/>
      <c r="L858" s="307"/>
      <c r="M858" s="272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67"/>
      <c r="C859" s="234"/>
      <c r="D859" s="234"/>
      <c r="E859" s="268"/>
      <c r="F859" s="269"/>
      <c r="G859" s="258"/>
      <c r="H859" s="270"/>
      <c r="I859" s="271"/>
      <c r="J859" s="271"/>
      <c r="K859" s="234"/>
      <c r="L859" s="307"/>
      <c r="M859" s="272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67"/>
      <c r="C860" s="234"/>
      <c r="D860" s="234"/>
      <c r="E860" s="268"/>
      <c r="F860" s="269"/>
      <c r="G860" s="258"/>
      <c r="H860" s="270"/>
      <c r="I860" s="271"/>
      <c r="J860" s="271"/>
      <c r="K860" s="234"/>
      <c r="L860" s="307"/>
      <c r="M860" s="272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67"/>
      <c r="C861" s="234"/>
      <c r="D861" s="234"/>
      <c r="E861" s="268"/>
      <c r="F861" s="269"/>
      <c r="G861" s="258"/>
      <c r="H861" s="270"/>
      <c r="I861" s="271"/>
      <c r="J861" s="271"/>
      <c r="K861" s="234"/>
      <c r="L861" s="307"/>
      <c r="M861" s="272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67"/>
      <c r="C862" s="234"/>
      <c r="D862" s="234"/>
      <c r="E862" s="268"/>
      <c r="F862" s="269"/>
      <c r="G862" s="258"/>
      <c r="H862" s="270"/>
      <c r="I862" s="271"/>
      <c r="J862" s="271"/>
      <c r="K862" s="234"/>
      <c r="L862" s="307"/>
      <c r="M862" s="272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67"/>
      <c r="C863" s="234"/>
      <c r="D863" s="234"/>
      <c r="E863" s="268"/>
      <c r="F863" s="269"/>
      <c r="G863" s="258"/>
      <c r="H863" s="270"/>
      <c r="I863" s="271"/>
      <c r="J863" s="271"/>
      <c r="K863" s="234"/>
      <c r="L863" s="307"/>
      <c r="M863" s="272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67"/>
      <c r="C864" s="234"/>
      <c r="D864" s="234"/>
      <c r="E864" s="268"/>
      <c r="F864" s="269"/>
      <c r="G864" s="258"/>
      <c r="H864" s="270"/>
      <c r="I864" s="271"/>
      <c r="J864" s="271"/>
      <c r="K864" s="234"/>
      <c r="L864" s="307"/>
      <c r="M864" s="272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67"/>
      <c r="C865" s="234"/>
      <c r="D865" s="234"/>
      <c r="E865" s="268"/>
      <c r="F865" s="269"/>
      <c r="G865" s="258"/>
      <c r="H865" s="270"/>
      <c r="I865" s="271"/>
      <c r="J865" s="271"/>
      <c r="K865" s="234"/>
      <c r="L865" s="307"/>
      <c r="M865" s="272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67"/>
      <c r="C866" s="234"/>
      <c r="D866" s="234"/>
      <c r="E866" s="268"/>
      <c r="F866" s="269"/>
      <c r="G866" s="258"/>
      <c r="H866" s="270"/>
      <c r="I866" s="271"/>
      <c r="J866" s="271"/>
      <c r="K866" s="234"/>
      <c r="L866" s="307"/>
      <c r="M866" s="272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67"/>
      <c r="C867" s="234"/>
      <c r="D867" s="234"/>
      <c r="E867" s="268"/>
      <c r="F867" s="269"/>
      <c r="G867" s="258"/>
      <c r="H867" s="270"/>
      <c r="I867" s="271"/>
      <c r="J867" s="271"/>
      <c r="K867" s="234"/>
      <c r="L867" s="307"/>
      <c r="M867" s="272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67"/>
      <c r="C868" s="234"/>
      <c r="D868" s="234"/>
      <c r="E868" s="268"/>
      <c r="F868" s="269"/>
      <c r="G868" s="258"/>
      <c r="H868" s="270"/>
      <c r="I868" s="271"/>
      <c r="J868" s="271"/>
      <c r="K868" s="234"/>
      <c r="L868" s="307"/>
      <c r="M868" s="272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67"/>
      <c r="C869" s="234"/>
      <c r="D869" s="234"/>
      <c r="E869" s="268"/>
      <c r="F869" s="269"/>
      <c r="G869" s="258"/>
      <c r="H869" s="270"/>
      <c r="I869" s="271"/>
      <c r="J869" s="271"/>
      <c r="K869" s="234"/>
      <c r="L869" s="307"/>
      <c r="M869" s="272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67"/>
      <c r="C870" s="234"/>
      <c r="D870" s="234"/>
      <c r="E870" s="268"/>
      <c r="F870" s="269"/>
      <c r="G870" s="258"/>
      <c r="H870" s="270"/>
      <c r="I870" s="271"/>
      <c r="J870" s="271"/>
      <c r="K870" s="234"/>
      <c r="L870" s="307"/>
      <c r="M870" s="272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67"/>
      <c r="C871" s="234"/>
      <c r="D871" s="234"/>
      <c r="E871" s="268"/>
      <c r="F871" s="269"/>
      <c r="G871" s="258"/>
      <c r="H871" s="270"/>
      <c r="I871" s="271"/>
      <c r="J871" s="271"/>
      <c r="K871" s="234"/>
      <c r="L871" s="307"/>
      <c r="M871" s="272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67"/>
      <c r="C872" s="234"/>
      <c r="D872" s="234"/>
      <c r="E872" s="268"/>
      <c r="F872" s="269"/>
      <c r="G872" s="258"/>
      <c r="H872" s="270"/>
      <c r="I872" s="271"/>
      <c r="J872" s="271"/>
      <c r="K872" s="234"/>
      <c r="L872" s="307"/>
      <c r="M872" s="272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67"/>
      <c r="C873" s="234"/>
      <c r="D873" s="234"/>
      <c r="E873" s="268"/>
      <c r="F873" s="269"/>
      <c r="G873" s="258"/>
      <c r="H873" s="270"/>
      <c r="I873" s="271"/>
      <c r="J873" s="271"/>
      <c r="K873" s="234"/>
      <c r="L873" s="307"/>
      <c r="M873" s="272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67"/>
      <c r="C874" s="234"/>
      <c r="D874" s="234"/>
      <c r="E874" s="268"/>
      <c r="F874" s="269"/>
      <c r="G874" s="258"/>
      <c r="H874" s="270"/>
      <c r="I874" s="271"/>
      <c r="J874" s="271"/>
      <c r="K874" s="234"/>
      <c r="L874" s="307"/>
      <c r="M874" s="272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67"/>
      <c r="C875" s="234"/>
      <c r="D875" s="234"/>
      <c r="E875" s="268"/>
      <c r="F875" s="269"/>
      <c r="G875" s="258"/>
      <c r="H875" s="270"/>
      <c r="I875" s="271"/>
      <c r="J875" s="271"/>
      <c r="K875" s="234"/>
      <c r="L875" s="307"/>
      <c r="M875" s="272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67"/>
      <c r="C876" s="234"/>
      <c r="D876" s="234"/>
      <c r="E876" s="268"/>
      <c r="F876" s="269"/>
      <c r="G876" s="258"/>
      <c r="H876" s="270"/>
      <c r="I876" s="271"/>
      <c r="J876" s="271"/>
      <c r="K876" s="234"/>
      <c r="L876" s="307"/>
      <c r="M876" s="272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67"/>
      <c r="C877" s="234"/>
      <c r="D877" s="234"/>
      <c r="E877" s="268"/>
      <c r="F877" s="269"/>
      <c r="G877" s="258"/>
      <c r="H877" s="270"/>
      <c r="I877" s="271"/>
      <c r="J877" s="271"/>
      <c r="K877" s="234"/>
      <c r="L877" s="307"/>
      <c r="M877" s="272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67"/>
      <c r="C878" s="234"/>
      <c r="D878" s="234"/>
      <c r="E878" s="268"/>
      <c r="F878" s="269"/>
      <c r="G878" s="258"/>
      <c r="H878" s="270"/>
      <c r="I878" s="271"/>
      <c r="J878" s="271"/>
      <c r="K878" s="234"/>
      <c r="L878" s="307"/>
      <c r="M878" s="272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67"/>
      <c r="C879" s="234"/>
      <c r="D879" s="234"/>
      <c r="E879" s="268"/>
      <c r="F879" s="269"/>
      <c r="G879" s="258"/>
      <c r="H879" s="270"/>
      <c r="I879" s="271"/>
      <c r="J879" s="271"/>
      <c r="K879" s="234"/>
      <c r="L879" s="307"/>
      <c r="M879" s="272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67"/>
      <c r="C880" s="234"/>
      <c r="D880" s="234"/>
      <c r="E880" s="268"/>
      <c r="F880" s="269"/>
      <c r="G880" s="258"/>
      <c r="H880" s="270"/>
      <c r="I880" s="271"/>
      <c r="J880" s="271"/>
      <c r="K880" s="234"/>
      <c r="L880" s="307"/>
      <c r="M880" s="272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67"/>
      <c r="C881" s="234"/>
      <c r="D881" s="234"/>
      <c r="E881" s="268"/>
      <c r="F881" s="269"/>
      <c r="G881" s="258"/>
      <c r="H881" s="270"/>
      <c r="I881" s="271"/>
      <c r="J881" s="271"/>
      <c r="K881" s="234"/>
      <c r="L881" s="307"/>
      <c r="M881" s="272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67"/>
      <c r="C882" s="234"/>
      <c r="D882" s="234"/>
      <c r="E882" s="268"/>
      <c r="F882" s="269"/>
      <c r="G882" s="258"/>
      <c r="H882" s="270"/>
      <c r="I882" s="271"/>
      <c r="J882" s="271"/>
      <c r="K882" s="234"/>
      <c r="L882" s="307"/>
      <c r="M882" s="272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67"/>
      <c r="C883" s="234"/>
      <c r="D883" s="234"/>
      <c r="E883" s="268"/>
      <c r="F883" s="269"/>
      <c r="G883" s="258"/>
      <c r="H883" s="270"/>
      <c r="I883" s="271"/>
      <c r="J883" s="271"/>
      <c r="K883" s="234"/>
      <c r="L883" s="307"/>
      <c r="M883" s="272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67"/>
      <c r="C884" s="234"/>
      <c r="D884" s="234"/>
      <c r="E884" s="268"/>
      <c r="F884" s="269"/>
      <c r="G884" s="258"/>
      <c r="H884" s="270"/>
      <c r="I884" s="271"/>
      <c r="J884" s="271"/>
      <c r="K884" s="234"/>
      <c r="L884" s="307"/>
      <c r="M884" s="272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67"/>
      <c r="C885" s="234"/>
      <c r="D885" s="234"/>
      <c r="E885" s="268"/>
      <c r="F885" s="269"/>
      <c r="G885" s="258"/>
      <c r="H885" s="270"/>
      <c r="I885" s="271"/>
      <c r="J885" s="271"/>
      <c r="K885" s="234"/>
      <c r="L885" s="307"/>
      <c r="M885" s="272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67"/>
      <c r="C886" s="234"/>
      <c r="D886" s="234"/>
      <c r="E886" s="268"/>
      <c r="F886" s="269"/>
      <c r="G886" s="258"/>
      <c r="H886" s="270"/>
      <c r="I886" s="271"/>
      <c r="J886" s="271"/>
      <c r="K886" s="234"/>
      <c r="L886" s="307"/>
      <c r="M886" s="272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67"/>
      <c r="C887" s="234"/>
      <c r="D887" s="234"/>
      <c r="E887" s="268"/>
      <c r="F887" s="269"/>
      <c r="G887" s="258"/>
      <c r="H887" s="270"/>
      <c r="I887" s="271"/>
      <c r="J887" s="271"/>
      <c r="K887" s="234"/>
      <c r="L887" s="307"/>
      <c r="M887" s="272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67"/>
      <c r="C888" s="234"/>
      <c r="D888" s="234"/>
      <c r="E888" s="268"/>
      <c r="F888" s="269"/>
      <c r="G888" s="258"/>
      <c r="H888" s="270"/>
      <c r="I888" s="271"/>
      <c r="J888" s="271"/>
      <c r="K888" s="234"/>
      <c r="L888" s="307"/>
      <c r="M888" s="272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67"/>
      <c r="C889" s="234"/>
      <c r="D889" s="234"/>
      <c r="E889" s="268"/>
      <c r="F889" s="269"/>
      <c r="G889" s="258"/>
      <c r="H889" s="270"/>
      <c r="I889" s="271"/>
      <c r="J889" s="271"/>
      <c r="K889" s="234"/>
      <c r="L889" s="307"/>
      <c r="M889" s="272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67"/>
      <c r="C890" s="234"/>
      <c r="D890" s="234"/>
      <c r="E890" s="268"/>
      <c r="F890" s="269"/>
      <c r="G890" s="258"/>
      <c r="H890" s="270"/>
      <c r="I890" s="271"/>
      <c r="J890" s="271"/>
      <c r="K890" s="234"/>
      <c r="L890" s="307"/>
      <c r="M890" s="272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67"/>
      <c r="C891" s="234"/>
      <c r="D891" s="234"/>
      <c r="E891" s="268"/>
      <c r="F891" s="269"/>
      <c r="G891" s="258"/>
      <c r="H891" s="270"/>
      <c r="I891" s="271"/>
      <c r="J891" s="271"/>
      <c r="K891" s="234"/>
      <c r="L891" s="307"/>
      <c r="M891" s="272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67"/>
      <c r="C892" s="234"/>
      <c r="D892" s="234"/>
      <c r="E892" s="268"/>
      <c r="F892" s="269"/>
      <c r="G892" s="258"/>
      <c r="H892" s="270"/>
      <c r="I892" s="271"/>
      <c r="J892" s="271"/>
      <c r="K892" s="234"/>
      <c r="L892" s="307"/>
      <c r="M892" s="272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67"/>
      <c r="C893" s="234"/>
      <c r="D893" s="234"/>
      <c r="E893" s="268"/>
      <c r="F893" s="269"/>
      <c r="G893" s="258"/>
      <c r="H893" s="270"/>
      <c r="I893" s="271"/>
      <c r="J893" s="271"/>
      <c r="K893" s="234"/>
      <c r="L893" s="307"/>
      <c r="M893" s="272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67"/>
      <c r="C894" s="234"/>
      <c r="D894" s="234"/>
      <c r="E894" s="268"/>
      <c r="F894" s="269"/>
      <c r="G894" s="258"/>
      <c r="H894" s="270"/>
      <c r="I894" s="271"/>
      <c r="J894" s="271"/>
      <c r="K894" s="234"/>
      <c r="L894" s="307"/>
      <c r="M894" s="272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67"/>
      <c r="C895" s="234"/>
      <c r="D895" s="234"/>
      <c r="E895" s="268"/>
      <c r="F895" s="269"/>
      <c r="G895" s="258"/>
      <c r="H895" s="270"/>
      <c r="I895" s="271"/>
      <c r="J895" s="271"/>
      <c r="K895" s="234"/>
      <c r="L895" s="307"/>
      <c r="M895" s="272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67"/>
      <c r="C896" s="234"/>
      <c r="D896" s="234"/>
      <c r="E896" s="268"/>
      <c r="F896" s="269"/>
      <c r="G896" s="258"/>
      <c r="H896" s="270"/>
      <c r="I896" s="271"/>
      <c r="J896" s="271"/>
      <c r="K896" s="234"/>
      <c r="L896" s="307"/>
      <c r="M896" s="272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67"/>
      <c r="C897" s="234"/>
      <c r="D897" s="234"/>
      <c r="E897" s="268"/>
      <c r="F897" s="269"/>
      <c r="G897" s="258"/>
      <c r="H897" s="270"/>
      <c r="I897" s="271"/>
      <c r="J897" s="271"/>
      <c r="K897" s="234"/>
      <c r="L897" s="307"/>
      <c r="M897" s="272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67"/>
      <c r="C898" s="234"/>
      <c r="D898" s="234"/>
      <c r="E898" s="268"/>
      <c r="F898" s="269"/>
      <c r="G898" s="258"/>
      <c r="H898" s="270"/>
      <c r="I898" s="271"/>
      <c r="J898" s="271"/>
      <c r="K898" s="234"/>
      <c r="L898" s="307"/>
      <c r="M898" s="272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67"/>
      <c r="C899" s="234"/>
      <c r="D899" s="234"/>
      <c r="E899" s="268"/>
      <c r="F899" s="269"/>
      <c r="G899" s="258"/>
      <c r="H899" s="270"/>
      <c r="I899" s="271"/>
      <c r="J899" s="271"/>
      <c r="K899" s="234"/>
      <c r="L899" s="307"/>
      <c r="M899" s="272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67"/>
      <c r="C900" s="234"/>
      <c r="D900" s="234"/>
      <c r="E900" s="268"/>
      <c r="F900" s="269"/>
      <c r="G900" s="258"/>
      <c r="H900" s="270"/>
      <c r="I900" s="271"/>
      <c r="J900" s="271"/>
      <c r="K900" s="234"/>
      <c r="L900" s="307"/>
      <c r="M900" s="272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67"/>
      <c r="C901" s="234"/>
      <c r="D901" s="234"/>
      <c r="E901" s="268"/>
      <c r="F901" s="269"/>
      <c r="G901" s="258"/>
      <c r="H901" s="270"/>
      <c r="I901" s="271"/>
      <c r="J901" s="271"/>
      <c r="K901" s="234"/>
      <c r="L901" s="307"/>
      <c r="M901" s="272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67"/>
      <c r="C902" s="234"/>
      <c r="D902" s="234"/>
      <c r="E902" s="268"/>
      <c r="F902" s="269"/>
      <c r="G902" s="258"/>
      <c r="H902" s="270"/>
      <c r="I902" s="271"/>
      <c r="J902" s="271"/>
      <c r="K902" s="234"/>
      <c r="L902" s="307"/>
      <c r="M902" s="272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67"/>
      <c r="C903" s="234"/>
      <c r="D903" s="234"/>
      <c r="E903" s="268"/>
      <c r="F903" s="269"/>
      <c r="G903" s="258"/>
      <c r="H903" s="270"/>
      <c r="I903" s="271"/>
      <c r="J903" s="271"/>
      <c r="K903" s="234"/>
      <c r="L903" s="307"/>
      <c r="M903" s="272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67"/>
      <c r="C904" s="234"/>
      <c r="D904" s="234"/>
      <c r="E904" s="268"/>
      <c r="F904" s="269"/>
      <c r="G904" s="258"/>
      <c r="H904" s="270"/>
      <c r="I904" s="271"/>
      <c r="J904" s="271"/>
      <c r="K904" s="234"/>
      <c r="L904" s="307"/>
      <c r="M904" s="272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67"/>
      <c r="C905" s="234"/>
      <c r="D905" s="234"/>
      <c r="E905" s="268"/>
      <c r="F905" s="269"/>
      <c r="G905" s="258"/>
      <c r="H905" s="270"/>
      <c r="I905" s="271"/>
      <c r="J905" s="271"/>
      <c r="K905" s="234"/>
      <c r="L905" s="307"/>
      <c r="M905" s="272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67"/>
      <c r="C906" s="234"/>
      <c r="D906" s="234"/>
      <c r="E906" s="268"/>
      <c r="F906" s="269"/>
      <c r="G906" s="258"/>
      <c r="H906" s="270"/>
      <c r="I906" s="271"/>
      <c r="J906" s="271"/>
      <c r="K906" s="234"/>
      <c r="L906" s="307"/>
      <c r="M906" s="272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67"/>
      <c r="C907" s="234"/>
      <c r="D907" s="234"/>
      <c r="E907" s="268"/>
      <c r="F907" s="269"/>
      <c r="G907" s="258"/>
      <c r="H907" s="270"/>
      <c r="I907" s="271"/>
      <c r="J907" s="271"/>
      <c r="K907" s="234"/>
      <c r="L907" s="307"/>
      <c r="M907" s="272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67"/>
      <c r="C908" s="234"/>
      <c r="D908" s="234"/>
      <c r="E908" s="268"/>
      <c r="F908" s="269"/>
      <c r="G908" s="258"/>
      <c r="H908" s="270"/>
      <c r="I908" s="271"/>
      <c r="J908" s="271"/>
      <c r="K908" s="234"/>
      <c r="L908" s="307"/>
      <c r="M908" s="272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67"/>
      <c r="C909" s="234"/>
      <c r="D909" s="234"/>
      <c r="E909" s="268"/>
      <c r="F909" s="269"/>
      <c r="G909" s="258"/>
      <c r="H909" s="270"/>
      <c r="I909" s="271"/>
      <c r="J909" s="271"/>
      <c r="K909" s="234"/>
      <c r="L909" s="307"/>
      <c r="M909" s="272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67"/>
      <c r="C910" s="234"/>
      <c r="D910" s="234"/>
      <c r="E910" s="268"/>
      <c r="F910" s="269"/>
      <c r="G910" s="258"/>
      <c r="H910" s="270"/>
      <c r="I910" s="271"/>
      <c r="J910" s="271"/>
      <c r="K910" s="234"/>
      <c r="L910" s="307"/>
      <c r="M910" s="272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67"/>
      <c r="C911" s="234"/>
      <c r="D911" s="234"/>
      <c r="E911" s="268"/>
      <c r="F911" s="269"/>
      <c r="G911" s="258"/>
      <c r="H911" s="270"/>
      <c r="I911" s="271"/>
      <c r="J911" s="271"/>
      <c r="K911" s="234"/>
      <c r="L911" s="307"/>
      <c r="M911" s="272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67"/>
      <c r="C912" s="234"/>
      <c r="D912" s="234"/>
      <c r="E912" s="268"/>
      <c r="F912" s="269"/>
      <c r="G912" s="258"/>
      <c r="H912" s="270"/>
      <c r="I912" s="271"/>
      <c r="J912" s="271"/>
      <c r="K912" s="234"/>
      <c r="L912" s="307"/>
      <c r="M912" s="272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67"/>
      <c r="C913" s="234"/>
      <c r="D913" s="234"/>
      <c r="E913" s="268"/>
      <c r="F913" s="269"/>
      <c r="G913" s="258"/>
      <c r="H913" s="270"/>
      <c r="I913" s="271"/>
      <c r="J913" s="271"/>
      <c r="K913" s="234"/>
      <c r="L913" s="307"/>
      <c r="M913" s="272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67"/>
      <c r="C914" s="234"/>
      <c r="D914" s="234"/>
      <c r="E914" s="268"/>
      <c r="F914" s="269"/>
      <c r="G914" s="258"/>
      <c r="H914" s="270"/>
      <c r="I914" s="271"/>
      <c r="J914" s="271"/>
      <c r="K914" s="234"/>
      <c r="L914" s="307"/>
      <c r="M914" s="272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67"/>
      <c r="C915" s="234"/>
      <c r="D915" s="234"/>
      <c r="E915" s="268"/>
      <c r="F915" s="269"/>
      <c r="G915" s="258"/>
      <c r="H915" s="270"/>
      <c r="I915" s="271"/>
      <c r="J915" s="271"/>
      <c r="K915" s="234"/>
      <c r="L915" s="307"/>
      <c r="M915" s="272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67"/>
      <c r="C916" s="234"/>
      <c r="D916" s="234"/>
      <c r="E916" s="268"/>
      <c r="F916" s="269"/>
      <c r="G916" s="258"/>
      <c r="H916" s="270"/>
      <c r="I916" s="271"/>
      <c r="J916" s="271"/>
      <c r="K916" s="234"/>
      <c r="L916" s="307"/>
      <c r="M916" s="272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67"/>
      <c r="C917" s="234"/>
      <c r="D917" s="234"/>
      <c r="E917" s="268"/>
      <c r="F917" s="269"/>
      <c r="G917" s="258"/>
      <c r="H917" s="270"/>
      <c r="I917" s="271"/>
      <c r="J917" s="271"/>
      <c r="K917" s="234"/>
      <c r="L917" s="307"/>
      <c r="M917" s="272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67"/>
      <c r="C918" s="234"/>
      <c r="D918" s="234"/>
      <c r="E918" s="268"/>
      <c r="F918" s="269"/>
      <c r="G918" s="258"/>
      <c r="H918" s="270"/>
      <c r="I918" s="271"/>
      <c r="J918" s="271"/>
      <c r="K918" s="234"/>
      <c r="L918" s="307"/>
      <c r="M918" s="272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67"/>
      <c r="C919" s="234"/>
      <c r="D919" s="234"/>
      <c r="E919" s="268"/>
      <c r="F919" s="269"/>
      <c r="G919" s="258"/>
      <c r="H919" s="270"/>
      <c r="I919" s="271"/>
      <c r="J919" s="271"/>
      <c r="K919" s="234"/>
      <c r="L919" s="307"/>
      <c r="M919" s="272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67"/>
      <c r="C920" s="234"/>
      <c r="D920" s="234"/>
      <c r="E920" s="268"/>
      <c r="F920" s="269"/>
      <c r="G920" s="258"/>
      <c r="H920" s="270"/>
      <c r="I920" s="271"/>
      <c r="J920" s="271"/>
      <c r="K920" s="234"/>
      <c r="L920" s="307"/>
      <c r="M920" s="272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67"/>
      <c r="C921" s="234"/>
      <c r="D921" s="234"/>
      <c r="E921" s="268"/>
      <c r="F921" s="269"/>
      <c r="G921" s="258"/>
      <c r="H921" s="270"/>
      <c r="I921" s="271"/>
      <c r="J921" s="271"/>
      <c r="K921" s="234"/>
      <c r="L921" s="307"/>
      <c r="M921" s="272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67"/>
      <c r="C922" s="234"/>
      <c r="D922" s="234"/>
      <c r="E922" s="268"/>
      <c r="F922" s="269"/>
      <c r="G922" s="258"/>
      <c r="H922" s="270"/>
      <c r="I922" s="271"/>
      <c r="J922" s="271"/>
      <c r="K922" s="234"/>
      <c r="L922" s="307"/>
      <c r="M922" s="272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67"/>
      <c r="C923" s="234"/>
      <c r="D923" s="234"/>
      <c r="E923" s="268"/>
      <c r="F923" s="269"/>
      <c r="G923" s="258"/>
      <c r="H923" s="270"/>
      <c r="I923" s="271"/>
      <c r="J923" s="271"/>
      <c r="K923" s="234"/>
      <c r="L923" s="307"/>
      <c r="M923" s="272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67"/>
      <c r="C924" s="234"/>
      <c r="D924" s="234"/>
      <c r="E924" s="268"/>
      <c r="F924" s="269"/>
      <c r="G924" s="258"/>
      <c r="H924" s="270"/>
      <c r="I924" s="271"/>
      <c r="J924" s="271"/>
      <c r="K924" s="234"/>
      <c r="L924" s="307"/>
      <c r="M924" s="272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67"/>
      <c r="C925" s="234"/>
      <c r="D925" s="234"/>
      <c r="E925" s="268"/>
      <c r="F925" s="269"/>
      <c r="G925" s="258"/>
      <c r="H925" s="270"/>
      <c r="I925" s="271"/>
      <c r="J925" s="271"/>
      <c r="K925" s="234"/>
      <c r="L925" s="307"/>
      <c r="M925" s="272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67"/>
      <c r="C926" s="234"/>
      <c r="D926" s="234"/>
      <c r="E926" s="268"/>
      <c r="F926" s="269"/>
      <c r="G926" s="258"/>
      <c r="H926" s="270"/>
      <c r="I926" s="271"/>
      <c r="J926" s="271"/>
      <c r="K926" s="234"/>
      <c r="L926" s="307"/>
      <c r="M926" s="272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67"/>
      <c r="C927" s="234"/>
      <c r="D927" s="234"/>
      <c r="E927" s="268"/>
      <c r="F927" s="269"/>
      <c r="G927" s="258"/>
      <c r="H927" s="270"/>
      <c r="I927" s="271"/>
      <c r="J927" s="271"/>
      <c r="K927" s="234"/>
      <c r="L927" s="307"/>
      <c r="M927" s="272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67"/>
      <c r="C928" s="234"/>
      <c r="D928" s="234"/>
      <c r="E928" s="268"/>
      <c r="F928" s="269"/>
      <c r="G928" s="258"/>
      <c r="H928" s="270"/>
      <c r="I928" s="271"/>
      <c r="J928" s="271"/>
      <c r="K928" s="234"/>
      <c r="L928" s="307"/>
      <c r="M928" s="272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67"/>
      <c r="C929" s="234"/>
      <c r="D929" s="234"/>
      <c r="E929" s="268"/>
      <c r="F929" s="269"/>
      <c r="G929" s="258"/>
      <c r="H929" s="270"/>
      <c r="I929" s="271"/>
      <c r="J929" s="271"/>
      <c r="K929" s="234"/>
      <c r="L929" s="307"/>
      <c r="M929" s="272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67"/>
      <c r="C930" s="234"/>
      <c r="D930" s="234"/>
      <c r="E930" s="268"/>
      <c r="F930" s="269"/>
      <c r="G930" s="258"/>
      <c r="H930" s="270"/>
      <c r="I930" s="271"/>
      <c r="J930" s="271"/>
      <c r="K930" s="234"/>
      <c r="L930" s="307"/>
      <c r="M930" s="272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67"/>
      <c r="C931" s="234"/>
      <c r="D931" s="234"/>
      <c r="E931" s="268"/>
      <c r="F931" s="269"/>
      <c r="G931" s="258"/>
      <c r="H931" s="270"/>
      <c r="I931" s="271"/>
      <c r="J931" s="271"/>
      <c r="K931" s="234"/>
      <c r="L931" s="307"/>
      <c r="M931" s="272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67"/>
      <c r="C932" s="234"/>
      <c r="D932" s="234"/>
      <c r="E932" s="268"/>
      <c r="F932" s="269"/>
      <c r="G932" s="258"/>
      <c r="H932" s="270"/>
      <c r="I932" s="271"/>
      <c r="J932" s="271"/>
      <c r="K932" s="234"/>
      <c r="L932" s="307"/>
      <c r="M932" s="272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67"/>
      <c r="C933" s="234"/>
      <c r="D933" s="234"/>
      <c r="E933" s="268"/>
      <c r="F933" s="269"/>
      <c r="G933" s="258"/>
      <c r="H933" s="270"/>
      <c r="I933" s="271"/>
      <c r="J933" s="271"/>
      <c r="K933" s="234"/>
      <c r="L933" s="307"/>
      <c r="M933" s="272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67"/>
      <c r="C934" s="234"/>
      <c r="D934" s="234"/>
      <c r="E934" s="268"/>
      <c r="F934" s="269"/>
      <c r="G934" s="258"/>
      <c r="H934" s="270"/>
      <c r="I934" s="271"/>
      <c r="J934" s="271"/>
      <c r="K934" s="234"/>
      <c r="L934" s="307"/>
      <c r="M934" s="272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67"/>
      <c r="C935" s="234"/>
      <c r="D935" s="234"/>
      <c r="E935" s="268"/>
      <c r="F935" s="269"/>
      <c r="G935" s="258"/>
      <c r="H935" s="270"/>
      <c r="I935" s="271"/>
      <c r="J935" s="271"/>
      <c r="K935" s="234"/>
      <c r="L935" s="307"/>
      <c r="M935" s="272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67"/>
      <c r="C936" s="234"/>
      <c r="D936" s="234"/>
      <c r="E936" s="268"/>
      <c r="F936" s="269"/>
      <c r="G936" s="258"/>
      <c r="H936" s="270"/>
      <c r="I936" s="271"/>
      <c r="J936" s="271"/>
      <c r="K936" s="234"/>
      <c r="L936" s="307"/>
      <c r="M936" s="272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67"/>
      <c r="C937" s="234"/>
      <c r="D937" s="234"/>
      <c r="E937" s="268"/>
      <c r="F937" s="269"/>
      <c r="G937" s="258"/>
      <c r="H937" s="270"/>
      <c r="I937" s="271"/>
      <c r="J937" s="271"/>
      <c r="K937" s="234"/>
      <c r="L937" s="307"/>
      <c r="M937" s="272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67"/>
      <c r="C938" s="234"/>
      <c r="D938" s="234"/>
      <c r="E938" s="268"/>
      <c r="F938" s="269"/>
      <c r="G938" s="258"/>
      <c r="H938" s="270"/>
      <c r="I938" s="271"/>
      <c r="J938" s="271"/>
      <c r="K938" s="234"/>
      <c r="L938" s="307"/>
      <c r="M938" s="272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67"/>
      <c r="C939" s="234"/>
      <c r="D939" s="234"/>
      <c r="E939" s="268"/>
      <c r="F939" s="269"/>
      <c r="G939" s="258"/>
      <c r="H939" s="270"/>
      <c r="I939" s="271"/>
      <c r="J939" s="271"/>
      <c r="K939" s="234"/>
      <c r="L939" s="307"/>
      <c r="M939" s="272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67"/>
      <c r="C940" s="234"/>
      <c r="D940" s="234"/>
      <c r="E940" s="268"/>
      <c r="F940" s="269"/>
      <c r="G940" s="258"/>
      <c r="H940" s="270"/>
      <c r="I940" s="271"/>
      <c r="J940" s="271"/>
      <c r="K940" s="234"/>
      <c r="L940" s="307"/>
      <c r="M940" s="272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67"/>
      <c r="C941" s="234"/>
      <c r="D941" s="234"/>
      <c r="E941" s="268"/>
      <c r="F941" s="269"/>
      <c r="G941" s="258"/>
      <c r="H941" s="270"/>
      <c r="I941" s="271"/>
      <c r="J941" s="271"/>
      <c r="K941" s="234"/>
      <c r="L941" s="307"/>
      <c r="M941" s="272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67"/>
      <c r="C942" s="234"/>
      <c r="D942" s="234"/>
      <c r="E942" s="268"/>
      <c r="F942" s="269"/>
      <c r="G942" s="258"/>
      <c r="H942" s="270"/>
      <c r="I942" s="271"/>
      <c r="J942" s="271"/>
      <c r="K942" s="234"/>
      <c r="L942" s="307"/>
      <c r="M942" s="272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67"/>
      <c r="C943" s="234"/>
      <c r="D943" s="234"/>
      <c r="E943" s="268"/>
      <c r="F943" s="269"/>
      <c r="G943" s="258"/>
      <c r="H943" s="270"/>
      <c r="I943" s="271"/>
      <c r="J943" s="271"/>
      <c r="K943" s="234"/>
      <c r="L943" s="307"/>
      <c r="M943" s="272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67"/>
      <c r="C944" s="234"/>
      <c r="D944" s="234"/>
      <c r="E944" s="268"/>
      <c r="F944" s="269"/>
      <c r="G944" s="258"/>
      <c r="H944" s="270"/>
      <c r="I944" s="271"/>
      <c r="J944" s="271"/>
      <c r="K944" s="234"/>
      <c r="L944" s="307"/>
      <c r="M944" s="272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67"/>
      <c r="C945" s="234"/>
      <c r="D945" s="234"/>
      <c r="E945" s="268"/>
      <c r="F945" s="269"/>
      <c r="G945" s="258"/>
      <c r="H945" s="270"/>
      <c r="I945" s="271"/>
      <c r="J945" s="271"/>
      <c r="K945" s="234"/>
      <c r="L945" s="307"/>
      <c r="M945" s="272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67"/>
      <c r="C946" s="234"/>
      <c r="D946" s="234"/>
      <c r="E946" s="268"/>
      <c r="F946" s="269"/>
      <c r="G946" s="258"/>
      <c r="H946" s="270"/>
      <c r="I946" s="271"/>
      <c r="J946" s="271"/>
      <c r="K946" s="234"/>
      <c r="L946" s="307"/>
      <c r="M946" s="272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67"/>
      <c r="C947" s="234"/>
      <c r="D947" s="234"/>
      <c r="E947" s="268"/>
      <c r="F947" s="269"/>
      <c r="G947" s="258"/>
      <c r="H947" s="270"/>
      <c r="I947" s="271"/>
      <c r="J947" s="271"/>
      <c r="K947" s="234"/>
      <c r="L947" s="307"/>
      <c r="M947" s="272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67"/>
      <c r="C948" s="234"/>
      <c r="D948" s="234"/>
      <c r="E948" s="268"/>
      <c r="F948" s="269"/>
      <c r="G948" s="258"/>
      <c r="H948" s="270"/>
      <c r="I948" s="271"/>
      <c r="J948" s="271"/>
      <c r="K948" s="234"/>
      <c r="L948" s="307"/>
      <c r="M948" s="272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67"/>
      <c r="C949" s="234"/>
      <c r="D949" s="234"/>
      <c r="E949" s="268"/>
      <c r="F949" s="269"/>
      <c r="G949" s="258"/>
      <c r="H949" s="270"/>
      <c r="I949" s="271"/>
      <c r="J949" s="271"/>
      <c r="K949" s="234"/>
      <c r="L949" s="307"/>
      <c r="M949" s="272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67"/>
      <c r="C950" s="234"/>
      <c r="D950" s="234"/>
      <c r="E950" s="268"/>
      <c r="F950" s="269"/>
      <c r="G950" s="258"/>
      <c r="H950" s="270"/>
      <c r="I950" s="271"/>
      <c r="J950" s="271"/>
      <c r="K950" s="234"/>
      <c r="L950" s="307"/>
      <c r="M950" s="272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67"/>
      <c r="C951" s="234"/>
      <c r="D951" s="234"/>
      <c r="E951" s="268"/>
      <c r="F951" s="269"/>
      <c r="G951" s="258"/>
      <c r="H951" s="270"/>
      <c r="I951" s="271"/>
      <c r="J951" s="271"/>
      <c r="K951" s="234"/>
      <c r="L951" s="307"/>
      <c r="M951" s="272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67"/>
      <c r="C952" s="234"/>
      <c r="D952" s="234"/>
      <c r="E952" s="268"/>
      <c r="F952" s="269"/>
      <c r="G952" s="258"/>
      <c r="H952" s="270"/>
      <c r="I952" s="271"/>
      <c r="J952" s="271"/>
      <c r="K952" s="234"/>
      <c r="L952" s="307"/>
      <c r="M952" s="272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67"/>
      <c r="C953" s="234"/>
      <c r="D953" s="234"/>
      <c r="E953" s="268"/>
      <c r="F953" s="269"/>
      <c r="G953" s="258"/>
      <c r="H953" s="270"/>
      <c r="I953" s="271"/>
      <c r="J953" s="271"/>
      <c r="K953" s="234"/>
      <c r="L953" s="307"/>
      <c r="M953" s="272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67"/>
      <c r="C954" s="234"/>
      <c r="D954" s="234"/>
      <c r="E954" s="268"/>
      <c r="F954" s="269"/>
      <c r="G954" s="258"/>
      <c r="H954" s="270"/>
      <c r="I954" s="271"/>
      <c r="J954" s="271"/>
      <c r="K954" s="234"/>
      <c r="L954" s="307"/>
      <c r="M954" s="272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67"/>
      <c r="C955" s="234"/>
      <c r="D955" s="234"/>
      <c r="E955" s="268"/>
      <c r="F955" s="269"/>
      <c r="G955" s="258"/>
      <c r="H955" s="270"/>
      <c r="I955" s="271"/>
      <c r="J955" s="271"/>
      <c r="K955" s="234"/>
      <c r="L955" s="307"/>
      <c r="M955" s="272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67"/>
      <c r="C956" s="234"/>
      <c r="D956" s="234"/>
      <c r="E956" s="268"/>
      <c r="F956" s="269"/>
      <c r="G956" s="258"/>
      <c r="H956" s="270"/>
      <c r="I956" s="271"/>
      <c r="J956" s="271"/>
      <c r="K956" s="234"/>
      <c r="L956" s="307"/>
      <c r="M956" s="272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67"/>
      <c r="C957" s="234"/>
      <c r="D957" s="234"/>
      <c r="E957" s="268"/>
      <c r="F957" s="269"/>
      <c r="G957" s="258"/>
      <c r="H957" s="270"/>
      <c r="I957" s="271"/>
      <c r="J957" s="271"/>
      <c r="K957" s="234"/>
      <c r="L957" s="307"/>
      <c r="M957" s="272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67"/>
      <c r="C958" s="234"/>
      <c r="D958" s="234"/>
      <c r="E958" s="268"/>
      <c r="F958" s="269"/>
      <c r="G958" s="258"/>
      <c r="H958" s="270"/>
      <c r="I958" s="271"/>
      <c r="J958" s="271"/>
      <c r="K958" s="234"/>
      <c r="L958" s="307"/>
      <c r="M958" s="272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67"/>
      <c r="C959" s="234"/>
      <c r="D959" s="234"/>
      <c r="E959" s="268"/>
      <c r="F959" s="269"/>
      <c r="G959" s="258"/>
      <c r="H959" s="270"/>
      <c r="I959" s="271"/>
      <c r="J959" s="271"/>
      <c r="K959" s="234"/>
      <c r="L959" s="307"/>
      <c r="M959" s="272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67"/>
      <c r="C960" s="234"/>
      <c r="D960" s="234"/>
      <c r="E960" s="268"/>
      <c r="F960" s="269"/>
      <c r="G960" s="258"/>
      <c r="H960" s="270"/>
      <c r="I960" s="271"/>
      <c r="J960" s="271"/>
      <c r="K960" s="234"/>
      <c r="L960" s="307"/>
      <c r="M960" s="272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67"/>
      <c r="C961" s="234"/>
      <c r="D961" s="234"/>
      <c r="E961" s="268"/>
      <c r="F961" s="269"/>
      <c r="G961" s="258"/>
      <c r="H961" s="270"/>
      <c r="I961" s="271"/>
      <c r="J961" s="271"/>
      <c r="K961" s="234"/>
      <c r="L961" s="307"/>
      <c r="M961" s="272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67"/>
      <c r="C962" s="234"/>
      <c r="D962" s="234"/>
      <c r="E962" s="268"/>
      <c r="F962" s="269"/>
      <c r="G962" s="258"/>
      <c r="H962" s="270"/>
      <c r="I962" s="271"/>
      <c r="J962" s="271"/>
      <c r="K962" s="234"/>
      <c r="L962" s="307"/>
      <c r="M962" s="272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67"/>
      <c r="C963" s="234"/>
      <c r="D963" s="234"/>
      <c r="E963" s="268"/>
      <c r="F963" s="269"/>
      <c r="G963" s="258"/>
      <c r="H963" s="270"/>
      <c r="I963" s="271"/>
      <c r="J963" s="271"/>
      <c r="K963" s="234"/>
      <c r="L963" s="307"/>
      <c r="M963" s="272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67"/>
      <c r="C964" s="234"/>
      <c r="D964" s="234"/>
      <c r="E964" s="268"/>
      <c r="F964" s="269"/>
      <c r="G964" s="258"/>
      <c r="H964" s="270"/>
      <c r="I964" s="271"/>
      <c r="J964" s="271"/>
      <c r="K964" s="234"/>
      <c r="L964" s="307"/>
      <c r="M964" s="272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67"/>
      <c r="C965" s="234"/>
      <c r="D965" s="234"/>
      <c r="E965" s="268"/>
      <c r="F965" s="269"/>
      <c r="G965" s="258"/>
      <c r="H965" s="270"/>
      <c r="I965" s="271"/>
      <c r="J965" s="271"/>
      <c r="K965" s="234"/>
      <c r="L965" s="307"/>
      <c r="M965" s="272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67"/>
      <c r="C966" s="234"/>
      <c r="D966" s="234"/>
      <c r="E966" s="268"/>
      <c r="F966" s="269"/>
      <c r="G966" s="258"/>
      <c r="H966" s="270"/>
      <c r="I966" s="271"/>
      <c r="J966" s="271"/>
      <c r="K966" s="234"/>
      <c r="L966" s="307"/>
      <c r="M966" s="272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67"/>
      <c r="C967" s="234"/>
      <c r="D967" s="234"/>
      <c r="E967" s="268"/>
      <c r="F967" s="269"/>
      <c r="G967" s="258"/>
      <c r="H967" s="270"/>
      <c r="I967" s="271"/>
      <c r="J967" s="271"/>
      <c r="K967" s="234"/>
      <c r="L967" s="307"/>
      <c r="M967" s="272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67"/>
      <c r="C968" s="234"/>
      <c r="D968" s="234"/>
      <c r="E968" s="268"/>
      <c r="F968" s="269"/>
      <c r="G968" s="258"/>
      <c r="H968" s="270"/>
      <c r="I968" s="271"/>
      <c r="J968" s="271"/>
      <c r="K968" s="234"/>
      <c r="L968" s="307"/>
      <c r="M968" s="272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67"/>
      <c r="C969" s="234"/>
      <c r="D969" s="234"/>
      <c r="E969" s="268"/>
      <c r="F969" s="269"/>
      <c r="G969" s="258"/>
      <c r="H969" s="270"/>
      <c r="I969" s="271"/>
      <c r="J969" s="271"/>
      <c r="K969" s="234"/>
      <c r="L969" s="307"/>
      <c r="M969" s="272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67"/>
      <c r="C970" s="234"/>
      <c r="D970" s="234"/>
      <c r="E970" s="268"/>
      <c r="F970" s="269"/>
      <c r="G970" s="258"/>
      <c r="H970" s="270"/>
      <c r="I970" s="271"/>
      <c r="J970" s="271"/>
      <c r="K970" s="234"/>
      <c r="L970" s="307"/>
      <c r="M970" s="272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67"/>
      <c r="C971" s="234"/>
      <c r="D971" s="234"/>
      <c r="E971" s="268"/>
      <c r="F971" s="269"/>
      <c r="G971" s="258"/>
      <c r="H971" s="270"/>
      <c r="I971" s="271"/>
      <c r="J971" s="271"/>
      <c r="K971" s="234"/>
      <c r="L971" s="307"/>
      <c r="M971" s="272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67"/>
      <c r="C972" s="234"/>
      <c r="D972" s="234"/>
      <c r="E972" s="268"/>
      <c r="F972" s="269"/>
      <c r="G972" s="258"/>
      <c r="H972" s="270"/>
      <c r="I972" s="271"/>
      <c r="J972" s="271"/>
      <c r="K972" s="234"/>
      <c r="L972" s="307"/>
      <c r="M972" s="272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67"/>
      <c r="C973" s="234"/>
      <c r="D973" s="234"/>
      <c r="E973" s="268"/>
      <c r="F973" s="269"/>
      <c r="G973" s="258"/>
      <c r="H973" s="270"/>
      <c r="I973" s="271"/>
      <c r="J973" s="271"/>
      <c r="K973" s="234"/>
      <c r="L973" s="307"/>
      <c r="M973" s="272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67"/>
      <c r="C974" s="234"/>
      <c r="D974" s="234"/>
      <c r="E974" s="268"/>
      <c r="F974" s="269"/>
      <c r="G974" s="258"/>
      <c r="H974" s="270"/>
      <c r="I974" s="271"/>
      <c r="J974" s="271"/>
      <c r="K974" s="234"/>
      <c r="L974" s="307"/>
      <c r="M974" s="272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67"/>
      <c r="C975" s="234"/>
      <c r="D975" s="234"/>
      <c r="E975" s="268"/>
      <c r="F975" s="269"/>
      <c r="G975" s="258"/>
      <c r="H975" s="270"/>
      <c r="I975" s="271"/>
      <c r="J975" s="271"/>
      <c r="K975" s="234"/>
      <c r="L975" s="307"/>
      <c r="M975" s="272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67"/>
      <c r="C976" s="234"/>
      <c r="D976" s="234"/>
      <c r="E976" s="268"/>
      <c r="F976" s="269"/>
      <c r="G976" s="258"/>
      <c r="H976" s="270"/>
      <c r="I976" s="271"/>
      <c r="J976" s="271"/>
      <c r="K976" s="234"/>
      <c r="L976" s="307"/>
      <c r="M976" s="272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67"/>
      <c r="C977" s="234"/>
      <c r="D977" s="234"/>
      <c r="E977" s="268"/>
      <c r="F977" s="269"/>
      <c r="G977" s="258"/>
      <c r="H977" s="270"/>
      <c r="I977" s="271"/>
      <c r="J977" s="271"/>
      <c r="K977" s="234"/>
      <c r="L977" s="307"/>
      <c r="M977" s="272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67"/>
      <c r="C978" s="234"/>
      <c r="D978" s="234"/>
      <c r="E978" s="268"/>
      <c r="F978" s="269"/>
      <c r="G978" s="258"/>
      <c r="H978" s="270"/>
      <c r="I978" s="271"/>
      <c r="J978" s="271"/>
      <c r="K978" s="234"/>
      <c r="L978" s="307"/>
      <c r="M978" s="272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67"/>
      <c r="C979" s="234"/>
      <c r="D979" s="234"/>
      <c r="E979" s="268"/>
      <c r="F979" s="269"/>
      <c r="G979" s="258"/>
      <c r="H979" s="270"/>
      <c r="I979" s="271"/>
      <c r="J979" s="271"/>
      <c r="K979" s="234"/>
      <c r="L979" s="307"/>
      <c r="M979" s="272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67"/>
      <c r="C980" s="234"/>
      <c r="D980" s="234"/>
      <c r="E980" s="268"/>
      <c r="F980" s="269"/>
      <c r="G980" s="258"/>
      <c r="H980" s="270"/>
      <c r="I980" s="271"/>
      <c r="J980" s="271"/>
      <c r="K980" s="234"/>
      <c r="L980" s="307"/>
      <c r="M980" s="272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67"/>
      <c r="C981" s="234"/>
      <c r="D981" s="234"/>
      <c r="E981" s="268"/>
      <c r="F981" s="269"/>
      <c r="G981" s="258"/>
      <c r="H981" s="270"/>
      <c r="I981" s="271"/>
      <c r="J981" s="271"/>
      <c r="K981" s="234"/>
      <c r="L981" s="307"/>
      <c r="M981" s="272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67"/>
      <c r="C982" s="234"/>
      <c r="D982" s="234"/>
      <c r="E982" s="268"/>
      <c r="F982" s="269"/>
      <c r="G982" s="258"/>
      <c r="H982" s="270"/>
      <c r="I982" s="271"/>
      <c r="J982" s="271"/>
      <c r="K982" s="234"/>
      <c r="L982" s="307"/>
      <c r="M982" s="272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67"/>
      <c r="C983" s="234"/>
      <c r="D983" s="234"/>
      <c r="E983" s="268"/>
      <c r="F983" s="269"/>
      <c r="G983" s="258"/>
      <c r="H983" s="270"/>
      <c r="I983" s="271"/>
      <c r="J983" s="271"/>
      <c r="K983" s="234"/>
      <c r="L983" s="307"/>
      <c r="M983" s="272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67"/>
      <c r="C984" s="234"/>
      <c r="D984" s="234"/>
      <c r="E984" s="268"/>
      <c r="F984" s="269"/>
      <c r="G984" s="258"/>
      <c r="H984" s="270"/>
      <c r="I984" s="271"/>
      <c r="J984" s="271"/>
      <c r="K984" s="234"/>
      <c r="L984" s="307"/>
      <c r="M984" s="272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67"/>
      <c r="C985" s="234"/>
      <c r="D985" s="234"/>
      <c r="E985" s="268"/>
      <c r="F985" s="269"/>
      <c r="G985" s="258"/>
      <c r="H985" s="270"/>
      <c r="I985" s="271"/>
      <c r="J985" s="271"/>
      <c r="K985" s="234"/>
      <c r="L985" s="307"/>
      <c r="M985" s="272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67"/>
      <c r="C986" s="234"/>
      <c r="D986" s="234"/>
      <c r="E986" s="268"/>
      <c r="F986" s="269"/>
      <c r="G986" s="258"/>
      <c r="H986" s="270"/>
      <c r="I986" s="271"/>
      <c r="J986" s="271"/>
      <c r="K986" s="234"/>
      <c r="L986" s="307"/>
      <c r="M986" s="272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67"/>
      <c r="C987" s="234"/>
      <c r="D987" s="234"/>
      <c r="E987" s="268"/>
      <c r="F987" s="269"/>
      <c r="G987" s="258"/>
      <c r="H987" s="270"/>
      <c r="I987" s="271"/>
      <c r="J987" s="271"/>
      <c r="K987" s="234"/>
      <c r="L987" s="307"/>
      <c r="M987" s="272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67"/>
      <c r="C988" s="234"/>
      <c r="D988" s="234"/>
      <c r="E988" s="268"/>
      <c r="F988" s="269"/>
      <c r="G988" s="258"/>
      <c r="H988" s="270"/>
      <c r="I988" s="271"/>
      <c r="J988" s="271"/>
      <c r="K988" s="234"/>
      <c r="L988" s="307"/>
      <c r="M988" s="272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67"/>
      <c r="C989" s="234"/>
      <c r="D989" s="234"/>
      <c r="E989" s="268"/>
      <c r="F989" s="269"/>
      <c r="G989" s="258"/>
      <c r="H989" s="270"/>
      <c r="I989" s="271"/>
      <c r="J989" s="271"/>
      <c r="K989" s="234"/>
      <c r="L989" s="307"/>
      <c r="M989" s="272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67"/>
      <c r="C990" s="234"/>
      <c r="D990" s="234"/>
      <c r="E990" s="268"/>
      <c r="F990" s="269"/>
      <c r="G990" s="258"/>
      <c r="H990" s="270"/>
      <c r="I990" s="271"/>
      <c r="J990" s="271"/>
      <c r="K990" s="234"/>
      <c r="L990" s="307"/>
      <c r="M990" s="272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67"/>
      <c r="C991" s="234"/>
      <c r="D991" s="234"/>
      <c r="E991" s="268"/>
      <c r="F991" s="269"/>
      <c r="G991" s="258"/>
      <c r="H991" s="270"/>
      <c r="I991" s="271"/>
      <c r="J991" s="271"/>
      <c r="K991" s="234"/>
      <c r="L991" s="307"/>
      <c r="M991" s="272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67"/>
      <c r="C992" s="234"/>
      <c r="D992" s="234"/>
      <c r="E992" s="268"/>
      <c r="F992" s="269"/>
      <c r="G992" s="258"/>
      <c r="H992" s="270"/>
      <c r="I992" s="271"/>
      <c r="J992" s="271"/>
      <c r="K992" s="234"/>
      <c r="L992" s="307"/>
      <c r="M992" s="272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67"/>
      <c r="C993" s="234"/>
      <c r="D993" s="234"/>
      <c r="E993" s="268"/>
      <c r="F993" s="269"/>
      <c r="G993" s="258"/>
      <c r="H993" s="270"/>
      <c r="I993" s="271"/>
      <c r="J993" s="271"/>
      <c r="K993" s="234"/>
      <c r="L993" s="307"/>
      <c r="M993" s="272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67"/>
      <c r="C994" s="234"/>
      <c r="D994" s="234"/>
      <c r="E994" s="268"/>
      <c r="F994" s="269"/>
      <c r="G994" s="258"/>
      <c r="H994" s="270"/>
      <c r="I994" s="271"/>
      <c r="J994" s="271"/>
      <c r="K994" s="234"/>
      <c r="L994" s="307"/>
      <c r="M994" s="272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67"/>
      <c r="C995" s="234"/>
      <c r="D995" s="234"/>
      <c r="E995" s="268"/>
      <c r="F995" s="269"/>
      <c r="G995" s="258"/>
      <c r="H995" s="270"/>
      <c r="I995" s="271"/>
      <c r="J995" s="271"/>
      <c r="K995" s="234"/>
      <c r="L995" s="307"/>
      <c r="M995" s="272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67"/>
      <c r="C996" s="234"/>
      <c r="D996" s="234"/>
      <c r="E996" s="268"/>
      <c r="F996" s="269"/>
      <c r="G996" s="258"/>
      <c r="H996" s="270"/>
      <c r="I996" s="271"/>
      <c r="J996" s="271"/>
      <c r="K996" s="234"/>
      <c r="L996" s="307"/>
      <c r="M996" s="272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67"/>
      <c r="C997" s="234"/>
      <c r="D997" s="234"/>
      <c r="E997" s="268"/>
      <c r="F997" s="269"/>
      <c r="G997" s="258"/>
      <c r="H997" s="270"/>
      <c r="I997" s="271"/>
      <c r="J997" s="271"/>
      <c r="K997" s="234"/>
      <c r="L997" s="307"/>
      <c r="M997" s="272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67"/>
      <c r="C998" s="234"/>
      <c r="D998" s="234"/>
      <c r="E998" s="268"/>
      <c r="F998" s="269"/>
      <c r="G998" s="258"/>
      <c r="H998" s="270"/>
      <c r="I998" s="271"/>
      <c r="J998" s="271"/>
      <c r="K998" s="234"/>
      <c r="L998" s="307"/>
      <c r="M998" s="272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67"/>
      <c r="C999" s="234"/>
      <c r="D999" s="234"/>
      <c r="E999" s="268"/>
      <c r="F999" s="269"/>
      <c r="G999" s="258"/>
      <c r="H999" s="270"/>
      <c r="I999" s="271"/>
      <c r="J999" s="271"/>
      <c r="K999" s="234"/>
      <c r="L999" s="307"/>
      <c r="M999" s="272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67"/>
      <c r="C1000" s="234"/>
      <c r="D1000" s="234"/>
      <c r="E1000" s="268"/>
      <c r="F1000" s="269"/>
      <c r="G1000" s="258"/>
      <c r="H1000" s="270"/>
      <c r="I1000" s="271"/>
      <c r="J1000" s="271"/>
      <c r="K1000" s="234"/>
      <c r="L1000" s="307"/>
      <c r="M1000" s="272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67"/>
      <c r="C1001" s="234"/>
      <c r="D1001" s="234"/>
      <c r="E1001" s="268"/>
      <c r="F1001" s="269"/>
      <c r="G1001" s="258"/>
      <c r="H1001" s="270"/>
      <c r="I1001" s="271"/>
      <c r="J1001" s="271"/>
      <c r="K1001" s="234"/>
      <c r="L1001" s="307"/>
      <c r="M1001" s="272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67"/>
      <c r="C1002" s="234"/>
      <c r="D1002" s="234"/>
      <c r="E1002" s="268"/>
      <c r="F1002" s="269"/>
      <c r="G1002" s="258"/>
      <c r="H1002" s="270"/>
      <c r="I1002" s="271"/>
      <c r="J1002" s="271"/>
      <c r="K1002" s="234"/>
      <c r="L1002" s="307"/>
      <c r="M1002" s="272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67"/>
      <c r="C1003" s="234"/>
      <c r="D1003" s="234"/>
      <c r="E1003" s="268"/>
      <c r="F1003" s="269"/>
      <c r="G1003" s="258"/>
      <c r="H1003" s="270"/>
      <c r="I1003" s="271"/>
      <c r="J1003" s="271"/>
      <c r="K1003" s="234"/>
      <c r="L1003" s="307"/>
      <c r="M1003" s="272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67"/>
      <c r="C1004" s="234"/>
      <c r="D1004" s="234"/>
      <c r="E1004" s="268"/>
      <c r="F1004" s="269"/>
      <c r="G1004" s="258"/>
      <c r="H1004" s="270"/>
      <c r="I1004" s="271"/>
      <c r="J1004" s="271"/>
      <c r="K1004" s="234"/>
      <c r="L1004" s="307"/>
      <c r="M1004" s="272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67"/>
      <c r="C1005" s="234"/>
      <c r="D1005" s="234"/>
      <c r="E1005" s="268"/>
      <c r="F1005" s="269"/>
      <c r="G1005" s="258"/>
      <c r="H1005" s="270"/>
      <c r="I1005" s="271"/>
      <c r="J1005" s="271"/>
      <c r="K1005" s="234"/>
      <c r="L1005" s="307"/>
      <c r="M1005" s="272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67"/>
      <c r="C1006" s="234"/>
      <c r="D1006" s="234"/>
      <c r="E1006" s="268"/>
      <c r="F1006" s="269"/>
      <c r="G1006" s="258"/>
      <c r="H1006" s="270"/>
      <c r="I1006" s="271"/>
      <c r="J1006" s="271"/>
      <c r="K1006" s="234"/>
      <c r="L1006" s="307"/>
      <c r="M1006" s="272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67"/>
      <c r="C1007" s="234"/>
      <c r="D1007" s="234"/>
      <c r="E1007" s="268"/>
      <c r="F1007" s="269"/>
      <c r="G1007" s="258"/>
      <c r="H1007" s="270"/>
      <c r="I1007" s="271"/>
      <c r="J1007" s="271"/>
      <c r="K1007" s="234"/>
      <c r="L1007" s="307"/>
      <c r="M1007" s="272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67"/>
      <c r="C1008" s="234"/>
      <c r="D1008" s="234"/>
      <c r="E1008" s="268"/>
      <c r="F1008" s="269"/>
      <c r="G1008" s="258"/>
      <c r="H1008" s="270"/>
      <c r="I1008" s="271"/>
      <c r="J1008" s="271"/>
      <c r="K1008" s="234"/>
      <c r="L1008" s="307"/>
      <c r="M1008" s="272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67"/>
      <c r="C1009" s="234"/>
      <c r="D1009" s="234"/>
      <c r="E1009" s="268"/>
      <c r="F1009" s="269"/>
      <c r="G1009" s="258"/>
      <c r="H1009" s="270"/>
      <c r="I1009" s="271"/>
      <c r="J1009" s="271"/>
      <c r="K1009" s="234"/>
      <c r="L1009" s="307"/>
      <c r="M1009" s="272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67"/>
      <c r="C1010" s="234"/>
      <c r="D1010" s="234"/>
      <c r="E1010" s="268"/>
      <c r="F1010" s="269"/>
      <c r="G1010" s="258"/>
      <c r="H1010" s="270"/>
      <c r="I1010" s="271"/>
      <c r="J1010" s="271"/>
      <c r="K1010" s="234"/>
      <c r="L1010" s="307"/>
      <c r="M1010" s="272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67"/>
      <c r="C1011" s="234"/>
      <c r="D1011" s="234"/>
      <c r="E1011" s="268"/>
      <c r="F1011" s="269"/>
      <c r="G1011" s="258"/>
      <c r="H1011" s="270"/>
      <c r="I1011" s="271"/>
      <c r="J1011" s="271"/>
      <c r="K1011" s="234"/>
      <c r="L1011" s="307"/>
      <c r="M1011" s="272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67"/>
      <c r="C1012" s="234"/>
      <c r="D1012" s="234"/>
      <c r="E1012" s="268"/>
      <c r="F1012" s="269"/>
      <c r="G1012" s="258"/>
      <c r="H1012" s="270"/>
      <c r="I1012" s="271"/>
      <c r="J1012" s="271"/>
      <c r="K1012" s="234"/>
      <c r="L1012" s="307"/>
      <c r="M1012" s="272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67"/>
      <c r="C1013" s="234"/>
      <c r="D1013" s="234"/>
      <c r="E1013" s="268"/>
      <c r="F1013" s="269"/>
      <c r="G1013" s="258"/>
      <c r="H1013" s="270"/>
      <c r="I1013" s="271"/>
      <c r="J1013" s="271"/>
      <c r="K1013" s="234"/>
      <c r="L1013" s="307"/>
      <c r="M1013" s="272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67"/>
      <c r="C1014" s="234"/>
      <c r="D1014" s="234"/>
      <c r="E1014" s="268"/>
      <c r="F1014" s="269"/>
      <c r="G1014" s="258"/>
      <c r="H1014" s="270"/>
      <c r="I1014" s="271"/>
      <c r="J1014" s="271"/>
      <c r="K1014" s="234"/>
      <c r="L1014" s="307"/>
      <c r="M1014" s="272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67"/>
      <c r="C1015" s="234"/>
      <c r="D1015" s="234"/>
      <c r="E1015" s="268"/>
      <c r="F1015" s="269"/>
      <c r="G1015" s="258"/>
      <c r="H1015" s="270"/>
      <c r="I1015" s="271"/>
      <c r="J1015" s="271"/>
      <c r="K1015" s="234"/>
      <c r="L1015" s="307"/>
      <c r="M1015" s="272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67"/>
      <c r="C1016" s="234"/>
      <c r="D1016" s="234"/>
      <c r="E1016" s="268"/>
      <c r="F1016" s="269"/>
      <c r="G1016" s="258"/>
      <c r="H1016" s="270"/>
      <c r="I1016" s="271"/>
      <c r="J1016" s="271"/>
      <c r="K1016" s="234"/>
      <c r="L1016" s="307"/>
      <c r="M1016" s="272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67"/>
      <c r="C1017" s="234"/>
      <c r="D1017" s="234"/>
      <c r="E1017" s="268"/>
      <c r="F1017" s="269"/>
      <c r="G1017" s="258"/>
      <c r="H1017" s="270"/>
      <c r="I1017" s="271"/>
      <c r="J1017" s="271"/>
      <c r="K1017" s="234"/>
      <c r="L1017" s="307"/>
      <c r="M1017" s="272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67"/>
      <c r="C1018" s="234"/>
      <c r="D1018" s="234"/>
      <c r="E1018" s="268"/>
      <c r="F1018" s="269"/>
      <c r="G1018" s="258"/>
      <c r="H1018" s="270"/>
      <c r="I1018" s="271"/>
      <c r="J1018" s="271"/>
      <c r="K1018" s="234"/>
      <c r="L1018" s="307"/>
      <c r="M1018" s="272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67"/>
      <c r="C1019" s="234"/>
      <c r="D1019" s="234"/>
      <c r="E1019" s="268"/>
      <c r="F1019" s="269"/>
      <c r="G1019" s="258"/>
      <c r="H1019" s="270"/>
      <c r="I1019" s="271"/>
      <c r="J1019" s="271"/>
      <c r="K1019" s="234"/>
      <c r="L1019" s="307"/>
      <c r="M1019" s="272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67"/>
      <c r="C1020" s="234"/>
      <c r="D1020" s="234"/>
      <c r="E1020" s="268"/>
      <c r="F1020" s="269"/>
      <c r="G1020" s="258"/>
      <c r="H1020" s="270"/>
      <c r="I1020" s="271"/>
      <c r="J1020" s="271"/>
      <c r="K1020" s="234"/>
      <c r="L1020" s="307"/>
      <c r="M1020" s="272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67"/>
      <c r="C1021" s="234"/>
      <c r="D1021" s="234"/>
      <c r="E1021" s="268"/>
      <c r="F1021" s="269"/>
      <c r="G1021" s="258"/>
      <c r="H1021" s="270"/>
      <c r="I1021" s="271"/>
      <c r="J1021" s="271"/>
      <c r="K1021" s="234"/>
      <c r="L1021" s="307"/>
      <c r="M1021" s="272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67"/>
      <c r="C1022" s="234"/>
      <c r="D1022" s="234"/>
      <c r="E1022" s="268"/>
      <c r="F1022" s="269"/>
      <c r="G1022" s="258"/>
      <c r="H1022" s="270"/>
      <c r="I1022" s="271"/>
      <c r="J1022" s="271"/>
      <c r="K1022" s="234"/>
      <c r="L1022" s="307"/>
      <c r="M1022" s="272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67"/>
      <c r="C1023" s="234"/>
      <c r="D1023" s="234"/>
      <c r="E1023" s="268"/>
      <c r="F1023" s="269"/>
      <c r="G1023" s="258"/>
      <c r="H1023" s="270"/>
      <c r="I1023" s="271"/>
      <c r="J1023" s="271"/>
      <c r="K1023" s="234"/>
      <c r="L1023" s="307"/>
      <c r="M1023" s="272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67"/>
      <c r="C1024" s="234"/>
      <c r="D1024" s="234"/>
      <c r="E1024" s="268"/>
      <c r="F1024" s="269"/>
      <c r="G1024" s="258"/>
      <c r="H1024" s="270"/>
      <c r="I1024" s="271"/>
      <c r="J1024" s="271"/>
      <c r="K1024" s="234"/>
      <c r="L1024" s="307"/>
      <c r="M1024" s="272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67"/>
      <c r="C1025" s="234"/>
      <c r="D1025" s="234"/>
      <c r="E1025" s="268"/>
      <c r="F1025" s="269"/>
      <c r="G1025" s="258"/>
      <c r="H1025" s="270"/>
      <c r="I1025" s="271"/>
      <c r="J1025" s="271"/>
      <c r="K1025" s="234"/>
      <c r="L1025" s="307"/>
      <c r="M1025" s="272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67"/>
      <c r="C1026" s="234"/>
      <c r="D1026" s="234"/>
      <c r="E1026" s="268"/>
      <c r="F1026" s="269"/>
      <c r="G1026" s="258"/>
      <c r="H1026" s="270"/>
      <c r="I1026" s="271"/>
      <c r="J1026" s="271"/>
      <c r="K1026" s="234"/>
      <c r="L1026" s="307"/>
      <c r="M1026" s="272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67"/>
      <c r="C1027" s="234"/>
      <c r="D1027" s="234"/>
      <c r="E1027" s="268"/>
      <c r="F1027" s="269"/>
      <c r="G1027" s="258"/>
      <c r="H1027" s="270"/>
      <c r="I1027" s="271"/>
      <c r="J1027" s="271"/>
      <c r="K1027" s="234"/>
      <c r="L1027" s="307"/>
      <c r="M1027" s="272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67"/>
      <c r="C1028" s="234"/>
      <c r="D1028" s="234"/>
      <c r="E1028" s="268"/>
      <c r="F1028" s="269"/>
      <c r="G1028" s="258"/>
      <c r="H1028" s="270"/>
      <c r="I1028" s="271"/>
      <c r="J1028" s="271"/>
      <c r="K1028" s="234"/>
      <c r="L1028" s="307"/>
      <c r="M1028" s="272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67"/>
      <c r="C1029" s="234"/>
      <c r="D1029" s="234"/>
      <c r="E1029" s="268"/>
      <c r="F1029" s="269"/>
      <c r="G1029" s="258"/>
      <c r="H1029" s="270"/>
      <c r="I1029" s="271"/>
      <c r="J1029" s="271"/>
      <c r="K1029" s="234"/>
      <c r="L1029" s="307"/>
      <c r="M1029" s="272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67"/>
      <c r="C1030" s="234"/>
      <c r="D1030" s="234"/>
      <c r="E1030" s="268"/>
      <c r="F1030" s="269"/>
      <c r="G1030" s="258"/>
      <c r="H1030" s="270"/>
      <c r="I1030" s="271"/>
      <c r="J1030" s="271"/>
      <c r="K1030" s="234"/>
      <c r="L1030" s="307"/>
      <c r="M1030" s="272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67"/>
      <c r="C1031" s="234"/>
      <c r="D1031" s="234"/>
      <c r="E1031" s="268"/>
      <c r="F1031" s="269"/>
      <c r="G1031" s="258"/>
      <c r="H1031" s="270"/>
      <c r="I1031" s="271"/>
      <c r="J1031" s="271"/>
      <c r="K1031" s="234"/>
      <c r="L1031" s="307"/>
      <c r="M1031" s="272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67"/>
      <c r="C1032" s="234"/>
      <c r="D1032" s="234"/>
      <c r="E1032" s="268"/>
      <c r="F1032" s="269"/>
      <c r="G1032" s="258"/>
      <c r="H1032" s="270"/>
      <c r="I1032" s="271"/>
      <c r="J1032" s="271"/>
      <c r="K1032" s="234"/>
      <c r="L1032" s="307"/>
      <c r="M1032" s="272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67"/>
      <c r="C1033" s="234"/>
      <c r="D1033" s="234"/>
      <c r="E1033" s="268"/>
      <c r="F1033" s="269"/>
      <c r="G1033" s="258"/>
      <c r="H1033" s="270"/>
      <c r="I1033" s="271"/>
      <c r="J1033" s="271"/>
      <c r="K1033" s="234"/>
      <c r="L1033" s="307"/>
      <c r="M1033" s="272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67"/>
      <c r="C1034" s="234"/>
      <c r="D1034" s="234"/>
      <c r="E1034" s="268"/>
      <c r="F1034" s="269"/>
      <c r="G1034" s="258"/>
      <c r="H1034" s="270"/>
      <c r="I1034" s="271"/>
      <c r="J1034" s="271"/>
      <c r="K1034" s="234"/>
      <c r="L1034" s="307"/>
      <c r="M1034" s="272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67"/>
      <c r="C1035" s="234"/>
      <c r="D1035" s="234"/>
      <c r="E1035" s="268"/>
      <c r="F1035" s="269"/>
      <c r="G1035" s="258"/>
      <c r="H1035" s="270"/>
      <c r="I1035" s="271"/>
      <c r="J1035" s="271"/>
      <c r="K1035" s="234"/>
      <c r="L1035" s="307"/>
      <c r="M1035" s="272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67"/>
      <c r="C1036" s="234"/>
      <c r="D1036" s="234"/>
      <c r="E1036" s="268"/>
      <c r="F1036" s="269"/>
      <c r="G1036" s="258"/>
      <c r="H1036" s="270"/>
      <c r="I1036" s="271"/>
      <c r="J1036" s="271"/>
      <c r="K1036" s="234"/>
      <c r="L1036" s="307"/>
      <c r="M1036" s="272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67"/>
      <c r="C1037" s="234"/>
      <c r="D1037" s="234"/>
      <c r="E1037" s="268"/>
      <c r="F1037" s="269"/>
      <c r="G1037" s="258"/>
      <c r="H1037" s="270"/>
      <c r="I1037" s="271"/>
      <c r="J1037" s="271"/>
      <c r="K1037" s="234"/>
      <c r="L1037" s="307"/>
      <c r="M1037" s="272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67"/>
      <c r="C1038" s="234"/>
      <c r="D1038" s="234"/>
      <c r="E1038" s="268"/>
      <c r="F1038" s="269"/>
      <c r="G1038" s="258"/>
      <c r="H1038" s="270"/>
      <c r="I1038" s="271"/>
      <c r="J1038" s="271"/>
      <c r="K1038" s="234"/>
      <c r="L1038" s="307"/>
      <c r="M1038" s="272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67"/>
      <c r="C1039" s="234"/>
      <c r="D1039" s="234"/>
      <c r="E1039" s="268"/>
      <c r="F1039" s="269"/>
      <c r="G1039" s="258"/>
      <c r="H1039" s="270"/>
      <c r="I1039" s="271"/>
      <c r="J1039" s="271"/>
      <c r="K1039" s="234"/>
      <c r="L1039" s="307"/>
      <c r="M1039" s="272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67"/>
      <c r="C1040" s="234"/>
      <c r="D1040" s="234"/>
      <c r="E1040" s="268"/>
      <c r="F1040" s="269"/>
      <c r="G1040" s="258"/>
      <c r="H1040" s="270"/>
      <c r="I1040" s="271"/>
      <c r="J1040" s="271"/>
      <c r="K1040" s="234"/>
      <c r="L1040" s="307"/>
      <c r="M1040" s="272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67"/>
      <c r="C1041" s="234"/>
      <c r="D1041" s="234"/>
      <c r="E1041" s="268"/>
      <c r="F1041" s="269"/>
      <c r="G1041" s="258"/>
      <c r="H1041" s="270"/>
      <c r="I1041" s="271"/>
      <c r="J1041" s="271"/>
      <c r="K1041" s="234"/>
      <c r="L1041" s="307"/>
      <c r="M1041" s="272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67"/>
      <c r="C1042" s="234"/>
      <c r="D1042" s="234"/>
      <c r="E1042" s="268"/>
      <c r="F1042" s="269"/>
      <c r="G1042" s="258"/>
      <c r="H1042" s="270"/>
      <c r="I1042" s="271"/>
      <c r="J1042" s="271"/>
      <c r="K1042" s="234"/>
      <c r="L1042" s="307"/>
      <c r="M1042" s="272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67"/>
      <c r="C1043" s="234"/>
      <c r="D1043" s="234"/>
      <c r="E1043" s="268"/>
      <c r="F1043" s="269"/>
      <c r="G1043" s="258"/>
      <c r="H1043" s="270"/>
      <c r="I1043" s="271"/>
      <c r="J1043" s="271"/>
      <c r="K1043" s="234"/>
      <c r="L1043" s="307"/>
      <c r="M1043" s="272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67"/>
      <c r="C1044" s="234"/>
      <c r="D1044" s="234"/>
      <c r="E1044" s="268"/>
      <c r="F1044" s="269"/>
      <c r="G1044" s="258"/>
      <c r="H1044" s="270"/>
      <c r="I1044" s="271"/>
      <c r="J1044" s="271"/>
      <c r="K1044" s="234"/>
      <c r="L1044" s="307"/>
      <c r="M1044" s="272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67"/>
      <c r="C1045" s="234"/>
      <c r="D1045" s="234"/>
      <c r="E1045" s="268"/>
      <c r="F1045" s="269"/>
      <c r="G1045" s="258"/>
      <c r="H1045" s="270"/>
      <c r="I1045" s="271"/>
      <c r="J1045" s="271"/>
      <c r="K1045" s="234"/>
      <c r="L1045" s="307"/>
      <c r="M1045" s="272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67"/>
      <c r="C1046" s="234"/>
      <c r="D1046" s="234"/>
      <c r="E1046" s="268"/>
      <c r="F1046" s="269"/>
      <c r="G1046" s="258"/>
      <c r="H1046" s="270"/>
      <c r="I1046" s="271"/>
      <c r="J1046" s="271"/>
      <c r="K1046" s="234"/>
      <c r="L1046" s="307"/>
      <c r="M1046" s="272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67"/>
      <c r="C1047" s="234"/>
      <c r="D1047" s="234"/>
      <c r="E1047" s="268"/>
      <c r="F1047" s="269"/>
      <c r="G1047" s="258"/>
      <c r="H1047" s="270"/>
      <c r="I1047" s="271"/>
      <c r="J1047" s="271"/>
      <c r="K1047" s="234"/>
      <c r="L1047" s="307"/>
      <c r="M1047" s="272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67"/>
      <c r="C1048" s="234"/>
      <c r="D1048" s="234"/>
      <c r="E1048" s="268"/>
      <c r="F1048" s="269"/>
      <c r="G1048" s="258"/>
      <c r="H1048" s="270"/>
      <c r="I1048" s="271"/>
      <c r="J1048" s="271"/>
      <c r="K1048" s="234"/>
      <c r="L1048" s="307"/>
      <c r="M1048" s="272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67"/>
      <c r="C1049" s="234"/>
      <c r="D1049" s="234"/>
      <c r="E1049" s="268"/>
      <c r="F1049" s="269"/>
      <c r="G1049" s="258"/>
      <c r="H1049" s="270"/>
      <c r="I1049" s="271"/>
      <c r="J1049" s="271"/>
      <c r="K1049" s="234"/>
      <c r="L1049" s="307"/>
      <c r="M1049" s="272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67"/>
      <c r="C1050" s="234"/>
      <c r="D1050" s="234"/>
      <c r="E1050" s="268"/>
      <c r="F1050" s="269"/>
      <c r="G1050" s="258"/>
      <c r="H1050" s="270"/>
      <c r="I1050" s="271"/>
      <c r="J1050" s="271"/>
      <c r="K1050" s="234"/>
      <c r="L1050" s="307"/>
      <c r="M1050" s="272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67"/>
      <c r="C1051" s="234"/>
      <c r="D1051" s="234"/>
      <c r="E1051" s="268"/>
      <c r="F1051" s="269"/>
      <c r="G1051" s="258"/>
      <c r="H1051" s="270"/>
      <c r="I1051" s="271"/>
      <c r="J1051" s="271"/>
      <c r="K1051" s="234"/>
      <c r="L1051" s="307"/>
      <c r="M1051" s="272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67"/>
      <c r="C1052" s="234"/>
      <c r="D1052" s="234"/>
      <c r="E1052" s="268"/>
      <c r="F1052" s="269"/>
      <c r="G1052" s="258"/>
      <c r="H1052" s="270"/>
      <c r="I1052" s="271"/>
      <c r="J1052" s="271"/>
      <c r="K1052" s="234"/>
      <c r="L1052" s="307"/>
      <c r="M1052" s="272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67"/>
      <c r="C1053" s="234"/>
      <c r="D1053" s="234"/>
      <c r="E1053" s="268"/>
      <c r="F1053" s="269"/>
      <c r="G1053" s="258"/>
      <c r="H1053" s="270"/>
      <c r="I1053" s="271"/>
      <c r="J1053" s="271"/>
      <c r="K1053" s="234"/>
      <c r="L1053" s="307"/>
      <c r="M1053" s="272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67"/>
      <c r="C1054" s="234"/>
      <c r="D1054" s="234"/>
      <c r="E1054" s="268"/>
      <c r="F1054" s="269"/>
      <c r="G1054" s="258"/>
      <c r="H1054" s="270"/>
      <c r="I1054" s="271"/>
      <c r="J1054" s="271"/>
      <c r="K1054" s="234"/>
      <c r="L1054" s="307"/>
      <c r="M1054" s="272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67"/>
      <c r="C1055" s="234"/>
      <c r="D1055" s="234"/>
      <c r="E1055" s="268"/>
      <c r="F1055" s="269"/>
      <c r="G1055" s="258"/>
      <c r="H1055" s="270"/>
      <c r="I1055" s="271"/>
      <c r="J1055" s="271"/>
      <c r="K1055" s="234"/>
      <c r="L1055" s="307"/>
      <c r="M1055" s="272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67"/>
      <c r="C1056" s="234"/>
      <c r="D1056" s="234"/>
      <c r="E1056" s="268"/>
      <c r="F1056" s="269"/>
      <c r="G1056" s="258"/>
      <c r="H1056" s="270"/>
      <c r="I1056" s="271"/>
      <c r="J1056" s="271"/>
      <c r="K1056" s="234"/>
      <c r="L1056" s="307"/>
      <c r="M1056" s="272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67"/>
      <c r="C1057" s="234"/>
      <c r="D1057" s="234"/>
      <c r="E1057" s="268"/>
      <c r="F1057" s="269"/>
      <c r="G1057" s="258"/>
      <c r="H1057" s="270"/>
      <c r="I1057" s="271"/>
      <c r="J1057" s="271"/>
      <c r="K1057" s="234"/>
      <c r="L1057" s="307"/>
      <c r="M1057" s="272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67"/>
      <c r="C1058" s="234"/>
      <c r="D1058" s="234"/>
      <c r="E1058" s="268"/>
      <c r="F1058" s="269"/>
      <c r="G1058" s="258"/>
      <c r="H1058" s="270"/>
      <c r="I1058" s="271"/>
      <c r="J1058" s="271"/>
      <c r="K1058" s="234"/>
      <c r="L1058" s="307"/>
      <c r="M1058" s="272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67"/>
      <c r="C1059" s="234"/>
      <c r="D1059" s="234"/>
      <c r="E1059" s="268"/>
      <c r="F1059" s="269"/>
      <c r="G1059" s="258"/>
      <c r="H1059" s="270"/>
      <c r="I1059" s="271"/>
      <c r="J1059" s="271"/>
      <c r="K1059" s="234"/>
      <c r="L1059" s="307"/>
      <c r="M1059" s="272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67"/>
      <c r="C1060" s="234"/>
      <c r="D1060" s="234"/>
      <c r="E1060" s="268"/>
      <c r="F1060" s="269"/>
      <c r="G1060" s="258"/>
      <c r="H1060" s="270"/>
      <c r="I1060" s="271"/>
      <c r="J1060" s="271"/>
      <c r="K1060" s="234"/>
      <c r="L1060" s="307"/>
      <c r="M1060" s="272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67"/>
      <c r="C1061" s="234"/>
      <c r="D1061" s="234"/>
      <c r="E1061" s="268"/>
      <c r="F1061" s="269"/>
      <c r="G1061" s="258"/>
      <c r="H1061" s="270"/>
      <c r="I1061" s="271"/>
      <c r="J1061" s="271"/>
      <c r="K1061" s="234"/>
      <c r="L1061" s="307"/>
      <c r="M1061" s="272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67"/>
      <c r="C1062" s="234"/>
      <c r="D1062" s="234"/>
      <c r="E1062" s="268"/>
      <c r="F1062" s="269"/>
      <c r="G1062" s="258"/>
      <c r="H1062" s="270"/>
      <c r="I1062" s="271"/>
      <c r="J1062" s="271"/>
      <c r="K1062" s="234"/>
      <c r="L1062" s="307"/>
      <c r="M1062" s="272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67"/>
      <c r="C1063" s="234"/>
      <c r="D1063" s="234"/>
      <c r="E1063" s="268"/>
      <c r="F1063" s="269"/>
      <c r="G1063" s="258"/>
      <c r="H1063" s="270"/>
      <c r="I1063" s="271"/>
      <c r="J1063" s="271"/>
      <c r="K1063" s="234"/>
      <c r="L1063" s="307"/>
      <c r="M1063" s="272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67"/>
      <c r="C1064" s="234"/>
      <c r="D1064" s="234"/>
      <c r="E1064" s="268"/>
      <c r="F1064" s="269"/>
      <c r="G1064" s="258"/>
      <c r="H1064" s="270"/>
      <c r="I1064" s="271"/>
      <c r="J1064" s="271"/>
      <c r="K1064" s="234"/>
      <c r="L1064" s="307"/>
      <c r="M1064" s="272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67"/>
      <c r="C1065" s="234"/>
      <c r="D1065" s="234"/>
      <c r="E1065" s="268"/>
      <c r="F1065" s="269"/>
      <c r="G1065" s="258"/>
      <c r="H1065" s="270"/>
      <c r="I1065" s="271"/>
      <c r="J1065" s="271"/>
      <c r="K1065" s="234"/>
      <c r="L1065" s="307"/>
      <c r="M1065" s="272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67"/>
      <c r="C1066" s="234"/>
      <c r="D1066" s="234"/>
      <c r="E1066" s="268"/>
      <c r="F1066" s="269"/>
      <c r="G1066" s="258"/>
      <c r="H1066" s="270"/>
      <c r="I1066" s="271"/>
      <c r="J1066" s="271"/>
      <c r="K1066" s="234"/>
      <c r="L1066" s="307"/>
      <c r="M1066" s="272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67"/>
      <c r="C1067" s="234"/>
      <c r="D1067" s="234"/>
      <c r="E1067" s="268"/>
      <c r="F1067" s="269"/>
      <c r="G1067" s="258"/>
      <c r="H1067" s="270"/>
      <c r="I1067" s="271"/>
      <c r="J1067" s="271"/>
      <c r="K1067" s="234"/>
      <c r="L1067" s="307"/>
      <c r="M1067" s="272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67"/>
      <c r="C1068" s="234"/>
      <c r="D1068" s="234"/>
      <c r="E1068" s="268"/>
      <c r="F1068" s="269"/>
      <c r="G1068" s="258"/>
      <c r="H1068" s="270"/>
      <c r="I1068" s="271"/>
      <c r="J1068" s="271"/>
      <c r="K1068" s="234"/>
      <c r="L1068" s="307"/>
      <c r="M1068" s="272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67"/>
      <c r="C1069" s="234"/>
      <c r="D1069" s="234"/>
      <c r="E1069" s="268"/>
      <c r="F1069" s="269"/>
      <c r="G1069" s="258"/>
      <c r="H1069" s="270"/>
      <c r="I1069" s="271"/>
      <c r="J1069" s="271"/>
      <c r="K1069" s="234"/>
      <c r="L1069" s="307"/>
      <c r="M1069" s="272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67"/>
      <c r="C1070" s="234"/>
      <c r="D1070" s="234"/>
      <c r="E1070" s="268"/>
      <c r="F1070" s="269"/>
      <c r="G1070" s="258"/>
      <c r="H1070" s="270"/>
      <c r="I1070" s="271"/>
      <c r="J1070" s="271"/>
      <c r="K1070" s="234"/>
      <c r="L1070" s="307"/>
      <c r="M1070" s="272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67"/>
      <c r="C1071" s="234"/>
      <c r="D1071" s="234"/>
      <c r="E1071" s="268"/>
      <c r="F1071" s="269"/>
      <c r="G1071" s="258"/>
      <c r="H1071" s="270"/>
      <c r="I1071" s="271"/>
      <c r="J1071" s="271"/>
      <c r="K1071" s="234"/>
      <c r="L1071" s="307"/>
      <c r="M1071" s="272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67"/>
      <c r="C1072" s="234"/>
      <c r="D1072" s="234"/>
      <c r="E1072" s="268"/>
      <c r="F1072" s="269"/>
      <c r="G1072" s="258"/>
      <c r="H1072" s="270"/>
      <c r="I1072" s="271"/>
      <c r="J1072" s="271"/>
      <c r="K1072" s="234"/>
      <c r="L1072" s="307"/>
      <c r="M1072" s="272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67"/>
      <c r="C1073" s="234"/>
      <c r="D1073" s="234"/>
      <c r="E1073" s="268"/>
      <c r="F1073" s="269"/>
      <c r="G1073" s="258"/>
      <c r="H1073" s="270"/>
      <c r="I1073" s="271"/>
      <c r="J1073" s="271"/>
      <c r="K1073" s="234"/>
      <c r="L1073" s="307"/>
      <c r="M1073" s="272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67"/>
      <c r="C1074" s="234"/>
      <c r="D1074" s="234"/>
      <c r="E1074" s="268"/>
      <c r="F1074" s="269"/>
      <c r="G1074" s="258"/>
      <c r="H1074" s="270"/>
      <c r="I1074" s="271"/>
      <c r="J1074" s="271"/>
      <c r="K1074" s="234"/>
      <c r="L1074" s="307"/>
      <c r="M1074" s="272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67"/>
      <c r="C1075" s="234"/>
      <c r="D1075" s="234"/>
      <c r="E1075" s="268"/>
      <c r="F1075" s="269"/>
      <c r="G1075" s="258"/>
      <c r="H1075" s="270"/>
      <c r="I1075" s="271"/>
      <c r="J1075" s="271"/>
      <c r="K1075" s="234"/>
      <c r="L1075" s="307"/>
      <c r="M1075" s="272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67"/>
      <c r="C1076" s="234"/>
      <c r="D1076" s="234"/>
      <c r="E1076" s="268"/>
      <c r="F1076" s="269"/>
      <c r="G1076" s="258"/>
      <c r="H1076" s="270"/>
      <c r="I1076" s="271"/>
      <c r="J1076" s="271"/>
      <c r="K1076" s="234"/>
      <c r="L1076" s="307"/>
      <c r="M1076" s="272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67"/>
      <c r="C1077" s="234"/>
      <c r="D1077" s="234"/>
      <c r="E1077" s="268"/>
      <c r="F1077" s="269"/>
      <c r="G1077" s="258"/>
      <c r="H1077" s="270"/>
      <c r="I1077" s="271"/>
      <c r="J1077" s="271"/>
      <c r="K1077" s="234"/>
      <c r="L1077" s="307"/>
      <c r="M1077" s="272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67"/>
      <c r="C1078" s="234"/>
      <c r="D1078" s="234"/>
      <c r="E1078" s="268"/>
      <c r="F1078" s="269"/>
      <c r="G1078" s="258"/>
      <c r="H1078" s="270"/>
      <c r="I1078" s="271"/>
      <c r="J1078" s="271"/>
      <c r="K1078" s="234"/>
      <c r="L1078" s="307"/>
      <c r="M1078" s="272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67"/>
      <c r="C1079" s="234"/>
      <c r="D1079" s="234"/>
      <c r="E1079" s="268"/>
      <c r="F1079" s="269"/>
      <c r="G1079" s="258"/>
      <c r="H1079" s="270"/>
      <c r="I1079" s="271"/>
      <c r="J1079" s="271"/>
      <c r="K1079" s="234"/>
      <c r="L1079" s="307"/>
      <c r="M1079" s="272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67"/>
      <c r="C1080" s="234"/>
      <c r="D1080" s="234"/>
      <c r="E1080" s="268"/>
      <c r="F1080" s="269"/>
      <c r="G1080" s="258"/>
      <c r="H1080" s="270"/>
      <c r="I1080" s="271"/>
      <c r="J1080" s="271"/>
      <c r="K1080" s="234"/>
      <c r="L1080" s="307"/>
      <c r="M1080" s="272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67"/>
      <c r="C1081" s="234"/>
      <c r="D1081" s="234"/>
      <c r="E1081" s="268"/>
      <c r="F1081" s="269"/>
      <c r="G1081" s="258"/>
      <c r="H1081" s="270"/>
      <c r="I1081" s="271"/>
      <c r="J1081" s="271"/>
      <c r="K1081" s="234"/>
      <c r="L1081" s="307"/>
      <c r="M1081" s="272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67"/>
      <c r="C1082" s="234"/>
      <c r="D1082" s="234"/>
      <c r="E1082" s="268"/>
      <c r="F1082" s="269"/>
      <c r="G1082" s="258"/>
      <c r="H1082" s="270"/>
      <c r="I1082" s="271"/>
      <c r="J1082" s="271"/>
      <c r="K1082" s="234"/>
      <c r="L1082" s="307"/>
      <c r="M1082" s="272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67"/>
      <c r="C1083" s="234"/>
      <c r="D1083" s="234"/>
      <c r="E1083" s="268"/>
      <c r="F1083" s="269"/>
      <c r="G1083" s="258"/>
      <c r="H1083" s="270"/>
      <c r="I1083" s="271"/>
      <c r="J1083" s="271"/>
      <c r="K1083" s="234"/>
      <c r="L1083" s="307"/>
      <c r="M1083" s="272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67"/>
      <c r="C1084" s="234"/>
      <c r="D1084" s="234"/>
      <c r="E1084" s="268"/>
      <c r="F1084" s="269"/>
      <c r="G1084" s="258"/>
      <c r="H1084" s="270"/>
      <c r="I1084" s="271"/>
      <c r="J1084" s="271"/>
      <c r="K1084" s="234"/>
      <c r="L1084" s="307"/>
      <c r="M1084" s="272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67"/>
      <c r="C1085" s="234"/>
      <c r="D1085" s="234"/>
      <c r="E1085" s="268"/>
      <c r="F1085" s="269"/>
      <c r="G1085" s="258"/>
      <c r="H1085" s="270"/>
      <c r="I1085" s="271"/>
      <c r="J1085" s="271"/>
      <c r="K1085" s="234"/>
      <c r="L1085" s="307"/>
      <c r="M1085" s="272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67"/>
      <c r="C1086" s="234"/>
      <c r="D1086" s="234"/>
      <c r="E1086" s="268"/>
      <c r="F1086" s="269"/>
      <c r="G1086" s="258"/>
      <c r="H1086" s="270"/>
      <c r="I1086" s="271"/>
      <c r="J1086" s="271"/>
      <c r="K1086" s="234"/>
      <c r="L1086" s="307"/>
      <c r="M1086" s="272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67"/>
      <c r="C1087" s="234"/>
      <c r="D1087" s="234"/>
      <c r="E1087" s="268"/>
      <c r="F1087" s="269"/>
      <c r="G1087" s="258"/>
      <c r="H1087" s="270"/>
      <c r="I1087" s="271"/>
      <c r="J1087" s="271"/>
      <c r="K1087" s="234"/>
      <c r="L1087" s="307"/>
      <c r="M1087" s="272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67"/>
      <c r="C1088" s="234"/>
      <c r="D1088" s="234"/>
      <c r="E1088" s="268"/>
      <c r="F1088" s="269"/>
      <c r="G1088" s="258"/>
      <c r="H1088" s="270"/>
      <c r="I1088" s="271"/>
      <c r="J1088" s="271"/>
      <c r="K1088" s="234"/>
      <c r="L1088" s="307"/>
      <c r="M1088" s="272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67"/>
      <c r="C1089" s="234"/>
      <c r="D1089" s="234"/>
      <c r="E1089" s="268"/>
      <c r="F1089" s="269"/>
      <c r="G1089" s="258"/>
      <c r="H1089" s="270"/>
      <c r="I1089" s="271"/>
      <c r="J1089" s="271"/>
      <c r="K1089" s="234"/>
      <c r="L1089" s="307"/>
      <c r="M1089" s="272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67"/>
      <c r="C1090" s="234"/>
      <c r="D1090" s="234"/>
      <c r="E1090" s="268"/>
      <c r="F1090" s="269"/>
      <c r="G1090" s="258"/>
      <c r="H1090" s="270"/>
      <c r="I1090" s="271"/>
      <c r="J1090" s="271"/>
      <c r="K1090" s="234"/>
      <c r="L1090" s="307"/>
      <c r="M1090" s="272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67"/>
      <c r="C1091" s="234"/>
      <c r="D1091" s="234"/>
      <c r="E1091" s="268"/>
      <c r="F1091" s="269"/>
      <c r="G1091" s="258"/>
      <c r="H1091" s="270"/>
      <c r="I1091" s="271"/>
      <c r="J1091" s="271"/>
      <c r="K1091" s="234"/>
      <c r="L1091" s="307"/>
      <c r="M1091" s="272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67"/>
      <c r="C1092" s="234"/>
      <c r="D1092" s="234"/>
      <c r="E1092" s="268"/>
      <c r="F1092" s="269"/>
      <c r="G1092" s="258"/>
      <c r="H1092" s="270"/>
      <c r="I1092" s="271"/>
      <c r="J1092" s="271"/>
      <c r="K1092" s="234"/>
      <c r="L1092" s="307"/>
      <c r="M1092" s="272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67"/>
      <c r="C1093" s="234"/>
      <c r="D1093" s="234"/>
      <c r="E1093" s="268"/>
      <c r="F1093" s="269"/>
      <c r="G1093" s="258"/>
      <c r="H1093" s="270"/>
      <c r="I1093" s="271"/>
      <c r="J1093" s="271"/>
      <c r="K1093" s="234"/>
      <c r="L1093" s="307"/>
      <c r="M1093" s="272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67"/>
      <c r="C1094" s="234"/>
      <c r="D1094" s="234"/>
      <c r="E1094" s="268"/>
      <c r="F1094" s="269"/>
      <c r="G1094" s="258"/>
      <c r="H1094" s="270"/>
      <c r="I1094" s="271"/>
      <c r="J1094" s="271"/>
      <c r="K1094" s="234"/>
      <c r="L1094" s="307"/>
      <c r="M1094" s="272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67"/>
      <c r="C1095" s="234"/>
      <c r="D1095" s="234"/>
      <c r="E1095" s="268"/>
      <c r="F1095" s="269"/>
      <c r="G1095" s="258"/>
      <c r="H1095" s="270"/>
      <c r="I1095" s="271"/>
      <c r="J1095" s="271"/>
      <c r="K1095" s="234"/>
      <c r="L1095" s="307"/>
      <c r="M1095" s="272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67"/>
      <c r="C1096" s="234"/>
      <c r="D1096" s="234"/>
      <c r="E1096" s="268"/>
      <c r="F1096" s="269"/>
      <c r="G1096" s="258"/>
      <c r="H1096" s="270"/>
      <c r="I1096" s="271"/>
      <c r="J1096" s="271"/>
      <c r="K1096" s="234"/>
      <c r="L1096" s="307"/>
      <c r="M1096" s="272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67"/>
      <c r="C1097" s="234"/>
      <c r="D1097" s="234"/>
      <c r="E1097" s="268"/>
      <c r="F1097" s="269"/>
      <c r="G1097" s="258"/>
      <c r="H1097" s="270"/>
      <c r="I1097" s="271"/>
      <c r="J1097" s="271"/>
      <c r="K1097" s="234"/>
      <c r="L1097" s="307"/>
      <c r="M1097" s="272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67"/>
      <c r="C1098" s="234"/>
      <c r="D1098" s="234"/>
      <c r="E1098" s="268"/>
      <c r="F1098" s="269"/>
      <c r="G1098" s="258"/>
      <c r="H1098" s="270"/>
      <c r="I1098" s="271"/>
      <c r="J1098" s="271"/>
      <c r="K1098" s="234"/>
      <c r="L1098" s="307"/>
      <c r="M1098" s="272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67"/>
      <c r="C1099" s="234"/>
      <c r="D1099" s="234"/>
      <c r="E1099" s="268"/>
      <c r="F1099" s="269"/>
      <c r="G1099" s="258"/>
      <c r="H1099" s="270"/>
      <c r="I1099" s="271"/>
      <c r="J1099" s="271"/>
      <c r="K1099" s="234"/>
      <c r="L1099" s="307"/>
      <c r="M1099" s="272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67"/>
      <c r="C1100" s="234"/>
      <c r="D1100" s="234"/>
      <c r="E1100" s="268"/>
      <c r="F1100" s="269"/>
      <c r="G1100" s="258"/>
      <c r="H1100" s="270"/>
      <c r="I1100" s="271"/>
      <c r="J1100" s="271"/>
      <c r="K1100" s="234"/>
      <c r="L1100" s="307"/>
      <c r="M1100" s="272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67"/>
      <c r="C1101" s="234"/>
      <c r="D1101" s="234"/>
      <c r="E1101" s="268"/>
      <c r="F1101" s="269"/>
      <c r="G1101" s="258"/>
      <c r="H1101" s="270"/>
      <c r="I1101" s="271"/>
      <c r="J1101" s="271"/>
      <c r="K1101" s="234"/>
      <c r="L1101" s="307"/>
      <c r="M1101" s="272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67"/>
      <c r="C1102" s="234"/>
      <c r="D1102" s="234"/>
      <c r="E1102" s="268"/>
      <c r="F1102" s="269"/>
      <c r="G1102" s="258"/>
      <c r="H1102" s="270"/>
      <c r="I1102" s="271"/>
      <c r="J1102" s="271"/>
      <c r="K1102" s="234"/>
      <c r="L1102" s="307"/>
      <c r="M1102" s="272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67"/>
      <c r="C1103" s="234"/>
      <c r="D1103" s="234"/>
      <c r="E1103" s="268"/>
      <c r="F1103" s="269"/>
      <c r="G1103" s="258"/>
      <c r="H1103" s="270"/>
      <c r="I1103" s="271"/>
      <c r="J1103" s="271"/>
      <c r="K1103" s="234"/>
      <c r="L1103" s="307"/>
      <c r="M1103" s="272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67"/>
      <c r="C1104" s="234"/>
      <c r="D1104" s="234"/>
      <c r="E1104" s="268"/>
      <c r="F1104" s="269"/>
      <c r="G1104" s="258"/>
      <c r="H1104" s="270"/>
      <c r="I1104" s="271"/>
      <c r="J1104" s="271"/>
      <c r="K1104" s="234"/>
      <c r="L1104" s="307"/>
      <c r="M1104" s="272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67"/>
      <c r="C1105" s="234"/>
      <c r="D1105" s="234"/>
      <c r="E1105" s="268"/>
      <c r="F1105" s="269"/>
      <c r="G1105" s="258"/>
      <c r="H1105" s="270"/>
      <c r="I1105" s="271"/>
      <c r="J1105" s="271"/>
      <c r="K1105" s="234"/>
      <c r="L1105" s="307"/>
      <c r="M1105" s="272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67"/>
      <c r="C1106" s="234"/>
      <c r="D1106" s="234"/>
      <c r="E1106" s="268"/>
      <c r="F1106" s="269"/>
      <c r="G1106" s="258"/>
      <c r="H1106" s="270"/>
      <c r="I1106" s="271"/>
      <c r="J1106" s="271"/>
      <c r="K1106" s="234"/>
      <c r="L1106" s="307"/>
      <c r="M1106" s="272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67"/>
      <c r="C1107" s="234"/>
      <c r="D1107" s="234"/>
      <c r="E1107" s="268"/>
      <c r="F1107" s="269"/>
      <c r="G1107" s="258"/>
      <c r="H1107" s="270"/>
      <c r="I1107" s="271"/>
      <c r="J1107" s="271"/>
      <c r="K1107" s="234"/>
      <c r="L1107" s="307"/>
      <c r="M1107" s="272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67"/>
      <c r="C1108" s="234"/>
      <c r="D1108" s="234"/>
      <c r="E1108" s="268"/>
      <c r="F1108" s="269"/>
      <c r="G1108" s="258"/>
      <c r="H1108" s="270"/>
      <c r="I1108" s="271"/>
      <c r="J1108" s="271"/>
      <c r="K1108" s="234"/>
      <c r="L1108" s="307"/>
      <c r="M1108" s="272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67"/>
      <c r="C1109" s="234"/>
      <c r="D1109" s="234"/>
      <c r="E1109" s="268"/>
      <c r="F1109" s="269"/>
      <c r="G1109" s="258"/>
      <c r="H1109" s="270"/>
      <c r="I1109" s="271"/>
      <c r="J1109" s="271"/>
      <c r="K1109" s="234"/>
      <c r="L1109" s="307"/>
      <c r="M1109" s="272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67"/>
      <c r="C1110" s="234"/>
      <c r="D1110" s="234"/>
      <c r="E1110" s="268"/>
      <c r="F1110" s="269"/>
      <c r="G1110" s="258"/>
      <c r="H1110" s="270"/>
      <c r="I1110" s="271"/>
      <c r="J1110" s="271"/>
      <c r="K1110" s="234"/>
      <c r="L1110" s="307"/>
      <c r="M1110" s="272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67"/>
      <c r="C1111" s="234"/>
      <c r="D1111" s="234"/>
      <c r="E1111" s="268"/>
      <c r="F1111" s="269"/>
      <c r="G1111" s="258"/>
      <c r="H1111" s="270"/>
      <c r="I1111" s="271"/>
      <c r="J1111" s="271"/>
      <c r="K1111" s="234"/>
      <c r="L1111" s="307"/>
      <c r="M1111" s="272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67"/>
      <c r="C1112" s="234"/>
      <c r="D1112" s="234"/>
      <c r="E1112" s="268"/>
      <c r="F1112" s="269"/>
      <c r="G1112" s="258"/>
      <c r="H1112" s="270"/>
      <c r="I1112" s="271"/>
      <c r="J1112" s="271"/>
      <c r="K1112" s="234"/>
      <c r="L1112" s="307"/>
      <c r="M1112" s="272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67"/>
      <c r="C1113" s="234"/>
      <c r="D1113" s="234"/>
      <c r="E1113" s="268"/>
      <c r="F1113" s="269"/>
      <c r="G1113" s="258"/>
      <c r="H1113" s="270"/>
      <c r="I1113" s="271"/>
      <c r="J1113" s="271"/>
      <c r="K1113" s="234"/>
      <c r="L1113" s="307"/>
      <c r="M1113" s="272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67"/>
      <c r="C1114" s="234"/>
      <c r="D1114" s="234"/>
      <c r="E1114" s="268"/>
      <c r="F1114" s="269"/>
      <c r="G1114" s="258"/>
      <c r="H1114" s="270"/>
      <c r="I1114" s="271"/>
      <c r="J1114" s="271"/>
      <c r="K1114" s="234"/>
      <c r="L1114" s="307"/>
      <c r="M1114" s="272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67"/>
      <c r="C1115" s="234"/>
      <c r="D1115" s="234"/>
      <c r="E1115" s="268"/>
      <c r="F1115" s="269"/>
      <c r="G1115" s="258"/>
      <c r="H1115" s="270"/>
      <c r="I1115" s="271"/>
      <c r="J1115" s="271"/>
      <c r="K1115" s="234"/>
      <c r="L1115" s="307"/>
      <c r="M1115" s="272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67"/>
      <c r="C1116" s="234"/>
      <c r="D1116" s="234"/>
      <c r="E1116" s="268"/>
      <c r="F1116" s="269"/>
      <c r="G1116" s="258"/>
      <c r="H1116" s="270"/>
      <c r="I1116" s="271"/>
      <c r="J1116" s="271"/>
      <c r="K1116" s="234"/>
      <c r="L1116" s="307"/>
      <c r="M1116" s="272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67"/>
      <c r="C1117" s="234"/>
      <c r="D1117" s="234"/>
      <c r="E1117" s="268"/>
      <c r="F1117" s="269"/>
      <c r="G1117" s="258"/>
      <c r="H1117" s="270"/>
      <c r="I1117" s="271"/>
      <c r="J1117" s="271"/>
      <c r="K1117" s="234"/>
      <c r="L1117" s="307"/>
      <c r="M1117" s="272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67"/>
      <c r="C1118" s="234"/>
      <c r="D1118" s="234"/>
      <c r="E1118" s="268"/>
      <c r="F1118" s="269"/>
      <c r="G1118" s="258"/>
      <c r="H1118" s="270"/>
      <c r="I1118" s="271"/>
      <c r="J1118" s="271"/>
      <c r="K1118" s="234"/>
      <c r="L1118" s="307"/>
      <c r="M1118" s="272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67"/>
      <c r="C1119" s="234"/>
      <c r="D1119" s="234"/>
      <c r="E1119" s="268"/>
      <c r="F1119" s="269"/>
      <c r="G1119" s="258"/>
      <c r="H1119" s="270"/>
      <c r="I1119" s="271"/>
      <c r="J1119" s="271"/>
      <c r="K1119" s="234"/>
      <c r="L1119" s="307"/>
      <c r="M1119" s="272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67"/>
      <c r="C1120" s="234"/>
      <c r="D1120" s="234"/>
      <c r="E1120" s="268"/>
      <c r="F1120" s="269"/>
      <c r="G1120" s="258"/>
      <c r="H1120" s="270"/>
      <c r="I1120" s="271"/>
      <c r="J1120" s="271"/>
      <c r="K1120" s="234"/>
      <c r="L1120" s="307"/>
      <c r="M1120" s="272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67"/>
      <c r="C1121" s="234"/>
      <c r="D1121" s="234"/>
      <c r="E1121" s="268"/>
      <c r="F1121" s="269"/>
      <c r="G1121" s="258"/>
      <c r="H1121" s="270"/>
      <c r="I1121" s="271"/>
      <c r="J1121" s="271"/>
      <c r="K1121" s="234"/>
      <c r="L1121" s="307"/>
      <c r="M1121" s="272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67"/>
      <c r="C1122" s="234"/>
      <c r="D1122" s="234"/>
      <c r="E1122" s="268"/>
      <c r="F1122" s="269"/>
      <c r="G1122" s="258"/>
      <c r="H1122" s="270"/>
      <c r="I1122" s="271"/>
      <c r="J1122" s="271"/>
      <c r="K1122" s="234"/>
      <c r="L1122" s="307"/>
      <c r="M1122" s="272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67"/>
      <c r="C1123" s="234"/>
      <c r="D1123" s="234"/>
      <c r="E1123" s="268"/>
      <c r="F1123" s="269"/>
      <c r="G1123" s="258"/>
      <c r="H1123" s="270"/>
      <c r="I1123" s="271"/>
      <c r="J1123" s="271"/>
      <c r="K1123" s="234"/>
      <c r="L1123" s="307"/>
      <c r="M1123" s="272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67"/>
      <c r="C1124" s="234"/>
      <c r="D1124" s="234"/>
      <c r="E1124" s="268"/>
      <c r="F1124" s="269"/>
      <c r="G1124" s="258"/>
      <c r="H1124" s="270"/>
      <c r="I1124" s="271"/>
      <c r="J1124" s="271"/>
      <c r="K1124" s="234"/>
      <c r="L1124" s="307"/>
      <c r="M1124" s="272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67"/>
      <c r="C1125" s="234"/>
      <c r="D1125" s="234"/>
      <c r="E1125" s="268"/>
      <c r="F1125" s="269"/>
      <c r="G1125" s="258"/>
      <c r="H1125" s="270"/>
      <c r="I1125" s="271"/>
      <c r="J1125" s="271"/>
      <c r="K1125" s="234"/>
      <c r="L1125" s="307"/>
      <c r="M1125" s="272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67"/>
      <c r="C1126" s="234"/>
      <c r="D1126" s="234"/>
      <c r="E1126" s="268"/>
      <c r="F1126" s="269"/>
      <c r="G1126" s="258"/>
      <c r="H1126" s="270"/>
      <c r="I1126" s="271"/>
      <c r="J1126" s="271"/>
      <c r="K1126" s="234"/>
      <c r="L1126" s="307"/>
      <c r="M1126" s="272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67"/>
      <c r="C1127" s="234"/>
      <c r="D1127" s="234"/>
      <c r="E1127" s="268"/>
      <c r="F1127" s="269"/>
      <c r="G1127" s="258"/>
      <c r="H1127" s="270"/>
      <c r="I1127" s="271"/>
      <c r="J1127" s="271"/>
      <c r="K1127" s="234"/>
      <c r="L1127" s="307"/>
      <c r="M1127" s="272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67"/>
      <c r="C1128" s="234"/>
      <c r="D1128" s="234"/>
      <c r="E1128" s="268"/>
      <c r="F1128" s="269"/>
      <c r="G1128" s="258"/>
      <c r="H1128" s="270"/>
      <c r="I1128" s="271"/>
      <c r="J1128" s="271"/>
      <c r="K1128" s="234"/>
      <c r="L1128" s="307"/>
      <c r="M1128" s="272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67"/>
      <c r="C1129" s="234"/>
      <c r="D1129" s="234"/>
      <c r="E1129" s="268"/>
      <c r="F1129" s="269"/>
      <c r="G1129" s="258"/>
      <c r="H1129" s="270"/>
      <c r="I1129" s="271"/>
      <c r="J1129" s="271"/>
      <c r="K1129" s="234"/>
      <c r="L1129" s="307"/>
      <c r="M1129" s="272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67"/>
      <c r="C1130" s="234"/>
      <c r="D1130" s="234"/>
      <c r="E1130" s="268"/>
      <c r="F1130" s="269"/>
      <c r="G1130" s="258"/>
      <c r="H1130" s="270"/>
      <c r="I1130" s="271"/>
      <c r="J1130" s="271"/>
      <c r="K1130" s="234"/>
      <c r="L1130" s="307"/>
      <c r="M1130" s="272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67"/>
      <c r="C1131" s="234"/>
      <c r="D1131" s="234"/>
      <c r="E1131" s="268"/>
      <c r="F1131" s="269"/>
      <c r="G1131" s="258"/>
      <c r="H1131" s="270"/>
      <c r="I1131" s="271"/>
      <c r="J1131" s="271"/>
      <c r="K1131" s="234"/>
      <c r="L1131" s="307"/>
      <c r="M1131" s="272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67"/>
      <c r="C1132" s="234"/>
      <c r="D1132" s="234"/>
      <c r="E1132" s="268"/>
      <c r="F1132" s="269"/>
      <c r="G1132" s="258"/>
      <c r="H1132" s="270"/>
      <c r="I1132" s="271"/>
      <c r="J1132" s="271"/>
      <c r="K1132" s="234"/>
      <c r="L1132" s="307"/>
      <c r="M1132" s="272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67"/>
      <c r="C1133" s="234"/>
      <c r="D1133" s="234"/>
      <c r="E1133" s="268"/>
      <c r="F1133" s="269"/>
      <c r="G1133" s="258"/>
      <c r="H1133" s="270"/>
      <c r="I1133" s="271"/>
      <c r="J1133" s="271"/>
      <c r="K1133" s="234"/>
      <c r="L1133" s="307"/>
      <c r="M1133" s="272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67"/>
      <c r="C1134" s="234"/>
      <c r="D1134" s="234"/>
      <c r="E1134" s="268"/>
      <c r="F1134" s="269"/>
      <c r="G1134" s="258"/>
      <c r="H1134" s="270"/>
      <c r="I1134" s="271"/>
      <c r="J1134" s="271"/>
      <c r="K1134" s="234"/>
      <c r="L1134" s="307"/>
      <c r="M1134" s="272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67"/>
      <c r="C1135" s="234"/>
      <c r="D1135" s="234"/>
      <c r="E1135" s="268"/>
      <c r="F1135" s="269"/>
      <c r="G1135" s="258"/>
      <c r="H1135" s="270"/>
      <c r="I1135" s="271"/>
      <c r="J1135" s="271"/>
      <c r="K1135" s="234"/>
      <c r="L1135" s="307"/>
      <c r="M1135" s="272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67"/>
      <c r="C1136" s="234"/>
      <c r="D1136" s="234"/>
      <c r="E1136" s="268"/>
      <c r="F1136" s="269"/>
      <c r="G1136" s="258"/>
      <c r="H1136" s="270"/>
      <c r="I1136" s="271"/>
      <c r="J1136" s="271"/>
      <c r="K1136" s="234"/>
      <c r="L1136" s="307"/>
      <c r="M1136" s="272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67"/>
      <c r="C1137" s="234"/>
      <c r="D1137" s="234"/>
      <c r="E1137" s="268"/>
      <c r="F1137" s="269"/>
      <c r="G1137" s="258"/>
      <c r="H1137" s="270"/>
      <c r="I1137" s="271"/>
      <c r="J1137" s="271"/>
      <c r="K1137" s="234"/>
      <c r="L1137" s="307"/>
      <c r="M1137" s="272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67"/>
      <c r="C1138" s="234"/>
      <c r="D1138" s="234"/>
      <c r="E1138" s="268"/>
      <c r="F1138" s="269"/>
      <c r="G1138" s="258"/>
      <c r="H1138" s="270"/>
      <c r="I1138" s="271"/>
      <c r="J1138" s="271"/>
      <c r="K1138" s="234"/>
      <c r="L1138" s="307"/>
      <c r="M1138" s="272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67"/>
      <c r="C1139" s="234"/>
      <c r="D1139" s="234"/>
      <c r="E1139" s="268"/>
      <c r="F1139" s="269"/>
      <c r="G1139" s="258"/>
      <c r="H1139" s="270"/>
      <c r="I1139" s="271"/>
      <c r="J1139" s="271"/>
      <c r="K1139" s="234"/>
      <c r="L1139" s="307"/>
      <c r="M1139" s="272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67"/>
      <c r="C1140" s="234"/>
      <c r="D1140" s="234"/>
      <c r="E1140" s="268"/>
      <c r="F1140" s="269"/>
      <c r="G1140" s="258"/>
      <c r="H1140" s="270"/>
      <c r="I1140" s="271"/>
      <c r="J1140" s="271"/>
      <c r="K1140" s="234"/>
      <c r="L1140" s="307"/>
      <c r="M1140" s="272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67"/>
      <c r="C1141" s="234"/>
      <c r="D1141" s="234"/>
      <c r="E1141" s="268"/>
      <c r="F1141" s="269"/>
      <c r="G1141" s="258"/>
      <c r="H1141" s="270"/>
      <c r="I1141" s="271"/>
      <c r="J1141" s="271"/>
      <c r="K1141" s="234"/>
      <c r="L1141" s="307"/>
      <c r="M1141" s="272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67"/>
      <c r="C1142" s="234"/>
      <c r="D1142" s="234"/>
      <c r="E1142" s="268"/>
      <c r="F1142" s="269"/>
      <c r="G1142" s="258"/>
      <c r="H1142" s="270"/>
      <c r="I1142" s="271"/>
      <c r="J1142" s="271"/>
      <c r="K1142" s="234"/>
      <c r="L1142" s="307"/>
      <c r="M1142" s="272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67"/>
      <c r="C1143" s="234"/>
      <c r="D1143" s="234"/>
      <c r="E1143" s="268"/>
      <c r="F1143" s="269"/>
      <c r="G1143" s="258"/>
      <c r="H1143" s="270"/>
      <c r="I1143" s="271"/>
      <c r="J1143" s="271"/>
      <c r="K1143" s="234"/>
      <c r="L1143" s="307"/>
      <c r="M1143" s="272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67"/>
      <c r="C1144" s="234"/>
      <c r="D1144" s="234"/>
      <c r="E1144" s="268"/>
      <c r="F1144" s="269"/>
      <c r="G1144" s="258"/>
      <c r="H1144" s="270"/>
      <c r="I1144" s="271"/>
      <c r="J1144" s="271"/>
      <c r="K1144" s="234"/>
      <c r="L1144" s="307"/>
      <c r="M1144" s="272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67"/>
      <c r="C1145" s="234"/>
      <c r="D1145" s="234"/>
      <c r="E1145" s="268"/>
      <c r="F1145" s="269"/>
      <c r="G1145" s="258"/>
      <c r="H1145" s="270"/>
      <c r="I1145" s="271"/>
      <c r="J1145" s="271"/>
      <c r="K1145" s="234"/>
      <c r="L1145" s="307"/>
      <c r="M1145" s="272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67"/>
      <c r="C1146" s="234"/>
      <c r="D1146" s="234"/>
      <c r="E1146" s="268"/>
      <c r="F1146" s="269"/>
      <c r="G1146" s="258"/>
      <c r="H1146" s="270"/>
      <c r="I1146" s="271"/>
      <c r="J1146" s="271"/>
      <c r="K1146" s="234"/>
      <c r="L1146" s="307"/>
      <c r="M1146" s="272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67"/>
      <c r="C1147" s="234"/>
      <c r="D1147" s="234"/>
      <c r="E1147" s="268"/>
      <c r="F1147" s="269"/>
      <c r="G1147" s="258"/>
      <c r="H1147" s="270"/>
      <c r="I1147" s="271"/>
      <c r="J1147" s="271"/>
      <c r="K1147" s="234"/>
      <c r="L1147" s="307"/>
      <c r="M1147" s="272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67"/>
      <c r="C1148" s="234"/>
      <c r="D1148" s="234"/>
      <c r="E1148" s="268"/>
      <c r="F1148" s="269"/>
      <c r="G1148" s="258"/>
      <c r="H1148" s="270"/>
      <c r="I1148" s="271"/>
      <c r="J1148" s="271"/>
      <c r="K1148" s="234"/>
      <c r="L1148" s="307"/>
      <c r="M1148" s="272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67"/>
      <c r="C1149" s="234"/>
      <c r="D1149" s="234"/>
      <c r="E1149" s="268"/>
      <c r="F1149" s="269"/>
      <c r="G1149" s="258"/>
      <c r="H1149" s="270"/>
      <c r="I1149" s="271"/>
      <c r="J1149" s="271"/>
      <c r="K1149" s="234"/>
      <c r="L1149" s="307"/>
      <c r="M1149" s="272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67"/>
      <c r="C1150" s="234"/>
      <c r="D1150" s="234"/>
      <c r="E1150" s="268"/>
      <c r="F1150" s="269"/>
      <c r="G1150" s="258"/>
      <c r="H1150" s="270"/>
      <c r="I1150" s="271"/>
      <c r="J1150" s="271"/>
      <c r="K1150" s="234"/>
      <c r="L1150" s="307"/>
      <c r="M1150" s="272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67"/>
      <c r="C1151" s="234"/>
      <c r="D1151" s="234"/>
      <c r="E1151" s="268"/>
      <c r="F1151" s="269"/>
      <c r="G1151" s="258"/>
      <c r="H1151" s="270"/>
      <c r="I1151" s="271"/>
      <c r="J1151" s="271"/>
      <c r="K1151" s="234"/>
      <c r="L1151" s="307"/>
      <c r="M1151" s="272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67"/>
      <c r="C1152" s="234"/>
      <c r="D1152" s="234"/>
      <c r="E1152" s="268"/>
      <c r="F1152" s="269"/>
      <c r="G1152" s="258"/>
      <c r="H1152" s="270"/>
      <c r="I1152" s="271"/>
      <c r="J1152" s="271"/>
      <c r="K1152" s="234"/>
      <c r="L1152" s="307"/>
      <c r="M1152" s="272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67"/>
      <c r="C1153" s="234"/>
      <c r="D1153" s="234"/>
      <c r="E1153" s="268"/>
      <c r="F1153" s="269"/>
      <c r="G1153" s="258"/>
      <c r="H1153" s="270"/>
      <c r="I1153" s="271"/>
      <c r="J1153" s="271"/>
      <c r="K1153" s="234"/>
      <c r="L1153" s="307"/>
      <c r="M1153" s="272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67"/>
      <c r="C1154" s="234"/>
      <c r="D1154" s="234"/>
      <c r="E1154" s="268"/>
      <c r="F1154" s="269"/>
      <c r="G1154" s="258"/>
      <c r="H1154" s="270"/>
      <c r="I1154" s="271"/>
      <c r="J1154" s="271"/>
      <c r="K1154" s="234"/>
      <c r="L1154" s="307"/>
      <c r="M1154" s="272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67"/>
      <c r="C1155" s="234"/>
      <c r="D1155" s="234"/>
      <c r="E1155" s="268"/>
      <c r="F1155" s="269"/>
      <c r="G1155" s="258"/>
      <c r="H1155" s="270"/>
      <c r="I1155" s="271"/>
      <c r="J1155" s="271"/>
      <c r="K1155" s="234"/>
      <c r="L1155" s="307"/>
      <c r="M1155" s="272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67"/>
      <c r="C1156" s="234"/>
      <c r="D1156" s="234"/>
      <c r="E1156" s="268"/>
      <c r="F1156" s="269"/>
      <c r="G1156" s="258"/>
      <c r="H1156" s="270"/>
      <c r="I1156" s="271"/>
      <c r="J1156" s="271"/>
      <c r="K1156" s="234"/>
      <c r="L1156" s="307"/>
      <c r="M1156" s="272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67"/>
      <c r="C1157" s="234"/>
      <c r="D1157" s="234"/>
      <c r="E1157" s="268"/>
      <c r="F1157" s="269"/>
      <c r="G1157" s="258"/>
      <c r="H1157" s="270"/>
      <c r="I1157" s="271"/>
      <c r="J1157" s="271"/>
      <c r="K1157" s="234"/>
      <c r="L1157" s="307"/>
      <c r="M1157" s="272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67"/>
      <c r="C1158" s="234"/>
      <c r="D1158" s="234"/>
      <c r="E1158" s="268"/>
      <c r="F1158" s="269"/>
      <c r="G1158" s="258"/>
      <c r="H1158" s="270"/>
      <c r="I1158" s="271"/>
      <c r="J1158" s="271"/>
      <c r="K1158" s="234"/>
      <c r="L1158" s="307"/>
      <c r="M1158" s="272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67"/>
      <c r="C1159" s="234"/>
      <c r="D1159" s="234"/>
      <c r="E1159" s="268"/>
      <c r="F1159" s="269"/>
      <c r="G1159" s="258"/>
      <c r="H1159" s="270"/>
      <c r="I1159" s="271"/>
      <c r="J1159" s="271"/>
      <c r="K1159" s="234"/>
      <c r="L1159" s="307"/>
      <c r="M1159" s="272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67"/>
      <c r="C1160" s="234"/>
      <c r="D1160" s="234"/>
      <c r="E1160" s="268"/>
      <c r="F1160" s="269"/>
      <c r="G1160" s="258"/>
      <c r="H1160" s="270"/>
      <c r="I1160" s="271"/>
      <c r="J1160" s="271"/>
      <c r="K1160" s="234"/>
      <c r="L1160" s="307"/>
      <c r="M1160" s="272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67"/>
      <c r="C1161" s="234"/>
      <c r="D1161" s="234"/>
      <c r="E1161" s="268"/>
      <c r="F1161" s="269"/>
      <c r="G1161" s="258"/>
      <c r="H1161" s="270"/>
      <c r="I1161" s="271"/>
      <c r="J1161" s="271"/>
      <c r="K1161" s="234"/>
      <c r="L1161" s="307"/>
      <c r="M1161" s="272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67"/>
      <c r="C1162" s="234"/>
      <c r="D1162" s="234"/>
      <c r="E1162" s="268"/>
      <c r="F1162" s="269"/>
      <c r="G1162" s="258"/>
      <c r="H1162" s="270"/>
      <c r="I1162" s="271"/>
      <c r="J1162" s="271"/>
      <c r="K1162" s="234"/>
      <c r="L1162" s="307"/>
      <c r="M1162" s="272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67"/>
      <c r="C1163" s="234"/>
      <c r="D1163" s="234"/>
      <c r="E1163" s="268"/>
      <c r="F1163" s="269"/>
      <c r="G1163" s="258"/>
      <c r="H1163" s="270"/>
      <c r="I1163" s="271"/>
      <c r="J1163" s="271"/>
      <c r="K1163" s="234"/>
      <c r="L1163" s="307"/>
      <c r="M1163" s="272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67"/>
      <c r="C1164" s="234"/>
      <c r="D1164" s="234"/>
      <c r="E1164" s="268"/>
      <c r="F1164" s="269"/>
      <c r="G1164" s="258"/>
      <c r="H1164" s="270"/>
      <c r="I1164" s="271"/>
      <c r="J1164" s="271"/>
      <c r="K1164" s="234"/>
      <c r="L1164" s="307"/>
      <c r="M1164" s="272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67"/>
      <c r="C1165" s="234"/>
      <c r="D1165" s="234"/>
      <c r="E1165" s="268"/>
      <c r="F1165" s="269"/>
      <c r="G1165" s="258"/>
      <c r="H1165" s="270"/>
      <c r="I1165" s="271"/>
      <c r="J1165" s="271"/>
      <c r="K1165" s="234"/>
      <c r="L1165" s="307"/>
      <c r="M1165" s="272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67"/>
      <c r="C1166" s="234"/>
      <c r="D1166" s="234"/>
      <c r="E1166" s="268"/>
      <c r="F1166" s="269"/>
      <c r="G1166" s="258"/>
      <c r="H1166" s="270"/>
      <c r="I1166" s="271"/>
      <c r="J1166" s="271"/>
      <c r="K1166" s="234"/>
      <c r="L1166" s="307"/>
      <c r="M1166" s="272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67"/>
      <c r="C1167" s="234"/>
      <c r="D1167" s="234"/>
      <c r="E1167" s="268"/>
      <c r="F1167" s="269"/>
      <c r="G1167" s="258"/>
      <c r="H1167" s="270"/>
      <c r="I1167" s="271"/>
      <c r="J1167" s="271"/>
      <c r="K1167" s="234"/>
      <c r="L1167" s="307"/>
      <c r="M1167" s="272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67"/>
      <c r="C1168" s="234"/>
      <c r="D1168" s="234"/>
      <c r="E1168" s="268"/>
      <c r="F1168" s="269"/>
      <c r="G1168" s="258"/>
      <c r="H1168" s="270"/>
      <c r="I1168" s="271"/>
      <c r="J1168" s="271"/>
      <c r="K1168" s="234"/>
      <c r="L1168" s="307"/>
      <c r="M1168" s="272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67"/>
      <c r="C1169" s="234"/>
      <c r="D1169" s="234"/>
      <c r="E1169" s="268"/>
      <c r="F1169" s="269"/>
      <c r="G1169" s="258"/>
      <c r="H1169" s="270"/>
      <c r="I1169" s="271"/>
      <c r="J1169" s="271"/>
      <c r="K1169" s="234"/>
      <c r="L1169" s="307"/>
      <c r="M1169" s="272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67"/>
      <c r="C1170" s="234"/>
      <c r="D1170" s="234"/>
      <c r="E1170" s="268"/>
      <c r="F1170" s="269"/>
      <c r="G1170" s="258"/>
      <c r="H1170" s="270"/>
      <c r="I1170" s="271"/>
      <c r="J1170" s="271"/>
      <c r="K1170" s="234"/>
      <c r="L1170" s="307"/>
      <c r="M1170" s="272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67"/>
      <c r="C1171" s="234"/>
      <c r="D1171" s="234"/>
      <c r="E1171" s="268"/>
      <c r="F1171" s="269"/>
      <c r="G1171" s="258"/>
      <c r="H1171" s="270"/>
      <c r="I1171" s="271"/>
      <c r="J1171" s="271"/>
      <c r="K1171" s="234"/>
      <c r="L1171" s="307"/>
      <c r="M1171" s="272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67"/>
      <c r="C1172" s="234"/>
      <c r="D1172" s="234"/>
      <c r="E1172" s="268"/>
      <c r="F1172" s="269"/>
      <c r="G1172" s="258"/>
      <c r="H1172" s="270"/>
      <c r="I1172" s="271"/>
      <c r="J1172" s="271"/>
      <c r="K1172" s="234"/>
      <c r="L1172" s="307"/>
      <c r="M1172" s="272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67"/>
      <c r="C1173" s="234"/>
      <c r="D1173" s="234"/>
      <c r="E1173" s="268"/>
      <c r="F1173" s="269"/>
      <c r="G1173" s="258"/>
      <c r="H1173" s="270"/>
      <c r="I1173" s="271"/>
      <c r="J1173" s="271"/>
      <c r="K1173" s="234"/>
      <c r="L1173" s="307"/>
      <c r="M1173" s="272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67"/>
      <c r="C1174" s="234"/>
      <c r="D1174" s="234"/>
      <c r="E1174" s="268"/>
      <c r="F1174" s="269"/>
      <c r="G1174" s="258"/>
      <c r="H1174" s="270"/>
      <c r="I1174" s="271"/>
      <c r="J1174" s="271"/>
      <c r="K1174" s="234"/>
      <c r="L1174" s="307"/>
      <c r="M1174" s="272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67"/>
      <c r="C1175" s="234"/>
      <c r="D1175" s="234"/>
      <c r="E1175" s="268"/>
      <c r="F1175" s="269"/>
      <c r="G1175" s="258"/>
      <c r="H1175" s="270"/>
      <c r="I1175" s="271"/>
      <c r="J1175" s="271"/>
      <c r="K1175" s="234"/>
      <c r="L1175" s="307"/>
      <c r="M1175" s="272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67"/>
      <c r="C1176" s="234"/>
      <c r="D1176" s="234"/>
      <c r="E1176" s="268"/>
      <c r="F1176" s="269"/>
      <c r="G1176" s="258"/>
      <c r="H1176" s="270"/>
      <c r="I1176" s="271"/>
      <c r="J1176" s="271"/>
      <c r="K1176" s="234"/>
      <c r="L1176" s="307"/>
      <c r="M1176" s="272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67"/>
      <c r="C1177" s="234"/>
      <c r="D1177" s="234"/>
      <c r="E1177" s="268"/>
      <c r="F1177" s="269"/>
      <c r="G1177" s="258"/>
      <c r="H1177" s="270"/>
      <c r="I1177" s="271"/>
      <c r="J1177" s="271"/>
      <c r="K1177" s="234"/>
      <c r="L1177" s="307"/>
      <c r="M1177" s="272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67"/>
      <c r="C1178" s="234"/>
      <c r="D1178" s="234"/>
      <c r="E1178" s="268"/>
      <c r="F1178" s="269"/>
      <c r="G1178" s="258"/>
      <c r="H1178" s="270"/>
      <c r="I1178" s="271"/>
      <c r="J1178" s="271"/>
      <c r="K1178" s="234"/>
      <c r="L1178" s="307"/>
      <c r="M1178" s="272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67"/>
      <c r="C1179" s="234"/>
      <c r="D1179" s="234"/>
      <c r="E1179" s="268"/>
      <c r="F1179" s="269"/>
      <c r="G1179" s="258"/>
      <c r="H1179" s="270"/>
      <c r="I1179" s="271"/>
      <c r="J1179" s="271"/>
      <c r="K1179" s="234"/>
      <c r="L1179" s="307"/>
      <c r="M1179" s="272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67"/>
      <c r="C1180" s="234"/>
      <c r="D1180" s="234"/>
      <c r="E1180" s="268"/>
      <c r="F1180" s="269"/>
      <c r="G1180" s="258"/>
      <c r="H1180" s="270"/>
      <c r="I1180" s="271"/>
      <c r="J1180" s="271"/>
      <c r="K1180" s="234"/>
      <c r="L1180" s="307"/>
      <c r="M1180" s="272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67"/>
      <c r="C1181" s="234"/>
      <c r="D1181" s="234"/>
      <c r="E1181" s="268"/>
      <c r="F1181" s="269"/>
      <c r="G1181" s="258"/>
      <c r="H1181" s="270"/>
      <c r="I1181" s="271"/>
      <c r="J1181" s="271"/>
      <c r="K1181" s="234"/>
      <c r="L1181" s="307"/>
      <c r="M1181" s="272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67"/>
      <c r="C1182" s="234"/>
      <c r="D1182" s="234"/>
      <c r="E1182" s="268"/>
      <c r="F1182" s="269"/>
      <c r="G1182" s="258"/>
      <c r="H1182" s="270"/>
      <c r="I1182" s="271"/>
      <c r="J1182" s="271"/>
      <c r="K1182" s="234"/>
      <c r="L1182" s="307"/>
      <c r="M1182" s="272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67"/>
      <c r="C1183" s="234"/>
      <c r="D1183" s="234"/>
      <c r="E1183" s="268"/>
      <c r="F1183" s="269"/>
      <c r="G1183" s="258"/>
      <c r="H1183" s="270"/>
      <c r="I1183" s="271"/>
      <c r="J1183" s="271"/>
      <c r="K1183" s="234"/>
      <c r="L1183" s="307"/>
      <c r="M1183" s="272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67"/>
      <c r="C1184" s="234"/>
      <c r="D1184" s="234"/>
      <c r="E1184" s="268"/>
      <c r="F1184" s="269"/>
      <c r="G1184" s="258"/>
      <c r="H1184" s="270"/>
      <c r="I1184" s="271"/>
      <c r="J1184" s="271"/>
      <c r="K1184" s="234"/>
      <c r="L1184" s="307"/>
      <c r="M1184" s="272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67"/>
      <c r="C1185" s="234"/>
      <c r="D1185" s="234"/>
      <c r="E1185" s="268"/>
      <c r="F1185" s="269"/>
      <c r="G1185" s="258"/>
      <c r="H1185" s="270"/>
      <c r="I1185" s="271"/>
      <c r="J1185" s="271"/>
      <c r="K1185" s="234"/>
      <c r="L1185" s="307"/>
      <c r="M1185" s="272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67"/>
      <c r="C1186" s="234"/>
      <c r="D1186" s="234"/>
      <c r="E1186" s="268"/>
      <c r="F1186" s="269"/>
      <c r="G1186" s="258"/>
      <c r="H1186" s="270"/>
      <c r="I1186" s="271"/>
      <c r="J1186" s="271"/>
      <c r="K1186" s="234"/>
      <c r="L1186" s="307"/>
      <c r="M1186" s="272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67"/>
      <c r="C1187" s="234"/>
      <c r="D1187" s="234"/>
      <c r="E1187" s="268"/>
      <c r="F1187" s="269"/>
      <c r="G1187" s="258"/>
      <c r="H1187" s="270"/>
      <c r="I1187" s="271"/>
      <c r="J1187" s="271"/>
      <c r="K1187" s="234"/>
      <c r="L1187" s="307"/>
      <c r="M1187" s="272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67"/>
      <c r="C1188" s="234"/>
      <c r="D1188" s="234"/>
      <c r="E1188" s="268"/>
      <c r="F1188" s="269"/>
      <c r="G1188" s="258"/>
      <c r="H1188" s="270"/>
      <c r="I1188" s="271"/>
      <c r="J1188" s="271"/>
      <c r="K1188" s="234"/>
      <c r="L1188" s="307"/>
      <c r="M1188" s="272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67"/>
      <c r="C1189" s="234"/>
      <c r="D1189" s="234"/>
      <c r="E1189" s="268"/>
      <c r="F1189" s="269"/>
      <c r="G1189" s="258"/>
      <c r="H1189" s="270"/>
      <c r="I1189" s="271"/>
      <c r="J1189" s="271"/>
      <c r="K1189" s="234"/>
      <c r="L1189" s="307"/>
      <c r="M1189" s="272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67"/>
      <c r="C1190" s="234"/>
      <c r="D1190" s="234"/>
      <c r="E1190" s="268"/>
      <c r="F1190" s="269"/>
      <c r="G1190" s="258"/>
      <c r="H1190" s="270"/>
      <c r="I1190" s="271"/>
      <c r="J1190" s="271"/>
      <c r="K1190" s="234"/>
      <c r="L1190" s="307"/>
      <c r="M1190" s="272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67"/>
      <c r="C1191" s="234"/>
      <c r="D1191" s="234"/>
      <c r="E1191" s="268"/>
      <c r="F1191" s="269"/>
      <c r="G1191" s="258"/>
      <c r="H1191" s="270"/>
      <c r="I1191" s="271"/>
      <c r="J1191" s="271"/>
      <c r="K1191" s="234"/>
      <c r="L1191" s="307"/>
      <c r="M1191" s="272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67"/>
      <c r="C1192" s="234"/>
      <c r="D1192" s="234"/>
      <c r="E1192" s="268"/>
      <c r="F1192" s="269"/>
      <c r="G1192" s="258"/>
      <c r="H1192" s="270"/>
      <c r="I1192" s="271"/>
      <c r="J1192" s="271"/>
      <c r="K1192" s="234"/>
      <c r="L1192" s="307"/>
      <c r="M1192" s="272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67"/>
      <c r="C1193" s="234"/>
      <c r="D1193" s="234"/>
      <c r="E1193" s="268"/>
      <c r="F1193" s="269"/>
      <c r="G1193" s="258"/>
      <c r="H1193" s="270"/>
      <c r="I1193" s="271"/>
      <c r="J1193" s="271"/>
      <c r="K1193" s="234"/>
      <c r="L1193" s="307"/>
      <c r="M1193" s="272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67"/>
      <c r="C1194" s="234"/>
      <c r="D1194" s="234"/>
      <c r="E1194" s="268"/>
      <c r="F1194" s="269"/>
      <c r="G1194" s="258"/>
      <c r="H1194" s="270"/>
      <c r="I1194" s="271"/>
      <c r="J1194" s="271"/>
      <c r="K1194" s="234"/>
      <c r="L1194" s="307"/>
      <c r="M1194" s="272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67"/>
      <c r="C1195" s="234"/>
      <c r="D1195" s="234"/>
      <c r="E1195" s="268"/>
      <c r="F1195" s="269"/>
      <c r="G1195" s="258"/>
      <c r="H1195" s="270"/>
      <c r="I1195" s="271"/>
      <c r="J1195" s="271"/>
      <c r="K1195" s="234"/>
      <c r="L1195" s="307"/>
      <c r="M1195" s="272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67"/>
      <c r="C1196" s="234"/>
      <c r="D1196" s="234"/>
      <c r="E1196" s="268"/>
      <c r="F1196" s="269"/>
      <c r="G1196" s="258"/>
      <c r="H1196" s="270"/>
      <c r="I1196" s="271"/>
      <c r="J1196" s="271"/>
      <c r="K1196" s="234"/>
      <c r="L1196" s="307"/>
      <c r="M1196" s="272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67"/>
      <c r="C1197" s="234"/>
      <c r="D1197" s="234"/>
      <c r="E1197" s="268"/>
      <c r="F1197" s="269"/>
      <c r="G1197" s="258"/>
      <c r="H1197" s="270"/>
      <c r="I1197" s="271"/>
      <c r="J1197" s="271"/>
      <c r="K1197" s="234"/>
      <c r="L1197" s="307"/>
      <c r="M1197" s="272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67"/>
      <c r="C1198" s="234"/>
      <c r="D1198" s="234"/>
      <c r="E1198" s="268"/>
      <c r="F1198" s="269"/>
      <c r="G1198" s="258"/>
      <c r="H1198" s="270"/>
      <c r="I1198" s="271"/>
      <c r="J1198" s="271"/>
      <c r="K1198" s="234"/>
      <c r="L1198" s="307"/>
      <c r="M1198" s="272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67"/>
      <c r="C1199" s="234"/>
      <c r="D1199" s="234"/>
      <c r="E1199" s="268"/>
      <c r="F1199" s="269"/>
      <c r="G1199" s="258"/>
      <c r="H1199" s="270"/>
      <c r="I1199" s="271"/>
      <c r="J1199" s="271"/>
      <c r="K1199" s="234"/>
      <c r="L1199" s="307"/>
      <c r="M1199" s="272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67"/>
      <c r="C1200" s="234"/>
      <c r="D1200" s="234"/>
      <c r="E1200" s="268"/>
      <c r="F1200" s="269"/>
      <c r="G1200" s="258"/>
      <c r="H1200" s="270"/>
      <c r="I1200" s="271"/>
      <c r="J1200" s="271"/>
      <c r="K1200" s="234"/>
      <c r="L1200" s="307"/>
      <c r="M1200" s="272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67"/>
      <c r="C1201" s="234"/>
      <c r="D1201" s="234"/>
      <c r="E1201" s="268"/>
      <c r="F1201" s="269"/>
      <c r="G1201" s="258"/>
      <c r="H1201" s="270"/>
      <c r="I1201" s="271"/>
      <c r="J1201" s="271"/>
      <c r="K1201" s="234"/>
      <c r="L1201" s="307"/>
      <c r="M1201" s="272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67"/>
      <c r="C1202" s="234"/>
      <c r="D1202" s="234"/>
      <c r="E1202" s="268"/>
      <c r="F1202" s="269"/>
      <c r="G1202" s="258"/>
      <c r="H1202" s="270"/>
      <c r="I1202" s="271"/>
      <c r="J1202" s="271"/>
      <c r="K1202" s="234"/>
      <c r="L1202" s="307"/>
      <c r="M1202" s="272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67"/>
      <c r="C1203" s="234"/>
      <c r="D1203" s="234"/>
      <c r="E1203" s="268"/>
      <c r="F1203" s="269"/>
      <c r="G1203" s="258"/>
      <c r="H1203" s="270"/>
      <c r="I1203" s="271"/>
      <c r="J1203" s="271"/>
      <c r="K1203" s="234"/>
      <c r="L1203" s="307"/>
      <c r="M1203" s="272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67"/>
      <c r="C1204" s="234"/>
      <c r="D1204" s="234"/>
      <c r="E1204" s="268"/>
      <c r="F1204" s="269"/>
      <c r="G1204" s="258"/>
      <c r="H1204" s="270"/>
      <c r="I1204" s="271"/>
      <c r="J1204" s="271"/>
      <c r="K1204" s="234"/>
      <c r="L1204" s="307"/>
      <c r="M1204" s="272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67"/>
      <c r="C1205" s="234"/>
      <c r="D1205" s="234"/>
      <c r="E1205" s="268"/>
      <c r="F1205" s="269"/>
      <c r="G1205" s="258"/>
      <c r="H1205" s="270"/>
      <c r="I1205" s="271"/>
      <c r="J1205" s="271"/>
      <c r="K1205" s="234"/>
      <c r="L1205" s="307"/>
      <c r="M1205" s="272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67"/>
      <c r="C1206" s="234"/>
      <c r="D1206" s="234"/>
      <c r="E1206" s="268"/>
      <c r="F1206" s="269"/>
      <c r="G1206" s="258"/>
      <c r="H1206" s="270"/>
      <c r="I1206" s="271"/>
      <c r="J1206" s="271"/>
      <c r="K1206" s="234"/>
      <c r="L1206" s="307"/>
      <c r="M1206" s="272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67"/>
      <c r="C1207" s="234"/>
      <c r="D1207" s="234"/>
      <c r="E1207" s="268"/>
      <c r="F1207" s="269"/>
      <c r="G1207" s="258"/>
      <c r="H1207" s="270"/>
      <c r="I1207" s="271"/>
      <c r="J1207" s="271"/>
      <c r="K1207" s="234"/>
      <c r="L1207" s="307"/>
      <c r="M1207" s="272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67"/>
      <c r="C1208" s="234"/>
      <c r="D1208" s="234"/>
      <c r="E1208" s="268"/>
      <c r="F1208" s="269"/>
      <c r="G1208" s="258"/>
      <c r="H1208" s="270"/>
      <c r="I1208" s="271"/>
      <c r="J1208" s="271"/>
      <c r="K1208" s="234"/>
      <c r="L1208" s="307"/>
      <c r="M1208" s="272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67"/>
      <c r="C1209" s="234"/>
      <c r="D1209" s="234"/>
      <c r="E1209" s="268"/>
      <c r="F1209" s="269"/>
      <c r="G1209" s="258"/>
      <c r="H1209" s="270"/>
      <c r="I1209" s="271"/>
      <c r="J1209" s="271"/>
      <c r="K1209" s="234"/>
      <c r="L1209" s="307"/>
      <c r="M1209" s="272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67"/>
      <c r="C1210" s="234"/>
      <c r="D1210" s="234"/>
      <c r="E1210" s="268"/>
      <c r="F1210" s="269"/>
      <c r="G1210" s="258"/>
      <c r="H1210" s="270"/>
      <c r="I1210" s="271"/>
      <c r="J1210" s="271"/>
      <c r="K1210" s="234"/>
      <c r="L1210" s="307"/>
      <c r="M1210" s="272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67"/>
      <c r="C1211" s="234"/>
      <c r="D1211" s="234"/>
      <c r="E1211" s="268"/>
      <c r="F1211" s="269"/>
      <c r="G1211" s="258"/>
      <c r="H1211" s="270"/>
      <c r="I1211" s="271"/>
      <c r="J1211" s="271"/>
      <c r="K1211" s="234"/>
      <c r="L1211" s="307"/>
      <c r="M1211" s="272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67"/>
      <c r="C1212" s="234"/>
      <c r="D1212" s="234"/>
      <c r="E1212" s="268"/>
      <c r="F1212" s="269"/>
      <c r="G1212" s="258"/>
      <c r="H1212" s="270"/>
      <c r="I1212" s="271"/>
      <c r="J1212" s="271"/>
      <c r="K1212" s="234"/>
      <c r="L1212" s="307"/>
      <c r="M1212" s="272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67"/>
      <c r="C1213" s="234"/>
      <c r="D1213" s="234"/>
      <c r="E1213" s="268"/>
      <c r="F1213" s="269"/>
      <c r="G1213" s="258"/>
      <c r="H1213" s="270"/>
      <c r="I1213" s="271"/>
      <c r="J1213" s="271"/>
      <c r="K1213" s="234"/>
      <c r="L1213" s="307"/>
      <c r="M1213" s="272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67"/>
      <c r="C1214" s="234"/>
      <c r="D1214" s="234"/>
      <c r="E1214" s="268"/>
      <c r="F1214" s="269"/>
      <c r="G1214" s="258"/>
      <c r="H1214" s="270"/>
      <c r="I1214" s="271"/>
      <c r="J1214" s="271"/>
      <c r="K1214" s="234"/>
      <c r="L1214" s="307"/>
      <c r="M1214" s="272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67"/>
      <c r="C1215" s="234"/>
      <c r="D1215" s="234"/>
      <c r="E1215" s="268"/>
      <c r="F1215" s="269"/>
      <c r="G1215" s="258"/>
      <c r="H1215" s="270"/>
      <c r="I1215" s="271"/>
      <c r="J1215" s="271"/>
      <c r="K1215" s="234"/>
      <c r="L1215" s="307"/>
      <c r="M1215" s="272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67"/>
      <c r="C1216" s="234"/>
      <c r="D1216" s="234"/>
      <c r="E1216" s="268"/>
      <c r="F1216" s="269"/>
      <c r="G1216" s="258"/>
      <c r="H1216" s="270"/>
      <c r="I1216" s="271"/>
      <c r="J1216" s="271"/>
      <c r="K1216" s="234"/>
      <c r="L1216" s="307"/>
      <c r="M1216" s="272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67"/>
      <c r="C1217" s="234"/>
      <c r="D1217" s="234"/>
      <c r="E1217" s="268"/>
      <c r="F1217" s="269"/>
      <c r="G1217" s="258"/>
      <c r="H1217" s="270"/>
      <c r="I1217" s="271"/>
      <c r="J1217" s="271"/>
      <c r="K1217" s="234"/>
      <c r="L1217" s="307"/>
      <c r="M1217" s="272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67"/>
      <c r="C1218" s="234"/>
      <c r="D1218" s="234"/>
      <c r="E1218" s="268"/>
      <c r="F1218" s="269"/>
      <c r="G1218" s="258"/>
      <c r="H1218" s="270"/>
      <c r="I1218" s="271"/>
      <c r="J1218" s="271"/>
      <c r="K1218" s="234"/>
      <c r="L1218" s="307"/>
      <c r="M1218" s="272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67"/>
      <c r="C1219" s="234"/>
      <c r="D1219" s="234"/>
      <c r="E1219" s="268"/>
      <c r="F1219" s="269"/>
      <c r="G1219" s="258"/>
      <c r="H1219" s="270"/>
      <c r="I1219" s="271"/>
      <c r="J1219" s="271"/>
      <c r="K1219" s="234"/>
      <c r="L1219" s="307"/>
      <c r="M1219" s="272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67"/>
      <c r="C1220" s="234"/>
      <c r="D1220" s="234"/>
      <c r="E1220" s="268"/>
      <c r="F1220" s="269"/>
      <c r="G1220" s="258"/>
      <c r="H1220" s="270"/>
      <c r="I1220" s="271"/>
      <c r="J1220" s="271"/>
      <c r="K1220" s="234"/>
      <c r="L1220" s="307"/>
      <c r="M1220" s="272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67"/>
      <c r="C1221" s="234"/>
      <c r="D1221" s="234"/>
      <c r="E1221" s="268"/>
      <c r="F1221" s="269"/>
      <c r="G1221" s="258"/>
      <c r="H1221" s="270"/>
      <c r="I1221" s="271"/>
      <c r="J1221" s="271"/>
      <c r="K1221" s="234"/>
      <c r="L1221" s="307"/>
      <c r="M1221" s="272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67"/>
      <c r="C1222" s="234"/>
      <c r="D1222" s="234"/>
      <c r="E1222" s="268"/>
      <c r="F1222" s="269"/>
      <c r="G1222" s="258"/>
      <c r="H1222" s="270"/>
      <c r="I1222" s="271"/>
      <c r="J1222" s="271"/>
      <c r="K1222" s="234"/>
      <c r="L1222" s="307"/>
      <c r="M1222" s="272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67"/>
      <c r="C1223" s="234"/>
      <c r="D1223" s="234"/>
      <c r="E1223" s="268"/>
      <c r="F1223" s="269"/>
      <c r="G1223" s="258"/>
      <c r="H1223" s="270"/>
      <c r="I1223" s="271"/>
      <c r="J1223" s="271"/>
      <c r="K1223" s="234"/>
      <c r="L1223" s="307"/>
      <c r="M1223" s="272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67"/>
      <c r="C1224" s="234"/>
      <c r="D1224" s="234"/>
      <c r="E1224" s="268"/>
      <c r="F1224" s="269"/>
      <c r="G1224" s="258"/>
      <c r="H1224" s="270"/>
      <c r="I1224" s="271"/>
      <c r="J1224" s="271"/>
      <c r="K1224" s="234"/>
      <c r="L1224" s="307"/>
      <c r="M1224" s="272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67"/>
      <c r="C1225" s="234"/>
      <c r="D1225" s="234"/>
      <c r="E1225" s="268"/>
      <c r="F1225" s="269"/>
      <c r="G1225" s="258"/>
      <c r="H1225" s="270"/>
      <c r="I1225" s="271"/>
      <c r="J1225" s="271"/>
      <c r="K1225" s="234"/>
      <c r="L1225" s="307"/>
      <c r="M1225" s="272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67"/>
      <c r="C1226" s="234"/>
      <c r="D1226" s="234"/>
      <c r="E1226" s="268"/>
      <c r="F1226" s="269"/>
      <c r="G1226" s="258"/>
      <c r="H1226" s="270"/>
      <c r="I1226" s="271"/>
      <c r="J1226" s="271"/>
      <c r="K1226" s="234"/>
      <c r="L1226" s="307"/>
      <c r="M1226" s="272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67"/>
      <c r="C1227" s="234"/>
      <c r="D1227" s="234"/>
      <c r="E1227" s="268"/>
      <c r="F1227" s="269"/>
      <c r="G1227" s="258"/>
      <c r="H1227" s="270"/>
      <c r="I1227" s="271"/>
      <c r="J1227" s="271"/>
      <c r="K1227" s="234"/>
      <c r="L1227" s="307"/>
      <c r="M1227" s="272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67"/>
      <c r="C1228" s="234"/>
      <c r="D1228" s="234"/>
      <c r="E1228" s="268"/>
      <c r="F1228" s="269"/>
      <c r="G1228" s="258"/>
      <c r="H1228" s="270"/>
      <c r="I1228" s="271"/>
      <c r="J1228" s="271"/>
      <c r="K1228" s="234"/>
      <c r="L1228" s="307"/>
      <c r="M1228" s="272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67"/>
      <c r="C1229" s="234"/>
      <c r="D1229" s="234"/>
      <c r="E1229" s="268"/>
      <c r="F1229" s="269"/>
      <c r="G1229" s="258"/>
      <c r="H1229" s="270"/>
      <c r="I1229" s="271"/>
      <c r="J1229" s="271"/>
      <c r="K1229" s="234"/>
      <c r="L1229" s="307"/>
      <c r="M1229" s="272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67"/>
      <c r="C1230" s="234"/>
      <c r="D1230" s="234"/>
      <c r="E1230" s="268"/>
      <c r="F1230" s="269"/>
      <c r="G1230" s="258"/>
      <c r="H1230" s="270"/>
      <c r="I1230" s="271"/>
      <c r="J1230" s="271"/>
      <c r="K1230" s="234"/>
      <c r="L1230" s="307"/>
      <c r="M1230" s="272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67"/>
      <c r="C1231" s="234"/>
      <c r="D1231" s="234"/>
      <c r="E1231" s="268"/>
      <c r="F1231" s="269"/>
      <c r="G1231" s="258"/>
      <c r="H1231" s="270"/>
      <c r="I1231" s="271"/>
      <c r="J1231" s="271"/>
      <c r="K1231" s="234"/>
      <c r="L1231" s="307"/>
      <c r="M1231" s="272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67"/>
      <c r="C1232" s="234"/>
      <c r="D1232" s="234"/>
      <c r="E1232" s="268"/>
      <c r="F1232" s="269"/>
      <c r="G1232" s="258"/>
      <c r="H1232" s="270"/>
      <c r="I1232" s="271"/>
      <c r="J1232" s="271"/>
      <c r="K1232" s="234"/>
      <c r="L1232" s="307"/>
      <c r="M1232" s="272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67"/>
      <c r="C1233" s="234"/>
      <c r="D1233" s="234"/>
      <c r="E1233" s="268"/>
      <c r="F1233" s="269"/>
      <c r="G1233" s="258"/>
      <c r="H1233" s="270"/>
      <c r="I1233" s="271"/>
      <c r="J1233" s="271"/>
      <c r="K1233" s="234"/>
      <c r="L1233" s="307"/>
      <c r="M1233" s="272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67"/>
      <c r="C1234" s="234"/>
      <c r="D1234" s="234"/>
      <c r="E1234" s="268"/>
      <c r="F1234" s="269"/>
      <c r="G1234" s="258"/>
      <c r="H1234" s="270"/>
      <c r="I1234" s="271"/>
      <c r="J1234" s="271"/>
      <c r="K1234" s="234"/>
      <c r="L1234" s="307"/>
      <c r="M1234" s="272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67"/>
      <c r="C1235" s="234"/>
      <c r="D1235" s="234"/>
      <c r="E1235" s="268"/>
      <c r="F1235" s="269"/>
      <c r="G1235" s="258"/>
      <c r="H1235" s="270"/>
      <c r="I1235" s="271"/>
      <c r="J1235" s="271"/>
      <c r="K1235" s="234"/>
      <c r="L1235" s="307"/>
      <c r="M1235" s="272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67"/>
      <c r="C1236" s="234"/>
      <c r="D1236" s="234"/>
      <c r="E1236" s="268"/>
      <c r="F1236" s="269"/>
      <c r="G1236" s="258"/>
      <c r="H1236" s="270"/>
      <c r="I1236" s="271"/>
      <c r="J1236" s="271"/>
      <c r="K1236" s="234"/>
      <c r="L1236" s="307"/>
      <c r="M1236" s="272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67"/>
      <c r="C1237" s="234"/>
      <c r="D1237" s="234"/>
      <c r="E1237" s="268"/>
      <c r="F1237" s="269"/>
      <c r="G1237" s="258"/>
      <c r="H1237" s="270"/>
      <c r="I1237" s="271"/>
      <c r="J1237" s="271"/>
      <c r="K1237" s="234"/>
      <c r="L1237" s="307"/>
      <c r="M1237" s="272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67"/>
      <c r="C1238" s="234"/>
      <c r="D1238" s="234"/>
      <c r="E1238" s="268"/>
      <c r="F1238" s="269"/>
      <c r="G1238" s="258"/>
      <c r="H1238" s="270"/>
      <c r="I1238" s="271"/>
      <c r="J1238" s="271"/>
      <c r="K1238" s="234"/>
      <c r="L1238" s="307"/>
      <c r="M1238" s="272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67"/>
      <c r="C1239" s="234"/>
      <c r="D1239" s="234"/>
      <c r="E1239" s="268"/>
      <c r="F1239" s="269"/>
      <c r="G1239" s="258"/>
      <c r="H1239" s="270"/>
      <c r="I1239" s="271"/>
      <c r="J1239" s="271"/>
      <c r="K1239" s="234"/>
      <c r="L1239" s="307"/>
      <c r="M1239" s="272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67"/>
      <c r="C1240" s="234"/>
      <c r="D1240" s="234"/>
      <c r="E1240" s="268"/>
      <c r="F1240" s="269"/>
      <c r="G1240" s="258"/>
      <c r="H1240" s="270"/>
      <c r="I1240" s="271"/>
      <c r="J1240" s="271"/>
      <c r="K1240" s="234"/>
      <c r="L1240" s="307"/>
      <c r="M1240" s="272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67"/>
      <c r="C1241" s="234"/>
      <c r="D1241" s="234"/>
      <c r="E1241" s="268"/>
      <c r="F1241" s="269"/>
      <c r="G1241" s="258"/>
      <c r="H1241" s="270"/>
      <c r="I1241" s="271"/>
      <c r="J1241" s="271"/>
      <c r="K1241" s="234"/>
      <c r="L1241" s="307"/>
      <c r="M1241" s="272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67"/>
      <c r="C1242" s="234"/>
      <c r="D1242" s="234"/>
      <c r="E1242" s="268"/>
      <c r="F1242" s="269"/>
      <c r="G1242" s="258"/>
      <c r="H1242" s="270"/>
      <c r="I1242" s="271"/>
      <c r="J1242" s="271"/>
      <c r="K1242" s="234"/>
      <c r="L1242" s="307"/>
      <c r="M1242" s="272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67"/>
      <c r="C1243" s="234"/>
      <c r="D1243" s="234"/>
      <c r="E1243" s="268"/>
      <c r="F1243" s="269"/>
      <c r="G1243" s="258"/>
      <c r="H1243" s="270"/>
      <c r="I1243" s="271"/>
      <c r="J1243" s="271"/>
      <c r="K1243" s="234"/>
      <c r="L1243" s="307"/>
      <c r="M1243" s="272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67"/>
      <c r="C1244" s="234"/>
      <c r="D1244" s="234"/>
      <c r="E1244" s="268"/>
      <c r="F1244" s="269"/>
      <c r="G1244" s="258"/>
      <c r="H1244" s="270"/>
      <c r="I1244" s="271"/>
      <c r="J1244" s="271"/>
      <c r="K1244" s="234"/>
      <c r="L1244" s="307"/>
      <c r="M1244" s="272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67"/>
      <c r="C1245" s="234"/>
      <c r="D1245" s="234"/>
      <c r="E1245" s="268"/>
      <c r="F1245" s="269"/>
      <c r="G1245" s="258"/>
      <c r="H1245" s="270"/>
      <c r="I1245" s="271"/>
      <c r="J1245" s="271"/>
      <c r="K1245" s="234"/>
      <c r="L1245" s="307"/>
      <c r="M1245" s="272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67"/>
      <c r="C1246" s="234"/>
      <c r="D1246" s="234"/>
      <c r="E1246" s="268"/>
      <c r="F1246" s="269"/>
      <c r="G1246" s="258"/>
      <c r="H1246" s="270"/>
      <c r="I1246" s="271"/>
      <c r="J1246" s="271"/>
      <c r="K1246" s="234"/>
      <c r="L1246" s="307"/>
      <c r="M1246" s="272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67"/>
      <c r="C1247" s="234"/>
      <c r="D1247" s="234"/>
      <c r="E1247" s="268"/>
      <c r="F1247" s="269"/>
      <c r="G1247" s="258"/>
      <c r="H1247" s="270"/>
      <c r="I1247" s="271"/>
      <c r="J1247" s="271"/>
      <c r="K1247" s="234"/>
      <c r="L1247" s="307"/>
      <c r="M1247" s="272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67"/>
      <c r="C1248" s="234"/>
      <c r="D1248" s="234"/>
      <c r="E1248" s="268"/>
      <c r="F1248" s="269"/>
      <c r="G1248" s="258"/>
      <c r="H1248" s="270"/>
      <c r="I1248" s="271"/>
      <c r="J1248" s="271"/>
      <c r="K1248" s="234"/>
      <c r="L1248" s="307"/>
      <c r="M1248" s="272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67"/>
      <c r="C1249" s="234"/>
      <c r="D1249" s="234"/>
      <c r="E1249" s="268"/>
      <c r="F1249" s="269"/>
      <c r="G1249" s="258"/>
      <c r="H1249" s="270"/>
      <c r="I1249" s="271"/>
      <c r="J1249" s="271"/>
      <c r="K1249" s="234"/>
      <c r="L1249" s="307"/>
      <c r="M1249" s="272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67"/>
      <c r="C1250" s="234"/>
      <c r="D1250" s="234"/>
      <c r="E1250" s="268"/>
      <c r="F1250" s="269"/>
      <c r="G1250" s="258"/>
      <c r="H1250" s="270"/>
      <c r="I1250" s="271"/>
      <c r="J1250" s="271"/>
      <c r="K1250" s="234"/>
      <c r="L1250" s="307"/>
      <c r="M1250" s="272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67"/>
      <c r="C1251" s="234"/>
      <c r="D1251" s="234"/>
      <c r="E1251" s="268"/>
      <c r="F1251" s="269"/>
      <c r="G1251" s="258"/>
      <c r="H1251" s="270"/>
      <c r="I1251" s="271"/>
      <c r="J1251" s="271"/>
      <c r="K1251" s="234"/>
      <c r="L1251" s="307"/>
      <c r="M1251" s="272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67"/>
      <c r="C1252" s="234"/>
      <c r="D1252" s="234"/>
      <c r="E1252" s="268"/>
      <c r="F1252" s="269"/>
      <c r="G1252" s="258"/>
      <c r="H1252" s="270"/>
      <c r="I1252" s="271"/>
      <c r="J1252" s="271"/>
      <c r="K1252" s="234"/>
      <c r="L1252" s="307"/>
      <c r="M1252" s="272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67"/>
      <c r="C1253" s="234"/>
      <c r="D1253" s="234"/>
      <c r="E1253" s="268"/>
      <c r="F1253" s="269"/>
      <c r="G1253" s="258"/>
      <c r="H1253" s="270"/>
      <c r="I1253" s="271"/>
      <c r="J1253" s="271"/>
      <c r="K1253" s="234"/>
      <c r="L1253" s="307"/>
      <c r="M1253" s="272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67"/>
      <c r="C1254" s="234"/>
      <c r="D1254" s="234"/>
      <c r="E1254" s="268"/>
      <c r="F1254" s="269"/>
      <c r="G1254" s="258"/>
      <c r="H1254" s="270"/>
      <c r="I1254" s="271"/>
      <c r="J1254" s="271"/>
      <c r="K1254" s="234"/>
      <c r="L1254" s="307"/>
      <c r="M1254" s="272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67"/>
      <c r="C1255" s="234"/>
      <c r="D1255" s="234"/>
      <c r="E1255" s="268"/>
      <c r="F1255" s="269"/>
      <c r="G1255" s="258"/>
      <c r="H1255" s="270"/>
      <c r="I1255" s="271"/>
      <c r="J1255" s="271"/>
      <c r="K1255" s="234"/>
      <c r="L1255" s="307"/>
      <c r="M1255" s="272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67"/>
      <c r="C1256" s="234"/>
      <c r="D1256" s="234"/>
      <c r="E1256" s="268"/>
      <c r="F1256" s="269"/>
      <c r="G1256" s="258"/>
      <c r="H1256" s="270"/>
      <c r="I1256" s="271"/>
      <c r="J1256" s="271"/>
      <c r="K1256" s="234"/>
      <c r="L1256" s="307"/>
      <c r="M1256" s="272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67"/>
      <c r="C1257" s="234"/>
      <c r="D1257" s="234"/>
      <c r="E1257" s="268"/>
      <c r="F1257" s="269"/>
      <c r="G1257" s="258"/>
      <c r="H1257" s="270"/>
      <c r="I1257" s="271"/>
      <c r="J1257" s="271"/>
      <c r="K1257" s="234"/>
      <c r="L1257" s="307"/>
      <c r="M1257" s="272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67"/>
      <c r="C1258" s="234"/>
      <c r="D1258" s="234"/>
      <c r="E1258" s="268"/>
      <c r="F1258" s="269"/>
      <c r="G1258" s="258"/>
      <c r="H1258" s="270"/>
      <c r="I1258" s="271"/>
      <c r="J1258" s="271"/>
      <c r="K1258" s="234"/>
      <c r="L1258" s="307"/>
      <c r="M1258" s="272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67"/>
      <c r="C1259" s="234"/>
      <c r="D1259" s="234"/>
      <c r="E1259" s="268"/>
      <c r="F1259" s="269"/>
      <c r="G1259" s="258"/>
      <c r="H1259" s="270"/>
      <c r="I1259" s="271"/>
      <c r="J1259" s="271"/>
      <c r="K1259" s="234"/>
      <c r="L1259" s="307"/>
      <c r="M1259" s="272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67"/>
      <c r="C1260" s="234"/>
      <c r="D1260" s="234"/>
      <c r="E1260" s="268"/>
      <c r="F1260" s="269"/>
      <c r="G1260" s="258"/>
      <c r="H1260" s="270"/>
      <c r="I1260" s="271"/>
      <c r="J1260" s="271"/>
      <c r="K1260" s="234"/>
      <c r="L1260" s="307"/>
      <c r="M1260" s="272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67"/>
      <c r="C1261" s="234"/>
      <c r="D1261" s="234"/>
      <c r="E1261" s="268"/>
      <c r="F1261" s="269"/>
      <c r="G1261" s="258"/>
      <c r="H1261" s="270"/>
      <c r="I1261" s="271"/>
      <c r="J1261" s="271"/>
      <c r="K1261" s="234"/>
      <c r="L1261" s="307"/>
      <c r="M1261" s="272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67"/>
      <c r="C1262" s="234"/>
      <c r="D1262" s="234"/>
      <c r="E1262" s="268"/>
      <c r="F1262" s="269"/>
      <c r="G1262" s="258"/>
      <c r="H1262" s="270"/>
      <c r="I1262" s="271"/>
      <c r="J1262" s="271"/>
      <c r="K1262" s="234"/>
      <c r="L1262" s="307"/>
      <c r="M1262" s="272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67"/>
      <c r="C1263" s="234"/>
      <c r="D1263" s="234"/>
      <c r="E1263" s="268"/>
      <c r="F1263" s="269"/>
      <c r="G1263" s="258"/>
      <c r="H1263" s="270"/>
      <c r="I1263" s="271"/>
      <c r="J1263" s="271"/>
      <c r="K1263" s="234"/>
      <c r="L1263" s="307"/>
      <c r="M1263" s="272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67"/>
      <c r="C1264" s="234"/>
      <c r="D1264" s="234"/>
      <c r="E1264" s="268"/>
      <c r="F1264" s="269"/>
      <c r="G1264" s="258"/>
      <c r="H1264" s="270"/>
      <c r="I1264" s="271"/>
      <c r="J1264" s="271"/>
      <c r="K1264" s="234"/>
      <c r="L1264" s="307"/>
      <c r="M1264" s="272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67"/>
      <c r="C1265" s="234"/>
      <c r="D1265" s="234"/>
      <c r="E1265" s="268"/>
      <c r="F1265" s="269"/>
      <c r="G1265" s="258"/>
      <c r="H1265" s="270"/>
      <c r="I1265" s="271"/>
      <c r="J1265" s="271"/>
      <c r="K1265" s="234"/>
      <c r="L1265" s="307"/>
      <c r="M1265" s="272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67"/>
      <c r="C1266" s="234"/>
      <c r="D1266" s="234"/>
      <c r="E1266" s="268"/>
      <c r="F1266" s="269"/>
      <c r="G1266" s="258"/>
      <c r="H1266" s="270"/>
      <c r="I1266" s="271"/>
      <c r="J1266" s="271"/>
      <c r="K1266" s="234"/>
      <c r="L1266" s="307"/>
      <c r="M1266" s="272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67"/>
      <c r="C1267" s="234"/>
      <c r="D1267" s="234"/>
      <c r="E1267" s="268"/>
      <c r="F1267" s="269"/>
      <c r="G1267" s="258"/>
      <c r="H1267" s="270"/>
      <c r="I1267" s="271"/>
      <c r="J1267" s="271"/>
      <c r="K1267" s="234"/>
      <c r="L1267" s="307"/>
      <c r="M1267" s="272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67"/>
      <c r="C1268" s="234"/>
      <c r="D1268" s="234"/>
      <c r="E1268" s="268"/>
      <c r="F1268" s="269"/>
      <c r="G1268" s="258"/>
      <c r="H1268" s="270"/>
      <c r="I1268" s="271"/>
      <c r="J1268" s="271"/>
      <c r="K1268" s="234"/>
      <c r="L1268" s="307"/>
      <c r="M1268" s="272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67"/>
      <c r="C1269" s="234"/>
      <c r="D1269" s="234"/>
      <c r="E1269" s="268"/>
      <c r="F1269" s="269"/>
      <c r="G1269" s="258"/>
      <c r="H1269" s="270"/>
      <c r="I1269" s="271"/>
      <c r="J1269" s="271"/>
      <c r="K1269" s="234"/>
      <c r="L1269" s="307"/>
      <c r="M1269" s="272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67"/>
      <c r="C1270" s="234"/>
      <c r="D1270" s="234"/>
      <c r="E1270" s="268"/>
      <c r="F1270" s="269"/>
      <c r="G1270" s="258"/>
      <c r="H1270" s="270"/>
      <c r="I1270" s="271"/>
      <c r="J1270" s="271"/>
      <c r="K1270" s="234"/>
      <c r="L1270" s="307"/>
      <c r="M1270" s="272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67"/>
      <c r="C1271" s="234"/>
      <c r="D1271" s="234"/>
      <c r="E1271" s="268"/>
      <c r="F1271" s="269"/>
      <c r="G1271" s="258"/>
      <c r="H1271" s="270"/>
      <c r="I1271" s="271"/>
      <c r="J1271" s="271"/>
      <c r="K1271" s="234"/>
      <c r="L1271" s="307"/>
      <c r="M1271" s="272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67"/>
      <c r="C1272" s="234"/>
      <c r="D1272" s="234"/>
      <c r="E1272" s="268"/>
      <c r="F1272" s="269"/>
      <c r="G1272" s="258"/>
      <c r="H1272" s="270"/>
      <c r="I1272" s="271"/>
      <c r="J1272" s="271"/>
      <c r="K1272" s="234"/>
      <c r="L1272" s="307"/>
      <c r="M1272" s="272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67"/>
      <c r="C1273" s="234"/>
      <c r="D1273" s="234"/>
      <c r="E1273" s="268"/>
      <c r="F1273" s="269"/>
      <c r="G1273" s="258"/>
      <c r="H1273" s="270"/>
      <c r="I1273" s="271"/>
      <c r="J1273" s="271"/>
      <c r="K1273" s="234"/>
      <c r="L1273" s="307"/>
      <c r="M1273" s="272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67"/>
      <c r="C1274" s="234"/>
      <c r="D1274" s="234"/>
      <c r="E1274" s="268"/>
      <c r="F1274" s="269"/>
      <c r="G1274" s="258"/>
      <c r="H1274" s="270"/>
      <c r="I1274" s="271"/>
      <c r="J1274" s="271"/>
      <c r="K1274" s="234"/>
      <c r="L1274" s="307"/>
      <c r="M1274" s="272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67"/>
      <c r="C1275" s="234"/>
      <c r="D1275" s="234"/>
      <c r="E1275" s="268"/>
      <c r="F1275" s="269"/>
      <c r="G1275" s="258"/>
      <c r="H1275" s="270"/>
      <c r="I1275" s="271"/>
      <c r="J1275" s="271"/>
      <c r="K1275" s="234"/>
      <c r="L1275" s="307"/>
      <c r="M1275" s="272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67"/>
      <c r="C1276" s="234"/>
      <c r="D1276" s="234"/>
      <c r="E1276" s="268"/>
      <c r="F1276" s="269"/>
      <c r="G1276" s="258"/>
      <c r="H1276" s="270"/>
      <c r="I1276" s="271"/>
      <c r="J1276" s="271"/>
      <c r="K1276" s="234"/>
      <c r="L1276" s="307"/>
      <c r="M1276" s="272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67"/>
      <c r="C1277" s="234"/>
      <c r="D1277" s="234"/>
      <c r="E1277" s="268"/>
      <c r="F1277" s="269"/>
      <c r="G1277" s="258"/>
      <c r="H1277" s="270"/>
      <c r="I1277" s="271"/>
      <c r="J1277" s="271"/>
      <c r="K1277" s="234"/>
      <c r="L1277" s="307"/>
      <c r="M1277" s="272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67"/>
      <c r="C1278" s="234"/>
      <c r="D1278" s="234"/>
      <c r="E1278" s="268"/>
      <c r="F1278" s="269"/>
      <c r="G1278" s="258"/>
      <c r="H1278" s="270"/>
      <c r="I1278" s="271"/>
      <c r="J1278" s="271"/>
      <c r="K1278" s="234"/>
      <c r="L1278" s="307"/>
      <c r="M1278" s="272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67"/>
      <c r="C1279" s="234"/>
      <c r="D1279" s="234"/>
      <c r="E1279" s="268"/>
      <c r="F1279" s="269"/>
      <c r="G1279" s="258"/>
      <c r="H1279" s="270"/>
      <c r="I1279" s="271"/>
      <c r="J1279" s="271"/>
      <c r="K1279" s="234"/>
      <c r="L1279" s="307"/>
      <c r="M1279" s="272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67"/>
      <c r="C1280" s="234"/>
      <c r="D1280" s="234"/>
      <c r="E1280" s="268"/>
      <c r="F1280" s="269"/>
      <c r="G1280" s="258"/>
      <c r="H1280" s="270"/>
      <c r="I1280" s="271"/>
      <c r="J1280" s="271"/>
      <c r="K1280" s="234"/>
      <c r="L1280" s="307"/>
      <c r="M1280" s="272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67"/>
      <c r="C1281" s="234"/>
      <c r="D1281" s="234"/>
      <c r="E1281" s="268"/>
      <c r="F1281" s="269"/>
      <c r="G1281" s="258"/>
      <c r="H1281" s="270"/>
      <c r="I1281" s="271"/>
      <c r="J1281" s="271"/>
      <c r="K1281" s="234"/>
      <c r="L1281" s="307"/>
      <c r="M1281" s="272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67"/>
      <c r="C1282" s="234"/>
      <c r="D1282" s="234"/>
      <c r="E1282" s="268"/>
      <c r="F1282" s="269"/>
      <c r="G1282" s="258"/>
      <c r="H1282" s="270"/>
      <c r="I1282" s="271"/>
      <c r="J1282" s="271"/>
      <c r="K1282" s="234"/>
      <c r="L1282" s="307"/>
      <c r="M1282" s="272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67"/>
      <c r="C1283" s="234"/>
      <c r="D1283" s="234"/>
      <c r="E1283" s="268"/>
      <c r="F1283" s="269"/>
      <c r="G1283" s="258"/>
      <c r="H1283" s="270"/>
      <c r="I1283" s="271"/>
      <c r="J1283" s="271"/>
      <c r="K1283" s="234"/>
      <c r="L1283" s="307"/>
      <c r="M1283" s="272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67"/>
      <c r="C1284" s="234"/>
      <c r="D1284" s="234"/>
      <c r="E1284" s="268"/>
      <c r="F1284" s="269"/>
      <c r="G1284" s="258"/>
      <c r="H1284" s="270"/>
      <c r="I1284" s="271"/>
      <c r="J1284" s="271"/>
      <c r="K1284" s="234"/>
      <c r="L1284" s="307"/>
      <c r="M1284" s="272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67"/>
      <c r="C1285" s="234"/>
      <c r="D1285" s="234"/>
      <c r="E1285" s="268"/>
      <c r="F1285" s="269"/>
      <c r="G1285" s="258"/>
      <c r="H1285" s="270"/>
      <c r="I1285" s="271"/>
      <c r="J1285" s="271"/>
      <c r="K1285" s="234"/>
      <c r="L1285" s="307"/>
      <c r="M1285" s="272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67"/>
      <c r="C1286" s="234"/>
      <c r="D1286" s="234"/>
      <c r="E1286" s="268"/>
      <c r="F1286" s="269"/>
      <c r="G1286" s="258"/>
      <c r="H1286" s="270"/>
      <c r="I1286" s="271"/>
      <c r="J1286" s="271"/>
      <c r="K1286" s="234"/>
      <c r="L1286" s="307"/>
      <c r="M1286" s="272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67"/>
      <c r="C1287" s="234"/>
      <c r="D1287" s="234"/>
      <c r="E1287" s="268"/>
      <c r="F1287" s="269"/>
      <c r="G1287" s="258"/>
      <c r="H1287" s="270"/>
      <c r="I1287" s="271"/>
      <c r="J1287" s="271"/>
      <c r="K1287" s="234"/>
      <c r="L1287" s="307"/>
      <c r="M1287" s="272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67"/>
      <c r="C1288" s="234"/>
      <c r="D1288" s="234"/>
      <c r="E1288" s="268"/>
      <c r="F1288" s="269"/>
      <c r="G1288" s="258"/>
      <c r="H1288" s="270"/>
      <c r="I1288" s="271"/>
      <c r="J1288" s="271"/>
      <c r="K1288" s="234"/>
      <c r="L1288" s="307"/>
      <c r="M1288" s="272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67"/>
      <c r="C1289" s="234"/>
      <c r="D1289" s="234"/>
      <c r="E1289" s="268"/>
      <c r="F1289" s="269"/>
      <c r="G1289" s="258"/>
      <c r="H1289" s="270"/>
      <c r="I1289" s="271"/>
      <c r="J1289" s="271"/>
      <c r="K1289" s="234"/>
      <c r="L1289" s="307"/>
      <c r="M1289" s="272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67"/>
      <c r="C1290" s="234"/>
      <c r="D1290" s="234"/>
      <c r="E1290" s="268"/>
      <c r="F1290" s="269"/>
      <c r="G1290" s="258"/>
      <c r="H1290" s="270"/>
      <c r="I1290" s="271"/>
      <c r="J1290" s="271"/>
      <c r="K1290" s="234"/>
      <c r="L1290" s="307"/>
      <c r="M1290" s="272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67"/>
      <c r="C1291" s="234"/>
      <c r="D1291" s="234"/>
      <c r="E1291" s="268"/>
      <c r="F1291" s="269"/>
      <c r="G1291" s="258"/>
      <c r="H1291" s="270"/>
      <c r="I1291" s="271"/>
      <c r="J1291" s="271"/>
      <c r="K1291" s="234"/>
      <c r="L1291" s="307"/>
      <c r="M1291" s="272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67"/>
      <c r="C1292" s="234"/>
      <c r="D1292" s="234"/>
      <c r="E1292" s="268"/>
      <c r="F1292" s="269"/>
      <c r="G1292" s="258"/>
      <c r="H1292" s="270"/>
      <c r="I1292" s="271"/>
      <c r="J1292" s="271"/>
      <c r="K1292" s="234"/>
      <c r="L1292" s="307"/>
      <c r="M1292" s="272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67"/>
      <c r="C1293" s="234"/>
      <c r="D1293" s="234"/>
      <c r="E1293" s="268"/>
      <c r="F1293" s="269"/>
      <c r="G1293" s="258"/>
      <c r="H1293" s="270"/>
      <c r="I1293" s="271"/>
      <c r="J1293" s="271"/>
      <c r="K1293" s="234"/>
      <c r="L1293" s="307"/>
      <c r="M1293" s="272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67"/>
      <c r="C1294" s="234"/>
      <c r="D1294" s="234"/>
      <c r="E1294" s="268"/>
      <c r="F1294" s="269"/>
      <c r="G1294" s="258"/>
      <c r="H1294" s="270"/>
      <c r="I1294" s="271"/>
      <c r="J1294" s="271"/>
      <c r="K1294" s="234"/>
      <c r="L1294" s="307"/>
      <c r="M1294" s="272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67"/>
      <c r="C1295" s="234"/>
      <c r="D1295" s="234"/>
      <c r="E1295" s="268"/>
      <c r="F1295" s="269"/>
      <c r="G1295" s="258"/>
      <c r="H1295" s="270"/>
      <c r="I1295" s="271"/>
      <c r="J1295" s="271"/>
      <c r="K1295" s="234"/>
      <c r="L1295" s="307"/>
      <c r="M1295" s="272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67"/>
      <c r="C1296" s="234"/>
      <c r="D1296" s="234"/>
      <c r="E1296" s="268"/>
      <c r="F1296" s="269"/>
      <c r="G1296" s="258"/>
      <c r="H1296" s="270"/>
      <c r="I1296" s="271"/>
      <c r="J1296" s="271"/>
      <c r="K1296" s="234"/>
      <c r="L1296" s="307"/>
      <c r="M1296" s="272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67"/>
      <c r="C1297" s="234"/>
      <c r="D1297" s="234"/>
      <c r="E1297" s="268"/>
      <c r="F1297" s="269"/>
      <c r="G1297" s="258"/>
      <c r="H1297" s="270"/>
      <c r="I1297" s="271"/>
      <c r="J1297" s="271"/>
      <c r="K1297" s="234"/>
      <c r="L1297" s="307"/>
      <c r="M1297" s="272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67"/>
      <c r="C1298" s="234"/>
      <c r="D1298" s="234"/>
      <c r="E1298" s="268"/>
      <c r="F1298" s="269"/>
      <c r="G1298" s="258"/>
      <c r="H1298" s="270"/>
      <c r="I1298" s="271"/>
      <c r="J1298" s="271"/>
      <c r="K1298" s="234"/>
      <c r="L1298" s="307"/>
      <c r="M1298" s="272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67"/>
      <c r="C1299" s="234"/>
      <c r="D1299" s="234"/>
      <c r="E1299" s="268"/>
      <c r="F1299" s="269"/>
      <c r="G1299" s="258"/>
      <c r="H1299" s="270"/>
      <c r="I1299" s="271"/>
      <c r="J1299" s="271"/>
      <c r="K1299" s="234"/>
      <c r="L1299" s="307"/>
      <c r="M1299" s="272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67"/>
      <c r="C1300" s="234"/>
      <c r="D1300" s="234"/>
      <c r="E1300" s="268"/>
      <c r="F1300" s="269"/>
      <c r="G1300" s="258"/>
      <c r="H1300" s="270"/>
      <c r="I1300" s="271"/>
      <c r="J1300" s="271"/>
      <c r="K1300" s="234"/>
      <c r="L1300" s="307"/>
      <c r="M1300" s="272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67"/>
      <c r="C1301" s="234"/>
      <c r="D1301" s="234"/>
      <c r="E1301" s="268"/>
      <c r="F1301" s="269"/>
      <c r="G1301" s="258"/>
      <c r="H1301" s="270"/>
      <c r="I1301" s="271"/>
      <c r="J1301" s="271"/>
      <c r="K1301" s="234"/>
      <c r="L1301" s="307"/>
      <c r="M1301" s="272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67"/>
      <c r="C1302" s="234"/>
      <c r="D1302" s="234"/>
      <c r="E1302" s="268"/>
      <c r="F1302" s="269"/>
      <c r="G1302" s="258"/>
      <c r="H1302" s="270"/>
      <c r="I1302" s="271"/>
      <c r="J1302" s="271"/>
      <c r="K1302" s="234"/>
      <c r="L1302" s="307"/>
      <c r="M1302" s="272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67"/>
      <c r="C1303" s="234"/>
      <c r="D1303" s="234"/>
      <c r="E1303" s="268"/>
      <c r="F1303" s="269"/>
      <c r="G1303" s="258"/>
      <c r="H1303" s="270"/>
      <c r="I1303" s="271"/>
      <c r="J1303" s="271"/>
      <c r="K1303" s="234"/>
      <c r="L1303" s="307"/>
      <c r="M1303" s="272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67"/>
      <c r="C1304" s="234"/>
      <c r="D1304" s="234"/>
      <c r="E1304" s="268"/>
      <c r="F1304" s="269"/>
      <c r="G1304" s="258"/>
      <c r="H1304" s="270"/>
      <c r="I1304" s="271"/>
      <c r="J1304" s="271"/>
      <c r="K1304" s="234"/>
      <c r="L1304" s="307"/>
      <c r="M1304" s="272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67"/>
      <c r="C1305" s="234"/>
      <c r="D1305" s="234"/>
      <c r="E1305" s="268"/>
      <c r="F1305" s="269"/>
      <c r="G1305" s="258"/>
      <c r="H1305" s="270"/>
      <c r="I1305" s="271"/>
      <c r="J1305" s="271"/>
      <c r="K1305" s="234"/>
      <c r="L1305" s="307"/>
      <c r="M1305" s="272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67"/>
      <c r="C1306" s="234"/>
      <c r="D1306" s="234"/>
      <c r="E1306" s="268"/>
      <c r="F1306" s="269"/>
      <c r="G1306" s="258"/>
      <c r="H1306" s="270"/>
      <c r="I1306" s="271"/>
      <c r="J1306" s="271"/>
      <c r="K1306" s="234"/>
      <c r="L1306" s="307"/>
      <c r="M1306" s="272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67"/>
      <c r="C1307" s="234"/>
      <c r="D1307" s="234"/>
      <c r="E1307" s="268"/>
      <c r="F1307" s="269"/>
      <c r="G1307" s="258"/>
      <c r="H1307" s="270"/>
      <c r="I1307" s="271"/>
      <c r="J1307" s="271"/>
      <c r="K1307" s="234"/>
      <c r="L1307" s="307"/>
      <c r="M1307" s="272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67"/>
      <c r="C1308" s="234"/>
      <c r="D1308" s="234"/>
      <c r="E1308" s="268"/>
      <c r="F1308" s="269"/>
      <c r="G1308" s="258"/>
      <c r="H1308" s="270"/>
      <c r="I1308" s="271"/>
      <c r="J1308" s="271"/>
      <c r="K1308" s="234"/>
      <c r="L1308" s="307"/>
      <c r="M1308" s="272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67"/>
      <c r="C1309" s="234"/>
      <c r="D1309" s="234"/>
      <c r="E1309" s="268"/>
      <c r="F1309" s="269"/>
      <c r="G1309" s="258"/>
      <c r="H1309" s="270"/>
      <c r="I1309" s="271"/>
      <c r="J1309" s="271"/>
      <c r="K1309" s="234"/>
      <c r="L1309" s="307"/>
      <c r="M1309" s="272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67"/>
      <c r="C1310" s="234"/>
      <c r="D1310" s="234"/>
      <c r="E1310" s="268"/>
      <c r="F1310" s="269"/>
      <c r="G1310" s="258"/>
      <c r="H1310" s="270"/>
      <c r="I1310" s="271"/>
      <c r="J1310" s="271"/>
      <c r="K1310" s="234"/>
      <c r="L1310" s="307"/>
      <c r="M1310" s="272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67"/>
      <c r="C1311" s="234"/>
      <c r="D1311" s="234"/>
      <c r="E1311" s="268"/>
      <c r="F1311" s="269"/>
      <c r="G1311" s="258"/>
      <c r="H1311" s="270"/>
      <c r="I1311" s="271"/>
      <c r="J1311" s="271"/>
      <c r="K1311" s="234"/>
      <c r="L1311" s="307"/>
      <c r="M1311" s="272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67"/>
      <c r="C1312" s="234"/>
      <c r="D1312" s="234"/>
      <c r="E1312" s="268"/>
      <c r="F1312" s="269"/>
      <c r="G1312" s="258"/>
      <c r="H1312" s="270"/>
      <c r="I1312" s="271"/>
      <c r="J1312" s="271"/>
      <c r="K1312" s="234"/>
      <c r="L1312" s="307"/>
      <c r="M1312" s="272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67"/>
      <c r="C1313" s="234"/>
      <c r="D1313" s="234"/>
      <c r="E1313" s="268"/>
      <c r="F1313" s="269"/>
      <c r="G1313" s="258"/>
      <c r="H1313" s="270"/>
      <c r="I1313" s="271"/>
      <c r="J1313" s="271"/>
      <c r="K1313" s="234"/>
      <c r="L1313" s="307"/>
      <c r="M1313" s="272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67"/>
      <c r="C1314" s="234"/>
      <c r="D1314" s="234"/>
      <c r="E1314" s="268"/>
      <c r="F1314" s="269"/>
      <c r="G1314" s="258"/>
      <c r="H1314" s="270"/>
      <c r="I1314" s="271"/>
      <c r="J1314" s="271"/>
      <c r="K1314" s="234"/>
      <c r="L1314" s="307"/>
      <c r="M1314" s="272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67"/>
      <c r="C1315" s="234"/>
      <c r="D1315" s="234"/>
      <c r="E1315" s="268"/>
      <c r="F1315" s="269"/>
      <c r="G1315" s="258"/>
      <c r="H1315" s="270"/>
      <c r="I1315" s="271"/>
      <c r="J1315" s="271"/>
      <c r="K1315" s="234"/>
      <c r="L1315" s="307"/>
      <c r="M1315" s="272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67"/>
      <c r="C1316" s="234"/>
      <c r="D1316" s="234"/>
      <c r="E1316" s="268"/>
      <c r="F1316" s="269"/>
      <c r="G1316" s="258"/>
      <c r="H1316" s="270"/>
      <c r="I1316" s="271"/>
      <c r="J1316" s="271"/>
      <c r="K1316" s="234"/>
      <c r="L1316" s="307"/>
      <c r="M1316" s="272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67"/>
      <c r="C1317" s="234"/>
      <c r="D1317" s="234"/>
      <c r="E1317" s="268"/>
      <c r="F1317" s="269"/>
      <c r="G1317" s="258"/>
      <c r="H1317" s="270"/>
      <c r="I1317" s="271"/>
      <c r="J1317" s="271"/>
      <c r="K1317" s="234"/>
      <c r="L1317" s="307"/>
      <c r="M1317" s="272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67"/>
      <c r="C1318" s="234"/>
      <c r="D1318" s="234"/>
      <c r="E1318" s="268"/>
      <c r="F1318" s="269"/>
      <c r="G1318" s="258"/>
      <c r="H1318" s="270"/>
      <c r="I1318" s="271"/>
      <c r="J1318" s="271"/>
      <c r="K1318" s="234"/>
      <c r="L1318" s="307"/>
      <c r="M1318" s="272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67"/>
      <c r="C1319" s="234"/>
      <c r="D1319" s="234"/>
      <c r="E1319" s="268"/>
      <c r="F1319" s="269"/>
      <c r="G1319" s="258"/>
      <c r="H1319" s="270"/>
      <c r="I1319" s="271"/>
      <c r="J1319" s="271"/>
      <c r="K1319" s="234"/>
      <c r="L1319" s="307"/>
      <c r="M1319" s="272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67"/>
      <c r="C1320" s="234"/>
      <c r="D1320" s="234"/>
      <c r="E1320" s="268"/>
      <c r="F1320" s="269"/>
      <c r="G1320" s="258"/>
      <c r="H1320" s="270"/>
      <c r="I1320" s="271"/>
      <c r="J1320" s="271"/>
      <c r="K1320" s="234"/>
      <c r="L1320" s="307"/>
      <c r="M1320" s="272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67"/>
      <c r="C1321" s="234"/>
      <c r="D1321" s="234"/>
      <c r="E1321" s="268"/>
      <c r="F1321" s="269"/>
      <c r="G1321" s="258"/>
      <c r="H1321" s="270"/>
      <c r="I1321" s="271"/>
      <c r="J1321" s="271"/>
      <c r="K1321" s="234"/>
      <c r="L1321" s="307"/>
      <c r="M1321" s="272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67"/>
      <c r="C1322" s="234"/>
      <c r="D1322" s="234"/>
      <c r="E1322" s="268"/>
      <c r="F1322" s="269"/>
      <c r="G1322" s="258"/>
      <c r="H1322" s="270"/>
      <c r="I1322" s="271"/>
      <c r="J1322" s="271"/>
      <c r="K1322" s="234"/>
      <c r="L1322" s="307"/>
      <c r="M1322" s="272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67"/>
      <c r="C1323" s="234"/>
      <c r="D1323" s="234"/>
      <c r="E1323" s="268"/>
      <c r="F1323" s="269"/>
      <c r="G1323" s="258"/>
      <c r="H1323" s="270"/>
      <c r="I1323" s="271"/>
      <c r="J1323" s="271"/>
      <c r="K1323" s="234"/>
      <c r="L1323" s="307"/>
      <c r="M1323" s="272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67"/>
      <c r="C1324" s="234"/>
      <c r="D1324" s="234"/>
      <c r="E1324" s="268"/>
      <c r="F1324" s="269"/>
      <c r="G1324" s="258"/>
      <c r="H1324" s="270"/>
      <c r="I1324" s="271"/>
      <c r="J1324" s="271"/>
      <c r="K1324" s="234"/>
      <c r="L1324" s="307"/>
      <c r="M1324" s="272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67"/>
      <c r="C1325" s="234"/>
      <c r="D1325" s="234"/>
      <c r="E1325" s="268"/>
      <c r="F1325" s="269"/>
      <c r="G1325" s="258"/>
      <c r="H1325" s="270"/>
      <c r="I1325" s="271"/>
      <c r="J1325" s="271"/>
      <c r="K1325" s="234"/>
      <c r="L1325" s="307"/>
      <c r="M1325" s="272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67"/>
      <c r="C1326" s="234"/>
      <c r="D1326" s="234"/>
      <c r="E1326" s="268"/>
      <c r="F1326" s="269"/>
      <c r="G1326" s="258"/>
      <c r="H1326" s="270"/>
      <c r="I1326" s="271"/>
      <c r="J1326" s="271"/>
      <c r="K1326" s="234"/>
      <c r="L1326" s="307"/>
      <c r="M1326" s="272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67"/>
      <c r="C1327" s="234"/>
      <c r="D1327" s="234"/>
      <c r="E1327" s="268"/>
      <c r="F1327" s="269"/>
      <c r="G1327" s="258"/>
      <c r="H1327" s="270"/>
      <c r="I1327" s="271"/>
      <c r="J1327" s="271"/>
      <c r="K1327" s="234"/>
      <c r="L1327" s="307"/>
      <c r="M1327" s="272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67"/>
      <c r="C1328" s="234"/>
      <c r="D1328" s="234"/>
      <c r="E1328" s="268"/>
      <c r="F1328" s="269"/>
      <c r="G1328" s="258"/>
      <c r="H1328" s="270"/>
      <c r="I1328" s="271"/>
      <c r="J1328" s="271"/>
      <c r="K1328" s="234"/>
      <c r="L1328" s="307"/>
      <c r="M1328" s="272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67"/>
      <c r="C1329" s="234"/>
      <c r="D1329" s="234"/>
      <c r="E1329" s="268"/>
      <c r="F1329" s="269"/>
      <c r="G1329" s="258"/>
      <c r="H1329" s="270"/>
      <c r="I1329" s="271"/>
      <c r="J1329" s="271"/>
      <c r="K1329" s="234"/>
      <c r="L1329" s="307"/>
      <c r="M1329" s="272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67"/>
      <c r="C1330" s="234"/>
      <c r="D1330" s="234"/>
      <c r="E1330" s="268"/>
      <c r="F1330" s="269"/>
      <c r="G1330" s="258"/>
      <c r="H1330" s="270"/>
      <c r="I1330" s="271"/>
      <c r="J1330" s="271"/>
      <c r="K1330" s="234"/>
      <c r="L1330" s="307"/>
      <c r="M1330" s="272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67"/>
      <c r="C1331" s="234"/>
      <c r="D1331" s="234"/>
      <c r="E1331" s="268"/>
      <c r="F1331" s="269"/>
      <c r="G1331" s="258"/>
      <c r="H1331" s="270"/>
      <c r="I1331" s="271"/>
      <c r="J1331" s="271"/>
      <c r="K1331" s="234"/>
      <c r="L1331" s="307"/>
      <c r="M1331" s="272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67"/>
      <c r="C1332" s="234"/>
      <c r="D1332" s="234"/>
      <c r="E1332" s="268"/>
      <c r="F1332" s="269"/>
      <c r="G1332" s="258"/>
      <c r="H1332" s="270"/>
      <c r="I1332" s="271"/>
      <c r="J1332" s="271"/>
      <c r="K1332" s="234"/>
      <c r="L1332" s="307"/>
      <c r="M1332" s="272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67"/>
      <c r="C1333" s="234"/>
      <c r="D1333" s="234"/>
      <c r="E1333" s="268"/>
      <c r="F1333" s="269"/>
      <c r="G1333" s="258"/>
      <c r="H1333" s="270"/>
      <c r="I1333" s="271"/>
      <c r="J1333" s="271"/>
      <c r="K1333" s="234"/>
      <c r="L1333" s="307"/>
      <c r="M1333" s="272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67"/>
      <c r="C1334" s="234"/>
      <c r="D1334" s="234"/>
      <c r="E1334" s="268"/>
      <c r="F1334" s="269"/>
      <c r="G1334" s="258"/>
      <c r="H1334" s="270"/>
      <c r="I1334" s="271"/>
      <c r="J1334" s="271"/>
      <c r="K1334" s="234"/>
      <c r="L1334" s="307"/>
      <c r="M1334" s="272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67"/>
      <c r="C1335" s="234"/>
      <c r="D1335" s="234"/>
      <c r="E1335" s="268"/>
      <c r="F1335" s="269"/>
      <c r="G1335" s="258"/>
      <c r="H1335" s="270"/>
      <c r="I1335" s="271"/>
      <c r="J1335" s="271"/>
      <c r="K1335" s="234"/>
      <c r="L1335" s="307"/>
      <c r="M1335" s="272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67"/>
      <c r="C1336" s="234"/>
      <c r="D1336" s="234"/>
      <c r="E1336" s="268"/>
      <c r="F1336" s="269"/>
      <c r="G1336" s="258"/>
      <c r="H1336" s="270"/>
      <c r="I1336" s="271"/>
      <c r="J1336" s="271"/>
      <c r="K1336" s="234"/>
      <c r="L1336" s="307"/>
      <c r="M1336" s="272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67"/>
      <c r="C1337" s="234"/>
      <c r="D1337" s="234"/>
      <c r="E1337" s="268"/>
      <c r="F1337" s="269"/>
      <c r="G1337" s="258"/>
      <c r="H1337" s="270"/>
      <c r="I1337" s="271"/>
      <c r="J1337" s="271"/>
      <c r="K1337" s="234"/>
      <c r="L1337" s="307"/>
      <c r="M1337" s="272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67"/>
      <c r="C1338" s="234"/>
      <c r="D1338" s="234"/>
      <c r="E1338" s="268"/>
      <c r="F1338" s="269"/>
      <c r="G1338" s="258"/>
      <c r="H1338" s="270"/>
      <c r="I1338" s="271"/>
      <c r="J1338" s="271"/>
      <c r="K1338" s="234"/>
      <c r="L1338" s="307"/>
      <c r="M1338" s="272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67"/>
      <c r="C1339" s="234"/>
      <c r="D1339" s="234"/>
      <c r="E1339" s="268"/>
      <c r="F1339" s="269"/>
      <c r="G1339" s="258"/>
      <c r="H1339" s="270"/>
      <c r="I1339" s="271"/>
      <c r="J1339" s="271"/>
      <c r="K1339" s="234"/>
      <c r="L1339" s="307"/>
      <c r="M1339" s="272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67"/>
      <c r="C1340" s="234"/>
      <c r="D1340" s="234"/>
      <c r="E1340" s="268"/>
      <c r="F1340" s="269"/>
      <c r="G1340" s="258"/>
      <c r="H1340" s="270"/>
      <c r="I1340" s="271"/>
      <c r="J1340" s="271"/>
      <c r="K1340" s="234"/>
      <c r="L1340" s="307"/>
      <c r="M1340" s="272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67"/>
      <c r="C1341" s="234"/>
      <c r="D1341" s="234"/>
      <c r="E1341" s="268"/>
      <c r="F1341" s="269"/>
      <c r="G1341" s="258"/>
      <c r="H1341" s="270"/>
      <c r="I1341" s="271"/>
      <c r="J1341" s="271"/>
      <c r="K1341" s="234"/>
      <c r="L1341" s="307"/>
      <c r="M1341" s="272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67"/>
      <c r="C1342" s="234"/>
      <c r="D1342" s="234"/>
      <c r="E1342" s="268"/>
      <c r="F1342" s="269"/>
      <c r="G1342" s="258"/>
      <c r="H1342" s="270"/>
      <c r="I1342" s="271"/>
      <c r="J1342" s="271"/>
      <c r="K1342" s="234"/>
      <c r="L1342" s="307"/>
      <c r="M1342" s="272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67"/>
      <c r="C1343" s="234"/>
      <c r="D1343" s="234"/>
      <c r="E1343" s="268"/>
      <c r="F1343" s="269"/>
      <c r="G1343" s="258"/>
      <c r="H1343" s="270"/>
      <c r="I1343" s="271"/>
      <c r="J1343" s="271"/>
      <c r="K1343" s="234"/>
      <c r="L1343" s="307"/>
      <c r="M1343" s="272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67"/>
      <c r="C1344" s="234"/>
      <c r="D1344" s="234"/>
      <c r="E1344" s="268"/>
      <c r="F1344" s="269"/>
      <c r="G1344" s="258"/>
      <c r="H1344" s="270"/>
      <c r="I1344" s="271"/>
      <c r="J1344" s="271"/>
      <c r="K1344" s="234"/>
      <c r="L1344" s="307"/>
      <c r="M1344" s="272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67"/>
      <c r="C1345" s="234"/>
      <c r="D1345" s="234"/>
      <c r="E1345" s="268"/>
      <c r="F1345" s="269"/>
      <c r="G1345" s="258"/>
      <c r="H1345" s="270"/>
      <c r="I1345" s="271"/>
      <c r="J1345" s="271"/>
      <c r="K1345" s="234"/>
      <c r="L1345" s="307"/>
      <c r="M1345" s="272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67"/>
      <c r="C1346" s="234"/>
      <c r="D1346" s="234"/>
      <c r="E1346" s="268"/>
      <c r="F1346" s="269"/>
      <c r="G1346" s="258"/>
      <c r="H1346" s="270"/>
      <c r="I1346" s="271"/>
      <c r="J1346" s="271"/>
      <c r="K1346" s="234"/>
      <c r="L1346" s="307"/>
      <c r="M1346" s="272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67"/>
      <c r="C1347" s="234"/>
      <c r="D1347" s="234"/>
      <c r="E1347" s="268"/>
      <c r="F1347" s="269"/>
      <c r="G1347" s="258"/>
      <c r="H1347" s="270"/>
      <c r="I1347" s="271"/>
      <c r="J1347" s="271"/>
      <c r="K1347" s="234"/>
      <c r="L1347" s="307"/>
      <c r="M1347" s="272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67"/>
      <c r="C1348" s="234"/>
      <c r="D1348" s="234"/>
      <c r="E1348" s="268"/>
      <c r="F1348" s="269"/>
      <c r="G1348" s="258"/>
      <c r="H1348" s="270"/>
      <c r="I1348" s="271"/>
      <c r="J1348" s="271"/>
      <c r="K1348" s="234"/>
      <c r="L1348" s="307"/>
      <c r="M1348" s="272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67"/>
      <c r="C1349" s="234"/>
      <c r="D1349" s="234"/>
      <c r="E1349" s="268"/>
      <c r="F1349" s="269"/>
      <c r="G1349" s="258"/>
      <c r="H1349" s="270"/>
      <c r="I1349" s="271"/>
      <c r="J1349" s="271"/>
      <c r="K1349" s="234"/>
      <c r="L1349" s="307"/>
      <c r="M1349" s="272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67"/>
      <c r="C1350" s="234"/>
      <c r="D1350" s="234"/>
      <c r="E1350" s="268"/>
      <c r="F1350" s="269"/>
      <c r="G1350" s="258"/>
      <c r="H1350" s="270"/>
      <c r="I1350" s="271"/>
      <c r="J1350" s="271"/>
      <c r="K1350" s="234"/>
      <c r="L1350" s="307"/>
      <c r="M1350" s="272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67"/>
      <c r="C1351" s="234"/>
      <c r="D1351" s="234"/>
      <c r="E1351" s="268"/>
      <c r="F1351" s="269"/>
      <c r="G1351" s="258"/>
      <c r="H1351" s="270"/>
      <c r="I1351" s="271"/>
      <c r="J1351" s="271"/>
      <c r="K1351" s="234"/>
      <c r="L1351" s="307"/>
      <c r="M1351" s="272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67"/>
      <c r="C1352" s="234"/>
      <c r="D1352" s="234"/>
      <c r="E1352" s="268"/>
      <c r="F1352" s="269"/>
      <c r="G1352" s="258"/>
      <c r="H1352" s="270"/>
      <c r="I1352" s="271"/>
      <c r="J1352" s="271"/>
      <c r="K1352" s="234"/>
      <c r="L1352" s="307"/>
      <c r="M1352" s="272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67"/>
      <c r="C1353" s="234"/>
      <c r="D1353" s="234"/>
      <c r="E1353" s="268"/>
      <c r="F1353" s="269"/>
      <c r="G1353" s="258"/>
      <c r="H1353" s="270"/>
      <c r="I1353" s="271"/>
      <c r="J1353" s="271"/>
      <c r="K1353" s="234"/>
      <c r="L1353" s="307"/>
      <c r="M1353" s="272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67"/>
      <c r="C1354" s="234"/>
      <c r="D1354" s="234"/>
      <c r="E1354" s="268"/>
      <c r="F1354" s="269"/>
      <c r="G1354" s="258"/>
      <c r="H1354" s="270"/>
      <c r="I1354" s="271"/>
      <c r="J1354" s="271"/>
      <c r="K1354" s="234"/>
      <c r="L1354" s="307"/>
      <c r="M1354" s="272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67"/>
      <c r="C1355" s="234"/>
      <c r="D1355" s="234"/>
      <c r="E1355" s="268"/>
      <c r="F1355" s="269"/>
      <c r="G1355" s="258"/>
      <c r="H1355" s="270"/>
      <c r="I1355" s="271"/>
      <c r="J1355" s="271"/>
      <c r="K1355" s="234"/>
      <c r="L1355" s="307"/>
      <c r="M1355" s="272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67"/>
      <c r="C1356" s="234"/>
      <c r="D1356" s="234"/>
      <c r="E1356" s="268"/>
      <c r="F1356" s="269"/>
      <c r="G1356" s="258"/>
      <c r="H1356" s="270"/>
      <c r="I1356" s="271"/>
      <c r="J1356" s="271"/>
      <c r="K1356" s="234"/>
      <c r="L1356" s="307"/>
      <c r="M1356" s="272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67"/>
      <c r="C1357" s="234"/>
      <c r="D1357" s="234"/>
      <c r="E1357" s="268"/>
      <c r="F1357" s="269"/>
      <c r="G1357" s="258"/>
      <c r="H1357" s="270"/>
      <c r="I1357" s="271"/>
      <c r="J1357" s="271"/>
      <c r="K1357" s="234"/>
      <c r="L1357" s="307"/>
      <c r="M1357" s="272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67"/>
      <c r="C1358" s="234"/>
      <c r="D1358" s="234"/>
      <c r="E1358" s="268"/>
      <c r="F1358" s="269"/>
      <c r="G1358" s="258"/>
      <c r="H1358" s="270"/>
      <c r="I1358" s="271"/>
      <c r="J1358" s="271"/>
      <c r="K1358" s="234"/>
      <c r="L1358" s="307"/>
      <c r="M1358" s="272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67"/>
      <c r="C1359" s="234"/>
      <c r="D1359" s="234"/>
      <c r="E1359" s="268"/>
      <c r="F1359" s="269"/>
      <c r="G1359" s="258"/>
      <c r="H1359" s="270"/>
      <c r="I1359" s="271"/>
      <c r="J1359" s="271"/>
      <c r="K1359" s="234"/>
      <c r="L1359" s="307"/>
      <c r="M1359" s="272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67"/>
      <c r="C1360" s="234"/>
      <c r="D1360" s="234"/>
      <c r="E1360" s="268"/>
      <c r="F1360" s="269"/>
      <c r="G1360" s="258"/>
      <c r="H1360" s="270"/>
      <c r="I1360" s="271"/>
      <c r="J1360" s="271"/>
      <c r="K1360" s="234"/>
      <c r="L1360" s="307"/>
      <c r="M1360" s="272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67"/>
      <c r="C1361" s="234"/>
      <c r="D1361" s="234"/>
      <c r="E1361" s="268"/>
      <c r="F1361" s="269"/>
      <c r="G1361" s="258"/>
      <c r="H1361" s="270"/>
      <c r="I1361" s="271"/>
      <c r="J1361" s="271"/>
      <c r="K1361" s="234"/>
      <c r="L1361" s="307"/>
      <c r="M1361" s="272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67"/>
      <c r="C1362" s="234"/>
      <c r="D1362" s="234"/>
      <c r="E1362" s="268"/>
      <c r="F1362" s="269"/>
      <c r="G1362" s="258"/>
      <c r="H1362" s="270"/>
      <c r="I1362" s="271"/>
      <c r="J1362" s="271"/>
      <c r="K1362" s="234"/>
      <c r="L1362" s="307"/>
      <c r="M1362" s="272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67"/>
      <c r="C1363" s="234"/>
      <c r="D1363" s="234"/>
      <c r="E1363" s="268"/>
      <c r="F1363" s="269"/>
      <c r="G1363" s="258"/>
      <c r="H1363" s="270"/>
      <c r="I1363" s="271"/>
      <c r="J1363" s="271"/>
      <c r="K1363" s="234"/>
      <c r="L1363" s="307"/>
      <c r="M1363" s="272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67"/>
      <c r="C1364" s="234"/>
      <c r="D1364" s="234"/>
      <c r="E1364" s="268"/>
      <c r="F1364" s="269"/>
      <c r="G1364" s="258"/>
      <c r="H1364" s="270"/>
      <c r="I1364" s="271"/>
      <c r="J1364" s="271"/>
      <c r="K1364" s="234"/>
      <c r="L1364" s="307"/>
      <c r="M1364" s="272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67"/>
      <c r="C1365" s="234"/>
      <c r="D1365" s="234"/>
      <c r="E1365" s="268"/>
      <c r="F1365" s="269"/>
      <c r="G1365" s="258"/>
      <c r="H1365" s="270"/>
      <c r="I1365" s="271"/>
      <c r="J1365" s="271"/>
      <c r="K1365" s="234"/>
      <c r="L1365" s="307"/>
      <c r="M1365" s="272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67"/>
      <c r="C1366" s="234"/>
      <c r="D1366" s="234"/>
      <c r="E1366" s="268"/>
      <c r="F1366" s="269"/>
      <c r="G1366" s="258"/>
      <c r="H1366" s="270"/>
      <c r="I1366" s="271"/>
      <c r="J1366" s="271"/>
      <c r="K1366" s="234"/>
      <c r="L1366" s="307"/>
      <c r="M1366" s="272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67"/>
      <c r="C1367" s="234"/>
      <c r="D1367" s="234"/>
      <c r="E1367" s="268"/>
      <c r="F1367" s="269"/>
      <c r="G1367" s="258"/>
      <c r="H1367" s="270"/>
      <c r="I1367" s="271"/>
      <c r="J1367" s="271"/>
      <c r="K1367" s="234"/>
      <c r="L1367" s="307"/>
      <c r="M1367" s="272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67"/>
      <c r="C1368" s="234"/>
      <c r="D1368" s="234"/>
      <c r="E1368" s="268"/>
      <c r="F1368" s="269"/>
      <c r="G1368" s="258"/>
      <c r="H1368" s="270"/>
      <c r="I1368" s="271"/>
      <c r="J1368" s="271"/>
      <c r="K1368" s="234"/>
      <c r="L1368" s="307"/>
      <c r="M1368" s="272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67"/>
      <c r="C1369" s="234"/>
      <c r="D1369" s="234"/>
      <c r="E1369" s="268"/>
      <c r="F1369" s="269"/>
      <c r="G1369" s="258"/>
      <c r="H1369" s="270"/>
      <c r="I1369" s="271"/>
      <c r="J1369" s="271"/>
      <c r="K1369" s="234"/>
      <c r="L1369" s="307"/>
      <c r="M1369" s="272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67"/>
      <c r="C1370" s="234"/>
      <c r="D1370" s="234"/>
      <c r="E1370" s="268"/>
      <c r="F1370" s="269"/>
      <c r="G1370" s="258"/>
      <c r="H1370" s="270"/>
      <c r="I1370" s="271"/>
      <c r="J1370" s="271"/>
      <c r="K1370" s="234"/>
      <c r="L1370" s="307"/>
      <c r="M1370" s="272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67"/>
      <c r="C1371" s="234"/>
      <c r="D1371" s="234"/>
      <c r="E1371" s="268"/>
      <c r="F1371" s="269"/>
      <c r="G1371" s="258"/>
      <c r="H1371" s="270"/>
      <c r="I1371" s="271"/>
      <c r="J1371" s="271"/>
      <c r="K1371" s="234"/>
      <c r="L1371" s="307"/>
      <c r="M1371" s="272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67"/>
      <c r="C1372" s="234"/>
      <c r="D1372" s="234"/>
      <c r="E1372" s="268"/>
      <c r="F1372" s="269"/>
      <c r="G1372" s="258"/>
      <c r="H1372" s="270"/>
      <c r="I1372" s="271"/>
      <c r="J1372" s="271"/>
      <c r="K1372" s="234"/>
      <c r="L1372" s="307"/>
      <c r="M1372" s="272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67"/>
      <c r="C1373" s="234"/>
      <c r="D1373" s="234"/>
      <c r="E1373" s="268"/>
      <c r="F1373" s="269"/>
      <c r="G1373" s="258"/>
      <c r="H1373" s="270"/>
      <c r="I1373" s="271"/>
      <c r="J1373" s="271"/>
      <c r="K1373" s="234"/>
      <c r="L1373" s="307"/>
      <c r="M1373" s="272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67"/>
      <c r="C1374" s="234"/>
      <c r="D1374" s="234"/>
      <c r="E1374" s="268"/>
      <c r="F1374" s="269"/>
      <c r="G1374" s="258"/>
      <c r="H1374" s="270"/>
      <c r="I1374" s="271"/>
      <c r="J1374" s="271"/>
      <c r="K1374" s="234"/>
      <c r="L1374" s="307"/>
      <c r="M1374" s="272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67"/>
      <c r="C1375" s="234"/>
      <c r="D1375" s="234"/>
      <c r="E1375" s="268"/>
      <c r="F1375" s="269"/>
      <c r="G1375" s="258"/>
      <c r="H1375" s="270"/>
      <c r="I1375" s="271"/>
      <c r="J1375" s="271"/>
      <c r="K1375" s="234"/>
      <c r="L1375" s="307"/>
      <c r="M1375" s="272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67"/>
      <c r="C1376" s="234"/>
      <c r="D1376" s="234"/>
      <c r="E1376" s="268"/>
      <c r="F1376" s="269"/>
      <c r="G1376" s="258"/>
      <c r="H1376" s="270"/>
      <c r="I1376" s="271"/>
      <c r="J1376" s="271"/>
      <c r="K1376" s="234"/>
      <c r="L1376" s="307"/>
      <c r="M1376" s="272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67"/>
      <c r="C1377" s="234"/>
      <c r="D1377" s="234"/>
      <c r="E1377" s="268"/>
      <c r="F1377" s="269"/>
      <c r="G1377" s="258"/>
      <c r="H1377" s="270"/>
      <c r="I1377" s="271"/>
      <c r="J1377" s="271"/>
      <c r="K1377" s="234"/>
      <c r="L1377" s="307"/>
      <c r="M1377" s="272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67"/>
      <c r="C1378" s="234"/>
      <c r="D1378" s="234"/>
      <c r="E1378" s="268"/>
      <c r="F1378" s="269"/>
      <c r="G1378" s="258"/>
      <c r="H1378" s="270"/>
      <c r="I1378" s="271"/>
      <c r="J1378" s="271"/>
      <c r="K1378" s="234"/>
      <c r="L1378" s="307"/>
      <c r="M1378" s="272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67"/>
      <c r="C1379" s="234"/>
      <c r="D1379" s="234"/>
      <c r="E1379" s="268"/>
      <c r="F1379" s="269"/>
      <c r="G1379" s="258"/>
      <c r="H1379" s="270"/>
      <c r="I1379" s="271"/>
      <c r="J1379" s="271"/>
      <c r="K1379" s="234"/>
      <c r="L1379" s="307"/>
      <c r="M1379" s="272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67"/>
      <c r="C1380" s="234"/>
      <c r="D1380" s="234"/>
      <c r="E1380" s="268"/>
      <c r="F1380" s="269"/>
      <c r="G1380" s="258"/>
      <c r="H1380" s="270"/>
      <c r="I1380" s="271"/>
      <c r="J1380" s="271"/>
      <c r="K1380" s="234"/>
      <c r="L1380" s="307"/>
      <c r="M1380" s="272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67"/>
      <c r="C1381" s="234"/>
      <c r="D1381" s="234"/>
      <c r="E1381" s="268"/>
      <c r="F1381" s="269"/>
      <c r="G1381" s="258"/>
      <c r="H1381" s="270"/>
      <c r="I1381" s="271"/>
      <c r="J1381" s="271"/>
      <c r="K1381" s="234"/>
      <c r="L1381" s="307"/>
      <c r="M1381" s="272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67"/>
      <c r="C1382" s="234"/>
      <c r="D1382" s="234"/>
      <c r="E1382" s="268"/>
      <c r="F1382" s="269"/>
      <c r="G1382" s="258"/>
      <c r="H1382" s="270"/>
      <c r="I1382" s="271"/>
      <c r="J1382" s="271"/>
      <c r="K1382" s="234"/>
      <c r="L1382" s="307"/>
      <c r="M1382" s="272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67"/>
      <c r="C1383" s="234"/>
      <c r="D1383" s="234"/>
      <c r="E1383" s="268"/>
      <c r="F1383" s="269"/>
      <c r="G1383" s="258"/>
      <c r="H1383" s="270"/>
      <c r="I1383" s="271"/>
      <c r="J1383" s="271"/>
      <c r="K1383" s="234"/>
      <c r="L1383" s="307"/>
      <c r="M1383" s="272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67"/>
      <c r="C1384" s="234"/>
      <c r="D1384" s="234"/>
      <c r="E1384" s="268"/>
      <c r="F1384" s="269"/>
      <c r="G1384" s="258"/>
      <c r="H1384" s="270"/>
      <c r="I1384" s="271"/>
      <c r="J1384" s="271"/>
      <c r="K1384" s="234"/>
      <c r="L1384" s="307"/>
      <c r="M1384" s="272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67"/>
      <c r="C1385" s="234"/>
      <c r="D1385" s="234"/>
      <c r="E1385" s="268"/>
      <c r="F1385" s="269"/>
      <c r="G1385" s="258"/>
      <c r="H1385" s="270"/>
      <c r="I1385" s="271"/>
      <c r="J1385" s="271"/>
      <c r="K1385" s="234"/>
      <c r="L1385" s="307"/>
      <c r="M1385" s="272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67"/>
      <c r="C1386" s="234"/>
      <c r="D1386" s="234"/>
      <c r="E1386" s="268"/>
      <c r="F1386" s="269"/>
      <c r="G1386" s="258"/>
      <c r="H1386" s="270"/>
      <c r="I1386" s="271"/>
      <c r="J1386" s="271"/>
      <c r="K1386" s="234"/>
      <c r="L1386" s="307"/>
      <c r="M1386" s="272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67"/>
      <c r="C1387" s="234"/>
      <c r="D1387" s="234"/>
      <c r="E1387" s="268"/>
      <c r="F1387" s="269"/>
      <c r="G1387" s="258"/>
      <c r="H1387" s="270"/>
      <c r="I1387" s="271"/>
      <c r="J1387" s="271"/>
      <c r="K1387" s="234"/>
      <c r="L1387" s="307"/>
      <c r="M1387" s="272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67"/>
      <c r="C1388" s="234"/>
      <c r="D1388" s="234"/>
      <c r="E1388" s="268"/>
      <c r="F1388" s="269"/>
      <c r="G1388" s="258"/>
      <c r="H1388" s="270"/>
      <c r="I1388" s="271"/>
      <c r="J1388" s="271"/>
      <c r="K1388" s="234"/>
      <c r="L1388" s="307"/>
      <c r="M1388" s="272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67"/>
      <c r="C1389" s="234"/>
      <c r="D1389" s="234"/>
      <c r="E1389" s="268"/>
      <c r="F1389" s="269"/>
      <c r="G1389" s="258"/>
      <c r="H1389" s="270"/>
      <c r="I1389" s="271"/>
      <c r="J1389" s="271"/>
      <c r="K1389" s="234"/>
      <c r="L1389" s="307"/>
      <c r="M1389" s="272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67"/>
      <c r="C1390" s="234"/>
      <c r="D1390" s="234"/>
      <c r="E1390" s="268"/>
      <c r="F1390" s="269"/>
      <c r="G1390" s="258"/>
      <c r="H1390" s="270"/>
      <c r="I1390" s="271"/>
      <c r="J1390" s="271"/>
      <c r="K1390" s="234"/>
      <c r="L1390" s="307"/>
      <c r="M1390" s="272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67"/>
      <c r="C1391" s="234"/>
      <c r="D1391" s="234"/>
      <c r="E1391" s="268"/>
      <c r="F1391" s="269"/>
      <c r="G1391" s="258"/>
      <c r="H1391" s="270"/>
      <c r="I1391" s="271"/>
      <c r="J1391" s="271"/>
      <c r="K1391" s="234"/>
      <c r="L1391" s="307"/>
      <c r="M1391" s="272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67"/>
      <c r="C1392" s="234"/>
      <c r="D1392" s="234"/>
      <c r="E1392" s="268"/>
      <c r="F1392" s="269"/>
      <c r="G1392" s="258"/>
      <c r="H1392" s="270"/>
      <c r="I1392" s="271"/>
      <c r="J1392" s="271"/>
      <c r="K1392" s="234"/>
      <c r="L1392" s="307"/>
      <c r="M1392" s="272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67"/>
      <c r="C1393" s="234"/>
      <c r="D1393" s="234"/>
      <c r="E1393" s="268"/>
      <c r="F1393" s="269"/>
      <c r="G1393" s="258"/>
      <c r="H1393" s="270"/>
      <c r="I1393" s="271"/>
      <c r="J1393" s="271"/>
      <c r="K1393" s="234"/>
      <c r="L1393" s="307"/>
      <c r="M1393" s="272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67"/>
      <c r="C1394" s="234"/>
      <c r="D1394" s="234"/>
      <c r="E1394" s="268"/>
      <c r="F1394" s="269"/>
      <c r="G1394" s="258"/>
      <c r="H1394" s="270"/>
      <c r="I1394" s="271"/>
      <c r="J1394" s="271"/>
      <c r="K1394" s="234"/>
      <c r="L1394" s="307"/>
      <c r="M1394" s="272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67"/>
      <c r="C1395" s="234"/>
      <c r="D1395" s="234"/>
      <c r="E1395" s="268"/>
      <c r="F1395" s="269"/>
      <c r="G1395" s="258"/>
      <c r="H1395" s="270"/>
      <c r="I1395" s="271"/>
      <c r="J1395" s="271"/>
      <c r="K1395" s="234"/>
      <c r="L1395" s="307"/>
      <c r="M1395" s="272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67"/>
      <c r="C1396" s="234"/>
      <c r="D1396" s="234"/>
      <c r="E1396" s="268"/>
      <c r="F1396" s="269"/>
      <c r="G1396" s="258"/>
      <c r="H1396" s="270"/>
      <c r="I1396" s="271"/>
      <c r="J1396" s="271"/>
      <c r="K1396" s="234"/>
      <c r="L1396" s="307"/>
      <c r="M1396" s="272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67"/>
      <c r="C1397" s="234"/>
      <c r="D1397" s="234"/>
      <c r="E1397" s="268"/>
      <c r="F1397" s="269"/>
      <c r="G1397" s="258"/>
      <c r="H1397" s="270"/>
      <c r="I1397" s="271"/>
      <c r="J1397" s="271"/>
      <c r="K1397" s="234"/>
      <c r="L1397" s="307"/>
      <c r="M1397" s="272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67"/>
      <c r="C1398" s="234"/>
      <c r="D1398" s="234"/>
      <c r="E1398" s="268"/>
      <c r="F1398" s="269"/>
      <c r="G1398" s="258"/>
      <c r="H1398" s="270"/>
      <c r="I1398" s="271"/>
      <c r="J1398" s="271"/>
      <c r="K1398" s="234"/>
      <c r="L1398" s="307"/>
      <c r="M1398" s="272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67"/>
      <c r="C1399" s="234"/>
      <c r="D1399" s="234"/>
      <c r="E1399" s="268"/>
      <c r="F1399" s="269"/>
      <c r="G1399" s="258"/>
      <c r="H1399" s="270"/>
      <c r="I1399" s="271"/>
      <c r="J1399" s="271"/>
      <c r="K1399" s="234"/>
      <c r="L1399" s="307"/>
      <c r="M1399" s="272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67"/>
      <c r="C1400" s="234"/>
      <c r="D1400" s="234"/>
      <c r="E1400" s="268"/>
      <c r="F1400" s="269"/>
      <c r="G1400" s="258"/>
      <c r="H1400" s="270"/>
      <c r="I1400" s="271"/>
      <c r="J1400" s="271"/>
      <c r="K1400" s="234"/>
      <c r="L1400" s="307"/>
      <c r="M1400" s="272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67"/>
      <c r="C1401" s="234"/>
      <c r="D1401" s="234"/>
      <c r="E1401" s="268"/>
      <c r="F1401" s="269"/>
      <c r="G1401" s="258"/>
      <c r="H1401" s="270"/>
      <c r="I1401" s="271"/>
      <c r="J1401" s="271"/>
      <c r="K1401" s="234"/>
      <c r="L1401" s="307"/>
      <c r="M1401" s="272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67"/>
      <c r="C1402" s="234"/>
      <c r="D1402" s="234"/>
      <c r="E1402" s="268"/>
      <c r="F1402" s="269"/>
      <c r="G1402" s="258"/>
      <c r="H1402" s="270"/>
      <c r="I1402" s="271"/>
      <c r="J1402" s="271"/>
      <c r="K1402" s="234"/>
      <c r="L1402" s="307"/>
      <c r="M1402" s="272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67"/>
      <c r="C1403" s="234"/>
      <c r="D1403" s="234"/>
      <c r="E1403" s="268"/>
      <c r="F1403" s="269"/>
      <c r="G1403" s="258"/>
      <c r="H1403" s="270"/>
      <c r="I1403" s="271"/>
      <c r="J1403" s="271"/>
      <c r="K1403" s="234"/>
      <c r="L1403" s="307"/>
      <c r="M1403" s="272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67"/>
      <c r="C1404" s="234"/>
      <c r="D1404" s="234"/>
      <c r="E1404" s="268"/>
      <c r="F1404" s="269"/>
      <c r="G1404" s="258"/>
      <c r="H1404" s="270"/>
      <c r="I1404" s="271"/>
      <c r="J1404" s="271"/>
      <c r="K1404" s="234"/>
      <c r="L1404" s="307"/>
      <c r="M1404" s="272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67"/>
      <c r="C1405" s="234"/>
      <c r="D1405" s="234"/>
      <c r="E1405" s="268"/>
      <c r="F1405" s="269"/>
      <c r="G1405" s="258"/>
      <c r="H1405" s="270"/>
      <c r="I1405" s="271"/>
      <c r="J1405" s="271"/>
      <c r="K1405" s="234"/>
      <c r="L1405" s="307"/>
      <c r="M1405" s="272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67"/>
      <c r="C1406" s="234"/>
      <c r="D1406" s="234"/>
      <c r="E1406" s="268"/>
      <c r="F1406" s="269"/>
      <c r="G1406" s="258"/>
      <c r="H1406" s="270"/>
      <c r="I1406" s="271"/>
      <c r="J1406" s="271"/>
      <c r="K1406" s="234"/>
      <c r="L1406" s="307"/>
      <c r="M1406" s="272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67"/>
      <c r="C1407" s="234"/>
      <c r="D1407" s="234"/>
      <c r="E1407" s="268"/>
      <c r="F1407" s="269"/>
      <c r="G1407" s="258"/>
      <c r="H1407" s="270"/>
      <c r="I1407" s="271"/>
      <c r="J1407" s="271"/>
      <c r="K1407" s="234"/>
      <c r="L1407" s="307"/>
      <c r="M1407" s="272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67"/>
      <c r="C1408" s="234"/>
      <c r="D1408" s="234"/>
      <c r="E1408" s="268"/>
      <c r="F1408" s="269"/>
      <c r="G1408" s="258"/>
      <c r="H1408" s="270"/>
      <c r="I1408" s="271"/>
      <c r="J1408" s="271"/>
      <c r="K1408" s="234"/>
      <c r="L1408" s="307"/>
      <c r="M1408" s="272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67"/>
      <c r="C1409" s="234"/>
      <c r="D1409" s="234"/>
      <c r="E1409" s="268"/>
      <c r="F1409" s="269"/>
      <c r="G1409" s="258"/>
      <c r="H1409" s="270"/>
      <c r="I1409" s="271"/>
      <c r="J1409" s="271"/>
      <c r="K1409" s="234"/>
      <c r="L1409" s="307"/>
      <c r="M1409" s="272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67"/>
      <c r="C1410" s="234"/>
      <c r="D1410" s="234"/>
      <c r="E1410" s="268"/>
      <c r="F1410" s="269"/>
      <c r="G1410" s="258"/>
      <c r="H1410" s="270"/>
      <c r="I1410" s="271"/>
      <c r="J1410" s="271"/>
      <c r="K1410" s="234"/>
      <c r="L1410" s="307"/>
      <c r="M1410" s="272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67"/>
      <c r="C1411" s="234"/>
      <c r="D1411" s="234"/>
      <c r="E1411" s="268"/>
      <c r="F1411" s="269"/>
      <c r="G1411" s="258"/>
      <c r="H1411" s="270"/>
      <c r="I1411" s="271"/>
      <c r="J1411" s="271"/>
      <c r="K1411" s="234"/>
      <c r="L1411" s="307"/>
      <c r="M1411" s="272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67"/>
      <c r="C1412" s="234"/>
      <c r="D1412" s="234"/>
      <c r="E1412" s="268"/>
      <c r="F1412" s="269"/>
      <c r="G1412" s="258"/>
      <c r="H1412" s="270"/>
      <c r="I1412" s="271"/>
      <c r="J1412" s="271"/>
      <c r="K1412" s="234"/>
      <c r="L1412" s="307"/>
      <c r="M1412" s="272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67"/>
      <c r="C1413" s="234"/>
      <c r="D1413" s="234"/>
      <c r="E1413" s="268"/>
      <c r="F1413" s="269"/>
      <c r="G1413" s="258"/>
      <c r="H1413" s="270"/>
      <c r="I1413" s="271"/>
      <c r="J1413" s="271"/>
      <c r="K1413" s="234"/>
      <c r="L1413" s="307"/>
      <c r="M1413" s="272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67"/>
      <c r="C1414" s="234"/>
      <c r="D1414" s="234"/>
      <c r="E1414" s="268"/>
      <c r="F1414" s="269"/>
      <c r="G1414" s="258"/>
      <c r="H1414" s="270"/>
      <c r="I1414" s="271"/>
      <c r="J1414" s="271"/>
      <c r="K1414" s="234"/>
      <c r="L1414" s="307"/>
      <c r="M1414" s="272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67"/>
      <c r="C1415" s="234"/>
      <c r="D1415" s="234"/>
      <c r="E1415" s="268"/>
      <c r="F1415" s="269"/>
      <c r="G1415" s="258"/>
      <c r="H1415" s="270"/>
      <c r="I1415" s="271"/>
      <c r="J1415" s="271"/>
      <c r="K1415" s="234"/>
      <c r="L1415" s="307"/>
      <c r="M1415" s="272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67"/>
      <c r="C1416" s="234"/>
      <c r="D1416" s="234"/>
      <c r="E1416" s="268"/>
      <c r="F1416" s="269"/>
      <c r="G1416" s="258"/>
      <c r="H1416" s="270"/>
      <c r="I1416" s="271"/>
      <c r="J1416" s="271"/>
      <c r="K1416" s="234"/>
      <c r="L1416" s="307"/>
      <c r="M1416" s="272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67"/>
      <c r="C1417" s="234"/>
      <c r="D1417" s="234"/>
      <c r="E1417" s="268"/>
      <c r="F1417" s="269"/>
      <c r="G1417" s="258"/>
      <c r="H1417" s="270"/>
      <c r="I1417" s="271"/>
      <c r="J1417" s="271"/>
      <c r="K1417" s="234"/>
      <c r="L1417" s="307"/>
      <c r="M1417" s="272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67"/>
      <c r="C1418" s="234"/>
      <c r="D1418" s="234"/>
      <c r="E1418" s="268"/>
      <c r="F1418" s="269"/>
      <c r="G1418" s="258"/>
      <c r="H1418" s="270"/>
      <c r="I1418" s="271"/>
      <c r="J1418" s="271"/>
      <c r="K1418" s="234"/>
      <c r="L1418" s="307"/>
      <c r="M1418" s="272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67"/>
      <c r="C1419" s="234"/>
      <c r="D1419" s="234"/>
      <c r="E1419" s="268"/>
      <c r="F1419" s="269"/>
      <c r="G1419" s="258"/>
      <c r="H1419" s="270"/>
      <c r="I1419" s="271"/>
      <c r="J1419" s="271"/>
      <c r="K1419" s="234"/>
      <c r="L1419" s="307"/>
      <c r="M1419" s="272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67"/>
      <c r="C1420" s="234"/>
      <c r="D1420" s="234"/>
      <c r="E1420" s="268"/>
      <c r="F1420" s="269"/>
      <c r="G1420" s="258"/>
      <c r="H1420" s="270"/>
      <c r="I1420" s="271"/>
      <c r="J1420" s="271"/>
      <c r="K1420" s="234"/>
      <c r="L1420" s="307"/>
      <c r="M1420" s="272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67"/>
      <c r="C1421" s="234"/>
      <c r="D1421" s="234"/>
      <c r="E1421" s="268"/>
      <c r="F1421" s="269"/>
      <c r="G1421" s="258"/>
      <c r="H1421" s="270"/>
      <c r="I1421" s="271"/>
      <c r="J1421" s="271"/>
      <c r="K1421" s="234"/>
      <c r="L1421" s="307"/>
      <c r="M1421" s="272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67"/>
      <c r="C1422" s="234"/>
      <c r="D1422" s="234"/>
      <c r="E1422" s="268"/>
      <c r="F1422" s="269"/>
      <c r="G1422" s="258"/>
      <c r="H1422" s="270"/>
      <c r="I1422" s="271"/>
      <c r="J1422" s="271"/>
      <c r="K1422" s="234"/>
      <c r="L1422" s="307"/>
      <c r="M1422" s="272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67"/>
      <c r="C1423" s="234"/>
      <c r="D1423" s="234"/>
      <c r="E1423" s="268"/>
      <c r="F1423" s="269"/>
      <c r="G1423" s="258"/>
      <c r="H1423" s="270"/>
      <c r="I1423" s="271"/>
      <c r="J1423" s="271"/>
      <c r="K1423" s="234"/>
      <c r="L1423" s="307"/>
      <c r="M1423" s="272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67"/>
      <c r="C1424" s="234"/>
      <c r="D1424" s="234"/>
      <c r="E1424" s="268"/>
      <c r="F1424" s="269"/>
      <c r="G1424" s="258"/>
      <c r="H1424" s="270"/>
      <c r="I1424" s="271"/>
      <c r="J1424" s="271"/>
      <c r="K1424" s="234"/>
      <c r="L1424" s="307"/>
      <c r="M1424" s="272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67"/>
      <c r="C1425" s="234"/>
      <c r="D1425" s="234"/>
      <c r="E1425" s="268"/>
      <c r="F1425" s="269"/>
      <c r="G1425" s="258"/>
      <c r="H1425" s="270"/>
      <c r="I1425" s="271"/>
      <c r="J1425" s="271"/>
      <c r="K1425" s="234"/>
      <c r="L1425" s="307"/>
      <c r="M1425" s="272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67"/>
      <c r="C1426" s="234"/>
      <c r="D1426" s="234"/>
      <c r="E1426" s="268"/>
      <c r="F1426" s="269"/>
      <c r="G1426" s="258"/>
      <c r="H1426" s="270"/>
      <c r="I1426" s="271"/>
      <c r="J1426" s="271"/>
      <c r="K1426" s="234"/>
      <c r="L1426" s="307"/>
      <c r="M1426" s="272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67"/>
      <c r="C1427" s="234"/>
      <c r="D1427" s="234"/>
      <c r="E1427" s="268"/>
      <c r="F1427" s="269"/>
      <c r="G1427" s="258"/>
      <c r="H1427" s="270"/>
      <c r="I1427" s="271"/>
      <c r="J1427" s="271"/>
      <c r="K1427" s="234"/>
      <c r="L1427" s="307"/>
      <c r="M1427" s="272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67"/>
      <c r="C1428" s="234"/>
      <c r="D1428" s="234"/>
      <c r="E1428" s="268"/>
      <c r="F1428" s="269"/>
      <c r="G1428" s="258"/>
      <c r="H1428" s="270"/>
      <c r="I1428" s="271"/>
      <c r="J1428" s="271"/>
      <c r="K1428" s="234"/>
      <c r="L1428" s="307"/>
      <c r="M1428" s="272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67"/>
      <c r="C1429" s="234"/>
      <c r="D1429" s="234"/>
      <c r="E1429" s="268"/>
      <c r="F1429" s="269"/>
      <c r="G1429" s="258"/>
      <c r="H1429" s="270"/>
      <c r="I1429" s="271"/>
      <c r="J1429" s="271"/>
      <c r="K1429" s="234"/>
      <c r="L1429" s="307"/>
      <c r="M1429" s="272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67"/>
      <c r="C1430" s="234"/>
      <c r="D1430" s="234"/>
      <c r="E1430" s="268"/>
      <c r="F1430" s="269"/>
      <c r="G1430" s="258"/>
      <c r="H1430" s="270"/>
      <c r="I1430" s="271"/>
      <c r="J1430" s="271"/>
      <c r="K1430" s="234"/>
      <c r="L1430" s="307"/>
      <c r="M1430" s="272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67"/>
      <c r="C1431" s="234"/>
      <c r="D1431" s="234"/>
      <c r="E1431" s="268"/>
      <c r="F1431" s="269"/>
      <c r="G1431" s="258"/>
      <c r="H1431" s="270"/>
      <c r="I1431" s="271"/>
      <c r="J1431" s="271"/>
      <c r="K1431" s="234"/>
      <c r="L1431" s="307"/>
      <c r="M1431" s="272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67"/>
      <c r="C1432" s="234"/>
      <c r="D1432" s="234"/>
      <c r="E1432" s="268"/>
      <c r="F1432" s="269"/>
      <c r="G1432" s="258"/>
      <c r="H1432" s="270"/>
      <c r="I1432" s="271"/>
      <c r="J1432" s="271"/>
      <c r="K1432" s="234"/>
      <c r="L1432" s="307"/>
      <c r="M1432" s="272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67"/>
      <c r="C1433" s="234"/>
      <c r="D1433" s="234"/>
      <c r="E1433" s="268"/>
      <c r="F1433" s="269"/>
      <c r="G1433" s="258"/>
      <c r="H1433" s="270"/>
      <c r="I1433" s="271"/>
      <c r="J1433" s="271"/>
      <c r="K1433" s="234"/>
      <c r="L1433" s="307"/>
      <c r="M1433" s="272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67"/>
      <c r="C1434" s="234"/>
      <c r="D1434" s="234"/>
      <c r="E1434" s="268"/>
      <c r="F1434" s="269"/>
      <c r="G1434" s="258"/>
      <c r="H1434" s="270"/>
      <c r="I1434" s="271"/>
      <c r="J1434" s="271"/>
      <c r="K1434" s="234"/>
      <c r="L1434" s="307"/>
      <c r="M1434" s="272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67"/>
      <c r="C1435" s="234"/>
      <c r="D1435" s="234"/>
      <c r="E1435" s="268"/>
      <c r="F1435" s="269"/>
      <c r="G1435" s="258"/>
      <c r="H1435" s="270"/>
      <c r="I1435" s="271"/>
      <c r="J1435" s="271"/>
      <c r="K1435" s="234"/>
      <c r="L1435" s="307"/>
      <c r="M1435" s="272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67"/>
      <c r="C1436" s="234"/>
      <c r="D1436" s="234"/>
      <c r="E1436" s="268"/>
      <c r="F1436" s="269"/>
      <c r="G1436" s="258"/>
      <c r="H1436" s="270"/>
      <c r="I1436" s="271"/>
      <c r="J1436" s="271"/>
      <c r="K1436" s="234"/>
      <c r="L1436" s="307"/>
      <c r="M1436" s="272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67"/>
      <c r="C1437" s="234"/>
      <c r="D1437" s="234"/>
      <c r="E1437" s="268"/>
      <c r="F1437" s="269"/>
      <c r="G1437" s="258"/>
      <c r="H1437" s="270"/>
      <c r="I1437" s="271"/>
      <c r="J1437" s="271"/>
      <c r="K1437" s="234"/>
      <c r="L1437" s="307"/>
      <c r="M1437" s="272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67"/>
      <c r="C1438" s="234"/>
      <c r="D1438" s="234"/>
      <c r="E1438" s="268"/>
      <c r="F1438" s="269"/>
      <c r="G1438" s="258"/>
      <c r="H1438" s="270"/>
      <c r="I1438" s="271"/>
      <c r="J1438" s="271"/>
      <c r="K1438" s="234"/>
      <c r="L1438" s="307"/>
      <c r="M1438" s="272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67"/>
      <c r="C1439" s="234"/>
      <c r="D1439" s="234"/>
      <c r="E1439" s="268"/>
      <c r="F1439" s="269"/>
      <c r="G1439" s="258"/>
      <c r="H1439" s="270"/>
      <c r="I1439" s="271"/>
      <c r="J1439" s="271"/>
      <c r="K1439" s="234"/>
      <c r="L1439" s="307"/>
      <c r="M1439" s="272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67"/>
      <c r="C1440" s="234"/>
      <c r="D1440" s="234"/>
      <c r="E1440" s="268"/>
      <c r="F1440" s="269"/>
      <c r="G1440" s="258"/>
      <c r="H1440" s="270"/>
      <c r="I1440" s="271"/>
      <c r="J1440" s="271"/>
      <c r="K1440" s="234"/>
      <c r="L1440" s="307"/>
      <c r="M1440" s="272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67"/>
      <c r="C1441" s="234"/>
      <c r="D1441" s="234"/>
      <c r="E1441" s="268"/>
      <c r="F1441" s="269"/>
      <c r="G1441" s="258"/>
      <c r="H1441" s="270"/>
      <c r="I1441" s="271"/>
      <c r="J1441" s="271"/>
      <c r="K1441" s="234"/>
      <c r="L1441" s="307"/>
      <c r="M1441" s="272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67"/>
      <c r="C1442" s="234"/>
      <c r="D1442" s="234"/>
      <c r="E1442" s="268"/>
      <c r="F1442" s="269"/>
      <c r="G1442" s="258"/>
      <c r="H1442" s="270"/>
      <c r="I1442" s="271"/>
      <c r="J1442" s="271"/>
      <c r="K1442" s="234"/>
      <c r="L1442" s="307"/>
      <c r="M1442" s="272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67"/>
      <c r="C1443" s="234"/>
      <c r="D1443" s="234"/>
      <c r="E1443" s="268"/>
      <c r="F1443" s="269"/>
      <c r="G1443" s="258"/>
      <c r="H1443" s="270"/>
      <c r="I1443" s="271"/>
      <c r="J1443" s="271"/>
      <c r="K1443" s="234"/>
      <c r="L1443" s="307"/>
      <c r="M1443" s="272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67"/>
      <c r="C1444" s="234"/>
      <c r="D1444" s="234"/>
      <c r="E1444" s="268"/>
      <c r="F1444" s="269"/>
      <c r="G1444" s="258"/>
      <c r="H1444" s="270"/>
      <c r="I1444" s="271"/>
      <c r="J1444" s="271"/>
      <c r="K1444" s="234"/>
      <c r="L1444" s="307"/>
      <c r="M1444" s="272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67"/>
      <c r="C1445" s="234"/>
      <c r="D1445" s="234"/>
      <c r="E1445" s="268"/>
      <c r="F1445" s="269"/>
      <c r="G1445" s="258"/>
      <c r="H1445" s="270"/>
      <c r="I1445" s="271"/>
      <c r="J1445" s="271"/>
      <c r="K1445" s="234"/>
      <c r="L1445" s="307"/>
      <c r="M1445" s="272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67"/>
      <c r="C1446" s="234"/>
      <c r="D1446" s="234"/>
      <c r="E1446" s="268"/>
      <c r="F1446" s="269"/>
      <c r="G1446" s="258"/>
      <c r="H1446" s="270"/>
      <c r="I1446" s="271"/>
      <c r="J1446" s="271"/>
      <c r="K1446" s="234"/>
      <c r="L1446" s="307"/>
      <c r="M1446" s="272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67"/>
      <c r="C1447" s="234"/>
      <c r="D1447" s="234"/>
      <c r="E1447" s="268"/>
      <c r="F1447" s="269"/>
      <c r="G1447" s="258"/>
      <c r="H1447" s="270"/>
      <c r="I1447" s="271"/>
      <c r="J1447" s="271"/>
      <c r="K1447" s="234"/>
      <c r="L1447" s="307"/>
      <c r="M1447" s="272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67"/>
      <c r="C1448" s="234"/>
      <c r="D1448" s="234"/>
      <c r="E1448" s="268"/>
      <c r="F1448" s="269"/>
      <c r="G1448" s="258"/>
      <c r="H1448" s="270"/>
      <c r="I1448" s="271"/>
      <c r="J1448" s="271"/>
      <c r="K1448" s="234"/>
      <c r="L1448" s="307"/>
      <c r="M1448" s="272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67"/>
      <c r="C1449" s="234"/>
      <c r="D1449" s="234"/>
      <c r="E1449" s="268"/>
      <c r="F1449" s="269"/>
      <c r="G1449" s="258"/>
      <c r="H1449" s="270"/>
      <c r="I1449" s="271"/>
      <c r="J1449" s="271"/>
      <c r="K1449" s="234"/>
      <c r="L1449" s="307"/>
      <c r="M1449" s="272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67"/>
      <c r="C1450" s="234"/>
      <c r="D1450" s="234"/>
      <c r="E1450" s="268"/>
      <c r="F1450" s="269"/>
      <c r="G1450" s="258"/>
      <c r="H1450" s="270"/>
      <c r="I1450" s="271"/>
      <c r="J1450" s="271"/>
      <c r="K1450" s="234"/>
      <c r="L1450" s="307"/>
      <c r="M1450" s="272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67"/>
      <c r="C1451" s="234"/>
      <c r="D1451" s="234"/>
      <c r="E1451" s="268"/>
      <c r="F1451" s="269"/>
      <c r="G1451" s="258"/>
      <c r="H1451" s="270"/>
      <c r="I1451" s="271"/>
      <c r="J1451" s="271"/>
      <c r="K1451" s="234"/>
      <c r="L1451" s="307"/>
      <c r="M1451" s="272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67"/>
      <c r="C1452" s="234"/>
      <c r="D1452" s="234"/>
      <c r="E1452" s="268"/>
      <c r="F1452" s="269"/>
      <c r="G1452" s="258"/>
      <c r="H1452" s="270"/>
      <c r="I1452" s="271"/>
      <c r="J1452" s="271"/>
      <c r="K1452" s="234"/>
      <c r="L1452" s="307"/>
      <c r="M1452" s="272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67"/>
      <c r="C1453" s="234"/>
      <c r="D1453" s="234"/>
      <c r="E1453" s="268"/>
      <c r="F1453" s="269"/>
      <c r="G1453" s="258"/>
      <c r="H1453" s="270"/>
      <c r="I1453" s="271"/>
      <c r="J1453" s="271"/>
      <c r="K1453" s="234"/>
      <c r="L1453" s="307"/>
      <c r="M1453" s="272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67"/>
      <c r="C1454" s="234"/>
      <c r="D1454" s="234"/>
      <c r="E1454" s="268"/>
      <c r="F1454" s="269"/>
      <c r="G1454" s="258"/>
      <c r="H1454" s="270"/>
      <c r="I1454" s="271"/>
      <c r="J1454" s="271"/>
      <c r="K1454" s="234"/>
      <c r="L1454" s="307"/>
      <c r="M1454" s="272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67"/>
      <c r="C1455" s="234"/>
      <c r="D1455" s="234"/>
      <c r="E1455" s="268"/>
      <c r="F1455" s="269"/>
      <c r="G1455" s="258"/>
      <c r="H1455" s="270"/>
      <c r="I1455" s="271"/>
      <c r="J1455" s="271"/>
      <c r="K1455" s="234"/>
      <c r="L1455" s="307"/>
      <c r="M1455" s="272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67"/>
      <c r="C1456" s="234"/>
      <c r="D1456" s="234"/>
      <c r="E1456" s="268"/>
      <c r="F1456" s="269"/>
      <c r="G1456" s="258"/>
      <c r="H1456" s="270"/>
      <c r="I1456" s="271"/>
      <c r="J1456" s="271"/>
      <c r="K1456" s="234"/>
      <c r="L1456" s="307"/>
      <c r="M1456" s="272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67"/>
      <c r="C1457" s="234"/>
      <c r="D1457" s="234"/>
      <c r="E1457" s="268"/>
      <c r="F1457" s="269"/>
      <c r="G1457" s="258"/>
      <c r="H1457" s="270"/>
      <c r="I1457" s="271"/>
      <c r="J1457" s="271"/>
      <c r="K1457" s="234"/>
      <c r="L1457" s="307"/>
      <c r="M1457" s="272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67"/>
      <c r="C1458" s="234"/>
      <c r="D1458" s="234"/>
      <c r="E1458" s="268"/>
      <c r="F1458" s="269"/>
      <c r="G1458" s="258"/>
      <c r="H1458" s="270"/>
      <c r="I1458" s="271"/>
      <c r="J1458" s="271"/>
      <c r="K1458" s="234"/>
      <c r="L1458" s="307"/>
      <c r="M1458" s="272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67"/>
      <c r="C1459" s="234"/>
      <c r="D1459" s="234"/>
      <c r="E1459" s="268"/>
      <c r="F1459" s="269"/>
      <c r="G1459" s="258"/>
      <c r="H1459" s="270"/>
      <c r="I1459" s="271"/>
      <c r="J1459" s="271"/>
      <c r="K1459" s="234"/>
      <c r="L1459" s="307"/>
      <c r="M1459" s="272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67"/>
      <c r="C1460" s="234"/>
      <c r="D1460" s="234"/>
      <c r="E1460" s="268"/>
      <c r="F1460" s="269"/>
      <c r="G1460" s="258"/>
      <c r="H1460" s="270"/>
      <c r="I1460" s="271"/>
      <c r="J1460" s="271"/>
      <c r="K1460" s="234"/>
      <c r="L1460" s="307"/>
      <c r="M1460" s="272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67"/>
      <c r="C1461" s="234"/>
      <c r="D1461" s="234"/>
      <c r="E1461" s="268"/>
      <c r="F1461" s="269"/>
      <c r="G1461" s="258"/>
      <c r="H1461" s="270"/>
      <c r="I1461" s="271"/>
      <c r="J1461" s="271"/>
      <c r="K1461" s="234"/>
      <c r="L1461" s="307"/>
      <c r="M1461" s="272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67"/>
      <c r="C1462" s="234"/>
      <c r="D1462" s="234"/>
      <c r="E1462" s="268"/>
      <c r="F1462" s="269"/>
      <c r="G1462" s="258"/>
      <c r="H1462" s="270"/>
      <c r="I1462" s="271"/>
      <c r="J1462" s="271"/>
      <c r="K1462" s="234"/>
      <c r="L1462" s="307"/>
      <c r="M1462" s="272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67"/>
      <c r="C1463" s="234"/>
      <c r="D1463" s="234"/>
      <c r="E1463" s="268"/>
      <c r="F1463" s="269"/>
      <c r="G1463" s="258"/>
      <c r="H1463" s="270"/>
      <c r="I1463" s="271"/>
      <c r="J1463" s="271"/>
      <c r="K1463" s="234"/>
      <c r="L1463" s="307"/>
      <c r="M1463" s="272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67"/>
      <c r="C1464" s="234"/>
      <c r="D1464" s="234"/>
      <c r="E1464" s="268"/>
      <c r="F1464" s="269"/>
      <c r="G1464" s="258"/>
      <c r="H1464" s="270"/>
      <c r="I1464" s="271"/>
      <c r="J1464" s="271"/>
      <c r="K1464" s="234"/>
      <c r="L1464" s="307"/>
      <c r="M1464" s="272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67"/>
      <c r="C1465" s="234"/>
      <c r="D1465" s="234"/>
      <c r="E1465" s="268"/>
      <c r="F1465" s="269"/>
      <c r="G1465" s="258"/>
      <c r="H1465" s="270"/>
      <c r="I1465" s="271"/>
      <c r="J1465" s="271"/>
      <c r="K1465" s="234"/>
      <c r="L1465" s="307"/>
      <c r="M1465" s="272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67"/>
      <c r="C1466" s="234"/>
      <c r="D1466" s="234"/>
      <c r="E1466" s="268"/>
      <c r="F1466" s="269"/>
      <c r="G1466" s="258"/>
      <c r="H1466" s="270"/>
      <c r="I1466" s="271"/>
      <c r="J1466" s="271"/>
      <c r="K1466" s="234"/>
      <c r="L1466" s="307"/>
      <c r="M1466" s="272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67"/>
      <c r="C1467" s="234"/>
      <c r="D1467" s="234"/>
      <c r="E1467" s="268"/>
      <c r="F1467" s="269"/>
      <c r="G1467" s="258"/>
      <c r="H1467" s="270"/>
      <c r="I1467" s="271"/>
      <c r="J1467" s="271"/>
      <c r="K1467" s="234"/>
      <c r="L1467" s="307"/>
      <c r="M1467" s="272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67"/>
      <c r="C1468" s="234"/>
      <c r="D1468" s="234"/>
      <c r="E1468" s="268"/>
      <c r="F1468" s="269"/>
      <c r="G1468" s="258"/>
      <c r="H1468" s="270"/>
      <c r="I1468" s="271"/>
      <c r="J1468" s="271"/>
      <c r="K1468" s="234"/>
      <c r="L1468" s="307"/>
      <c r="M1468" s="272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67"/>
      <c r="C1469" s="234"/>
      <c r="D1469" s="234"/>
      <c r="E1469" s="268"/>
      <c r="F1469" s="269"/>
      <c r="G1469" s="258"/>
      <c r="H1469" s="270"/>
      <c r="I1469" s="271"/>
      <c r="J1469" s="271"/>
      <c r="K1469" s="234"/>
      <c r="L1469" s="307"/>
      <c r="M1469" s="272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67"/>
      <c r="C1470" s="234"/>
      <c r="D1470" s="234"/>
      <c r="E1470" s="268"/>
      <c r="F1470" s="269"/>
      <c r="G1470" s="258"/>
      <c r="H1470" s="270"/>
      <c r="I1470" s="271"/>
      <c r="J1470" s="271"/>
      <c r="K1470" s="234"/>
      <c r="L1470" s="307"/>
      <c r="M1470" s="272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67"/>
      <c r="C1471" s="234"/>
      <c r="D1471" s="234"/>
      <c r="E1471" s="268"/>
      <c r="F1471" s="269"/>
      <c r="G1471" s="258"/>
      <c r="H1471" s="270"/>
      <c r="I1471" s="271"/>
      <c r="J1471" s="271"/>
      <c r="K1471" s="234"/>
      <c r="L1471" s="307"/>
      <c r="M1471" s="272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67"/>
      <c r="C1472" s="234"/>
      <c r="D1472" s="234"/>
      <c r="E1472" s="268"/>
      <c r="F1472" s="269"/>
      <c r="G1472" s="258"/>
      <c r="H1472" s="270"/>
      <c r="I1472" s="271"/>
      <c r="J1472" s="271"/>
      <c r="K1472" s="234"/>
      <c r="L1472" s="307"/>
      <c r="M1472" s="272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67"/>
      <c r="C1473" s="234"/>
      <c r="D1473" s="234"/>
      <c r="E1473" s="268"/>
      <c r="F1473" s="269"/>
      <c r="G1473" s="258"/>
      <c r="H1473" s="270"/>
      <c r="I1473" s="271"/>
      <c r="J1473" s="271"/>
      <c r="K1473" s="234"/>
      <c r="L1473" s="307"/>
      <c r="M1473" s="272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67"/>
      <c r="C1474" s="234"/>
      <c r="D1474" s="234"/>
      <c r="E1474" s="268"/>
      <c r="F1474" s="269"/>
      <c r="G1474" s="258"/>
      <c r="H1474" s="270"/>
      <c r="I1474" s="271"/>
      <c r="J1474" s="271"/>
      <c r="K1474" s="234"/>
      <c r="L1474" s="307"/>
      <c r="M1474" s="272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67"/>
      <c r="C1475" s="234"/>
      <c r="D1475" s="234"/>
      <c r="E1475" s="268"/>
      <c r="F1475" s="269"/>
      <c r="G1475" s="258"/>
      <c r="H1475" s="270"/>
      <c r="I1475" s="271"/>
      <c r="J1475" s="271"/>
      <c r="K1475" s="234"/>
      <c r="L1475" s="307"/>
      <c r="M1475" s="272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67"/>
      <c r="C1476" s="234"/>
      <c r="D1476" s="234"/>
      <c r="E1476" s="268"/>
      <c r="F1476" s="269"/>
      <c r="G1476" s="258"/>
      <c r="H1476" s="270"/>
      <c r="I1476" s="271"/>
      <c r="J1476" s="271"/>
      <c r="K1476" s="234"/>
      <c r="L1476" s="307"/>
      <c r="M1476" s="272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67"/>
      <c r="C1477" s="234"/>
      <c r="D1477" s="234"/>
      <c r="E1477" s="268"/>
      <c r="F1477" s="269"/>
      <c r="G1477" s="258"/>
      <c r="H1477" s="270"/>
      <c r="I1477" s="271"/>
      <c r="J1477" s="271"/>
      <c r="K1477" s="234"/>
      <c r="L1477" s="307"/>
      <c r="M1477" s="272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67"/>
      <c r="C1478" s="234"/>
      <c r="D1478" s="234"/>
      <c r="E1478" s="268"/>
      <c r="F1478" s="269"/>
      <c r="G1478" s="258"/>
      <c r="H1478" s="270"/>
      <c r="I1478" s="271"/>
      <c r="J1478" s="271"/>
      <c r="K1478" s="234"/>
      <c r="L1478" s="307"/>
      <c r="M1478" s="272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67"/>
      <c r="C1479" s="234"/>
      <c r="D1479" s="234"/>
      <c r="E1479" s="268"/>
      <c r="F1479" s="269"/>
      <c r="G1479" s="258"/>
      <c r="H1479" s="270"/>
      <c r="I1479" s="271"/>
      <c r="J1479" s="271"/>
      <c r="K1479" s="234"/>
      <c r="L1479" s="307"/>
      <c r="M1479" s="272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67"/>
      <c r="C1480" s="234"/>
      <c r="D1480" s="234"/>
      <c r="E1480" s="268"/>
      <c r="F1480" s="269"/>
      <c r="G1480" s="258"/>
      <c r="H1480" s="270"/>
      <c r="I1480" s="271"/>
      <c r="J1480" s="271"/>
      <c r="K1480" s="234"/>
      <c r="L1480" s="307"/>
      <c r="M1480" s="272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67"/>
      <c r="C1481" s="234"/>
      <c r="D1481" s="234"/>
      <c r="E1481" s="268"/>
      <c r="F1481" s="269"/>
      <c r="G1481" s="258"/>
      <c r="H1481" s="270"/>
      <c r="I1481" s="271"/>
      <c r="J1481" s="271"/>
      <c r="K1481" s="234"/>
      <c r="L1481" s="307"/>
      <c r="M1481" s="272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67"/>
      <c r="C1482" s="234"/>
      <c r="D1482" s="234"/>
      <c r="E1482" s="268"/>
      <c r="F1482" s="269"/>
      <c r="G1482" s="258"/>
      <c r="H1482" s="270"/>
      <c r="I1482" s="271"/>
      <c r="J1482" s="271"/>
      <c r="K1482" s="234"/>
      <c r="L1482" s="307"/>
      <c r="M1482" s="272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67"/>
      <c r="C1483" s="234"/>
      <c r="D1483" s="234"/>
      <c r="E1483" s="268"/>
      <c r="F1483" s="269"/>
      <c r="G1483" s="258"/>
      <c r="H1483" s="270"/>
      <c r="I1483" s="271"/>
      <c r="J1483" s="271"/>
      <c r="K1483" s="234"/>
      <c r="L1483" s="307"/>
      <c r="M1483" s="272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67"/>
      <c r="C1484" s="234"/>
      <c r="D1484" s="234"/>
      <c r="E1484" s="268"/>
      <c r="F1484" s="269"/>
      <c r="G1484" s="258"/>
      <c r="H1484" s="270"/>
      <c r="I1484" s="271"/>
      <c r="J1484" s="271"/>
      <c r="K1484" s="234"/>
      <c r="L1484" s="307"/>
      <c r="M1484" s="272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67"/>
      <c r="C1485" s="234"/>
      <c r="D1485" s="234"/>
      <c r="E1485" s="268"/>
      <c r="F1485" s="269"/>
      <c r="G1485" s="258"/>
      <c r="H1485" s="270"/>
      <c r="I1485" s="271"/>
      <c r="J1485" s="271"/>
      <c r="K1485" s="234"/>
      <c r="L1485" s="307"/>
      <c r="M1485" s="272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67"/>
      <c r="C1486" s="234"/>
      <c r="D1486" s="234"/>
      <c r="E1486" s="268"/>
      <c r="F1486" s="269"/>
      <c r="G1486" s="258"/>
      <c r="H1486" s="270"/>
      <c r="I1486" s="271"/>
      <c r="J1486" s="271"/>
      <c r="K1486" s="234"/>
      <c r="L1486" s="307"/>
      <c r="M1486" s="272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67"/>
      <c r="C1487" s="234"/>
      <c r="D1487" s="234"/>
      <c r="E1487" s="268"/>
      <c r="F1487" s="269"/>
      <c r="G1487" s="258"/>
      <c r="H1487" s="270"/>
      <c r="I1487" s="271"/>
      <c r="J1487" s="271"/>
      <c r="K1487" s="234"/>
      <c r="L1487" s="307"/>
      <c r="M1487" s="272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67"/>
      <c r="C1488" s="234"/>
      <c r="D1488" s="234"/>
      <c r="E1488" s="268"/>
      <c r="F1488" s="269"/>
      <c r="G1488" s="258"/>
      <c r="H1488" s="270"/>
      <c r="I1488" s="271"/>
      <c r="J1488" s="271"/>
      <c r="K1488" s="234"/>
      <c r="L1488" s="307"/>
      <c r="M1488" s="272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67"/>
      <c r="C1489" s="234"/>
      <c r="D1489" s="234"/>
      <c r="E1489" s="268"/>
      <c r="F1489" s="269"/>
      <c r="G1489" s="258"/>
      <c r="H1489" s="270"/>
      <c r="I1489" s="271"/>
      <c r="J1489" s="271"/>
      <c r="K1489" s="234"/>
      <c r="L1489" s="307"/>
      <c r="M1489" s="272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67"/>
      <c r="C1490" s="234"/>
      <c r="D1490" s="234"/>
      <c r="E1490" s="268"/>
      <c r="F1490" s="269"/>
      <c r="G1490" s="258"/>
      <c r="H1490" s="270"/>
      <c r="I1490" s="271"/>
      <c r="J1490" s="271"/>
      <c r="K1490" s="234"/>
      <c r="L1490" s="307"/>
      <c r="M1490" s="272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67"/>
      <c r="C1491" s="234"/>
      <c r="D1491" s="234"/>
      <c r="E1491" s="268"/>
      <c r="F1491" s="269"/>
      <c r="G1491" s="258"/>
      <c r="H1491" s="270"/>
      <c r="I1491" s="271"/>
      <c r="J1491" s="271"/>
      <c r="K1491" s="234"/>
      <c r="L1491" s="307"/>
      <c r="M1491" s="272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67"/>
      <c r="C1492" s="234"/>
      <c r="D1492" s="234"/>
      <c r="E1492" s="268"/>
      <c r="F1492" s="269"/>
      <c r="G1492" s="258"/>
      <c r="H1492" s="270"/>
      <c r="I1492" s="271"/>
      <c r="J1492" s="271"/>
      <c r="K1492" s="234"/>
      <c r="L1492" s="307"/>
      <c r="M1492" s="272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67"/>
      <c r="C1493" s="234"/>
      <c r="D1493" s="234"/>
      <c r="E1493" s="268"/>
      <c r="F1493" s="269"/>
      <c r="G1493" s="258"/>
      <c r="H1493" s="270"/>
      <c r="I1493" s="271"/>
      <c r="J1493" s="271"/>
      <c r="K1493" s="234"/>
      <c r="L1493" s="307"/>
      <c r="M1493" s="272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67"/>
      <c r="C1494" s="234"/>
      <c r="D1494" s="234"/>
      <c r="E1494" s="268"/>
      <c r="F1494" s="269"/>
      <c r="G1494" s="258"/>
      <c r="H1494" s="270"/>
      <c r="I1494" s="271"/>
      <c r="J1494" s="271"/>
      <c r="K1494" s="234"/>
      <c r="L1494" s="307"/>
      <c r="M1494" s="272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67"/>
      <c r="C1495" s="234"/>
      <c r="D1495" s="234"/>
      <c r="E1495" s="268"/>
      <c r="F1495" s="269"/>
      <c r="G1495" s="258"/>
      <c r="H1495" s="270"/>
      <c r="I1495" s="271"/>
      <c r="J1495" s="271"/>
      <c r="K1495" s="234"/>
      <c r="L1495" s="307"/>
      <c r="M1495" s="272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67"/>
      <c r="C1496" s="234"/>
      <c r="D1496" s="234"/>
      <c r="E1496" s="268"/>
      <c r="F1496" s="269"/>
      <c r="G1496" s="258"/>
      <c r="H1496" s="270"/>
      <c r="I1496" s="271"/>
      <c r="J1496" s="271"/>
      <c r="K1496" s="234"/>
      <c r="L1496" s="307"/>
      <c r="M1496" s="272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67"/>
      <c r="C1497" s="234"/>
      <c r="D1497" s="234"/>
      <c r="E1497" s="268"/>
      <c r="F1497" s="269"/>
      <c r="G1497" s="258"/>
      <c r="H1497" s="270"/>
      <c r="I1497" s="271"/>
      <c r="J1497" s="271"/>
      <c r="K1497" s="234"/>
      <c r="L1497" s="307"/>
      <c r="M1497" s="272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67"/>
      <c r="C1498" s="234"/>
      <c r="D1498" s="234"/>
      <c r="E1498" s="268"/>
      <c r="F1498" s="269"/>
      <c r="G1498" s="258"/>
      <c r="H1498" s="270"/>
      <c r="I1498" s="271"/>
      <c r="J1498" s="271"/>
      <c r="K1498" s="234"/>
      <c r="L1498" s="307"/>
      <c r="M1498" s="272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67"/>
      <c r="C1499" s="234"/>
      <c r="D1499" s="234"/>
      <c r="E1499" s="268"/>
      <c r="F1499" s="269"/>
      <c r="G1499" s="258"/>
      <c r="H1499" s="270"/>
      <c r="I1499" s="271"/>
      <c r="J1499" s="271"/>
      <c r="K1499" s="234"/>
      <c r="L1499" s="307"/>
      <c r="M1499" s="272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67"/>
      <c r="C1500" s="234"/>
      <c r="D1500" s="234"/>
      <c r="E1500" s="268"/>
      <c r="F1500" s="269"/>
      <c r="G1500" s="258"/>
      <c r="H1500" s="270"/>
      <c r="I1500" s="271"/>
      <c r="J1500" s="271"/>
      <c r="K1500" s="234"/>
      <c r="L1500" s="307"/>
      <c r="M1500" s="272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67"/>
      <c r="C1501" s="234"/>
      <c r="D1501" s="234"/>
      <c r="E1501" s="268"/>
      <c r="F1501" s="269"/>
      <c r="G1501" s="258"/>
      <c r="H1501" s="270"/>
      <c r="I1501" s="271"/>
      <c r="J1501" s="271"/>
      <c r="K1501" s="234"/>
      <c r="L1501" s="307"/>
      <c r="M1501" s="272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67"/>
      <c r="C1502" s="234"/>
      <c r="D1502" s="234"/>
      <c r="E1502" s="268"/>
      <c r="F1502" s="269"/>
      <c r="G1502" s="258"/>
      <c r="H1502" s="270"/>
      <c r="I1502" s="271"/>
      <c r="J1502" s="271"/>
      <c r="K1502" s="234"/>
      <c r="L1502" s="307"/>
      <c r="M1502" s="272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67"/>
      <c r="C1503" s="234"/>
      <c r="D1503" s="234"/>
      <c r="E1503" s="268"/>
      <c r="F1503" s="269"/>
      <c r="G1503" s="258"/>
      <c r="H1503" s="270"/>
      <c r="I1503" s="271"/>
      <c r="J1503" s="271"/>
      <c r="K1503" s="234"/>
      <c r="L1503" s="307"/>
      <c r="M1503" s="272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67"/>
      <c r="C1504" s="234"/>
      <c r="D1504" s="234"/>
      <c r="E1504" s="268"/>
      <c r="F1504" s="269"/>
      <c r="G1504" s="258"/>
      <c r="H1504" s="270"/>
      <c r="I1504" s="271"/>
      <c r="J1504" s="271"/>
      <c r="K1504" s="234"/>
      <c r="L1504" s="307"/>
      <c r="M1504" s="272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67"/>
      <c r="C1505" s="234"/>
      <c r="D1505" s="234"/>
      <c r="E1505" s="268"/>
      <c r="F1505" s="269"/>
      <c r="G1505" s="258"/>
      <c r="H1505" s="270"/>
      <c r="I1505" s="271"/>
      <c r="J1505" s="271"/>
      <c r="K1505" s="234"/>
      <c r="L1505" s="307"/>
      <c r="M1505" s="272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67"/>
      <c r="C1506" s="234"/>
      <c r="D1506" s="234"/>
      <c r="E1506" s="268"/>
      <c r="F1506" s="269"/>
      <c r="G1506" s="258"/>
      <c r="H1506" s="270"/>
      <c r="I1506" s="271"/>
      <c r="J1506" s="271"/>
      <c r="K1506" s="234"/>
      <c r="L1506" s="307"/>
      <c r="M1506" s="272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67"/>
      <c r="C1507" s="234"/>
      <c r="D1507" s="234"/>
      <c r="E1507" s="268"/>
      <c r="F1507" s="269"/>
      <c r="G1507" s="258"/>
      <c r="H1507" s="270"/>
      <c r="I1507" s="271"/>
      <c r="J1507" s="271"/>
      <c r="K1507" s="234"/>
      <c r="L1507" s="307"/>
      <c r="M1507" s="272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67"/>
      <c r="C1508" s="234"/>
      <c r="D1508" s="234"/>
      <c r="E1508" s="268"/>
      <c r="F1508" s="269"/>
      <c r="G1508" s="258"/>
      <c r="H1508" s="270"/>
      <c r="I1508" s="271"/>
      <c r="J1508" s="271"/>
      <c r="K1508" s="234"/>
      <c r="L1508" s="307"/>
      <c r="M1508" s="272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67"/>
      <c r="C1509" s="234"/>
      <c r="D1509" s="234"/>
      <c r="E1509" s="268"/>
      <c r="F1509" s="269"/>
      <c r="G1509" s="258"/>
      <c r="H1509" s="270"/>
      <c r="I1509" s="271"/>
      <c r="J1509" s="271"/>
      <c r="K1509" s="234"/>
      <c r="L1509" s="307"/>
      <c r="M1509" s="272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67"/>
      <c r="C1510" s="234"/>
      <c r="D1510" s="234"/>
      <c r="E1510" s="268"/>
      <c r="F1510" s="269"/>
      <c r="G1510" s="258"/>
      <c r="H1510" s="270"/>
      <c r="I1510" s="271"/>
      <c r="J1510" s="271"/>
      <c r="K1510" s="234"/>
      <c r="L1510" s="307"/>
      <c r="M1510" s="272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67"/>
      <c r="C1511" s="234"/>
      <c r="D1511" s="234"/>
      <c r="E1511" s="268"/>
      <c r="F1511" s="269"/>
      <c r="G1511" s="258"/>
      <c r="H1511" s="270"/>
      <c r="I1511" s="271"/>
      <c r="J1511" s="271"/>
      <c r="K1511" s="234"/>
      <c r="L1511" s="307"/>
      <c r="M1511" s="272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67"/>
      <c r="C1512" s="234"/>
      <c r="D1512" s="234"/>
      <c r="E1512" s="268"/>
      <c r="F1512" s="269"/>
      <c r="G1512" s="258"/>
      <c r="H1512" s="270"/>
      <c r="I1512" s="271"/>
      <c r="J1512" s="271"/>
      <c r="K1512" s="234"/>
      <c r="L1512" s="307"/>
      <c r="M1512" s="272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67"/>
      <c r="C1513" s="234"/>
      <c r="D1513" s="234"/>
      <c r="E1513" s="268"/>
      <c r="F1513" s="269"/>
      <c r="G1513" s="258"/>
      <c r="H1513" s="270"/>
      <c r="I1513" s="271"/>
      <c r="J1513" s="271"/>
      <c r="K1513" s="234"/>
      <c r="L1513" s="307"/>
      <c r="M1513" s="272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67"/>
      <c r="C1514" s="234"/>
      <c r="D1514" s="234"/>
      <c r="E1514" s="268"/>
      <c r="F1514" s="269"/>
      <c r="G1514" s="258"/>
      <c r="H1514" s="270"/>
      <c r="I1514" s="271"/>
      <c r="J1514" s="271"/>
      <c r="K1514" s="234"/>
      <c r="L1514" s="307"/>
      <c r="M1514" s="272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67"/>
      <c r="C1515" s="234"/>
      <c r="D1515" s="234"/>
      <c r="E1515" s="268"/>
      <c r="F1515" s="269"/>
      <c r="G1515" s="258"/>
      <c r="H1515" s="270"/>
      <c r="I1515" s="271"/>
      <c r="J1515" s="271"/>
      <c r="K1515" s="234"/>
      <c r="L1515" s="307"/>
      <c r="M1515" s="272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67"/>
      <c r="C1516" s="234"/>
      <c r="D1516" s="234"/>
      <c r="E1516" s="268"/>
      <c r="F1516" s="269"/>
      <c r="G1516" s="258"/>
      <c r="H1516" s="270"/>
      <c r="I1516" s="271"/>
      <c r="J1516" s="271"/>
      <c r="K1516" s="234"/>
      <c r="L1516" s="307"/>
      <c r="M1516" s="272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67"/>
      <c r="C1517" s="234"/>
      <c r="D1517" s="234"/>
      <c r="E1517" s="268"/>
      <c r="F1517" s="269"/>
      <c r="G1517" s="258"/>
      <c r="H1517" s="270"/>
      <c r="I1517" s="271"/>
      <c r="J1517" s="271"/>
      <c r="K1517" s="234"/>
      <c r="L1517" s="307"/>
      <c r="M1517" s="272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67"/>
      <c r="C1518" s="234"/>
      <c r="D1518" s="234"/>
      <c r="E1518" s="268"/>
      <c r="F1518" s="269"/>
      <c r="G1518" s="258"/>
      <c r="H1518" s="270"/>
      <c r="I1518" s="271"/>
      <c r="J1518" s="271"/>
      <c r="K1518" s="234"/>
      <c r="L1518" s="307"/>
      <c r="M1518" s="272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67"/>
      <c r="C1519" s="234"/>
      <c r="D1519" s="234"/>
      <c r="E1519" s="268"/>
      <c r="F1519" s="269"/>
      <c r="G1519" s="258"/>
      <c r="H1519" s="270"/>
      <c r="I1519" s="271"/>
      <c r="J1519" s="271"/>
      <c r="K1519" s="234"/>
      <c r="L1519" s="307"/>
      <c r="M1519" s="272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67"/>
      <c r="C1520" s="234"/>
      <c r="D1520" s="234"/>
      <c r="E1520" s="268"/>
      <c r="F1520" s="269"/>
      <c r="G1520" s="258"/>
      <c r="H1520" s="270"/>
      <c r="I1520" s="271"/>
      <c r="J1520" s="271"/>
      <c r="K1520" s="234"/>
      <c r="L1520" s="307"/>
      <c r="M1520" s="272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67"/>
      <c r="C1521" s="234"/>
      <c r="D1521" s="234"/>
      <c r="E1521" s="268"/>
      <c r="F1521" s="269"/>
      <c r="G1521" s="258"/>
      <c r="H1521" s="270"/>
      <c r="I1521" s="271"/>
      <c r="J1521" s="271"/>
      <c r="K1521" s="234"/>
      <c r="L1521" s="307"/>
      <c r="M1521" s="272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67"/>
      <c r="C1522" s="234"/>
      <c r="D1522" s="234"/>
      <c r="E1522" s="268"/>
      <c r="F1522" s="269"/>
      <c r="G1522" s="258"/>
      <c r="H1522" s="270"/>
      <c r="I1522" s="271"/>
      <c r="J1522" s="271"/>
      <c r="K1522" s="234"/>
      <c r="L1522" s="307"/>
      <c r="M1522" s="272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67"/>
      <c r="C1523" s="234"/>
      <c r="D1523" s="234"/>
      <c r="E1523" s="268"/>
      <c r="F1523" s="269"/>
      <c r="G1523" s="258"/>
      <c r="H1523" s="270"/>
      <c r="I1523" s="271"/>
      <c r="J1523" s="271"/>
      <c r="K1523" s="234"/>
      <c r="L1523" s="307"/>
      <c r="M1523" s="272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67"/>
      <c r="C1524" s="234"/>
      <c r="D1524" s="234"/>
      <c r="E1524" s="268"/>
      <c r="F1524" s="269"/>
      <c r="G1524" s="258"/>
      <c r="H1524" s="270"/>
      <c r="I1524" s="271"/>
      <c r="J1524" s="271"/>
      <c r="K1524" s="234"/>
      <c r="L1524" s="307"/>
      <c r="M1524" s="272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67"/>
      <c r="C1525" s="234"/>
      <c r="D1525" s="234"/>
      <c r="E1525" s="268"/>
      <c r="F1525" s="269"/>
      <c r="G1525" s="258"/>
      <c r="H1525" s="270"/>
      <c r="I1525" s="271"/>
      <c r="J1525" s="271"/>
      <c r="K1525" s="234"/>
      <c r="L1525" s="307"/>
      <c r="M1525" s="272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67"/>
      <c r="C1526" s="234"/>
      <c r="D1526" s="234"/>
      <c r="E1526" s="268"/>
      <c r="F1526" s="269"/>
      <c r="G1526" s="258"/>
      <c r="H1526" s="270"/>
      <c r="I1526" s="271"/>
      <c r="J1526" s="271"/>
      <c r="K1526" s="234"/>
      <c r="L1526" s="307"/>
      <c r="M1526" s="272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67"/>
      <c r="C1527" s="234"/>
      <c r="D1527" s="234"/>
      <c r="E1527" s="268"/>
      <c r="F1527" s="269"/>
      <c r="G1527" s="258"/>
      <c r="H1527" s="270"/>
      <c r="I1527" s="271"/>
      <c r="J1527" s="271"/>
      <c r="K1527" s="234"/>
      <c r="L1527" s="307"/>
      <c r="M1527" s="272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67"/>
      <c r="C1528" s="234"/>
      <c r="D1528" s="234"/>
      <c r="E1528" s="268"/>
      <c r="F1528" s="269"/>
      <c r="G1528" s="258"/>
      <c r="H1528" s="270"/>
      <c r="I1528" s="271"/>
      <c r="J1528" s="271"/>
      <c r="K1528" s="234"/>
      <c r="L1528" s="307"/>
      <c r="M1528" s="272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67"/>
      <c r="C1529" s="234"/>
      <c r="D1529" s="234"/>
      <c r="E1529" s="268"/>
      <c r="F1529" s="269"/>
      <c r="G1529" s="258"/>
      <c r="H1529" s="270"/>
      <c r="I1529" s="271"/>
      <c r="J1529" s="271"/>
      <c r="K1529" s="234"/>
      <c r="L1529" s="307"/>
      <c r="M1529" s="272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67"/>
      <c r="C1530" s="234"/>
      <c r="D1530" s="234"/>
      <c r="E1530" s="268"/>
      <c r="F1530" s="269"/>
      <c r="G1530" s="258"/>
      <c r="H1530" s="270"/>
      <c r="I1530" s="271"/>
      <c r="J1530" s="271"/>
      <c r="K1530" s="234"/>
      <c r="L1530" s="307"/>
      <c r="M1530" s="272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67"/>
      <c r="C1531" s="234"/>
      <c r="D1531" s="234"/>
      <c r="E1531" s="268"/>
      <c r="F1531" s="269"/>
      <c r="G1531" s="258"/>
      <c r="H1531" s="270"/>
      <c r="I1531" s="271"/>
      <c r="J1531" s="271"/>
      <c r="K1531" s="234"/>
      <c r="L1531" s="307"/>
      <c r="M1531" s="272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67"/>
      <c r="C1532" s="234"/>
      <c r="D1532" s="234"/>
      <c r="E1532" s="268"/>
      <c r="F1532" s="269"/>
      <c r="G1532" s="258"/>
      <c r="H1532" s="270"/>
      <c r="I1532" s="271"/>
      <c r="J1532" s="271"/>
      <c r="K1532" s="234"/>
      <c r="L1532" s="307"/>
      <c r="M1532" s="272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67"/>
      <c r="C1533" s="234"/>
      <c r="D1533" s="234"/>
      <c r="E1533" s="268"/>
      <c r="F1533" s="269"/>
      <c r="G1533" s="258"/>
      <c r="H1533" s="270"/>
      <c r="I1533" s="271"/>
      <c r="J1533" s="271"/>
      <c r="K1533" s="234"/>
      <c r="L1533" s="307"/>
      <c r="M1533" s="272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67"/>
      <c r="C1534" s="234"/>
      <c r="D1534" s="234"/>
      <c r="E1534" s="268"/>
      <c r="F1534" s="269"/>
      <c r="G1534" s="258"/>
      <c r="H1534" s="270"/>
      <c r="I1534" s="271"/>
      <c r="J1534" s="271"/>
      <c r="K1534" s="234"/>
      <c r="L1534" s="307"/>
      <c r="M1534" s="272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67"/>
      <c r="C1535" s="234"/>
      <c r="D1535" s="234"/>
      <c r="E1535" s="268"/>
      <c r="F1535" s="269"/>
      <c r="G1535" s="258"/>
      <c r="H1535" s="270"/>
      <c r="I1535" s="271"/>
      <c r="J1535" s="271"/>
      <c r="K1535" s="234"/>
      <c r="L1535" s="307"/>
      <c r="M1535" s="272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67"/>
      <c r="C1536" s="234"/>
      <c r="D1536" s="234"/>
      <c r="E1536" s="268"/>
      <c r="F1536" s="269"/>
      <c r="G1536" s="258"/>
      <c r="H1536" s="270"/>
      <c r="I1536" s="271"/>
      <c r="J1536" s="271"/>
      <c r="K1536" s="234"/>
      <c r="L1536" s="307"/>
      <c r="M1536" s="272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67"/>
      <c r="C1537" s="234"/>
      <c r="D1537" s="234"/>
      <c r="E1537" s="268"/>
      <c r="F1537" s="269"/>
      <c r="G1537" s="258"/>
      <c r="H1537" s="270"/>
      <c r="I1537" s="271"/>
      <c r="J1537" s="271"/>
      <c r="K1537" s="234"/>
      <c r="L1537" s="307"/>
      <c r="M1537" s="272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67"/>
      <c r="C1538" s="234"/>
      <c r="D1538" s="234"/>
      <c r="E1538" s="268"/>
      <c r="F1538" s="269"/>
      <c r="G1538" s="258"/>
      <c r="H1538" s="270"/>
      <c r="I1538" s="271"/>
      <c r="J1538" s="271"/>
      <c r="K1538" s="234"/>
      <c r="L1538" s="307"/>
      <c r="M1538" s="272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67"/>
      <c r="C1539" s="234"/>
      <c r="D1539" s="234"/>
      <c r="E1539" s="268"/>
      <c r="F1539" s="269"/>
      <c r="G1539" s="258"/>
      <c r="H1539" s="270"/>
      <c r="I1539" s="271"/>
      <c r="J1539" s="271"/>
      <c r="K1539" s="234"/>
      <c r="L1539" s="307"/>
      <c r="M1539" s="272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67"/>
      <c r="C1540" s="234"/>
      <c r="D1540" s="234"/>
      <c r="E1540" s="268"/>
      <c r="F1540" s="269"/>
      <c r="G1540" s="258"/>
      <c r="H1540" s="270"/>
      <c r="I1540" s="271"/>
      <c r="J1540" s="271"/>
      <c r="K1540" s="234"/>
      <c r="L1540" s="307"/>
      <c r="M1540" s="272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67"/>
      <c r="C1541" s="234"/>
      <c r="D1541" s="234"/>
      <c r="E1541" s="268"/>
      <c r="F1541" s="269"/>
      <c r="G1541" s="258"/>
      <c r="H1541" s="270"/>
      <c r="I1541" s="271"/>
      <c r="J1541" s="271"/>
      <c r="K1541" s="234"/>
      <c r="L1541" s="307"/>
      <c r="M1541" s="272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67"/>
      <c r="C1542" s="234"/>
      <c r="D1542" s="234"/>
      <c r="E1542" s="268"/>
      <c r="F1542" s="269"/>
      <c r="G1542" s="258"/>
      <c r="H1542" s="270"/>
      <c r="I1542" s="271"/>
      <c r="J1542" s="271"/>
      <c r="K1542" s="234"/>
      <c r="L1542" s="307"/>
      <c r="M1542" s="272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67"/>
      <c r="C1543" s="234"/>
      <c r="D1543" s="234"/>
      <c r="E1543" s="268"/>
      <c r="F1543" s="269"/>
      <c r="G1543" s="258"/>
      <c r="H1543" s="270"/>
      <c r="I1543" s="271"/>
      <c r="J1543" s="271"/>
      <c r="K1543" s="234"/>
      <c r="L1543" s="307"/>
      <c r="M1543" s="272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67"/>
      <c r="C1544" s="234"/>
      <c r="D1544" s="234"/>
      <c r="E1544" s="268"/>
      <c r="F1544" s="269"/>
      <c r="G1544" s="258"/>
      <c r="H1544" s="270"/>
      <c r="I1544" s="271"/>
      <c r="J1544" s="271"/>
      <c r="K1544" s="234"/>
      <c r="L1544" s="307"/>
      <c r="M1544" s="272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67"/>
      <c r="C1545" s="234"/>
      <c r="D1545" s="234"/>
      <c r="E1545" s="268"/>
      <c r="F1545" s="269"/>
      <c r="G1545" s="258"/>
      <c r="H1545" s="270"/>
      <c r="I1545" s="271"/>
      <c r="J1545" s="271"/>
      <c r="K1545" s="234"/>
      <c r="L1545" s="307"/>
      <c r="M1545" s="272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67"/>
      <c r="C1546" s="234"/>
      <c r="D1546" s="234"/>
      <c r="E1546" s="268"/>
      <c r="F1546" s="269"/>
      <c r="G1546" s="258"/>
      <c r="H1546" s="270"/>
      <c r="I1546" s="271"/>
      <c r="J1546" s="271"/>
      <c r="K1546" s="234"/>
      <c r="L1546" s="307"/>
      <c r="M1546" s="272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67"/>
      <c r="C1547" s="234"/>
      <c r="D1547" s="234"/>
      <c r="E1547" s="268"/>
      <c r="F1547" s="269"/>
      <c r="G1547" s="258"/>
      <c r="H1547" s="270"/>
      <c r="I1547" s="271"/>
      <c r="J1547" s="271"/>
      <c r="K1547" s="234"/>
      <c r="L1547" s="307"/>
      <c r="M1547" s="272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67"/>
      <c r="C1548" s="234"/>
      <c r="D1548" s="234"/>
      <c r="E1548" s="268"/>
      <c r="F1548" s="269"/>
      <c r="G1548" s="258"/>
      <c r="H1548" s="270"/>
      <c r="I1548" s="271"/>
      <c r="J1548" s="271"/>
      <c r="K1548" s="234"/>
      <c r="L1548" s="307"/>
      <c r="M1548" s="272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67"/>
      <c r="C1549" s="234"/>
      <c r="D1549" s="234"/>
      <c r="E1549" s="268"/>
      <c r="F1549" s="269"/>
      <c r="G1549" s="258"/>
      <c r="H1549" s="270"/>
      <c r="I1549" s="271"/>
      <c r="J1549" s="271"/>
      <c r="K1549" s="234"/>
      <c r="L1549" s="307"/>
      <c r="M1549" s="272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67"/>
      <c r="C1550" s="234"/>
      <c r="D1550" s="234"/>
      <c r="E1550" s="268"/>
      <c r="F1550" s="269"/>
      <c r="G1550" s="258"/>
      <c r="H1550" s="270"/>
      <c r="I1550" s="271"/>
      <c r="J1550" s="271"/>
      <c r="K1550" s="234"/>
      <c r="L1550" s="307"/>
      <c r="M1550" s="272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67"/>
      <c r="C1551" s="234"/>
      <c r="D1551" s="234"/>
      <c r="E1551" s="268"/>
      <c r="F1551" s="269"/>
      <c r="G1551" s="258"/>
      <c r="H1551" s="270"/>
      <c r="I1551" s="271"/>
      <c r="J1551" s="271"/>
      <c r="K1551" s="234"/>
      <c r="L1551" s="307"/>
      <c r="M1551" s="272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67"/>
      <c r="C1552" s="234"/>
      <c r="D1552" s="234"/>
      <c r="E1552" s="268"/>
      <c r="F1552" s="269"/>
      <c r="G1552" s="258"/>
      <c r="H1552" s="270"/>
      <c r="I1552" s="271"/>
      <c r="J1552" s="271"/>
      <c r="K1552" s="234"/>
      <c r="L1552" s="307"/>
      <c r="M1552" s="272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67"/>
      <c r="C1553" s="234"/>
      <c r="D1553" s="234"/>
      <c r="E1553" s="268"/>
      <c r="F1553" s="269"/>
      <c r="G1553" s="258"/>
      <c r="H1553" s="270"/>
      <c r="I1553" s="271"/>
      <c r="J1553" s="271"/>
      <c r="K1553" s="234"/>
      <c r="L1553" s="307"/>
      <c r="M1553" s="272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67"/>
      <c r="C1554" s="234"/>
      <c r="D1554" s="234"/>
      <c r="E1554" s="268"/>
      <c r="F1554" s="269"/>
      <c r="G1554" s="258"/>
      <c r="H1554" s="270"/>
      <c r="I1554" s="271"/>
      <c r="J1554" s="271"/>
      <c r="K1554" s="234"/>
      <c r="L1554" s="307"/>
      <c r="M1554" s="272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67"/>
      <c r="C1555" s="234"/>
      <c r="D1555" s="234"/>
      <c r="E1555" s="268"/>
      <c r="F1555" s="269"/>
      <c r="G1555" s="258"/>
      <c r="H1555" s="270"/>
      <c r="I1555" s="271"/>
      <c r="J1555" s="271"/>
      <c r="K1555" s="234"/>
      <c r="L1555" s="307"/>
      <c r="M1555" s="272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67"/>
      <c r="C1556" s="234"/>
      <c r="D1556" s="234"/>
      <c r="E1556" s="268"/>
      <c r="F1556" s="269"/>
      <c r="G1556" s="258"/>
      <c r="H1556" s="270"/>
      <c r="I1556" s="271"/>
      <c r="J1556" s="271"/>
      <c r="K1556" s="234"/>
      <c r="L1556" s="307"/>
      <c r="M1556" s="272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67"/>
      <c r="C1557" s="234"/>
      <c r="D1557" s="234"/>
      <c r="E1557" s="268"/>
      <c r="F1557" s="269"/>
      <c r="G1557" s="258"/>
      <c r="H1557" s="270"/>
      <c r="I1557" s="271"/>
      <c r="J1557" s="271"/>
      <c r="K1557" s="234"/>
      <c r="L1557" s="307"/>
      <c r="M1557" s="272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67"/>
      <c r="C1558" s="234"/>
      <c r="D1558" s="234"/>
      <c r="E1558" s="268"/>
      <c r="F1558" s="269"/>
      <c r="G1558" s="258"/>
      <c r="H1558" s="270"/>
      <c r="I1558" s="271"/>
      <c r="J1558" s="271"/>
      <c r="K1558" s="234"/>
      <c r="L1558" s="307"/>
      <c r="M1558" s="272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67"/>
      <c r="C1559" s="234"/>
      <c r="D1559" s="234"/>
      <c r="E1559" s="268"/>
      <c r="F1559" s="269"/>
      <c r="G1559" s="258"/>
      <c r="H1559" s="270"/>
      <c r="I1559" s="271"/>
      <c r="J1559" s="271"/>
      <c r="K1559" s="234"/>
      <c r="L1559" s="307"/>
      <c r="M1559" s="272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67"/>
      <c r="C1560" s="234"/>
      <c r="D1560" s="234"/>
      <c r="E1560" s="268"/>
      <c r="F1560" s="269"/>
      <c r="G1560" s="258"/>
      <c r="H1560" s="270"/>
      <c r="I1560" s="271"/>
      <c r="J1560" s="271"/>
      <c r="K1560" s="234"/>
      <c r="L1560" s="307"/>
      <c r="M1560" s="272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67"/>
      <c r="C1561" s="234"/>
      <c r="D1561" s="234"/>
      <c r="E1561" s="268"/>
      <c r="F1561" s="269"/>
      <c r="G1561" s="258"/>
      <c r="H1561" s="270"/>
      <c r="I1561" s="271"/>
      <c r="J1561" s="271"/>
      <c r="K1561" s="234"/>
      <c r="L1561" s="307"/>
      <c r="M1561" s="272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67"/>
      <c r="C1562" s="234"/>
      <c r="D1562" s="234"/>
      <c r="E1562" s="268"/>
      <c r="F1562" s="269"/>
      <c r="G1562" s="258"/>
      <c r="H1562" s="270"/>
      <c r="I1562" s="271"/>
      <c r="J1562" s="271"/>
      <c r="K1562" s="234"/>
      <c r="L1562" s="307"/>
      <c r="M1562" s="272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67"/>
      <c r="C1563" s="234"/>
      <c r="D1563" s="234"/>
      <c r="E1563" s="268"/>
      <c r="F1563" s="269"/>
      <c r="G1563" s="258"/>
      <c r="H1563" s="270"/>
      <c r="I1563" s="271"/>
      <c r="J1563" s="271"/>
      <c r="K1563" s="234"/>
      <c r="L1563" s="307"/>
      <c r="M1563" s="272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67"/>
      <c r="C1564" s="234"/>
      <c r="D1564" s="234"/>
      <c r="E1564" s="268"/>
      <c r="F1564" s="269"/>
      <c r="G1564" s="258"/>
      <c r="H1564" s="270"/>
      <c r="I1564" s="271"/>
      <c r="J1564" s="271"/>
      <c r="K1564" s="234"/>
      <c r="L1564" s="307"/>
      <c r="M1564" s="272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67"/>
      <c r="C1565" s="234"/>
      <c r="D1565" s="234"/>
      <c r="E1565" s="268"/>
      <c r="F1565" s="269"/>
      <c r="G1565" s="258"/>
      <c r="H1565" s="270"/>
      <c r="I1565" s="271"/>
      <c r="J1565" s="271"/>
      <c r="K1565" s="234"/>
      <c r="L1565" s="307"/>
      <c r="M1565" s="272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67"/>
      <c r="C1566" s="234"/>
      <c r="D1566" s="234"/>
      <c r="E1566" s="268"/>
      <c r="F1566" s="269"/>
      <c r="G1566" s="258"/>
      <c r="H1566" s="270"/>
      <c r="I1566" s="271"/>
      <c r="J1566" s="271"/>
      <c r="K1566" s="234"/>
      <c r="L1566" s="307"/>
      <c r="M1566" s="272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67"/>
      <c r="C1567" s="234"/>
      <c r="D1567" s="234"/>
      <c r="E1567" s="268"/>
      <c r="F1567" s="269"/>
      <c r="G1567" s="258"/>
      <c r="H1567" s="270"/>
      <c r="I1567" s="271"/>
      <c r="J1567" s="271"/>
      <c r="K1567" s="234"/>
      <c r="L1567" s="307"/>
      <c r="M1567" s="272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67"/>
      <c r="C1568" s="234"/>
      <c r="D1568" s="234"/>
      <c r="E1568" s="268"/>
      <c r="F1568" s="269"/>
      <c r="G1568" s="258"/>
      <c r="H1568" s="270"/>
      <c r="I1568" s="271"/>
      <c r="J1568" s="271"/>
      <c r="K1568" s="234"/>
      <c r="L1568" s="307"/>
      <c r="M1568" s="272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67"/>
      <c r="C1569" s="234"/>
      <c r="D1569" s="234"/>
      <c r="E1569" s="268"/>
      <c r="F1569" s="269"/>
      <c r="G1569" s="258"/>
      <c r="H1569" s="270"/>
      <c r="I1569" s="271"/>
      <c r="J1569" s="271"/>
      <c r="K1569" s="234"/>
      <c r="L1569" s="307"/>
      <c r="M1569" s="272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67"/>
      <c r="C1570" s="234"/>
      <c r="D1570" s="234"/>
      <c r="E1570" s="268"/>
      <c r="F1570" s="269"/>
      <c r="G1570" s="258"/>
      <c r="H1570" s="270"/>
      <c r="I1570" s="271"/>
      <c r="J1570" s="271"/>
      <c r="K1570" s="234"/>
      <c r="L1570" s="307"/>
      <c r="M1570" s="272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67"/>
      <c r="C1571" s="234"/>
      <c r="D1571" s="234"/>
      <c r="E1571" s="268"/>
      <c r="F1571" s="269"/>
      <c r="G1571" s="258"/>
      <c r="H1571" s="270"/>
      <c r="I1571" s="271"/>
      <c r="J1571" s="271"/>
      <c r="K1571" s="234"/>
      <c r="L1571" s="307"/>
      <c r="M1571" s="272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67"/>
      <c r="C1572" s="234"/>
      <c r="D1572" s="234"/>
      <c r="E1572" s="268"/>
      <c r="F1572" s="269"/>
      <c r="G1572" s="258"/>
      <c r="H1572" s="270"/>
      <c r="I1572" s="271"/>
      <c r="J1572" s="271"/>
      <c r="K1572" s="234"/>
      <c r="L1572" s="307"/>
      <c r="M1572" s="272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67"/>
      <c r="C1573" s="234"/>
      <c r="D1573" s="234"/>
      <c r="E1573" s="268"/>
      <c r="F1573" s="269"/>
      <c r="G1573" s="258"/>
      <c r="H1573" s="270"/>
      <c r="I1573" s="271"/>
      <c r="J1573" s="271"/>
      <c r="K1573" s="234"/>
      <c r="L1573" s="307"/>
      <c r="M1573" s="272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67"/>
      <c r="C1574" s="234"/>
      <c r="D1574" s="234"/>
      <c r="E1574" s="268"/>
      <c r="F1574" s="269"/>
      <c r="G1574" s="258"/>
      <c r="H1574" s="270"/>
      <c r="I1574" s="271"/>
      <c r="J1574" s="271"/>
      <c r="K1574" s="234"/>
      <c r="L1574" s="307"/>
      <c r="M1574" s="272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67"/>
      <c r="C1575" s="234"/>
      <c r="D1575" s="234"/>
      <c r="E1575" s="268"/>
      <c r="F1575" s="269"/>
      <c r="G1575" s="258"/>
      <c r="H1575" s="270"/>
      <c r="I1575" s="271"/>
      <c r="J1575" s="271"/>
      <c r="K1575" s="234"/>
      <c r="L1575" s="307"/>
      <c r="M1575" s="272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67"/>
      <c r="C1576" s="234"/>
      <c r="D1576" s="234"/>
      <c r="E1576" s="268"/>
      <c r="F1576" s="269"/>
      <c r="G1576" s="258"/>
      <c r="H1576" s="270"/>
      <c r="I1576" s="271"/>
      <c r="J1576" s="271"/>
      <c r="K1576" s="234"/>
      <c r="L1576" s="307"/>
      <c r="M1576" s="272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67"/>
      <c r="C1577" s="234"/>
      <c r="D1577" s="234"/>
      <c r="E1577" s="268"/>
      <c r="F1577" s="269"/>
      <c r="G1577" s="258"/>
      <c r="H1577" s="270"/>
      <c r="I1577" s="271"/>
      <c r="J1577" s="271"/>
      <c r="K1577" s="234"/>
      <c r="L1577" s="307"/>
      <c r="M1577" s="272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67"/>
      <c r="C1578" s="234"/>
      <c r="D1578" s="234"/>
      <c r="E1578" s="268"/>
      <c r="F1578" s="269"/>
      <c r="G1578" s="258"/>
      <c r="H1578" s="270"/>
      <c r="I1578" s="271"/>
      <c r="J1578" s="271"/>
      <c r="K1578" s="234"/>
      <c r="L1578" s="307"/>
      <c r="M1578" s="272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67"/>
      <c r="C1579" s="234"/>
      <c r="D1579" s="234"/>
      <c r="E1579" s="268"/>
      <c r="F1579" s="269"/>
      <c r="G1579" s="258"/>
      <c r="H1579" s="270"/>
      <c r="I1579" s="271"/>
      <c r="J1579" s="271"/>
      <c r="K1579" s="234"/>
      <c r="L1579" s="307"/>
      <c r="M1579" s="272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67"/>
      <c r="C1580" s="234"/>
      <c r="D1580" s="234"/>
      <c r="E1580" s="268"/>
      <c r="F1580" s="269"/>
      <c r="G1580" s="258"/>
      <c r="H1580" s="270"/>
      <c r="I1580" s="271"/>
      <c r="J1580" s="271"/>
      <c r="K1580" s="234"/>
      <c r="L1580" s="307"/>
      <c r="M1580" s="272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67"/>
      <c r="C1581" s="234"/>
      <c r="D1581" s="234"/>
      <c r="E1581" s="268"/>
      <c r="F1581" s="269"/>
      <c r="G1581" s="258"/>
      <c r="H1581" s="270"/>
      <c r="I1581" s="271"/>
      <c r="J1581" s="271"/>
      <c r="K1581" s="234"/>
      <c r="L1581" s="307"/>
      <c r="M1581" s="272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67"/>
      <c r="C1582" s="234"/>
      <c r="D1582" s="234"/>
      <c r="E1582" s="268"/>
      <c r="F1582" s="269"/>
      <c r="G1582" s="258"/>
      <c r="H1582" s="270"/>
      <c r="I1582" s="271"/>
      <c r="J1582" s="271"/>
      <c r="K1582" s="234"/>
      <c r="L1582" s="307"/>
      <c r="M1582" s="272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67"/>
      <c r="C1583" s="234"/>
      <c r="D1583" s="234"/>
      <c r="E1583" s="268"/>
      <c r="F1583" s="269"/>
      <c r="G1583" s="258"/>
      <c r="H1583" s="270"/>
      <c r="I1583" s="271"/>
      <c r="J1583" s="271"/>
      <c r="K1583" s="234"/>
      <c r="L1583" s="307"/>
      <c r="M1583" s="272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67"/>
      <c r="C1584" s="234"/>
      <c r="D1584" s="234"/>
      <c r="E1584" s="268"/>
      <c r="F1584" s="269"/>
      <c r="G1584" s="258"/>
      <c r="H1584" s="270"/>
      <c r="I1584" s="271"/>
      <c r="J1584" s="271"/>
      <c r="K1584" s="234"/>
      <c r="L1584" s="307"/>
      <c r="M1584" s="272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67"/>
      <c r="C1585" s="234"/>
      <c r="D1585" s="234"/>
      <c r="E1585" s="268"/>
      <c r="F1585" s="269"/>
      <c r="G1585" s="258"/>
      <c r="H1585" s="270"/>
      <c r="I1585" s="271"/>
      <c r="J1585" s="271"/>
      <c r="K1585" s="234"/>
      <c r="L1585" s="307"/>
      <c r="M1585" s="272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67"/>
      <c r="C1586" s="234"/>
      <c r="D1586" s="234"/>
      <c r="E1586" s="268"/>
      <c r="F1586" s="269"/>
      <c r="G1586" s="258"/>
      <c r="H1586" s="270"/>
      <c r="I1586" s="271"/>
      <c r="J1586" s="271"/>
      <c r="K1586" s="234"/>
      <c r="L1586" s="307"/>
      <c r="M1586" s="272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67"/>
      <c r="C1587" s="234"/>
      <c r="D1587" s="234"/>
      <c r="E1587" s="268"/>
      <c r="F1587" s="269"/>
      <c r="G1587" s="258"/>
      <c r="H1587" s="270"/>
      <c r="I1587" s="271"/>
      <c r="J1587" s="271"/>
      <c r="K1587" s="234"/>
      <c r="L1587" s="307"/>
      <c r="M1587" s="272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67"/>
      <c r="C1588" s="234"/>
      <c r="D1588" s="234"/>
      <c r="E1588" s="268"/>
      <c r="F1588" s="269"/>
      <c r="G1588" s="258"/>
      <c r="H1588" s="270"/>
      <c r="I1588" s="271"/>
      <c r="J1588" s="271"/>
      <c r="K1588" s="234"/>
      <c r="L1588" s="307"/>
      <c r="M1588" s="272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67"/>
      <c r="C1589" s="234"/>
      <c r="D1589" s="234"/>
      <c r="E1589" s="268"/>
      <c r="F1589" s="269"/>
      <c r="G1589" s="258"/>
      <c r="H1589" s="270"/>
      <c r="I1589" s="271"/>
      <c r="J1589" s="271"/>
      <c r="K1589" s="234"/>
      <c r="L1589" s="307"/>
      <c r="M1589" s="272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67"/>
      <c r="C1590" s="234"/>
      <c r="D1590" s="234"/>
      <c r="E1590" s="268"/>
      <c r="F1590" s="269"/>
      <c r="G1590" s="258"/>
      <c r="H1590" s="270"/>
      <c r="I1590" s="271"/>
      <c r="J1590" s="271"/>
      <c r="K1590" s="234"/>
      <c r="L1590" s="307"/>
      <c r="M1590" s="272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67"/>
      <c r="C1591" s="234"/>
      <c r="D1591" s="234"/>
      <c r="E1591" s="268"/>
      <c r="F1591" s="269"/>
      <c r="G1591" s="258"/>
      <c r="H1591" s="270"/>
      <c r="I1591" s="271"/>
      <c r="J1591" s="271"/>
      <c r="K1591" s="234"/>
      <c r="L1591" s="307"/>
      <c r="M1591" s="272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67"/>
      <c r="C1592" s="234"/>
      <c r="D1592" s="234"/>
      <c r="E1592" s="268"/>
      <c r="F1592" s="269"/>
      <c r="G1592" s="258"/>
      <c r="H1592" s="270"/>
      <c r="I1592" s="271"/>
      <c r="J1592" s="271"/>
      <c r="K1592" s="234"/>
      <c r="L1592" s="307"/>
      <c r="M1592" s="272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67"/>
      <c r="C1593" s="234"/>
      <c r="D1593" s="234"/>
      <c r="E1593" s="268"/>
      <c r="F1593" s="269"/>
      <c r="G1593" s="258"/>
      <c r="H1593" s="270"/>
      <c r="I1593" s="271"/>
      <c r="J1593" s="271"/>
      <c r="K1593" s="234"/>
      <c r="L1593" s="307"/>
      <c r="M1593" s="272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67"/>
      <c r="C1594" s="234"/>
      <c r="D1594" s="234"/>
      <c r="E1594" s="268"/>
      <c r="F1594" s="269"/>
      <c r="G1594" s="258"/>
      <c r="H1594" s="270"/>
      <c r="I1594" s="271"/>
      <c r="J1594" s="271"/>
      <c r="K1594" s="234"/>
      <c r="L1594" s="307"/>
      <c r="M1594" s="272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67"/>
      <c r="C1595" s="234"/>
      <c r="D1595" s="234"/>
      <c r="E1595" s="268"/>
      <c r="F1595" s="269"/>
      <c r="G1595" s="258"/>
      <c r="H1595" s="270"/>
      <c r="I1595" s="271"/>
      <c r="J1595" s="271"/>
      <c r="K1595" s="234"/>
      <c r="L1595" s="307"/>
      <c r="M1595" s="272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67"/>
      <c r="C1596" s="234"/>
      <c r="D1596" s="234"/>
      <c r="E1596" s="268"/>
      <c r="F1596" s="269"/>
      <c r="G1596" s="258"/>
      <c r="H1596" s="270"/>
      <c r="I1596" s="271"/>
      <c r="J1596" s="271"/>
      <c r="K1596" s="234"/>
      <c r="L1596" s="307"/>
      <c r="M1596" s="272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67"/>
      <c r="C1597" s="234"/>
      <c r="D1597" s="234"/>
      <c r="E1597" s="268"/>
      <c r="F1597" s="269"/>
      <c r="G1597" s="258"/>
      <c r="H1597" s="270"/>
      <c r="I1597" s="271"/>
      <c r="J1597" s="271"/>
      <c r="K1597" s="234"/>
      <c r="L1597" s="307"/>
      <c r="M1597" s="272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67"/>
      <c r="C1598" s="234"/>
      <c r="D1598" s="234"/>
      <c r="E1598" s="268"/>
      <c r="F1598" s="269"/>
      <c r="G1598" s="258"/>
      <c r="H1598" s="270"/>
      <c r="I1598" s="271"/>
      <c r="J1598" s="271"/>
      <c r="K1598" s="234"/>
      <c r="L1598" s="307"/>
      <c r="M1598" s="272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67"/>
      <c r="C1599" s="234"/>
      <c r="D1599" s="234"/>
      <c r="E1599" s="268"/>
      <c r="F1599" s="269"/>
      <c r="G1599" s="258"/>
      <c r="H1599" s="270"/>
      <c r="I1599" s="271"/>
      <c r="J1599" s="271"/>
      <c r="K1599" s="234"/>
      <c r="L1599" s="307"/>
      <c r="M1599" s="272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67"/>
      <c r="C1600" s="234"/>
      <c r="D1600" s="234"/>
      <c r="E1600" s="268"/>
      <c r="F1600" s="269"/>
      <c r="G1600" s="258"/>
      <c r="H1600" s="270"/>
      <c r="I1600" s="271"/>
      <c r="J1600" s="271"/>
      <c r="K1600" s="234"/>
      <c r="L1600" s="307"/>
      <c r="M1600" s="272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67"/>
      <c r="C1601" s="234"/>
      <c r="D1601" s="234"/>
      <c r="E1601" s="268"/>
      <c r="F1601" s="269"/>
      <c r="G1601" s="258"/>
      <c r="H1601" s="270"/>
      <c r="I1601" s="271"/>
      <c r="J1601" s="271"/>
      <c r="K1601" s="234"/>
      <c r="L1601" s="307"/>
      <c r="M1601" s="272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67"/>
      <c r="C1602" s="234"/>
      <c r="D1602" s="234"/>
      <c r="E1602" s="268"/>
      <c r="F1602" s="269"/>
      <c r="G1602" s="258"/>
      <c r="H1602" s="270"/>
      <c r="I1602" s="271"/>
      <c r="J1602" s="271"/>
      <c r="K1602" s="234"/>
      <c r="L1602" s="307"/>
      <c r="M1602" s="272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67"/>
      <c r="C1603" s="234"/>
      <c r="D1603" s="234"/>
      <c r="E1603" s="268"/>
      <c r="F1603" s="269"/>
      <c r="G1603" s="258"/>
      <c r="H1603" s="270"/>
      <c r="I1603" s="271"/>
      <c r="J1603" s="271"/>
      <c r="K1603" s="234"/>
      <c r="L1603" s="307"/>
      <c r="M1603" s="272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67"/>
      <c r="C1604" s="234"/>
      <c r="D1604" s="234"/>
      <c r="E1604" s="268"/>
      <c r="F1604" s="269"/>
      <c r="G1604" s="258"/>
      <c r="H1604" s="270"/>
      <c r="I1604" s="271"/>
      <c r="J1604" s="271"/>
      <c r="K1604" s="234"/>
      <c r="L1604" s="307"/>
      <c r="M1604" s="272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67"/>
      <c r="C1605" s="234"/>
      <c r="D1605" s="234"/>
      <c r="E1605" s="268"/>
      <c r="F1605" s="269"/>
      <c r="G1605" s="258"/>
      <c r="H1605" s="270"/>
      <c r="I1605" s="271"/>
      <c r="J1605" s="271"/>
      <c r="K1605" s="234"/>
      <c r="L1605" s="307"/>
      <c r="M1605" s="272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67"/>
      <c r="C1606" s="234"/>
      <c r="D1606" s="234"/>
      <c r="E1606" s="268"/>
      <c r="F1606" s="269"/>
      <c r="G1606" s="258"/>
      <c r="H1606" s="270"/>
      <c r="I1606" s="271"/>
      <c r="J1606" s="271"/>
      <c r="K1606" s="234"/>
      <c r="L1606" s="307"/>
      <c r="M1606" s="272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67"/>
      <c r="C1607" s="234"/>
      <c r="D1607" s="234"/>
      <c r="E1607" s="268"/>
      <c r="F1607" s="269"/>
      <c r="G1607" s="258"/>
      <c r="H1607" s="270"/>
      <c r="I1607" s="271"/>
      <c r="J1607" s="271"/>
      <c r="K1607" s="234"/>
      <c r="L1607" s="307"/>
      <c r="M1607" s="272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67"/>
      <c r="C1608" s="234"/>
      <c r="D1608" s="234"/>
      <c r="E1608" s="268"/>
      <c r="F1608" s="269"/>
      <c r="G1608" s="258"/>
      <c r="H1608" s="270"/>
      <c r="I1608" s="271"/>
      <c r="J1608" s="271"/>
      <c r="K1608" s="234"/>
      <c r="L1608" s="307"/>
      <c r="M1608" s="272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67"/>
      <c r="C1609" s="234"/>
      <c r="D1609" s="234"/>
      <c r="E1609" s="268"/>
      <c r="F1609" s="269"/>
      <c r="G1609" s="258"/>
      <c r="H1609" s="270"/>
      <c r="I1609" s="271"/>
      <c r="J1609" s="271"/>
      <c r="K1609" s="234"/>
      <c r="L1609" s="307"/>
      <c r="M1609" s="272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67"/>
      <c r="C1610" s="234"/>
      <c r="D1610" s="234"/>
      <c r="E1610" s="268"/>
      <c r="F1610" s="269"/>
      <c r="G1610" s="258"/>
      <c r="H1610" s="270"/>
      <c r="I1610" s="271"/>
      <c r="J1610" s="271"/>
      <c r="K1610" s="234"/>
      <c r="L1610" s="307"/>
      <c r="M1610" s="272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67"/>
      <c r="C1611" s="234"/>
      <c r="D1611" s="234"/>
      <c r="E1611" s="268"/>
      <c r="F1611" s="269"/>
      <c r="G1611" s="258"/>
      <c r="H1611" s="270"/>
      <c r="I1611" s="271"/>
      <c r="J1611" s="271"/>
      <c r="K1611" s="234"/>
      <c r="L1611" s="307"/>
      <c r="M1611" s="272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67"/>
      <c r="C1612" s="234"/>
      <c r="D1612" s="234"/>
      <c r="E1612" s="268"/>
      <c r="F1612" s="269"/>
      <c r="G1612" s="258"/>
      <c r="H1612" s="270"/>
      <c r="I1612" s="271"/>
      <c r="J1612" s="271"/>
      <c r="K1612" s="234"/>
      <c r="L1612" s="307"/>
      <c r="M1612" s="272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67"/>
      <c r="C1613" s="234"/>
      <c r="D1613" s="234"/>
      <c r="E1613" s="268"/>
      <c r="F1613" s="269"/>
      <c r="G1613" s="258"/>
      <c r="H1613" s="270"/>
      <c r="I1613" s="271"/>
      <c r="J1613" s="271"/>
      <c r="K1613" s="234"/>
      <c r="L1613" s="307"/>
      <c r="M1613" s="272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67"/>
      <c r="C1614" s="234"/>
      <c r="D1614" s="234"/>
      <c r="E1614" s="268"/>
      <c r="F1614" s="269"/>
      <c r="G1614" s="258"/>
      <c r="H1614" s="270"/>
      <c r="I1614" s="271"/>
      <c r="J1614" s="271"/>
      <c r="K1614" s="234"/>
      <c r="L1614" s="307"/>
      <c r="M1614" s="272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67"/>
      <c r="C1615" s="234"/>
      <c r="D1615" s="234"/>
      <c r="E1615" s="268"/>
      <c r="F1615" s="269"/>
      <c r="G1615" s="258"/>
      <c r="H1615" s="270"/>
      <c r="I1615" s="271"/>
      <c r="J1615" s="271"/>
      <c r="K1615" s="234"/>
      <c r="L1615" s="307"/>
      <c r="M1615" s="272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67"/>
      <c r="C1616" s="234"/>
      <c r="D1616" s="234"/>
      <c r="E1616" s="268"/>
      <c r="F1616" s="269"/>
      <c r="G1616" s="258"/>
      <c r="H1616" s="270"/>
      <c r="I1616" s="271"/>
      <c r="J1616" s="271"/>
      <c r="K1616" s="234"/>
      <c r="L1616" s="307"/>
      <c r="M1616" s="272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67"/>
      <c r="C1617" s="234"/>
      <c r="D1617" s="234"/>
      <c r="E1617" s="268"/>
      <c r="F1617" s="269"/>
      <c r="G1617" s="258"/>
      <c r="H1617" s="270"/>
      <c r="I1617" s="271"/>
      <c r="J1617" s="271"/>
      <c r="K1617" s="234"/>
      <c r="L1617" s="307"/>
      <c r="M1617" s="272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67"/>
      <c r="C1618" s="234"/>
      <c r="D1618" s="234"/>
      <c r="E1618" s="268"/>
      <c r="F1618" s="269"/>
      <c r="G1618" s="258"/>
      <c r="H1618" s="270"/>
      <c r="I1618" s="271"/>
      <c r="J1618" s="271"/>
      <c r="K1618" s="234"/>
      <c r="L1618" s="307"/>
      <c r="M1618" s="272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67"/>
      <c r="C1619" s="234"/>
      <c r="D1619" s="234"/>
      <c r="E1619" s="268"/>
      <c r="F1619" s="269"/>
      <c r="G1619" s="258"/>
      <c r="H1619" s="270"/>
      <c r="I1619" s="271"/>
      <c r="J1619" s="271"/>
      <c r="K1619" s="234"/>
      <c r="L1619" s="307"/>
      <c r="M1619" s="272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67"/>
      <c r="C1620" s="234"/>
      <c r="D1620" s="234"/>
      <c r="E1620" s="268"/>
      <c r="F1620" s="269"/>
      <c r="G1620" s="258"/>
      <c r="H1620" s="270"/>
      <c r="I1620" s="271"/>
      <c r="J1620" s="271"/>
      <c r="K1620" s="234"/>
      <c r="L1620" s="307"/>
      <c r="M1620" s="272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67"/>
      <c r="C1621" s="234"/>
      <c r="D1621" s="234"/>
      <c r="E1621" s="268"/>
      <c r="F1621" s="269"/>
      <c r="G1621" s="258"/>
      <c r="H1621" s="270"/>
      <c r="I1621" s="271"/>
      <c r="J1621" s="271"/>
      <c r="K1621" s="234"/>
      <c r="L1621" s="307"/>
      <c r="M1621" s="272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67"/>
      <c r="C1622" s="234"/>
      <c r="D1622" s="234"/>
      <c r="E1622" s="268"/>
      <c r="F1622" s="269"/>
      <c r="G1622" s="258"/>
      <c r="H1622" s="270"/>
      <c r="I1622" s="271"/>
      <c r="J1622" s="271"/>
      <c r="K1622" s="234"/>
      <c r="L1622" s="307"/>
      <c r="M1622" s="272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67"/>
      <c r="C1623" s="234"/>
      <c r="D1623" s="234"/>
      <c r="E1623" s="268"/>
      <c r="F1623" s="269"/>
      <c r="G1623" s="258"/>
      <c r="H1623" s="270"/>
      <c r="I1623" s="271"/>
      <c r="J1623" s="271"/>
      <c r="K1623" s="234"/>
      <c r="L1623" s="307"/>
      <c r="M1623" s="272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67"/>
      <c r="C1624" s="234"/>
      <c r="D1624" s="234"/>
      <c r="E1624" s="268"/>
      <c r="F1624" s="269"/>
      <c r="G1624" s="258"/>
      <c r="H1624" s="270"/>
      <c r="I1624" s="271"/>
      <c r="J1624" s="271"/>
      <c r="K1624" s="234"/>
      <c r="L1624" s="307"/>
      <c r="M1624" s="272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67"/>
      <c r="C1625" s="234"/>
      <c r="D1625" s="234"/>
      <c r="E1625" s="268"/>
      <c r="F1625" s="269"/>
      <c r="G1625" s="258"/>
      <c r="H1625" s="270"/>
      <c r="I1625" s="271"/>
      <c r="J1625" s="271"/>
      <c r="K1625" s="234"/>
      <c r="L1625" s="307"/>
      <c r="M1625" s="272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67"/>
      <c r="C1626" s="234"/>
      <c r="D1626" s="234"/>
      <c r="E1626" s="268"/>
      <c r="F1626" s="269"/>
      <c r="G1626" s="258"/>
      <c r="H1626" s="270"/>
      <c r="I1626" s="271"/>
      <c r="J1626" s="271"/>
      <c r="K1626" s="234"/>
      <c r="L1626" s="307"/>
      <c r="M1626" s="272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67"/>
      <c r="C1627" s="234"/>
      <c r="D1627" s="234"/>
      <c r="E1627" s="268"/>
      <c r="F1627" s="269"/>
      <c r="G1627" s="258"/>
      <c r="H1627" s="270"/>
      <c r="I1627" s="271"/>
      <c r="J1627" s="271"/>
      <c r="K1627" s="234"/>
      <c r="L1627" s="307"/>
      <c r="M1627" s="272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67"/>
      <c r="C1628" s="234"/>
      <c r="D1628" s="234"/>
      <c r="E1628" s="268"/>
      <c r="F1628" s="269"/>
      <c r="G1628" s="258"/>
      <c r="H1628" s="270"/>
      <c r="I1628" s="271"/>
      <c r="J1628" s="271"/>
      <c r="K1628" s="234"/>
      <c r="L1628" s="307"/>
      <c r="M1628" s="272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67"/>
      <c r="C1629" s="234"/>
      <c r="D1629" s="234"/>
      <c r="E1629" s="268"/>
      <c r="F1629" s="269"/>
      <c r="G1629" s="258"/>
      <c r="H1629" s="270"/>
      <c r="I1629" s="271"/>
      <c r="J1629" s="271"/>
      <c r="K1629" s="234"/>
      <c r="L1629" s="307"/>
      <c r="M1629" s="272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67"/>
      <c r="C1630" s="234"/>
      <c r="D1630" s="234"/>
      <c r="E1630" s="268"/>
      <c r="F1630" s="269"/>
      <c r="G1630" s="258"/>
      <c r="H1630" s="270"/>
      <c r="I1630" s="271"/>
      <c r="J1630" s="271"/>
      <c r="K1630" s="234"/>
      <c r="L1630" s="307"/>
      <c r="M1630" s="272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67"/>
      <c r="C1631" s="234"/>
      <c r="D1631" s="234"/>
      <c r="E1631" s="268"/>
      <c r="F1631" s="269"/>
      <c r="G1631" s="258"/>
      <c r="H1631" s="270"/>
      <c r="I1631" s="271"/>
      <c r="J1631" s="271"/>
      <c r="K1631" s="234"/>
      <c r="L1631" s="307"/>
      <c r="M1631" s="272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67"/>
      <c r="C1632" s="234"/>
      <c r="D1632" s="234"/>
      <c r="E1632" s="268"/>
      <c r="F1632" s="269"/>
      <c r="G1632" s="258"/>
      <c r="H1632" s="270"/>
      <c r="I1632" s="271"/>
      <c r="J1632" s="271"/>
      <c r="K1632" s="234"/>
      <c r="L1632" s="307"/>
      <c r="M1632" s="272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67"/>
      <c r="C1633" s="234"/>
      <c r="D1633" s="234"/>
      <c r="E1633" s="268"/>
      <c r="F1633" s="269"/>
      <c r="G1633" s="258"/>
      <c r="H1633" s="270"/>
      <c r="I1633" s="271"/>
      <c r="J1633" s="271"/>
      <c r="K1633" s="234"/>
      <c r="L1633" s="307"/>
      <c r="M1633" s="272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67"/>
      <c r="C1634" s="234"/>
      <c r="D1634" s="234"/>
      <c r="E1634" s="268"/>
      <c r="F1634" s="269"/>
      <c r="G1634" s="258"/>
      <c r="H1634" s="270"/>
      <c r="I1634" s="271"/>
      <c r="J1634" s="271"/>
      <c r="K1634" s="234"/>
      <c r="L1634" s="307"/>
      <c r="M1634" s="272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67"/>
      <c r="C1635" s="234"/>
      <c r="D1635" s="234"/>
      <c r="E1635" s="268"/>
      <c r="F1635" s="269"/>
      <c r="G1635" s="258"/>
      <c r="H1635" s="270"/>
      <c r="I1635" s="271"/>
      <c r="J1635" s="271"/>
      <c r="K1635" s="234"/>
      <c r="L1635" s="307"/>
      <c r="M1635" s="272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67"/>
      <c r="C1636" s="234"/>
      <c r="D1636" s="234"/>
      <c r="E1636" s="268"/>
      <c r="F1636" s="269"/>
      <c r="G1636" s="258"/>
      <c r="H1636" s="270"/>
      <c r="I1636" s="271"/>
      <c r="J1636" s="271"/>
      <c r="K1636" s="234"/>
      <c r="L1636" s="307"/>
      <c r="M1636" s="272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67"/>
      <c r="C1637" s="234"/>
      <c r="D1637" s="234"/>
      <c r="E1637" s="268"/>
      <c r="F1637" s="269"/>
      <c r="G1637" s="258"/>
      <c r="H1637" s="270"/>
      <c r="I1637" s="271"/>
      <c r="J1637" s="271"/>
      <c r="K1637" s="234"/>
      <c r="L1637" s="307"/>
      <c r="M1637" s="272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67"/>
      <c r="C1638" s="234"/>
      <c r="D1638" s="234"/>
      <c r="E1638" s="268"/>
      <c r="F1638" s="269"/>
      <c r="G1638" s="258"/>
      <c r="H1638" s="270"/>
      <c r="I1638" s="271"/>
      <c r="J1638" s="271"/>
      <c r="K1638" s="234"/>
      <c r="L1638" s="307"/>
      <c r="M1638" s="272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67"/>
      <c r="C1639" s="234"/>
      <c r="D1639" s="234"/>
      <c r="E1639" s="268"/>
      <c r="F1639" s="269"/>
      <c r="G1639" s="258"/>
      <c r="H1639" s="270"/>
      <c r="I1639" s="271"/>
      <c r="J1639" s="271"/>
      <c r="K1639" s="234"/>
      <c r="L1639" s="307"/>
      <c r="M1639" s="272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67"/>
      <c r="C1640" s="234"/>
      <c r="D1640" s="234"/>
      <c r="E1640" s="268"/>
      <c r="F1640" s="269"/>
      <c r="G1640" s="258"/>
      <c r="H1640" s="270"/>
      <c r="I1640" s="271"/>
      <c r="J1640" s="271"/>
      <c r="K1640" s="234"/>
      <c r="L1640" s="307"/>
      <c r="M1640" s="272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67"/>
      <c r="C1641" s="234"/>
      <c r="D1641" s="234"/>
      <c r="E1641" s="268"/>
      <c r="F1641" s="269"/>
      <c r="G1641" s="258"/>
      <c r="H1641" s="270"/>
      <c r="I1641" s="271"/>
      <c r="J1641" s="271"/>
      <c r="K1641" s="234"/>
      <c r="L1641" s="307"/>
      <c r="M1641" s="272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67"/>
      <c r="C1642" s="234"/>
      <c r="D1642" s="234"/>
      <c r="E1642" s="268"/>
      <c r="F1642" s="269"/>
      <c r="G1642" s="258"/>
      <c r="H1642" s="270"/>
      <c r="I1642" s="271"/>
      <c r="J1642" s="271"/>
      <c r="K1642" s="234"/>
      <c r="L1642" s="307"/>
      <c r="M1642" s="272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67"/>
      <c r="C1643" s="234"/>
      <c r="D1643" s="234"/>
      <c r="E1643" s="268"/>
      <c r="F1643" s="269"/>
      <c r="G1643" s="258"/>
      <c r="H1643" s="270"/>
      <c r="I1643" s="271"/>
      <c r="J1643" s="271"/>
      <c r="K1643" s="234"/>
      <c r="L1643" s="307"/>
      <c r="M1643" s="272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67"/>
      <c r="C1644" s="234"/>
      <c r="D1644" s="234"/>
      <c r="E1644" s="268"/>
      <c r="F1644" s="269"/>
      <c r="G1644" s="258"/>
      <c r="H1644" s="270"/>
      <c r="I1644" s="271"/>
      <c r="J1644" s="271"/>
      <c r="K1644" s="234"/>
      <c r="L1644" s="307"/>
      <c r="M1644" s="272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67"/>
      <c r="C1645" s="234"/>
      <c r="D1645" s="234"/>
      <c r="E1645" s="268"/>
      <c r="F1645" s="269"/>
      <c r="G1645" s="258"/>
      <c r="H1645" s="270"/>
      <c r="I1645" s="271"/>
      <c r="J1645" s="271"/>
      <c r="K1645" s="234"/>
      <c r="L1645" s="307"/>
      <c r="M1645" s="272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67"/>
      <c r="C1646" s="234"/>
      <c r="D1646" s="234"/>
      <c r="E1646" s="268"/>
      <c r="F1646" s="269"/>
      <c r="G1646" s="258"/>
      <c r="H1646" s="270"/>
      <c r="I1646" s="271"/>
      <c r="J1646" s="271"/>
      <c r="K1646" s="234"/>
      <c r="L1646" s="307"/>
      <c r="M1646" s="272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67"/>
      <c r="C1647" s="234"/>
      <c r="D1647" s="234"/>
      <c r="E1647" s="268"/>
      <c r="F1647" s="269"/>
      <c r="G1647" s="258"/>
      <c r="H1647" s="270"/>
      <c r="I1647" s="271"/>
      <c r="J1647" s="271"/>
      <c r="K1647" s="234"/>
      <c r="L1647" s="307"/>
      <c r="M1647" s="272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67"/>
      <c r="C1648" s="234"/>
      <c r="D1648" s="234"/>
      <c r="E1648" s="268"/>
      <c r="F1648" s="269"/>
      <c r="G1648" s="258"/>
      <c r="H1648" s="270"/>
      <c r="I1648" s="271"/>
      <c r="J1648" s="271"/>
      <c r="K1648" s="234"/>
      <c r="L1648" s="307"/>
      <c r="M1648" s="272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67"/>
      <c r="C1649" s="234"/>
      <c r="D1649" s="234"/>
      <c r="E1649" s="268"/>
      <c r="F1649" s="269"/>
      <c r="G1649" s="258"/>
      <c r="H1649" s="270"/>
      <c r="I1649" s="271"/>
      <c r="J1649" s="271"/>
      <c r="K1649" s="234"/>
      <c r="L1649" s="307"/>
      <c r="M1649" s="272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67"/>
      <c r="C1650" s="234"/>
      <c r="D1650" s="234"/>
      <c r="E1650" s="268"/>
      <c r="F1650" s="269"/>
      <c r="G1650" s="258"/>
      <c r="H1650" s="270"/>
      <c r="I1650" s="271"/>
      <c r="J1650" s="271"/>
      <c r="K1650" s="234"/>
      <c r="L1650" s="307"/>
      <c r="M1650" s="272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67"/>
      <c r="C1651" s="234"/>
      <c r="D1651" s="234"/>
      <c r="E1651" s="268"/>
      <c r="F1651" s="269"/>
      <c r="G1651" s="258"/>
      <c r="H1651" s="270"/>
      <c r="I1651" s="271"/>
      <c r="J1651" s="271"/>
      <c r="K1651" s="234"/>
      <c r="L1651" s="307"/>
      <c r="M1651" s="272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67"/>
      <c r="C1652" s="234"/>
      <c r="D1652" s="234"/>
      <c r="E1652" s="268"/>
      <c r="F1652" s="269"/>
      <c r="G1652" s="258"/>
      <c r="H1652" s="270"/>
      <c r="I1652" s="271"/>
      <c r="J1652" s="271"/>
      <c r="K1652" s="234"/>
      <c r="L1652" s="307"/>
      <c r="M1652" s="272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67"/>
      <c r="C1653" s="234"/>
      <c r="D1653" s="234"/>
      <c r="E1653" s="268"/>
      <c r="F1653" s="269"/>
      <c r="G1653" s="258"/>
      <c r="H1653" s="270"/>
      <c r="I1653" s="271"/>
      <c r="J1653" s="271"/>
      <c r="K1653" s="234"/>
      <c r="L1653" s="307"/>
      <c r="M1653" s="272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67"/>
      <c r="C1654" s="234"/>
      <c r="D1654" s="234"/>
      <c r="E1654" s="268"/>
      <c r="F1654" s="269"/>
      <c r="G1654" s="258"/>
      <c r="H1654" s="270"/>
      <c r="I1654" s="271"/>
      <c r="J1654" s="271"/>
      <c r="K1654" s="234"/>
      <c r="L1654" s="307"/>
      <c r="M1654" s="272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67"/>
      <c r="C1655" s="234"/>
      <c r="D1655" s="234"/>
      <c r="E1655" s="268"/>
      <c r="F1655" s="269"/>
      <c r="G1655" s="258"/>
      <c r="H1655" s="270"/>
      <c r="I1655" s="271"/>
      <c r="J1655" s="271"/>
      <c r="K1655" s="234"/>
      <c r="L1655" s="307"/>
      <c r="M1655" s="272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67"/>
      <c r="C1656" s="234"/>
      <c r="D1656" s="234"/>
      <c r="E1656" s="268"/>
      <c r="F1656" s="269"/>
      <c r="G1656" s="258"/>
      <c r="H1656" s="270"/>
      <c r="I1656" s="271"/>
      <c r="J1656" s="271"/>
      <c r="K1656" s="234"/>
      <c r="L1656" s="307"/>
      <c r="M1656" s="272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67"/>
      <c r="C1657" s="234"/>
      <c r="D1657" s="234"/>
      <c r="E1657" s="268"/>
      <c r="F1657" s="269"/>
      <c r="G1657" s="258"/>
      <c r="H1657" s="270"/>
      <c r="I1657" s="271"/>
      <c r="J1657" s="271"/>
      <c r="K1657" s="234"/>
      <c r="L1657" s="307"/>
      <c r="M1657" s="272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67"/>
      <c r="C1658" s="234"/>
      <c r="D1658" s="234"/>
      <c r="E1658" s="268"/>
      <c r="F1658" s="269"/>
      <c r="G1658" s="258"/>
      <c r="H1658" s="270"/>
      <c r="I1658" s="271"/>
      <c r="J1658" s="271"/>
      <c r="K1658" s="234"/>
      <c r="L1658" s="307"/>
      <c r="M1658" s="272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67"/>
      <c r="C1659" s="234"/>
      <c r="D1659" s="234"/>
      <c r="E1659" s="268"/>
      <c r="F1659" s="269"/>
      <c r="G1659" s="258"/>
      <c r="H1659" s="270"/>
      <c r="I1659" s="271"/>
      <c r="J1659" s="271"/>
      <c r="K1659" s="234"/>
      <c r="L1659" s="307"/>
      <c r="M1659" s="272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67"/>
      <c r="C1660" s="234"/>
      <c r="D1660" s="234"/>
      <c r="E1660" s="268"/>
      <c r="F1660" s="269"/>
      <c r="G1660" s="258"/>
      <c r="H1660" s="270"/>
      <c r="I1660" s="271"/>
      <c r="J1660" s="271"/>
      <c r="K1660" s="234"/>
      <c r="L1660" s="307"/>
      <c r="M1660" s="272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67"/>
      <c r="C1661" s="234"/>
      <c r="D1661" s="234"/>
      <c r="E1661" s="268"/>
      <c r="F1661" s="269"/>
      <c r="G1661" s="258"/>
      <c r="H1661" s="270"/>
      <c r="I1661" s="271"/>
      <c r="J1661" s="271"/>
      <c r="K1661" s="234"/>
      <c r="L1661" s="307"/>
      <c r="M1661" s="272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67"/>
      <c r="C1662" s="234"/>
      <c r="D1662" s="234"/>
      <c r="E1662" s="268"/>
      <c r="F1662" s="269"/>
      <c r="G1662" s="258"/>
      <c r="H1662" s="270"/>
      <c r="I1662" s="271"/>
      <c r="J1662" s="271"/>
      <c r="K1662" s="234"/>
      <c r="L1662" s="307"/>
      <c r="M1662" s="272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67"/>
      <c r="C1663" s="234"/>
      <c r="D1663" s="234"/>
      <c r="E1663" s="268"/>
      <c r="F1663" s="269"/>
      <c r="G1663" s="258"/>
      <c r="H1663" s="270"/>
      <c r="I1663" s="271"/>
      <c r="J1663" s="271"/>
      <c r="K1663" s="234"/>
      <c r="L1663" s="307"/>
      <c r="M1663" s="272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67"/>
      <c r="C1664" s="234"/>
      <c r="D1664" s="234"/>
      <c r="E1664" s="268"/>
      <c r="F1664" s="269"/>
      <c r="G1664" s="258"/>
      <c r="H1664" s="270"/>
      <c r="I1664" s="271"/>
      <c r="J1664" s="271"/>
      <c r="K1664" s="234"/>
      <c r="L1664" s="307"/>
      <c r="M1664" s="272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67"/>
      <c r="C1665" s="234"/>
      <c r="D1665" s="234"/>
      <c r="E1665" s="268"/>
      <c r="F1665" s="269"/>
      <c r="G1665" s="258"/>
      <c r="H1665" s="270"/>
      <c r="I1665" s="271"/>
      <c r="J1665" s="271"/>
      <c r="K1665" s="234"/>
      <c r="L1665" s="307"/>
      <c r="M1665" s="272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67"/>
      <c r="C1666" s="234"/>
      <c r="D1666" s="234"/>
      <c r="E1666" s="268"/>
      <c r="F1666" s="269"/>
      <c r="G1666" s="258"/>
      <c r="H1666" s="270"/>
      <c r="I1666" s="271"/>
      <c r="J1666" s="271"/>
      <c r="K1666" s="234"/>
      <c r="L1666" s="307"/>
      <c r="M1666" s="272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67"/>
      <c r="C1667" s="234"/>
      <c r="D1667" s="234"/>
      <c r="E1667" s="268"/>
      <c r="F1667" s="269"/>
      <c r="G1667" s="258"/>
      <c r="H1667" s="270"/>
      <c r="I1667" s="271"/>
      <c r="J1667" s="271"/>
      <c r="K1667" s="234"/>
      <c r="L1667" s="307"/>
      <c r="M1667" s="272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67"/>
      <c r="C1668" s="234"/>
      <c r="D1668" s="234"/>
      <c r="E1668" s="268"/>
      <c r="F1668" s="269"/>
      <c r="G1668" s="258"/>
      <c r="H1668" s="270"/>
      <c r="I1668" s="271"/>
      <c r="J1668" s="271"/>
      <c r="K1668" s="234"/>
      <c r="L1668" s="307"/>
      <c r="M1668" s="272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67"/>
      <c r="C1669" s="234"/>
      <c r="D1669" s="234"/>
      <c r="E1669" s="268"/>
      <c r="F1669" s="269"/>
      <c r="G1669" s="258"/>
      <c r="H1669" s="270"/>
      <c r="I1669" s="271"/>
      <c r="J1669" s="271"/>
      <c r="K1669" s="234"/>
      <c r="L1669" s="307"/>
      <c r="M1669" s="272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67"/>
      <c r="C1670" s="234"/>
      <c r="D1670" s="234"/>
      <c r="E1670" s="268"/>
      <c r="F1670" s="269"/>
      <c r="G1670" s="258"/>
      <c r="H1670" s="270"/>
      <c r="I1670" s="271"/>
      <c r="J1670" s="271"/>
      <c r="K1670" s="234"/>
      <c r="L1670" s="307"/>
      <c r="M1670" s="272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67"/>
      <c r="C1671" s="234"/>
      <c r="D1671" s="234"/>
      <c r="E1671" s="268"/>
      <c r="F1671" s="269"/>
      <c r="G1671" s="258"/>
      <c r="H1671" s="270"/>
      <c r="I1671" s="271"/>
      <c r="J1671" s="271"/>
      <c r="K1671" s="234"/>
      <c r="L1671" s="307"/>
      <c r="M1671" s="272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67"/>
      <c r="C1672" s="234"/>
      <c r="D1672" s="234"/>
      <c r="E1672" s="268"/>
      <c r="F1672" s="269"/>
      <c r="G1672" s="258"/>
      <c r="H1672" s="270"/>
      <c r="I1672" s="271"/>
      <c r="J1672" s="271"/>
      <c r="K1672" s="234"/>
      <c r="L1672" s="307"/>
      <c r="M1672" s="272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67"/>
      <c r="C1673" s="234"/>
      <c r="D1673" s="234"/>
      <c r="E1673" s="268"/>
      <c r="F1673" s="269"/>
      <c r="G1673" s="258"/>
      <c r="H1673" s="270"/>
      <c r="I1673" s="271"/>
      <c r="J1673" s="271"/>
      <c r="K1673" s="234"/>
      <c r="L1673" s="307"/>
      <c r="M1673" s="272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67"/>
      <c r="C1674" s="234"/>
      <c r="D1674" s="234"/>
      <c r="E1674" s="268"/>
      <c r="F1674" s="269"/>
      <c r="G1674" s="258"/>
      <c r="H1674" s="270"/>
      <c r="I1674" s="271"/>
      <c r="J1674" s="271"/>
      <c r="K1674" s="234"/>
      <c r="L1674" s="307"/>
      <c r="M1674" s="272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67"/>
      <c r="C1675" s="234"/>
      <c r="D1675" s="234"/>
      <c r="E1675" s="268"/>
      <c r="F1675" s="269"/>
      <c r="G1675" s="258"/>
      <c r="H1675" s="270"/>
      <c r="I1675" s="271"/>
      <c r="J1675" s="271"/>
      <c r="K1675" s="234"/>
      <c r="L1675" s="307"/>
      <c r="M1675" s="272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67"/>
      <c r="C1676" s="234"/>
      <c r="D1676" s="234"/>
      <c r="E1676" s="268"/>
      <c r="F1676" s="269"/>
      <c r="G1676" s="258"/>
      <c r="H1676" s="270"/>
      <c r="I1676" s="271"/>
      <c r="J1676" s="271"/>
      <c r="K1676" s="234"/>
      <c r="L1676" s="307"/>
      <c r="M1676" s="272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67"/>
      <c r="C1677" s="234"/>
      <c r="D1677" s="234"/>
      <c r="E1677" s="268"/>
      <c r="F1677" s="269"/>
      <c r="G1677" s="258"/>
      <c r="H1677" s="270"/>
      <c r="I1677" s="271"/>
      <c r="J1677" s="271"/>
      <c r="K1677" s="234"/>
      <c r="L1677" s="307"/>
      <c r="M1677" s="272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67"/>
      <c r="C1678" s="234"/>
      <c r="D1678" s="234"/>
      <c r="E1678" s="268"/>
      <c r="F1678" s="269"/>
      <c r="G1678" s="258"/>
      <c r="H1678" s="270"/>
      <c r="I1678" s="271"/>
      <c r="J1678" s="271"/>
      <c r="K1678" s="234"/>
      <c r="L1678" s="307"/>
      <c r="M1678" s="272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67"/>
      <c r="C1679" s="234"/>
      <c r="D1679" s="234"/>
      <c r="E1679" s="268"/>
      <c r="F1679" s="269"/>
      <c r="G1679" s="258"/>
      <c r="H1679" s="270"/>
      <c r="I1679" s="271"/>
      <c r="J1679" s="271"/>
      <c r="K1679" s="234"/>
      <c r="L1679" s="307"/>
      <c r="M1679" s="272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67"/>
      <c r="C1680" s="234"/>
      <c r="D1680" s="234"/>
      <c r="E1680" s="268"/>
      <c r="F1680" s="269"/>
      <c r="G1680" s="258"/>
      <c r="H1680" s="270"/>
      <c r="I1680" s="271"/>
      <c r="J1680" s="271"/>
      <c r="K1680" s="234"/>
      <c r="L1680" s="307"/>
      <c r="M1680" s="272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67"/>
      <c r="C1681" s="234"/>
      <c r="D1681" s="234"/>
      <c r="E1681" s="268"/>
      <c r="F1681" s="269"/>
      <c r="G1681" s="258"/>
      <c r="H1681" s="270"/>
      <c r="I1681" s="271"/>
      <c r="J1681" s="271"/>
      <c r="K1681" s="234"/>
      <c r="L1681" s="307"/>
      <c r="M1681" s="272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67"/>
      <c r="C1682" s="234"/>
      <c r="D1682" s="234"/>
      <c r="E1682" s="268"/>
      <c r="F1682" s="269"/>
      <c r="G1682" s="258"/>
      <c r="H1682" s="270"/>
      <c r="I1682" s="271"/>
      <c r="J1682" s="271"/>
      <c r="K1682" s="234"/>
      <c r="L1682" s="307"/>
      <c r="M1682" s="272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67"/>
      <c r="C1683" s="234"/>
      <c r="D1683" s="234"/>
      <c r="E1683" s="268"/>
      <c r="F1683" s="269"/>
      <c r="G1683" s="258"/>
      <c r="H1683" s="270"/>
      <c r="I1683" s="271"/>
      <c r="J1683" s="271"/>
      <c r="K1683" s="234"/>
      <c r="L1683" s="307"/>
      <c r="M1683" s="272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67"/>
      <c r="C1684" s="234"/>
      <c r="D1684" s="234"/>
      <c r="E1684" s="268"/>
      <c r="F1684" s="269"/>
      <c r="G1684" s="258"/>
      <c r="H1684" s="270"/>
      <c r="I1684" s="271"/>
      <c r="J1684" s="271"/>
      <c r="K1684" s="234"/>
      <c r="L1684" s="307"/>
      <c r="M1684" s="272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67"/>
      <c r="C1685" s="234"/>
      <c r="D1685" s="234"/>
      <c r="E1685" s="268"/>
      <c r="F1685" s="269"/>
      <c r="G1685" s="258"/>
      <c r="H1685" s="270"/>
      <c r="I1685" s="271"/>
      <c r="J1685" s="271"/>
      <c r="K1685" s="234"/>
      <c r="L1685" s="307"/>
      <c r="M1685" s="272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67"/>
      <c r="C1686" s="234"/>
      <c r="D1686" s="234"/>
      <c r="E1686" s="268"/>
      <c r="F1686" s="269"/>
      <c r="G1686" s="258"/>
      <c r="H1686" s="270"/>
      <c r="I1686" s="271"/>
      <c r="J1686" s="271"/>
      <c r="K1686" s="234"/>
      <c r="L1686" s="307"/>
      <c r="M1686" s="272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67"/>
      <c r="C1687" s="234"/>
      <c r="D1687" s="234"/>
      <c r="E1687" s="268"/>
      <c r="F1687" s="269"/>
      <c r="G1687" s="258"/>
      <c r="H1687" s="270"/>
      <c r="I1687" s="271"/>
      <c r="J1687" s="271"/>
      <c r="K1687" s="234"/>
      <c r="L1687" s="307"/>
      <c r="M1687" s="272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67"/>
      <c r="C1688" s="234"/>
      <c r="D1688" s="234"/>
      <c r="E1688" s="268"/>
      <c r="F1688" s="269"/>
      <c r="G1688" s="258"/>
      <c r="H1688" s="270"/>
      <c r="I1688" s="271"/>
      <c r="J1688" s="271"/>
      <c r="K1688" s="234"/>
      <c r="L1688" s="307"/>
      <c r="M1688" s="272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67"/>
      <c r="C1689" s="234"/>
      <c r="D1689" s="234"/>
      <c r="E1689" s="268"/>
      <c r="F1689" s="269"/>
      <c r="G1689" s="258"/>
      <c r="H1689" s="270"/>
      <c r="I1689" s="271"/>
      <c r="J1689" s="271"/>
      <c r="K1689" s="234"/>
      <c r="L1689" s="307"/>
      <c r="M1689" s="272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67"/>
      <c r="C1690" s="234"/>
      <c r="D1690" s="234"/>
      <c r="E1690" s="268"/>
      <c r="F1690" s="269"/>
      <c r="G1690" s="258"/>
      <c r="H1690" s="270"/>
      <c r="I1690" s="271"/>
      <c r="J1690" s="271"/>
      <c r="K1690" s="234"/>
      <c r="L1690" s="307"/>
      <c r="M1690" s="272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67"/>
      <c r="C1691" s="234"/>
      <c r="D1691" s="234"/>
      <c r="E1691" s="268"/>
      <c r="F1691" s="269"/>
      <c r="G1691" s="258"/>
      <c r="H1691" s="270"/>
      <c r="I1691" s="271"/>
      <c r="J1691" s="271"/>
      <c r="K1691" s="234"/>
      <c r="L1691" s="307"/>
      <c r="M1691" s="272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67"/>
      <c r="C1692" s="234"/>
      <c r="D1692" s="234"/>
      <c r="E1692" s="268"/>
      <c r="F1692" s="269"/>
      <c r="G1692" s="258"/>
      <c r="H1692" s="270"/>
      <c r="I1692" s="271"/>
      <c r="J1692" s="271"/>
      <c r="K1692" s="234"/>
      <c r="L1692" s="307"/>
      <c r="M1692" s="272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67"/>
      <c r="C1693" s="234"/>
      <c r="D1693" s="234"/>
      <c r="E1693" s="268"/>
      <c r="F1693" s="269"/>
      <c r="G1693" s="258"/>
      <c r="H1693" s="270"/>
      <c r="I1693" s="271"/>
      <c r="J1693" s="271"/>
      <c r="K1693" s="234"/>
      <c r="L1693" s="307"/>
      <c r="M1693" s="272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67"/>
      <c r="C1694" s="234"/>
      <c r="D1694" s="234"/>
      <c r="E1694" s="268"/>
      <c r="F1694" s="269"/>
      <c r="G1694" s="258"/>
      <c r="H1694" s="270"/>
      <c r="I1694" s="271"/>
      <c r="J1694" s="271"/>
      <c r="K1694" s="234"/>
      <c r="L1694" s="307"/>
      <c r="M1694" s="272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67"/>
      <c r="C1695" s="234"/>
      <c r="D1695" s="234"/>
      <c r="E1695" s="268"/>
      <c r="F1695" s="269"/>
      <c r="G1695" s="258"/>
      <c r="H1695" s="270"/>
      <c r="I1695" s="271"/>
      <c r="J1695" s="271"/>
      <c r="K1695" s="234"/>
      <c r="L1695" s="307"/>
      <c r="M1695" s="272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67"/>
      <c r="C1696" s="234"/>
      <c r="D1696" s="234"/>
      <c r="E1696" s="268"/>
      <c r="F1696" s="269"/>
      <c r="G1696" s="258"/>
      <c r="H1696" s="270"/>
      <c r="I1696" s="271"/>
      <c r="J1696" s="271"/>
      <c r="K1696" s="234"/>
      <c r="L1696" s="307"/>
      <c r="M1696" s="272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67"/>
      <c r="C1697" s="234"/>
      <c r="D1697" s="234"/>
      <c r="E1697" s="268"/>
      <c r="F1697" s="269"/>
      <c r="G1697" s="258"/>
      <c r="H1697" s="270"/>
      <c r="I1697" s="271"/>
      <c r="J1697" s="271"/>
      <c r="K1697" s="234"/>
      <c r="L1697" s="307"/>
      <c r="M1697" s="272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67"/>
      <c r="C1698" s="234"/>
      <c r="D1698" s="234"/>
      <c r="E1698" s="268"/>
      <c r="F1698" s="269"/>
      <c r="G1698" s="258"/>
      <c r="H1698" s="270"/>
      <c r="I1698" s="271"/>
      <c r="J1698" s="271"/>
      <c r="K1698" s="234"/>
      <c r="L1698" s="307"/>
      <c r="M1698" s="272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67"/>
      <c r="C1699" s="234"/>
      <c r="D1699" s="234"/>
      <c r="E1699" s="268"/>
      <c r="F1699" s="269"/>
      <c r="G1699" s="258"/>
      <c r="H1699" s="270"/>
      <c r="I1699" s="271"/>
      <c r="J1699" s="271"/>
      <c r="K1699" s="234"/>
      <c r="L1699" s="307"/>
      <c r="M1699" s="272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67"/>
      <c r="C1700" s="234"/>
      <c r="D1700" s="234"/>
      <c r="E1700" s="268"/>
      <c r="F1700" s="269"/>
      <c r="G1700" s="258"/>
      <c r="H1700" s="270"/>
      <c r="I1700" s="271"/>
      <c r="J1700" s="271"/>
      <c r="K1700" s="234"/>
      <c r="L1700" s="307"/>
      <c r="M1700" s="272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67"/>
      <c r="C1701" s="234"/>
      <c r="D1701" s="234"/>
      <c r="E1701" s="268"/>
      <c r="F1701" s="269"/>
      <c r="G1701" s="258"/>
      <c r="H1701" s="270"/>
      <c r="I1701" s="271"/>
      <c r="J1701" s="271"/>
      <c r="K1701" s="234"/>
      <c r="L1701" s="307"/>
      <c r="M1701" s="272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67"/>
      <c r="C1702" s="234"/>
      <c r="D1702" s="234"/>
      <c r="E1702" s="268"/>
      <c r="F1702" s="269"/>
      <c r="G1702" s="258"/>
      <c r="H1702" s="270"/>
      <c r="I1702" s="271"/>
      <c r="J1702" s="271"/>
      <c r="K1702" s="234"/>
      <c r="L1702" s="307"/>
      <c r="M1702" s="272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67"/>
      <c r="C1703" s="234"/>
      <c r="D1703" s="234"/>
      <c r="E1703" s="268"/>
      <c r="F1703" s="269"/>
      <c r="G1703" s="258"/>
      <c r="H1703" s="270"/>
      <c r="I1703" s="271"/>
      <c r="J1703" s="271"/>
      <c r="K1703" s="234"/>
      <c r="L1703" s="307"/>
      <c r="M1703" s="272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67"/>
      <c r="C1704" s="234"/>
      <c r="D1704" s="234"/>
      <c r="E1704" s="268"/>
      <c r="F1704" s="269"/>
      <c r="G1704" s="258"/>
      <c r="H1704" s="270"/>
      <c r="I1704" s="271"/>
      <c r="J1704" s="271"/>
      <c r="K1704" s="234"/>
      <c r="L1704" s="307"/>
      <c r="M1704" s="272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67"/>
      <c r="C1705" s="234"/>
      <c r="D1705" s="234"/>
      <c r="E1705" s="268"/>
      <c r="F1705" s="269"/>
      <c r="G1705" s="258"/>
      <c r="H1705" s="270"/>
      <c r="I1705" s="271"/>
      <c r="J1705" s="271"/>
      <c r="K1705" s="234"/>
      <c r="L1705" s="307"/>
      <c r="M1705" s="272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67"/>
      <c r="C1706" s="234"/>
      <c r="D1706" s="234"/>
      <c r="E1706" s="268"/>
      <c r="F1706" s="269"/>
      <c r="G1706" s="258"/>
      <c r="H1706" s="270"/>
      <c r="I1706" s="271"/>
      <c r="J1706" s="271"/>
      <c r="K1706" s="234"/>
      <c r="L1706" s="307"/>
      <c r="M1706" s="272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67"/>
      <c r="C1707" s="234"/>
      <c r="D1707" s="234"/>
      <c r="E1707" s="268"/>
      <c r="F1707" s="269"/>
      <c r="G1707" s="258"/>
      <c r="H1707" s="270"/>
      <c r="I1707" s="271"/>
      <c r="J1707" s="271"/>
      <c r="K1707" s="234"/>
      <c r="L1707" s="307"/>
      <c r="M1707" s="272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67"/>
      <c r="C1708" s="234"/>
      <c r="D1708" s="234"/>
      <c r="E1708" s="268"/>
      <c r="F1708" s="269"/>
      <c r="G1708" s="258"/>
      <c r="H1708" s="270"/>
      <c r="I1708" s="271"/>
      <c r="J1708" s="271"/>
      <c r="K1708" s="234"/>
      <c r="L1708" s="307"/>
      <c r="M1708" s="272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67"/>
      <c r="C1709" s="234"/>
      <c r="D1709" s="234"/>
      <c r="E1709" s="268"/>
      <c r="F1709" s="269"/>
      <c r="G1709" s="258"/>
      <c r="H1709" s="270"/>
      <c r="I1709" s="271"/>
      <c r="J1709" s="271"/>
      <c r="K1709" s="234"/>
      <c r="L1709" s="307"/>
      <c r="M1709" s="272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67"/>
      <c r="C1710" s="234"/>
      <c r="D1710" s="234"/>
      <c r="E1710" s="268"/>
      <c r="F1710" s="269"/>
      <c r="G1710" s="258"/>
      <c r="H1710" s="270"/>
      <c r="I1710" s="271"/>
      <c r="J1710" s="271"/>
      <c r="K1710" s="234"/>
      <c r="L1710" s="307"/>
      <c r="M1710" s="272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67"/>
      <c r="C1711" s="234"/>
      <c r="D1711" s="234"/>
      <c r="E1711" s="268"/>
      <c r="F1711" s="269"/>
      <c r="G1711" s="258"/>
      <c r="H1711" s="270"/>
      <c r="I1711" s="271"/>
      <c r="J1711" s="271"/>
      <c r="K1711" s="234"/>
      <c r="L1711" s="307"/>
      <c r="M1711" s="272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67"/>
      <c r="C1712" s="234"/>
      <c r="D1712" s="234"/>
      <c r="E1712" s="268"/>
      <c r="F1712" s="269"/>
      <c r="G1712" s="258"/>
      <c r="H1712" s="270"/>
      <c r="I1712" s="271"/>
      <c r="J1712" s="271"/>
      <c r="K1712" s="234"/>
      <c r="L1712" s="307"/>
      <c r="M1712" s="272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67"/>
      <c r="C1713" s="234"/>
      <c r="D1713" s="234"/>
      <c r="E1713" s="268"/>
      <c r="F1713" s="269"/>
      <c r="G1713" s="258"/>
      <c r="H1713" s="270"/>
      <c r="I1713" s="271"/>
      <c r="J1713" s="271"/>
      <c r="K1713" s="234"/>
      <c r="L1713" s="307"/>
      <c r="M1713" s="272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67"/>
      <c r="C1714" s="234"/>
      <c r="D1714" s="234"/>
      <c r="E1714" s="268"/>
      <c r="F1714" s="269"/>
      <c r="G1714" s="258"/>
      <c r="H1714" s="270"/>
      <c r="I1714" s="271"/>
      <c r="J1714" s="271"/>
      <c r="K1714" s="234"/>
      <c r="L1714" s="307"/>
      <c r="M1714" s="272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67"/>
      <c r="C1715" s="234"/>
      <c r="D1715" s="234"/>
      <c r="E1715" s="268"/>
      <c r="F1715" s="269"/>
      <c r="G1715" s="258"/>
      <c r="H1715" s="270"/>
      <c r="I1715" s="271"/>
      <c r="J1715" s="271"/>
      <c r="K1715" s="234"/>
      <c r="L1715" s="307"/>
      <c r="M1715" s="272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67"/>
      <c r="C1716" s="234"/>
      <c r="D1716" s="234"/>
      <c r="E1716" s="268"/>
      <c r="F1716" s="269"/>
      <c r="G1716" s="258"/>
      <c r="H1716" s="270"/>
      <c r="I1716" s="271"/>
      <c r="J1716" s="271"/>
      <c r="K1716" s="234"/>
      <c r="L1716" s="307"/>
      <c r="M1716" s="272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67"/>
      <c r="C1717" s="234"/>
      <c r="D1717" s="234"/>
      <c r="E1717" s="268"/>
      <c r="F1717" s="269"/>
      <c r="G1717" s="258"/>
      <c r="H1717" s="270"/>
      <c r="I1717" s="271"/>
      <c r="J1717" s="271"/>
      <c r="K1717" s="234"/>
      <c r="L1717" s="307"/>
      <c r="M1717" s="272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67"/>
      <c r="C1718" s="234"/>
      <c r="D1718" s="234"/>
      <c r="E1718" s="268"/>
      <c r="F1718" s="269"/>
      <c r="G1718" s="258"/>
      <c r="H1718" s="270"/>
      <c r="I1718" s="271"/>
      <c r="J1718" s="271"/>
      <c r="K1718" s="234"/>
      <c r="L1718" s="307"/>
      <c r="M1718" s="272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67"/>
      <c r="C1719" s="234"/>
      <c r="D1719" s="234"/>
      <c r="E1719" s="268"/>
      <c r="F1719" s="269"/>
      <c r="G1719" s="258"/>
      <c r="H1719" s="270"/>
      <c r="I1719" s="271"/>
      <c r="J1719" s="271"/>
      <c r="K1719" s="234"/>
      <c r="L1719" s="307"/>
      <c r="M1719" s="272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67"/>
      <c r="C1720" s="234"/>
      <c r="D1720" s="234"/>
      <c r="E1720" s="268"/>
      <c r="F1720" s="269"/>
      <c r="G1720" s="258"/>
      <c r="H1720" s="270"/>
      <c r="I1720" s="271"/>
      <c r="J1720" s="271"/>
      <c r="K1720" s="234"/>
      <c r="L1720" s="307"/>
      <c r="M1720" s="272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67"/>
      <c r="C1721" s="234"/>
      <c r="D1721" s="234"/>
      <c r="E1721" s="268"/>
      <c r="F1721" s="269"/>
      <c r="G1721" s="258"/>
      <c r="H1721" s="270"/>
      <c r="I1721" s="271"/>
      <c r="J1721" s="271"/>
      <c r="K1721" s="234"/>
      <c r="L1721" s="307"/>
      <c r="M1721" s="272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67"/>
      <c r="C1722" s="234"/>
      <c r="D1722" s="234"/>
      <c r="E1722" s="268"/>
      <c r="F1722" s="269"/>
      <c r="G1722" s="258"/>
      <c r="H1722" s="270"/>
      <c r="I1722" s="271"/>
      <c r="J1722" s="271"/>
      <c r="K1722" s="234"/>
      <c r="L1722" s="307"/>
      <c r="M1722" s="272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67"/>
      <c r="C1723" s="234"/>
      <c r="D1723" s="234"/>
      <c r="E1723" s="268"/>
      <c r="F1723" s="269"/>
      <c r="G1723" s="258"/>
      <c r="H1723" s="270"/>
      <c r="I1723" s="271"/>
      <c r="J1723" s="271"/>
      <c r="K1723" s="234"/>
      <c r="L1723" s="307"/>
      <c r="M1723" s="272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67"/>
      <c r="C1724" s="234"/>
      <c r="D1724" s="234"/>
      <c r="E1724" s="268"/>
      <c r="F1724" s="269"/>
      <c r="G1724" s="258"/>
      <c r="H1724" s="270"/>
      <c r="I1724" s="271"/>
      <c r="J1724" s="271"/>
      <c r="K1724" s="234"/>
      <c r="L1724" s="307"/>
      <c r="M1724" s="272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67"/>
      <c r="C1725" s="234"/>
      <c r="D1725" s="234"/>
      <c r="E1725" s="268"/>
      <c r="F1725" s="269"/>
      <c r="G1725" s="258"/>
      <c r="H1725" s="270"/>
      <c r="I1725" s="271"/>
      <c r="J1725" s="271"/>
      <c r="K1725" s="234"/>
      <c r="L1725" s="307"/>
      <c r="M1725" s="272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67"/>
      <c r="C1726" s="234"/>
      <c r="D1726" s="234"/>
      <c r="E1726" s="268"/>
      <c r="F1726" s="269"/>
      <c r="G1726" s="258"/>
      <c r="H1726" s="270"/>
      <c r="I1726" s="271"/>
      <c r="J1726" s="271"/>
      <c r="K1726" s="234"/>
      <c r="L1726" s="307"/>
      <c r="M1726" s="272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67"/>
      <c r="C1727" s="234"/>
      <c r="D1727" s="234"/>
      <c r="E1727" s="268"/>
      <c r="F1727" s="269"/>
      <c r="G1727" s="258"/>
      <c r="H1727" s="270"/>
      <c r="I1727" s="271"/>
      <c r="J1727" s="271"/>
      <c r="K1727" s="234"/>
      <c r="L1727" s="307"/>
      <c r="M1727" s="272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67"/>
      <c r="C1728" s="234"/>
      <c r="D1728" s="234"/>
      <c r="E1728" s="268"/>
      <c r="F1728" s="269"/>
      <c r="G1728" s="258"/>
      <c r="H1728" s="270"/>
      <c r="I1728" s="271"/>
      <c r="J1728" s="271"/>
      <c r="K1728" s="234"/>
      <c r="L1728" s="307"/>
      <c r="M1728" s="272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67"/>
      <c r="C1729" s="234"/>
      <c r="D1729" s="234"/>
      <c r="E1729" s="268"/>
      <c r="F1729" s="269"/>
      <c r="G1729" s="258"/>
      <c r="H1729" s="270"/>
      <c r="I1729" s="271"/>
      <c r="J1729" s="271"/>
      <c r="K1729" s="234"/>
      <c r="L1729" s="307"/>
      <c r="M1729" s="272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67"/>
      <c r="C1730" s="234"/>
      <c r="D1730" s="234"/>
      <c r="E1730" s="268"/>
      <c r="F1730" s="269"/>
      <c r="G1730" s="258"/>
      <c r="H1730" s="270"/>
      <c r="I1730" s="271"/>
      <c r="J1730" s="271"/>
      <c r="K1730" s="234"/>
      <c r="L1730" s="307"/>
      <c r="M1730" s="272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67"/>
      <c r="C1731" s="234"/>
      <c r="D1731" s="234"/>
      <c r="E1731" s="268"/>
      <c r="F1731" s="269"/>
      <c r="G1731" s="258"/>
      <c r="H1731" s="270"/>
      <c r="I1731" s="271"/>
      <c r="J1731" s="271"/>
      <c r="K1731" s="234"/>
      <c r="L1731" s="307"/>
      <c r="M1731" s="272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67"/>
      <c r="C1732" s="234"/>
      <c r="D1732" s="234"/>
      <c r="E1732" s="268"/>
      <c r="F1732" s="269"/>
      <c r="G1732" s="258"/>
      <c r="H1732" s="270"/>
      <c r="I1732" s="271"/>
      <c r="J1732" s="271"/>
      <c r="K1732" s="234"/>
      <c r="L1732" s="307"/>
      <c r="M1732" s="272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67"/>
      <c r="C1733" s="234"/>
      <c r="D1733" s="234"/>
      <c r="E1733" s="268"/>
      <c r="F1733" s="269"/>
      <c r="G1733" s="258"/>
      <c r="H1733" s="270"/>
      <c r="I1733" s="271"/>
      <c r="J1733" s="271"/>
      <c r="K1733" s="234"/>
      <c r="L1733" s="307"/>
      <c r="M1733" s="272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67"/>
      <c r="C1734" s="234"/>
      <c r="D1734" s="234"/>
      <c r="E1734" s="268"/>
      <c r="F1734" s="269"/>
      <c r="G1734" s="258"/>
      <c r="H1734" s="270"/>
      <c r="I1734" s="271"/>
      <c r="J1734" s="271"/>
      <c r="K1734" s="234"/>
      <c r="L1734" s="307"/>
      <c r="M1734" s="272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67"/>
      <c r="C1735" s="234"/>
      <c r="D1735" s="234"/>
      <c r="E1735" s="268"/>
      <c r="F1735" s="269"/>
      <c r="G1735" s="258"/>
      <c r="H1735" s="270"/>
      <c r="I1735" s="271"/>
      <c r="J1735" s="271"/>
      <c r="K1735" s="234"/>
      <c r="L1735" s="307"/>
      <c r="M1735" s="272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67"/>
      <c r="C1736" s="234"/>
      <c r="D1736" s="234"/>
      <c r="E1736" s="268"/>
      <c r="F1736" s="269"/>
      <c r="G1736" s="258"/>
      <c r="H1736" s="270"/>
      <c r="I1736" s="271"/>
      <c r="J1736" s="271"/>
      <c r="K1736" s="234"/>
      <c r="L1736" s="307"/>
      <c r="M1736" s="272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67"/>
      <c r="C1737" s="234"/>
      <c r="D1737" s="234"/>
      <c r="E1737" s="268"/>
      <c r="F1737" s="269"/>
      <c r="G1737" s="258"/>
      <c r="H1737" s="270"/>
      <c r="I1737" s="271"/>
      <c r="J1737" s="271"/>
      <c r="K1737" s="234"/>
      <c r="L1737" s="307"/>
      <c r="M1737" s="272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67"/>
      <c r="C1738" s="234"/>
      <c r="D1738" s="234"/>
      <c r="E1738" s="268"/>
      <c r="F1738" s="269"/>
      <c r="G1738" s="258"/>
      <c r="H1738" s="270"/>
      <c r="I1738" s="271"/>
      <c r="J1738" s="271"/>
      <c r="K1738" s="234"/>
      <c r="L1738" s="307"/>
      <c r="M1738" s="272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67"/>
      <c r="C1739" s="234"/>
      <c r="D1739" s="234"/>
      <c r="E1739" s="268"/>
      <c r="F1739" s="269"/>
      <c r="G1739" s="258"/>
      <c r="H1739" s="270"/>
      <c r="I1739" s="271"/>
      <c r="J1739" s="271"/>
      <c r="K1739" s="234"/>
      <c r="L1739" s="307"/>
      <c r="M1739" s="272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67"/>
      <c r="C1740" s="234"/>
      <c r="D1740" s="234"/>
      <c r="E1740" s="268"/>
      <c r="F1740" s="269"/>
      <c r="G1740" s="258"/>
      <c r="H1740" s="270"/>
      <c r="I1740" s="271"/>
      <c r="J1740" s="271"/>
      <c r="K1740" s="234"/>
      <c r="L1740" s="307"/>
      <c r="M1740" s="272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67"/>
      <c r="C1741" s="234"/>
      <c r="D1741" s="234"/>
      <c r="E1741" s="268"/>
      <c r="F1741" s="269"/>
      <c r="G1741" s="258"/>
      <c r="H1741" s="270"/>
      <c r="I1741" s="271"/>
      <c r="J1741" s="271"/>
      <c r="K1741" s="234"/>
      <c r="L1741" s="307"/>
      <c r="M1741" s="272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67"/>
      <c r="C1742" s="234"/>
      <c r="D1742" s="234"/>
      <c r="E1742" s="268"/>
      <c r="F1742" s="269"/>
      <c r="G1742" s="258"/>
      <c r="H1742" s="270"/>
      <c r="I1742" s="271"/>
      <c r="J1742" s="271"/>
      <c r="K1742" s="234"/>
      <c r="L1742" s="307"/>
      <c r="M1742" s="272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67"/>
      <c r="C1743" s="234"/>
      <c r="D1743" s="234"/>
      <c r="E1743" s="268"/>
      <c r="F1743" s="269"/>
      <c r="G1743" s="258"/>
      <c r="H1743" s="270"/>
      <c r="I1743" s="271"/>
      <c r="J1743" s="271"/>
      <c r="K1743" s="234"/>
      <c r="L1743" s="307"/>
      <c r="M1743" s="272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67"/>
      <c r="C1744" s="234"/>
      <c r="D1744" s="234"/>
      <c r="E1744" s="268"/>
      <c r="F1744" s="269"/>
      <c r="G1744" s="258"/>
      <c r="H1744" s="270"/>
      <c r="I1744" s="271"/>
      <c r="J1744" s="271"/>
      <c r="K1744" s="234"/>
      <c r="L1744" s="307"/>
      <c r="M1744" s="272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67"/>
      <c r="C1745" s="234"/>
      <c r="D1745" s="234"/>
      <c r="E1745" s="268"/>
      <c r="F1745" s="269"/>
      <c r="G1745" s="258"/>
      <c r="H1745" s="270"/>
      <c r="I1745" s="271"/>
      <c r="J1745" s="271"/>
      <c r="K1745" s="234"/>
      <c r="L1745" s="307"/>
      <c r="M1745" s="272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67"/>
      <c r="C1746" s="234"/>
      <c r="D1746" s="234"/>
      <c r="E1746" s="268"/>
      <c r="F1746" s="269"/>
      <c r="G1746" s="258"/>
      <c r="H1746" s="270"/>
      <c r="I1746" s="271"/>
      <c r="J1746" s="271"/>
      <c r="K1746" s="234"/>
      <c r="L1746" s="307"/>
      <c r="M1746" s="272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67"/>
      <c r="C1747" s="234"/>
      <c r="D1747" s="234"/>
      <c r="E1747" s="268"/>
      <c r="F1747" s="269"/>
      <c r="G1747" s="258"/>
      <c r="H1747" s="270"/>
      <c r="I1747" s="271"/>
      <c r="J1747" s="271"/>
      <c r="K1747" s="234"/>
      <c r="L1747" s="307"/>
      <c r="M1747" s="272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67"/>
      <c r="C1748" s="234"/>
      <c r="D1748" s="234"/>
      <c r="E1748" s="268"/>
      <c r="F1748" s="269"/>
      <c r="G1748" s="258"/>
      <c r="H1748" s="270"/>
      <c r="I1748" s="271"/>
      <c r="J1748" s="271"/>
      <c r="K1748" s="234"/>
      <c r="L1748" s="307"/>
      <c r="M1748" s="272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67"/>
      <c r="C1749" s="234"/>
      <c r="D1749" s="234"/>
      <c r="E1749" s="268"/>
      <c r="F1749" s="269"/>
      <c r="G1749" s="258"/>
      <c r="H1749" s="270"/>
      <c r="I1749" s="271"/>
      <c r="J1749" s="271"/>
      <c r="K1749" s="234"/>
      <c r="L1749" s="307"/>
      <c r="M1749" s="272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67"/>
      <c r="C1750" s="234"/>
      <c r="D1750" s="234"/>
      <c r="E1750" s="268"/>
      <c r="F1750" s="269"/>
      <c r="G1750" s="258"/>
      <c r="H1750" s="270"/>
      <c r="I1750" s="271"/>
      <c r="J1750" s="271"/>
      <c r="K1750" s="234"/>
      <c r="L1750" s="307"/>
      <c r="M1750" s="272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67"/>
      <c r="C1751" s="234"/>
      <c r="D1751" s="234"/>
      <c r="E1751" s="268"/>
      <c r="F1751" s="269"/>
      <c r="G1751" s="258"/>
      <c r="H1751" s="270"/>
      <c r="I1751" s="271"/>
      <c r="J1751" s="271"/>
      <c r="K1751" s="234"/>
      <c r="L1751" s="307"/>
      <c r="M1751" s="272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67"/>
      <c r="C1752" s="234"/>
      <c r="D1752" s="234"/>
      <c r="E1752" s="268"/>
      <c r="F1752" s="269"/>
      <c r="G1752" s="258"/>
      <c r="H1752" s="270"/>
      <c r="I1752" s="271"/>
      <c r="J1752" s="271"/>
      <c r="K1752" s="234"/>
      <c r="L1752" s="307"/>
      <c r="M1752" s="272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67"/>
      <c r="C1753" s="234"/>
      <c r="D1753" s="234"/>
      <c r="E1753" s="268"/>
      <c r="F1753" s="269"/>
      <c r="G1753" s="258"/>
      <c r="H1753" s="270"/>
      <c r="I1753" s="271"/>
      <c r="J1753" s="271"/>
      <c r="K1753" s="234"/>
      <c r="L1753" s="307"/>
      <c r="M1753" s="272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67"/>
      <c r="C1754" s="234"/>
      <c r="D1754" s="234"/>
      <c r="E1754" s="268"/>
      <c r="F1754" s="269"/>
      <c r="G1754" s="258"/>
      <c r="H1754" s="270"/>
      <c r="I1754" s="271"/>
      <c r="J1754" s="271"/>
      <c r="K1754" s="234"/>
      <c r="L1754" s="307"/>
      <c r="M1754" s="272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67"/>
      <c r="C1755" s="234"/>
      <c r="D1755" s="234"/>
      <c r="E1755" s="268"/>
      <c r="F1755" s="269"/>
      <c r="G1755" s="258"/>
      <c r="H1755" s="270"/>
      <c r="I1755" s="271"/>
      <c r="J1755" s="271"/>
      <c r="K1755" s="234"/>
      <c r="L1755" s="307"/>
      <c r="M1755" s="272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67"/>
      <c r="C1756" s="234"/>
      <c r="D1756" s="234"/>
      <c r="E1756" s="268"/>
      <c r="F1756" s="269"/>
      <c r="G1756" s="258"/>
      <c r="H1756" s="270"/>
      <c r="I1756" s="271"/>
      <c r="J1756" s="271"/>
      <c r="K1756" s="234"/>
      <c r="L1756" s="307"/>
      <c r="M1756" s="272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67"/>
      <c r="C1757" s="234"/>
      <c r="D1757" s="234"/>
      <c r="E1757" s="268"/>
      <c r="F1757" s="269"/>
      <c r="G1757" s="258"/>
      <c r="H1757" s="270"/>
      <c r="I1757" s="271"/>
      <c r="J1757" s="271"/>
      <c r="K1757" s="234"/>
      <c r="L1757" s="307"/>
      <c r="M1757" s="272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67"/>
      <c r="C1758" s="234"/>
      <c r="D1758" s="234"/>
      <c r="E1758" s="268"/>
      <c r="F1758" s="269"/>
      <c r="G1758" s="258"/>
      <c r="H1758" s="270"/>
      <c r="I1758" s="271"/>
      <c r="J1758" s="271"/>
      <c r="K1758" s="234"/>
      <c r="L1758" s="307"/>
      <c r="M1758" s="272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67"/>
      <c r="C1759" s="234"/>
      <c r="D1759" s="234"/>
      <c r="E1759" s="268"/>
      <c r="F1759" s="269"/>
      <c r="G1759" s="258"/>
      <c r="H1759" s="270"/>
      <c r="I1759" s="271"/>
      <c r="J1759" s="271"/>
      <c r="K1759" s="234"/>
      <c r="L1759" s="307"/>
      <c r="M1759" s="272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67"/>
      <c r="C1760" s="234"/>
      <c r="D1760" s="234"/>
      <c r="E1760" s="268"/>
      <c r="F1760" s="269"/>
      <c r="G1760" s="258"/>
      <c r="H1760" s="270"/>
      <c r="I1760" s="271"/>
      <c r="J1760" s="271"/>
      <c r="K1760" s="234"/>
      <c r="L1760" s="307"/>
      <c r="M1760" s="272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67"/>
      <c r="C1761" s="234"/>
      <c r="D1761" s="234"/>
      <c r="E1761" s="268"/>
      <c r="F1761" s="269"/>
      <c r="G1761" s="258"/>
      <c r="H1761" s="270"/>
      <c r="I1761" s="271"/>
      <c r="J1761" s="271"/>
      <c r="K1761" s="234"/>
      <c r="L1761" s="307"/>
      <c r="M1761" s="272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67"/>
      <c r="C1762" s="234"/>
      <c r="D1762" s="234"/>
      <c r="E1762" s="268"/>
      <c r="F1762" s="269"/>
      <c r="G1762" s="258"/>
      <c r="H1762" s="270"/>
      <c r="I1762" s="271"/>
      <c r="J1762" s="271"/>
      <c r="K1762" s="234"/>
      <c r="L1762" s="307"/>
      <c r="M1762" s="272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67"/>
      <c r="C1763" s="234"/>
      <c r="D1763" s="234"/>
      <c r="E1763" s="268"/>
      <c r="F1763" s="269"/>
      <c r="G1763" s="258"/>
      <c r="H1763" s="270"/>
      <c r="I1763" s="271"/>
      <c r="J1763" s="271"/>
      <c r="K1763" s="234"/>
      <c r="L1763" s="307"/>
      <c r="M1763" s="272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67"/>
      <c r="C1764" s="234"/>
      <c r="D1764" s="234"/>
      <c r="E1764" s="268"/>
      <c r="F1764" s="269"/>
      <c r="G1764" s="258"/>
      <c r="H1764" s="270"/>
      <c r="I1764" s="271"/>
      <c r="J1764" s="271"/>
      <c r="K1764" s="234"/>
      <c r="L1764" s="307"/>
      <c r="M1764" s="272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67"/>
      <c r="C1765" s="234"/>
      <c r="D1765" s="234"/>
      <c r="E1765" s="268"/>
      <c r="F1765" s="269"/>
      <c r="G1765" s="258"/>
      <c r="H1765" s="270"/>
      <c r="I1765" s="271"/>
      <c r="J1765" s="271"/>
      <c r="K1765" s="234"/>
      <c r="L1765" s="307"/>
      <c r="M1765" s="272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67"/>
      <c r="C1766" s="234"/>
      <c r="D1766" s="234"/>
      <c r="E1766" s="268"/>
      <c r="F1766" s="269"/>
      <c r="G1766" s="258"/>
      <c r="H1766" s="270"/>
      <c r="I1766" s="271"/>
      <c r="J1766" s="271"/>
      <c r="K1766" s="234"/>
      <c r="L1766" s="307"/>
      <c r="M1766" s="272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67"/>
      <c r="C1767" s="234"/>
      <c r="D1767" s="234"/>
      <c r="E1767" s="268"/>
      <c r="F1767" s="269"/>
      <c r="G1767" s="258"/>
      <c r="H1767" s="270"/>
      <c r="I1767" s="271"/>
      <c r="J1767" s="271"/>
      <c r="K1767" s="234"/>
      <c r="L1767" s="307"/>
      <c r="M1767" s="272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67"/>
      <c r="C1768" s="234"/>
      <c r="D1768" s="234"/>
      <c r="E1768" s="268"/>
      <c r="F1768" s="269"/>
      <c r="G1768" s="258"/>
      <c r="H1768" s="270"/>
      <c r="I1768" s="271"/>
      <c r="J1768" s="271"/>
      <c r="K1768" s="234"/>
      <c r="L1768" s="307"/>
      <c r="M1768" s="272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67"/>
      <c r="C1769" s="234"/>
      <c r="D1769" s="234"/>
      <c r="E1769" s="268"/>
      <c r="F1769" s="269"/>
      <c r="G1769" s="258"/>
      <c r="H1769" s="270"/>
      <c r="I1769" s="271"/>
      <c r="J1769" s="271"/>
      <c r="K1769" s="234"/>
      <c r="L1769" s="307"/>
      <c r="M1769" s="272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67"/>
      <c r="C1770" s="234"/>
      <c r="D1770" s="234"/>
      <c r="E1770" s="268"/>
      <c r="F1770" s="269"/>
      <c r="G1770" s="258"/>
      <c r="H1770" s="270"/>
      <c r="I1770" s="271"/>
      <c r="J1770" s="271"/>
      <c r="K1770" s="234"/>
      <c r="L1770" s="307"/>
      <c r="M1770" s="272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67"/>
      <c r="C1771" s="234"/>
      <c r="D1771" s="234"/>
      <c r="E1771" s="268"/>
      <c r="F1771" s="269"/>
      <c r="G1771" s="258"/>
      <c r="H1771" s="270"/>
      <c r="I1771" s="271"/>
      <c r="J1771" s="271"/>
      <c r="K1771" s="234"/>
      <c r="L1771" s="307"/>
      <c r="M1771" s="272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67"/>
      <c r="C1772" s="234"/>
      <c r="D1772" s="234"/>
      <c r="E1772" s="268"/>
      <c r="F1772" s="269"/>
      <c r="G1772" s="258"/>
      <c r="H1772" s="270"/>
      <c r="I1772" s="271"/>
      <c r="J1772" s="271"/>
      <c r="K1772" s="234"/>
      <c r="L1772" s="307"/>
      <c r="M1772" s="272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67"/>
      <c r="C1773" s="234"/>
      <c r="D1773" s="234"/>
      <c r="E1773" s="268"/>
      <c r="F1773" s="269"/>
      <c r="G1773" s="258"/>
      <c r="H1773" s="270"/>
      <c r="I1773" s="271"/>
      <c r="J1773" s="271"/>
      <c r="K1773" s="234"/>
      <c r="L1773" s="307"/>
      <c r="M1773" s="272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67"/>
      <c r="C1774" s="234"/>
      <c r="D1774" s="234"/>
      <c r="E1774" s="268"/>
      <c r="F1774" s="269"/>
      <c r="G1774" s="258"/>
      <c r="H1774" s="270"/>
      <c r="I1774" s="271"/>
      <c r="J1774" s="271"/>
      <c r="K1774" s="234"/>
      <c r="L1774" s="307"/>
      <c r="M1774" s="272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67"/>
      <c r="C1775" s="234"/>
      <c r="D1775" s="234"/>
      <c r="E1775" s="268"/>
      <c r="F1775" s="269"/>
      <c r="G1775" s="258"/>
      <c r="H1775" s="270"/>
      <c r="I1775" s="271"/>
      <c r="J1775" s="271"/>
      <c r="K1775" s="234"/>
      <c r="L1775" s="307"/>
      <c r="M1775" s="272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67"/>
      <c r="C1776" s="234"/>
      <c r="D1776" s="234"/>
      <c r="E1776" s="268"/>
      <c r="F1776" s="269"/>
      <c r="G1776" s="258"/>
      <c r="H1776" s="270"/>
      <c r="I1776" s="271"/>
      <c r="J1776" s="271"/>
      <c r="K1776" s="234"/>
      <c r="L1776" s="307"/>
      <c r="M1776" s="272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67"/>
      <c r="C1777" s="234"/>
      <c r="D1777" s="234"/>
      <c r="E1777" s="268"/>
      <c r="F1777" s="269"/>
      <c r="G1777" s="258"/>
      <c r="H1777" s="270"/>
      <c r="I1777" s="271"/>
      <c r="J1777" s="271"/>
      <c r="K1777" s="234"/>
      <c r="L1777" s="307"/>
      <c r="M1777" s="272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67"/>
      <c r="C1778" s="234"/>
      <c r="D1778" s="234"/>
      <c r="E1778" s="268"/>
      <c r="F1778" s="269"/>
      <c r="G1778" s="258"/>
      <c r="H1778" s="270"/>
      <c r="I1778" s="271"/>
      <c r="J1778" s="271"/>
      <c r="K1778" s="234"/>
      <c r="L1778" s="307"/>
      <c r="M1778" s="272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67"/>
      <c r="C1779" s="234"/>
      <c r="D1779" s="234"/>
      <c r="E1779" s="268"/>
      <c r="F1779" s="269"/>
      <c r="G1779" s="258"/>
      <c r="H1779" s="270"/>
      <c r="I1779" s="271"/>
      <c r="J1779" s="271"/>
      <c r="K1779" s="234"/>
      <c r="L1779" s="307"/>
      <c r="M1779" s="272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67"/>
      <c r="C1780" s="234"/>
      <c r="D1780" s="234"/>
      <c r="E1780" s="268"/>
      <c r="F1780" s="269"/>
      <c r="G1780" s="258"/>
      <c r="H1780" s="270"/>
      <c r="I1780" s="271"/>
      <c r="J1780" s="271"/>
      <c r="K1780" s="234"/>
      <c r="L1780" s="307"/>
      <c r="M1780" s="272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67"/>
      <c r="C1781" s="234"/>
      <c r="D1781" s="234"/>
      <c r="E1781" s="268"/>
      <c r="F1781" s="269"/>
      <c r="G1781" s="258"/>
      <c r="H1781" s="270"/>
      <c r="I1781" s="271"/>
      <c r="J1781" s="271"/>
      <c r="K1781" s="234"/>
      <c r="L1781" s="307"/>
      <c r="M1781" s="272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67"/>
      <c r="C1782" s="234"/>
      <c r="D1782" s="234"/>
      <c r="E1782" s="268"/>
      <c r="F1782" s="269"/>
      <c r="G1782" s="258"/>
      <c r="H1782" s="270"/>
      <c r="I1782" s="271"/>
      <c r="J1782" s="271"/>
      <c r="K1782" s="234"/>
      <c r="L1782" s="307"/>
      <c r="M1782" s="272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67"/>
      <c r="C1783" s="234"/>
      <c r="D1783" s="234"/>
      <c r="E1783" s="268"/>
      <c r="F1783" s="269"/>
      <c r="G1783" s="258"/>
      <c r="H1783" s="270"/>
      <c r="I1783" s="271"/>
      <c r="J1783" s="271"/>
      <c r="K1783" s="234"/>
      <c r="L1783" s="307"/>
      <c r="M1783" s="272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67"/>
      <c r="C1784" s="234"/>
      <c r="D1784" s="234"/>
      <c r="E1784" s="268"/>
      <c r="F1784" s="269"/>
      <c r="G1784" s="258"/>
      <c r="H1784" s="270"/>
      <c r="I1784" s="271"/>
      <c r="J1784" s="271"/>
      <c r="K1784" s="234"/>
      <c r="L1784" s="307"/>
      <c r="M1784" s="272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67"/>
      <c r="C1785" s="234"/>
      <c r="D1785" s="234"/>
      <c r="E1785" s="268"/>
      <c r="F1785" s="269"/>
      <c r="G1785" s="258"/>
      <c r="H1785" s="270"/>
      <c r="I1785" s="271"/>
      <c r="J1785" s="271"/>
      <c r="K1785" s="234"/>
      <c r="L1785" s="307"/>
      <c r="M1785" s="272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67"/>
      <c r="C1786" s="234"/>
      <c r="D1786" s="234"/>
      <c r="E1786" s="268"/>
      <c r="F1786" s="269"/>
      <c r="G1786" s="258"/>
      <c r="H1786" s="270"/>
      <c r="I1786" s="271"/>
      <c r="J1786" s="271"/>
      <c r="K1786" s="234"/>
      <c r="L1786" s="307"/>
      <c r="M1786" s="272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67"/>
      <c r="C1787" s="234"/>
      <c r="D1787" s="234"/>
      <c r="E1787" s="268"/>
      <c r="F1787" s="269"/>
      <c r="G1787" s="258"/>
      <c r="H1787" s="270"/>
      <c r="I1787" s="271"/>
      <c r="J1787" s="271"/>
      <c r="K1787" s="234"/>
      <c r="L1787" s="307"/>
      <c r="M1787" s="272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67"/>
      <c r="C1788" s="234"/>
      <c r="D1788" s="234"/>
      <c r="E1788" s="268"/>
      <c r="F1788" s="269"/>
      <c r="G1788" s="258"/>
      <c r="H1788" s="270"/>
      <c r="I1788" s="271"/>
      <c r="J1788" s="271"/>
      <c r="K1788" s="234"/>
      <c r="L1788" s="307"/>
      <c r="M1788" s="272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67"/>
      <c r="C1789" s="234"/>
      <c r="D1789" s="234"/>
      <c r="E1789" s="268"/>
      <c r="F1789" s="269"/>
      <c r="G1789" s="258"/>
      <c r="H1789" s="270"/>
      <c r="I1789" s="271"/>
      <c r="J1789" s="271"/>
      <c r="K1789" s="234"/>
      <c r="L1789" s="307"/>
      <c r="M1789" s="272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67"/>
      <c r="C1790" s="234"/>
      <c r="D1790" s="234"/>
      <c r="E1790" s="268"/>
      <c r="F1790" s="269"/>
      <c r="G1790" s="258"/>
      <c r="H1790" s="270"/>
      <c r="I1790" s="271"/>
      <c r="J1790" s="271"/>
      <c r="K1790" s="234"/>
      <c r="L1790" s="307"/>
      <c r="M1790" s="272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67"/>
      <c r="C1791" s="234"/>
      <c r="D1791" s="234"/>
      <c r="E1791" s="268"/>
      <c r="F1791" s="269"/>
      <c r="G1791" s="258"/>
      <c r="H1791" s="270"/>
      <c r="I1791" s="271"/>
      <c r="J1791" s="271"/>
      <c r="K1791" s="234"/>
      <c r="L1791" s="307"/>
      <c r="M1791" s="272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67"/>
      <c r="C1792" s="234"/>
      <c r="D1792" s="234"/>
      <c r="E1792" s="268"/>
      <c r="F1792" s="269"/>
      <c r="G1792" s="258"/>
      <c r="H1792" s="270"/>
      <c r="I1792" s="271"/>
      <c r="J1792" s="271"/>
      <c r="K1792" s="234"/>
      <c r="L1792" s="307"/>
      <c r="M1792" s="272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67"/>
      <c r="C1793" s="234"/>
      <c r="D1793" s="234"/>
      <c r="E1793" s="268"/>
      <c r="F1793" s="269"/>
      <c r="G1793" s="258"/>
      <c r="H1793" s="270"/>
      <c r="I1793" s="271"/>
      <c r="J1793" s="271"/>
      <c r="K1793" s="234"/>
      <c r="L1793" s="307"/>
      <c r="M1793" s="272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67"/>
      <c r="C1794" s="234"/>
      <c r="D1794" s="234"/>
      <c r="E1794" s="268"/>
      <c r="F1794" s="269"/>
      <c r="G1794" s="258"/>
      <c r="H1794" s="270"/>
      <c r="I1794" s="271"/>
      <c r="J1794" s="271"/>
      <c r="K1794" s="234"/>
      <c r="L1794" s="307"/>
      <c r="M1794" s="272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67"/>
      <c r="C1795" s="234"/>
      <c r="D1795" s="234"/>
      <c r="E1795" s="268"/>
      <c r="F1795" s="269"/>
      <c r="G1795" s="258"/>
      <c r="H1795" s="270"/>
      <c r="I1795" s="271"/>
      <c r="J1795" s="271"/>
      <c r="K1795" s="234"/>
      <c r="L1795" s="307"/>
      <c r="M1795" s="272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67"/>
      <c r="C1796" s="234"/>
      <c r="D1796" s="234"/>
      <c r="E1796" s="268"/>
      <c r="F1796" s="269"/>
      <c r="G1796" s="258"/>
      <c r="H1796" s="270"/>
      <c r="I1796" s="271"/>
      <c r="J1796" s="271"/>
      <c r="K1796" s="234"/>
      <c r="L1796" s="307"/>
      <c r="M1796" s="272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67"/>
      <c r="C1797" s="234"/>
      <c r="D1797" s="234"/>
      <c r="E1797" s="268"/>
      <c r="F1797" s="269"/>
      <c r="G1797" s="258"/>
      <c r="H1797" s="270"/>
      <c r="I1797" s="271"/>
      <c r="J1797" s="271"/>
      <c r="K1797" s="234"/>
      <c r="L1797" s="307"/>
      <c r="M1797" s="272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67"/>
      <c r="C1798" s="234"/>
      <c r="D1798" s="234"/>
      <c r="E1798" s="268"/>
      <c r="F1798" s="269"/>
      <c r="G1798" s="258"/>
      <c r="H1798" s="270"/>
      <c r="I1798" s="271"/>
      <c r="J1798" s="271"/>
      <c r="K1798" s="234"/>
      <c r="L1798" s="307"/>
      <c r="M1798" s="272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67"/>
      <c r="C1799" s="234"/>
      <c r="D1799" s="234"/>
      <c r="E1799" s="268"/>
      <c r="F1799" s="269"/>
      <c r="G1799" s="258"/>
      <c r="H1799" s="270"/>
      <c r="I1799" s="271"/>
      <c r="J1799" s="271"/>
      <c r="K1799" s="234"/>
      <c r="L1799" s="307"/>
      <c r="M1799" s="272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67"/>
      <c r="C1800" s="234"/>
      <c r="D1800" s="234"/>
      <c r="E1800" s="268"/>
      <c r="F1800" s="269"/>
      <c r="G1800" s="258"/>
      <c r="H1800" s="270"/>
      <c r="I1800" s="271"/>
      <c r="J1800" s="271"/>
      <c r="K1800" s="234"/>
      <c r="L1800" s="307"/>
      <c r="M1800" s="272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67"/>
      <c r="C1801" s="234"/>
      <c r="D1801" s="234"/>
      <c r="E1801" s="268"/>
      <c r="F1801" s="269"/>
      <c r="G1801" s="258"/>
      <c r="H1801" s="270"/>
      <c r="I1801" s="271"/>
      <c r="J1801" s="271"/>
      <c r="K1801" s="234"/>
      <c r="L1801" s="307"/>
      <c r="M1801" s="272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67"/>
      <c r="C1802" s="234"/>
      <c r="D1802" s="234"/>
      <c r="E1802" s="268"/>
      <c r="F1802" s="269"/>
      <c r="G1802" s="258"/>
      <c r="H1802" s="270"/>
      <c r="I1802" s="271"/>
      <c r="J1802" s="271"/>
      <c r="K1802" s="234"/>
      <c r="L1802" s="307"/>
      <c r="M1802" s="272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67"/>
      <c r="C1803" s="234"/>
      <c r="D1803" s="234"/>
      <c r="E1803" s="268"/>
      <c r="F1803" s="269"/>
      <c r="G1803" s="258"/>
      <c r="H1803" s="270"/>
      <c r="I1803" s="271"/>
      <c r="J1803" s="271"/>
      <c r="K1803" s="234"/>
      <c r="L1803" s="307"/>
      <c r="M1803" s="272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67"/>
      <c r="C1804" s="234"/>
      <c r="D1804" s="234"/>
      <c r="E1804" s="268"/>
      <c r="F1804" s="269"/>
      <c r="G1804" s="258"/>
      <c r="H1804" s="270"/>
      <c r="I1804" s="271"/>
      <c r="J1804" s="271"/>
      <c r="K1804" s="234"/>
      <c r="L1804" s="307"/>
      <c r="M1804" s="272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67"/>
      <c r="C1805" s="234"/>
      <c r="D1805" s="234"/>
      <c r="E1805" s="268"/>
      <c r="F1805" s="269"/>
      <c r="G1805" s="258"/>
      <c r="H1805" s="270"/>
      <c r="I1805" s="271"/>
      <c r="J1805" s="271"/>
      <c r="K1805" s="234"/>
      <c r="L1805" s="307"/>
      <c r="M1805" s="272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67"/>
      <c r="C1806" s="234"/>
      <c r="D1806" s="234"/>
      <c r="E1806" s="268"/>
      <c r="F1806" s="269"/>
      <c r="G1806" s="258"/>
      <c r="H1806" s="270"/>
      <c r="I1806" s="271"/>
      <c r="J1806" s="271"/>
      <c r="K1806" s="234"/>
      <c r="L1806" s="307"/>
      <c r="M1806" s="272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67"/>
      <c r="C1807" s="234"/>
      <c r="D1807" s="234"/>
      <c r="E1807" s="268"/>
      <c r="F1807" s="269"/>
      <c r="G1807" s="258"/>
      <c r="H1807" s="270"/>
      <c r="I1807" s="271"/>
      <c r="J1807" s="271"/>
      <c r="K1807" s="234"/>
      <c r="L1807" s="307"/>
      <c r="M1807" s="272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67"/>
      <c r="C1808" s="234"/>
      <c r="D1808" s="234"/>
      <c r="E1808" s="268"/>
      <c r="F1808" s="269"/>
      <c r="G1808" s="258"/>
      <c r="H1808" s="270"/>
      <c r="I1808" s="271"/>
      <c r="J1808" s="271"/>
      <c r="K1808" s="234"/>
      <c r="L1808" s="307"/>
      <c r="M1808" s="272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67"/>
      <c r="C1809" s="234"/>
      <c r="D1809" s="234"/>
      <c r="E1809" s="268"/>
      <c r="F1809" s="269"/>
      <c r="G1809" s="258"/>
      <c r="H1809" s="270"/>
      <c r="I1809" s="271"/>
      <c r="J1809" s="271"/>
      <c r="K1809" s="234"/>
      <c r="L1809" s="307"/>
      <c r="M1809" s="272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67"/>
      <c r="C1810" s="234"/>
      <c r="D1810" s="234"/>
      <c r="E1810" s="268"/>
      <c r="F1810" s="269"/>
      <c r="G1810" s="258"/>
      <c r="H1810" s="270"/>
      <c r="I1810" s="271"/>
      <c r="J1810" s="271"/>
      <c r="K1810" s="234"/>
      <c r="L1810" s="307"/>
      <c r="M1810" s="272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67"/>
      <c r="C1811" s="234"/>
      <c r="D1811" s="234"/>
      <c r="E1811" s="268"/>
      <c r="F1811" s="269"/>
      <c r="G1811" s="258"/>
      <c r="H1811" s="270"/>
      <c r="I1811" s="271"/>
      <c r="J1811" s="271"/>
      <c r="K1811" s="234"/>
      <c r="L1811" s="307"/>
      <c r="M1811" s="272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67"/>
      <c r="C1812" s="234"/>
      <c r="D1812" s="234"/>
      <c r="E1812" s="268"/>
      <c r="F1812" s="269"/>
      <c r="G1812" s="258"/>
      <c r="H1812" s="270"/>
      <c r="I1812" s="271"/>
      <c r="J1812" s="271"/>
      <c r="K1812" s="234"/>
      <c r="L1812" s="307"/>
      <c r="M1812" s="272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67"/>
      <c r="C1813" s="234"/>
      <c r="D1813" s="234"/>
      <c r="E1813" s="268"/>
      <c r="F1813" s="269"/>
      <c r="G1813" s="258"/>
      <c r="H1813" s="270"/>
      <c r="I1813" s="271"/>
      <c r="J1813" s="271"/>
      <c r="K1813" s="234"/>
      <c r="L1813" s="307"/>
      <c r="M1813" s="272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67"/>
      <c r="C1814" s="234"/>
      <c r="D1814" s="234"/>
      <c r="E1814" s="268"/>
      <c r="F1814" s="269"/>
      <c r="G1814" s="258"/>
      <c r="H1814" s="270"/>
      <c r="I1814" s="271"/>
      <c r="J1814" s="271"/>
      <c r="K1814" s="234"/>
      <c r="L1814" s="307"/>
      <c r="M1814" s="272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67"/>
      <c r="C1815" s="234"/>
      <c r="D1815" s="234"/>
      <c r="E1815" s="268"/>
      <c r="F1815" s="269"/>
      <c r="G1815" s="258"/>
      <c r="H1815" s="270"/>
      <c r="I1815" s="271"/>
      <c r="J1815" s="271"/>
      <c r="K1815" s="234"/>
      <c r="L1815" s="307"/>
      <c r="M1815" s="272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67"/>
      <c r="C1816" s="234"/>
      <c r="D1816" s="234"/>
      <c r="E1816" s="268"/>
      <c r="F1816" s="269"/>
      <c r="G1816" s="258"/>
      <c r="H1816" s="270"/>
      <c r="I1816" s="271"/>
      <c r="J1816" s="271"/>
      <c r="K1816" s="234"/>
      <c r="L1816" s="307"/>
      <c r="M1816" s="272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67"/>
      <c r="C1817" s="234"/>
      <c r="D1817" s="234"/>
      <c r="E1817" s="268"/>
      <c r="F1817" s="269"/>
      <c r="G1817" s="258"/>
      <c r="H1817" s="270"/>
      <c r="I1817" s="271"/>
      <c r="J1817" s="271"/>
      <c r="K1817" s="234"/>
      <c r="L1817" s="307"/>
      <c r="M1817" s="272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67"/>
      <c r="C1818" s="234"/>
      <c r="D1818" s="234"/>
      <c r="E1818" s="268"/>
      <c r="F1818" s="269"/>
      <c r="G1818" s="258"/>
      <c r="H1818" s="270"/>
      <c r="I1818" s="271"/>
      <c r="J1818" s="271"/>
      <c r="K1818" s="234"/>
      <c r="L1818" s="307"/>
      <c r="M1818" s="272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67"/>
      <c r="C1819" s="234"/>
      <c r="D1819" s="234"/>
      <c r="E1819" s="268"/>
      <c r="F1819" s="269"/>
      <c r="G1819" s="258"/>
      <c r="H1819" s="270"/>
      <c r="I1819" s="271"/>
      <c r="J1819" s="271"/>
      <c r="K1819" s="234"/>
      <c r="L1819" s="307"/>
      <c r="M1819" s="272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67"/>
      <c r="C1820" s="234"/>
      <c r="D1820" s="234"/>
      <c r="E1820" s="268"/>
      <c r="F1820" s="269"/>
      <c r="G1820" s="258"/>
      <c r="H1820" s="270"/>
      <c r="I1820" s="271"/>
      <c r="J1820" s="271"/>
      <c r="K1820" s="234"/>
      <c r="L1820" s="307"/>
      <c r="M1820" s="272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67"/>
      <c r="C1821" s="234"/>
      <c r="D1821" s="234"/>
      <c r="E1821" s="268"/>
      <c r="F1821" s="269"/>
      <c r="G1821" s="258"/>
      <c r="H1821" s="270"/>
      <c r="I1821" s="271"/>
      <c r="J1821" s="271"/>
      <c r="K1821" s="234"/>
      <c r="L1821" s="307"/>
      <c r="M1821" s="272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67"/>
      <c r="C1822" s="234"/>
      <c r="D1822" s="234"/>
      <c r="E1822" s="268"/>
      <c r="F1822" s="269"/>
      <c r="G1822" s="258"/>
      <c r="H1822" s="270"/>
      <c r="I1822" s="271"/>
      <c r="J1822" s="271"/>
      <c r="K1822" s="234"/>
      <c r="L1822" s="307"/>
      <c r="M1822" s="272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67"/>
      <c r="C1823" s="234"/>
      <c r="D1823" s="234"/>
      <c r="E1823" s="268"/>
      <c r="F1823" s="269"/>
      <c r="G1823" s="258"/>
      <c r="H1823" s="270"/>
      <c r="I1823" s="271"/>
      <c r="J1823" s="271"/>
      <c r="K1823" s="234"/>
      <c r="L1823" s="307"/>
      <c r="M1823" s="272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67"/>
      <c r="C1824" s="234"/>
      <c r="D1824" s="234"/>
      <c r="E1824" s="268"/>
      <c r="F1824" s="269"/>
      <c r="G1824" s="258"/>
      <c r="H1824" s="270"/>
      <c r="I1824" s="271"/>
      <c r="J1824" s="271"/>
      <c r="K1824" s="234"/>
      <c r="L1824" s="307"/>
      <c r="M1824" s="272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67"/>
      <c r="C1825" s="234"/>
      <c r="D1825" s="234"/>
      <c r="E1825" s="268"/>
      <c r="F1825" s="269"/>
      <c r="G1825" s="258"/>
      <c r="H1825" s="270"/>
      <c r="I1825" s="271"/>
      <c r="J1825" s="271"/>
      <c r="K1825" s="234"/>
      <c r="L1825" s="307"/>
      <c r="M1825" s="272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67"/>
      <c r="C1826" s="234"/>
      <c r="D1826" s="234"/>
      <c r="E1826" s="268"/>
      <c r="F1826" s="269"/>
      <c r="G1826" s="258"/>
      <c r="H1826" s="270"/>
      <c r="I1826" s="271"/>
      <c r="J1826" s="271"/>
      <c r="K1826" s="234"/>
      <c r="L1826" s="307"/>
      <c r="M1826" s="272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67"/>
      <c r="C1827" s="234"/>
      <c r="D1827" s="234"/>
      <c r="E1827" s="268"/>
      <c r="F1827" s="269"/>
      <c r="G1827" s="258"/>
      <c r="H1827" s="270"/>
      <c r="I1827" s="271"/>
      <c r="J1827" s="271"/>
      <c r="K1827" s="234"/>
      <c r="L1827" s="307"/>
      <c r="M1827" s="272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67"/>
      <c r="C1828" s="234"/>
      <c r="D1828" s="234"/>
      <c r="E1828" s="268"/>
      <c r="F1828" s="269"/>
      <c r="G1828" s="258"/>
      <c r="H1828" s="270"/>
      <c r="I1828" s="271"/>
      <c r="J1828" s="271"/>
      <c r="K1828" s="234"/>
      <c r="L1828" s="307"/>
      <c r="M1828" s="272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67"/>
      <c r="C1829" s="234"/>
      <c r="D1829" s="234"/>
      <c r="E1829" s="268"/>
      <c r="F1829" s="269"/>
      <c r="G1829" s="258"/>
      <c r="H1829" s="270"/>
      <c r="I1829" s="271"/>
      <c r="J1829" s="271"/>
      <c r="K1829" s="234"/>
      <c r="L1829" s="307"/>
      <c r="M1829" s="272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67"/>
      <c r="C1830" s="234"/>
      <c r="D1830" s="234"/>
      <c r="E1830" s="268"/>
      <c r="F1830" s="269"/>
      <c r="G1830" s="258"/>
      <c r="H1830" s="270"/>
      <c r="I1830" s="271"/>
      <c r="J1830" s="271"/>
      <c r="K1830" s="234"/>
      <c r="L1830" s="307"/>
      <c r="M1830" s="272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67"/>
      <c r="C1831" s="234"/>
      <c r="D1831" s="234"/>
      <c r="E1831" s="268"/>
      <c r="F1831" s="269"/>
      <c r="G1831" s="258"/>
      <c r="H1831" s="270"/>
      <c r="I1831" s="271"/>
      <c r="J1831" s="271"/>
      <c r="K1831" s="234"/>
      <c r="L1831" s="307"/>
      <c r="M1831" s="272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67"/>
      <c r="C1832" s="234"/>
      <c r="D1832" s="234"/>
      <c r="E1832" s="268"/>
      <c r="F1832" s="269"/>
      <c r="G1832" s="258"/>
      <c r="H1832" s="270"/>
      <c r="I1832" s="271"/>
      <c r="J1832" s="271"/>
      <c r="K1832" s="234"/>
      <c r="L1832" s="307"/>
      <c r="M1832" s="272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67"/>
      <c r="C1833" s="234"/>
      <c r="D1833" s="234"/>
      <c r="E1833" s="268"/>
      <c r="F1833" s="269"/>
      <c r="G1833" s="258"/>
      <c r="H1833" s="270"/>
      <c r="I1833" s="271"/>
      <c r="J1833" s="271"/>
      <c r="K1833" s="234"/>
      <c r="L1833" s="307"/>
      <c r="M1833" s="272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67"/>
      <c r="C1834" s="234"/>
      <c r="D1834" s="234"/>
      <c r="E1834" s="268"/>
      <c r="F1834" s="269"/>
      <c r="G1834" s="258"/>
      <c r="H1834" s="270"/>
      <c r="I1834" s="271"/>
      <c r="J1834" s="271"/>
      <c r="K1834" s="234"/>
      <c r="L1834" s="307"/>
      <c r="M1834" s="272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67"/>
      <c r="C1835" s="234"/>
      <c r="D1835" s="234"/>
      <c r="E1835" s="268"/>
      <c r="F1835" s="269"/>
      <c r="G1835" s="258"/>
      <c r="H1835" s="270"/>
      <c r="I1835" s="271"/>
      <c r="J1835" s="271"/>
      <c r="K1835" s="234"/>
      <c r="L1835" s="307"/>
      <c r="M1835" s="272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67"/>
      <c r="C1836" s="234"/>
      <c r="D1836" s="234"/>
      <c r="E1836" s="268"/>
      <c r="F1836" s="269"/>
      <c r="G1836" s="258"/>
      <c r="H1836" s="270"/>
      <c r="I1836" s="271"/>
      <c r="J1836" s="271"/>
      <c r="K1836" s="234"/>
      <c r="L1836" s="307"/>
      <c r="M1836" s="272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67"/>
      <c r="C1837" s="234"/>
      <c r="D1837" s="234"/>
      <c r="E1837" s="268"/>
      <c r="F1837" s="269"/>
      <c r="G1837" s="258"/>
      <c r="H1837" s="270"/>
      <c r="I1837" s="271"/>
      <c r="J1837" s="271"/>
      <c r="K1837" s="234"/>
      <c r="L1837" s="307"/>
      <c r="M1837" s="272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67"/>
      <c r="C1838" s="234"/>
      <c r="D1838" s="234"/>
      <c r="E1838" s="268"/>
      <c r="F1838" s="269"/>
      <c r="G1838" s="258"/>
      <c r="H1838" s="270"/>
      <c r="I1838" s="271"/>
      <c r="J1838" s="271"/>
      <c r="K1838" s="234"/>
      <c r="L1838" s="307"/>
      <c r="M1838" s="272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67"/>
      <c r="C1839" s="234"/>
      <c r="D1839" s="234"/>
      <c r="E1839" s="268"/>
      <c r="F1839" s="269"/>
      <c r="G1839" s="258"/>
      <c r="H1839" s="270"/>
      <c r="I1839" s="271"/>
      <c r="J1839" s="271"/>
      <c r="K1839" s="234"/>
      <c r="L1839" s="307"/>
      <c r="M1839" s="272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67"/>
      <c r="C1840" s="234"/>
      <c r="D1840" s="234"/>
      <c r="E1840" s="268"/>
      <c r="F1840" s="269"/>
      <c r="G1840" s="258"/>
      <c r="H1840" s="270"/>
      <c r="I1840" s="271"/>
      <c r="J1840" s="271"/>
      <c r="K1840" s="234"/>
      <c r="L1840" s="307"/>
      <c r="M1840" s="272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67"/>
      <c r="C1841" s="234"/>
      <c r="D1841" s="234"/>
      <c r="E1841" s="268"/>
      <c r="F1841" s="269"/>
      <c r="G1841" s="258"/>
      <c r="H1841" s="270"/>
      <c r="I1841" s="271"/>
      <c r="J1841" s="271"/>
      <c r="K1841" s="234"/>
      <c r="L1841" s="307"/>
      <c r="M1841" s="272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67"/>
      <c r="C1842" s="234"/>
      <c r="D1842" s="234"/>
      <c r="E1842" s="268"/>
      <c r="F1842" s="269"/>
      <c r="G1842" s="258"/>
      <c r="H1842" s="270"/>
      <c r="I1842" s="271"/>
      <c r="J1842" s="271"/>
      <c r="K1842" s="234"/>
      <c r="L1842" s="307"/>
      <c r="M1842" s="272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67"/>
      <c r="C1843" s="234"/>
      <c r="D1843" s="234"/>
      <c r="E1843" s="268"/>
      <c r="F1843" s="269"/>
      <c r="G1843" s="258"/>
      <c r="H1843" s="270"/>
      <c r="I1843" s="271"/>
      <c r="J1843" s="271"/>
      <c r="K1843" s="234"/>
      <c r="L1843" s="307"/>
      <c r="M1843" s="272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67"/>
      <c r="C1844" s="234"/>
      <c r="D1844" s="234"/>
      <c r="E1844" s="268"/>
      <c r="F1844" s="269"/>
      <c r="G1844" s="258"/>
      <c r="H1844" s="270"/>
      <c r="I1844" s="271"/>
      <c r="J1844" s="271"/>
      <c r="K1844" s="234"/>
      <c r="L1844" s="307"/>
      <c r="M1844" s="272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67"/>
      <c r="C1845" s="234"/>
      <c r="D1845" s="234"/>
      <c r="E1845" s="268"/>
      <c r="F1845" s="269"/>
      <c r="G1845" s="258"/>
      <c r="H1845" s="270"/>
      <c r="I1845" s="271"/>
      <c r="J1845" s="271"/>
      <c r="K1845" s="234"/>
      <c r="L1845" s="307"/>
      <c r="M1845" s="272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67"/>
      <c r="C1846" s="234"/>
      <c r="D1846" s="234"/>
      <c r="E1846" s="268"/>
      <c r="F1846" s="269"/>
      <c r="G1846" s="258"/>
      <c r="H1846" s="270"/>
      <c r="I1846" s="271"/>
      <c r="J1846" s="271"/>
      <c r="K1846" s="234"/>
      <c r="L1846" s="307"/>
      <c r="M1846" s="272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67"/>
      <c r="C1847" s="234"/>
      <c r="D1847" s="234"/>
      <c r="E1847" s="268"/>
      <c r="F1847" s="269"/>
      <c r="G1847" s="258"/>
      <c r="H1847" s="270"/>
      <c r="I1847" s="271"/>
      <c r="J1847" s="271"/>
      <c r="K1847" s="234"/>
      <c r="L1847" s="307"/>
      <c r="M1847" s="272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67"/>
      <c r="C1848" s="234"/>
      <c r="D1848" s="234"/>
      <c r="E1848" s="268"/>
      <c r="F1848" s="269"/>
      <c r="G1848" s="258"/>
      <c r="H1848" s="270"/>
      <c r="I1848" s="271"/>
      <c r="J1848" s="271"/>
      <c r="K1848" s="234"/>
      <c r="L1848" s="307"/>
      <c r="M1848" s="272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67"/>
      <c r="C1849" s="234"/>
      <c r="D1849" s="234"/>
      <c r="E1849" s="268"/>
      <c r="F1849" s="269"/>
      <c r="G1849" s="258"/>
      <c r="H1849" s="270"/>
      <c r="I1849" s="271"/>
      <c r="J1849" s="271"/>
      <c r="K1849" s="234"/>
      <c r="L1849" s="307"/>
      <c r="M1849" s="272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67"/>
      <c r="C1850" s="234"/>
      <c r="D1850" s="234"/>
      <c r="E1850" s="268"/>
      <c r="F1850" s="269"/>
      <c r="G1850" s="258"/>
      <c r="H1850" s="270"/>
      <c r="I1850" s="271"/>
      <c r="J1850" s="271"/>
      <c r="K1850" s="234"/>
      <c r="L1850" s="307"/>
      <c r="M1850" s="272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67"/>
      <c r="C1851" s="234"/>
      <c r="D1851" s="234"/>
      <c r="E1851" s="268"/>
      <c r="F1851" s="269"/>
      <c r="G1851" s="258"/>
      <c r="H1851" s="270"/>
      <c r="I1851" s="271"/>
      <c r="J1851" s="271"/>
      <c r="K1851" s="234"/>
      <c r="L1851" s="307"/>
      <c r="M1851" s="272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67"/>
      <c r="C1852" s="234"/>
      <c r="D1852" s="234"/>
      <c r="E1852" s="268"/>
      <c r="F1852" s="269"/>
      <c r="G1852" s="258"/>
      <c r="H1852" s="270"/>
      <c r="I1852" s="271"/>
      <c r="J1852" s="271"/>
      <c r="K1852" s="234"/>
      <c r="L1852" s="307"/>
      <c r="M1852" s="272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67"/>
      <c r="C1853" s="234"/>
      <c r="D1853" s="234"/>
      <c r="E1853" s="268"/>
      <c r="F1853" s="269"/>
      <c r="G1853" s="258"/>
      <c r="H1853" s="270"/>
      <c r="I1853" s="271"/>
      <c r="J1853" s="271"/>
      <c r="K1853" s="234"/>
      <c r="L1853" s="307"/>
      <c r="M1853" s="272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67"/>
      <c r="C1854" s="234"/>
      <c r="D1854" s="234"/>
      <c r="E1854" s="268"/>
      <c r="F1854" s="269"/>
      <c r="G1854" s="258"/>
      <c r="H1854" s="270"/>
      <c r="I1854" s="271"/>
      <c r="J1854" s="271"/>
      <c r="K1854" s="234"/>
      <c r="L1854" s="307"/>
      <c r="M1854" s="272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67"/>
      <c r="C1855" s="234"/>
      <c r="D1855" s="234"/>
      <c r="E1855" s="268"/>
      <c r="F1855" s="269"/>
      <c r="G1855" s="258"/>
      <c r="H1855" s="270"/>
      <c r="I1855" s="271"/>
      <c r="J1855" s="271"/>
      <c r="K1855" s="234"/>
      <c r="L1855" s="307"/>
      <c r="M1855" s="272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67"/>
      <c r="C1856" s="234"/>
      <c r="D1856" s="234"/>
      <c r="E1856" s="268"/>
      <c r="F1856" s="269"/>
      <c r="G1856" s="258"/>
      <c r="H1856" s="270"/>
      <c r="I1856" s="271"/>
      <c r="J1856" s="271"/>
      <c r="K1856" s="234"/>
      <c r="L1856" s="307"/>
      <c r="M1856" s="272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67"/>
      <c r="C1857" s="234"/>
      <c r="D1857" s="234"/>
      <c r="E1857" s="268"/>
      <c r="F1857" s="269"/>
      <c r="G1857" s="258"/>
      <c r="H1857" s="270"/>
      <c r="I1857" s="271"/>
      <c r="J1857" s="271"/>
      <c r="K1857" s="234"/>
      <c r="L1857" s="307"/>
      <c r="M1857" s="272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67"/>
      <c r="C1858" s="234"/>
      <c r="D1858" s="234"/>
      <c r="E1858" s="268"/>
      <c r="F1858" s="269"/>
      <c r="G1858" s="258"/>
      <c r="H1858" s="270"/>
      <c r="I1858" s="271"/>
      <c r="J1858" s="271"/>
      <c r="K1858" s="234"/>
      <c r="L1858" s="307"/>
      <c r="M1858" s="272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67"/>
      <c r="C1859" s="234"/>
      <c r="D1859" s="234"/>
      <c r="E1859" s="268"/>
      <c r="F1859" s="269"/>
      <c r="G1859" s="258"/>
      <c r="H1859" s="270"/>
      <c r="I1859" s="271"/>
      <c r="J1859" s="271"/>
      <c r="K1859" s="234"/>
      <c r="L1859" s="307"/>
      <c r="M1859" s="272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67"/>
      <c r="C1860" s="234"/>
      <c r="D1860" s="234"/>
      <c r="E1860" s="268"/>
      <c r="F1860" s="269"/>
      <c r="G1860" s="258"/>
      <c r="H1860" s="270"/>
      <c r="I1860" s="271"/>
      <c r="J1860" s="271"/>
      <c r="K1860" s="234"/>
      <c r="L1860" s="307"/>
      <c r="M1860" s="272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67"/>
      <c r="C1861" s="234"/>
      <c r="D1861" s="234"/>
      <c r="E1861" s="268"/>
      <c r="F1861" s="269"/>
      <c r="G1861" s="258"/>
      <c r="H1861" s="270"/>
      <c r="I1861" s="271"/>
      <c r="J1861" s="271"/>
      <c r="K1861" s="234"/>
      <c r="L1861" s="307"/>
      <c r="M1861" s="272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67"/>
      <c r="C1862" s="234"/>
      <c r="D1862" s="234"/>
      <c r="E1862" s="268"/>
      <c r="F1862" s="269"/>
      <c r="G1862" s="258"/>
      <c r="H1862" s="270"/>
      <c r="I1862" s="271"/>
      <c r="J1862" s="271"/>
      <c r="K1862" s="234"/>
      <c r="L1862" s="307"/>
      <c r="M1862" s="272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67"/>
      <c r="C1863" s="234"/>
      <c r="D1863" s="234"/>
      <c r="E1863" s="268"/>
      <c r="F1863" s="269"/>
      <c r="G1863" s="258"/>
      <c r="H1863" s="270"/>
      <c r="I1863" s="271"/>
      <c r="J1863" s="271"/>
      <c r="K1863" s="234"/>
      <c r="L1863" s="307"/>
      <c r="M1863" s="272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67"/>
      <c r="C1864" s="234"/>
      <c r="D1864" s="234"/>
      <c r="E1864" s="268"/>
      <c r="F1864" s="269"/>
      <c r="G1864" s="258"/>
      <c r="H1864" s="270"/>
      <c r="I1864" s="271"/>
      <c r="J1864" s="271"/>
      <c r="K1864" s="234"/>
      <c r="L1864" s="307"/>
      <c r="M1864" s="272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67"/>
      <c r="C1865" s="234"/>
      <c r="D1865" s="234"/>
      <c r="E1865" s="268"/>
      <c r="F1865" s="269"/>
      <c r="G1865" s="258"/>
      <c r="H1865" s="270"/>
      <c r="I1865" s="271"/>
      <c r="J1865" s="271"/>
      <c r="K1865" s="234"/>
      <c r="L1865" s="307"/>
      <c r="M1865" s="272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67"/>
      <c r="C1866" s="234"/>
      <c r="D1866" s="234"/>
      <c r="E1866" s="268"/>
      <c r="F1866" s="269"/>
      <c r="G1866" s="258"/>
      <c r="H1866" s="270"/>
      <c r="I1866" s="271"/>
      <c r="J1866" s="271"/>
      <c r="K1866" s="234"/>
      <c r="L1866" s="307"/>
      <c r="M1866" s="272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67"/>
      <c r="C1867" s="234"/>
      <c r="D1867" s="234"/>
      <c r="E1867" s="268"/>
      <c r="F1867" s="269"/>
      <c r="G1867" s="258"/>
      <c r="H1867" s="270"/>
      <c r="I1867" s="271"/>
      <c r="J1867" s="271"/>
      <c r="K1867" s="234"/>
      <c r="L1867" s="307"/>
      <c r="M1867" s="272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67"/>
      <c r="C1868" s="234"/>
      <c r="D1868" s="234"/>
      <c r="E1868" s="268"/>
      <c r="F1868" s="269"/>
      <c r="G1868" s="258"/>
      <c r="H1868" s="270"/>
      <c r="I1868" s="271"/>
      <c r="J1868" s="271"/>
      <c r="K1868" s="234"/>
      <c r="L1868" s="307"/>
      <c r="M1868" s="272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67"/>
      <c r="C1869" s="234"/>
      <c r="D1869" s="234"/>
      <c r="E1869" s="268"/>
      <c r="F1869" s="269"/>
      <c r="G1869" s="258"/>
      <c r="H1869" s="270"/>
      <c r="I1869" s="271"/>
      <c r="J1869" s="271"/>
      <c r="K1869" s="234"/>
      <c r="L1869" s="307"/>
      <c r="M1869" s="272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67"/>
      <c r="C1870" s="234"/>
      <c r="D1870" s="234"/>
      <c r="E1870" s="268"/>
      <c r="F1870" s="269"/>
      <c r="G1870" s="258"/>
      <c r="H1870" s="270"/>
      <c r="I1870" s="271"/>
      <c r="J1870" s="271"/>
      <c r="K1870" s="234"/>
      <c r="L1870" s="307"/>
      <c r="M1870" s="272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67"/>
      <c r="C1871" s="234"/>
      <c r="D1871" s="234"/>
      <c r="E1871" s="268"/>
      <c r="F1871" s="269"/>
      <c r="G1871" s="258"/>
      <c r="H1871" s="270"/>
      <c r="I1871" s="271"/>
      <c r="J1871" s="271"/>
      <c r="K1871" s="234"/>
      <c r="L1871" s="307"/>
      <c r="M1871" s="272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67"/>
      <c r="C1872" s="234"/>
      <c r="D1872" s="234"/>
      <c r="E1872" s="268"/>
      <c r="F1872" s="269"/>
      <c r="G1872" s="258"/>
      <c r="H1872" s="270"/>
      <c r="I1872" s="271"/>
      <c r="J1872" s="271"/>
      <c r="K1872" s="234"/>
      <c r="L1872" s="307"/>
      <c r="M1872" s="272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67"/>
      <c r="C1873" s="234"/>
      <c r="D1873" s="234"/>
      <c r="E1873" s="268"/>
      <c r="F1873" s="269"/>
      <c r="G1873" s="258"/>
      <c r="H1873" s="270"/>
      <c r="I1873" s="271"/>
      <c r="J1873" s="271"/>
      <c r="K1873" s="234"/>
      <c r="L1873" s="307"/>
      <c r="M1873" s="272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67"/>
      <c r="C1874" s="234"/>
      <c r="D1874" s="234"/>
      <c r="E1874" s="268"/>
      <c r="F1874" s="269"/>
      <c r="G1874" s="258"/>
      <c r="H1874" s="270"/>
      <c r="I1874" s="271"/>
      <c r="J1874" s="271"/>
      <c r="K1874" s="234"/>
      <c r="L1874" s="307"/>
      <c r="M1874" s="272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67"/>
      <c r="C1875" s="234"/>
      <c r="D1875" s="234"/>
      <c r="E1875" s="268"/>
      <c r="F1875" s="269"/>
      <c r="G1875" s="258"/>
      <c r="H1875" s="270"/>
      <c r="I1875" s="271"/>
      <c r="J1875" s="271"/>
      <c r="K1875" s="234"/>
      <c r="L1875" s="307"/>
      <c r="M1875" s="272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67"/>
      <c r="C1876" s="234"/>
      <c r="D1876" s="234"/>
      <c r="E1876" s="268"/>
      <c r="F1876" s="269"/>
      <c r="G1876" s="258"/>
      <c r="H1876" s="270"/>
      <c r="I1876" s="271"/>
      <c r="J1876" s="271"/>
      <c r="K1876" s="234"/>
      <c r="L1876" s="307"/>
      <c r="M1876" s="272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67"/>
      <c r="C1877" s="234"/>
      <c r="D1877" s="234"/>
      <c r="E1877" s="268"/>
      <c r="F1877" s="269"/>
      <c r="G1877" s="258"/>
      <c r="H1877" s="270"/>
      <c r="I1877" s="271"/>
      <c r="J1877" s="271"/>
      <c r="K1877" s="234"/>
      <c r="L1877" s="307"/>
      <c r="M1877" s="272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67"/>
      <c r="C1878" s="234"/>
      <c r="D1878" s="234"/>
      <c r="E1878" s="268"/>
      <c r="F1878" s="269"/>
      <c r="G1878" s="258"/>
      <c r="H1878" s="270"/>
      <c r="I1878" s="271"/>
      <c r="J1878" s="271"/>
      <c r="K1878" s="234"/>
      <c r="L1878" s="307"/>
      <c r="M1878" s="272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67"/>
      <c r="C1879" s="234"/>
      <c r="D1879" s="234"/>
      <c r="E1879" s="268"/>
      <c r="F1879" s="269"/>
      <c r="G1879" s="258"/>
      <c r="H1879" s="270"/>
      <c r="I1879" s="271"/>
      <c r="J1879" s="271"/>
      <c r="K1879" s="234"/>
      <c r="L1879" s="307"/>
      <c r="M1879" s="272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67"/>
      <c r="C1880" s="234"/>
      <c r="D1880" s="234"/>
      <c r="E1880" s="268"/>
      <c r="F1880" s="269"/>
      <c r="G1880" s="258"/>
      <c r="H1880" s="270"/>
      <c r="I1880" s="271"/>
      <c r="J1880" s="271"/>
      <c r="K1880" s="234"/>
      <c r="L1880" s="307"/>
      <c r="M1880" s="272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67"/>
      <c r="C1881" s="234"/>
      <c r="D1881" s="234"/>
      <c r="E1881" s="268"/>
      <c r="F1881" s="269"/>
      <c r="G1881" s="258"/>
      <c r="H1881" s="270"/>
      <c r="I1881" s="271"/>
      <c r="J1881" s="271"/>
      <c r="K1881" s="234"/>
      <c r="L1881" s="307"/>
      <c r="M1881" s="272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67"/>
      <c r="C1882" s="234"/>
      <c r="D1882" s="234"/>
      <c r="E1882" s="268"/>
      <c r="F1882" s="269"/>
      <c r="G1882" s="258"/>
      <c r="H1882" s="270"/>
      <c r="I1882" s="271"/>
      <c r="J1882" s="271"/>
      <c r="K1882" s="234"/>
      <c r="L1882" s="307"/>
      <c r="M1882" s="272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67"/>
      <c r="C1883" s="234"/>
      <c r="D1883" s="234"/>
      <c r="E1883" s="268"/>
      <c r="F1883" s="269"/>
      <c r="G1883" s="258"/>
      <c r="H1883" s="270"/>
      <c r="I1883" s="271"/>
      <c r="J1883" s="271"/>
      <c r="K1883" s="234"/>
      <c r="L1883" s="307"/>
      <c r="M1883" s="272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67"/>
      <c r="C1884" s="234"/>
      <c r="D1884" s="234"/>
      <c r="E1884" s="268"/>
      <c r="F1884" s="269"/>
      <c r="G1884" s="258"/>
      <c r="H1884" s="270"/>
      <c r="I1884" s="271"/>
      <c r="J1884" s="271"/>
      <c r="K1884" s="234"/>
      <c r="L1884" s="307"/>
      <c r="M1884" s="272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67"/>
      <c r="C1885" s="234"/>
      <c r="D1885" s="234"/>
      <c r="E1885" s="268"/>
      <c r="F1885" s="269"/>
      <c r="G1885" s="258"/>
      <c r="H1885" s="270"/>
      <c r="I1885" s="271"/>
      <c r="J1885" s="271"/>
      <c r="K1885" s="234"/>
      <c r="L1885" s="307"/>
      <c r="M1885" s="272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67"/>
      <c r="C1886" s="234"/>
      <c r="D1886" s="234"/>
      <c r="E1886" s="268"/>
      <c r="F1886" s="269"/>
      <c r="G1886" s="258"/>
      <c r="H1886" s="270"/>
      <c r="I1886" s="271"/>
      <c r="J1886" s="271"/>
      <c r="K1886" s="234"/>
      <c r="L1886" s="307"/>
      <c r="M1886" s="272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67"/>
      <c r="C1887" s="234"/>
      <c r="D1887" s="234"/>
      <c r="E1887" s="268"/>
      <c r="F1887" s="269"/>
      <c r="G1887" s="258"/>
      <c r="H1887" s="270"/>
      <c r="I1887" s="271"/>
      <c r="J1887" s="271"/>
      <c r="K1887" s="234"/>
      <c r="L1887" s="307"/>
      <c r="M1887" s="272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67"/>
      <c r="C1888" s="234"/>
      <c r="D1888" s="234"/>
      <c r="E1888" s="268"/>
      <c r="F1888" s="269"/>
      <c r="G1888" s="258"/>
      <c r="H1888" s="270"/>
      <c r="I1888" s="271"/>
      <c r="J1888" s="271"/>
      <c r="K1888" s="234"/>
      <c r="L1888" s="307"/>
      <c r="M1888" s="272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67"/>
      <c r="C1889" s="234"/>
      <c r="D1889" s="234"/>
      <c r="E1889" s="268"/>
      <c r="F1889" s="269"/>
      <c r="G1889" s="258"/>
      <c r="H1889" s="270"/>
      <c r="I1889" s="271"/>
      <c r="J1889" s="271"/>
      <c r="K1889" s="234"/>
      <c r="L1889" s="307"/>
      <c r="M1889" s="272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67"/>
      <c r="C1890" s="234"/>
      <c r="D1890" s="234"/>
      <c r="E1890" s="268"/>
      <c r="F1890" s="269"/>
      <c r="G1890" s="258"/>
      <c r="H1890" s="270"/>
      <c r="I1890" s="271"/>
      <c r="J1890" s="271"/>
      <c r="K1890" s="234"/>
      <c r="L1890" s="307"/>
      <c r="M1890" s="272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67"/>
      <c r="C1891" s="234"/>
      <c r="D1891" s="234"/>
      <c r="E1891" s="268"/>
      <c r="F1891" s="269"/>
      <c r="G1891" s="258"/>
      <c r="H1891" s="270"/>
      <c r="I1891" s="271"/>
      <c r="J1891" s="271"/>
      <c r="K1891" s="234"/>
      <c r="L1891" s="307"/>
      <c r="M1891" s="272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67"/>
      <c r="C1892" s="234"/>
      <c r="D1892" s="234"/>
      <c r="E1892" s="268"/>
      <c r="F1892" s="269"/>
      <c r="G1892" s="258"/>
      <c r="H1892" s="270"/>
      <c r="I1892" s="271"/>
      <c r="J1892" s="271"/>
      <c r="K1892" s="234"/>
      <c r="L1892" s="307"/>
      <c r="M1892" s="272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67"/>
      <c r="C1893" s="234"/>
      <c r="D1893" s="234"/>
      <c r="E1893" s="268"/>
      <c r="F1893" s="269"/>
      <c r="G1893" s="258"/>
      <c r="H1893" s="270"/>
      <c r="I1893" s="271"/>
      <c r="J1893" s="271"/>
      <c r="K1893" s="234"/>
      <c r="L1893" s="307"/>
      <c r="M1893" s="272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67"/>
      <c r="C1894" s="234"/>
      <c r="D1894" s="234"/>
      <c r="E1894" s="268"/>
      <c r="F1894" s="269"/>
      <c r="G1894" s="258"/>
      <c r="H1894" s="270"/>
      <c r="I1894" s="271"/>
      <c r="J1894" s="271"/>
      <c r="K1894" s="234"/>
      <c r="L1894" s="307"/>
      <c r="M1894" s="272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67"/>
      <c r="C1895" s="234"/>
      <c r="D1895" s="234"/>
      <c r="E1895" s="268"/>
      <c r="F1895" s="269"/>
      <c r="G1895" s="258"/>
      <c r="H1895" s="270"/>
      <c r="I1895" s="271"/>
      <c r="J1895" s="271"/>
      <c r="K1895" s="234"/>
      <c r="L1895" s="307"/>
      <c r="M1895" s="272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67"/>
      <c r="C1896" s="234"/>
      <c r="D1896" s="234"/>
      <c r="E1896" s="268"/>
      <c r="F1896" s="269"/>
      <c r="G1896" s="258"/>
      <c r="H1896" s="270"/>
      <c r="I1896" s="271"/>
      <c r="J1896" s="271"/>
      <c r="K1896" s="234"/>
      <c r="L1896" s="307"/>
      <c r="M1896" s="272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67"/>
      <c r="C1897" s="234"/>
      <c r="D1897" s="234"/>
      <c r="E1897" s="268"/>
      <c r="F1897" s="269"/>
      <c r="G1897" s="258"/>
      <c r="H1897" s="270"/>
      <c r="I1897" s="271"/>
      <c r="J1897" s="271"/>
      <c r="K1897" s="234"/>
      <c r="L1897" s="307"/>
      <c r="M1897" s="272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67"/>
      <c r="C1898" s="234"/>
      <c r="D1898" s="234"/>
      <c r="E1898" s="268"/>
      <c r="F1898" s="269"/>
      <c r="G1898" s="258"/>
      <c r="H1898" s="270"/>
      <c r="I1898" s="271"/>
      <c r="J1898" s="271"/>
      <c r="K1898" s="234"/>
      <c r="L1898" s="307"/>
      <c r="M1898" s="272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67"/>
      <c r="C1899" s="234"/>
      <c r="D1899" s="234"/>
      <c r="E1899" s="268"/>
      <c r="F1899" s="269"/>
      <c r="G1899" s="258"/>
      <c r="H1899" s="270"/>
      <c r="I1899" s="271"/>
      <c r="J1899" s="271"/>
      <c r="K1899" s="234"/>
      <c r="L1899" s="307"/>
      <c r="M1899" s="272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67"/>
      <c r="C1900" s="234"/>
      <c r="D1900" s="234"/>
      <c r="E1900" s="268"/>
      <c r="F1900" s="269"/>
      <c r="G1900" s="258"/>
      <c r="H1900" s="270"/>
      <c r="I1900" s="271"/>
      <c r="J1900" s="271"/>
      <c r="K1900" s="234"/>
      <c r="L1900" s="307"/>
      <c r="M1900" s="272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67"/>
      <c r="C1901" s="234"/>
      <c r="D1901" s="234"/>
      <c r="E1901" s="268"/>
      <c r="F1901" s="269"/>
      <c r="G1901" s="258"/>
      <c r="H1901" s="270"/>
      <c r="I1901" s="271"/>
      <c r="J1901" s="271"/>
      <c r="K1901" s="234"/>
      <c r="L1901" s="307"/>
      <c r="M1901" s="272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67"/>
      <c r="C1902" s="234"/>
      <c r="D1902" s="234"/>
      <c r="E1902" s="268"/>
      <c r="F1902" s="269"/>
      <c r="G1902" s="258"/>
      <c r="H1902" s="270"/>
      <c r="I1902" s="271"/>
      <c r="J1902" s="271"/>
      <c r="K1902" s="234"/>
      <c r="L1902" s="307"/>
      <c r="M1902" s="272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67"/>
      <c r="C1903" s="234"/>
      <c r="D1903" s="234"/>
      <c r="E1903" s="268"/>
      <c r="F1903" s="269"/>
      <c r="G1903" s="258"/>
      <c r="H1903" s="270"/>
      <c r="I1903" s="271"/>
      <c r="J1903" s="271"/>
      <c r="K1903" s="234"/>
      <c r="L1903" s="307"/>
      <c r="M1903" s="272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67"/>
      <c r="C1904" s="234"/>
      <c r="D1904" s="234"/>
      <c r="E1904" s="268"/>
      <c r="F1904" s="269"/>
      <c r="G1904" s="258"/>
      <c r="H1904" s="270"/>
      <c r="I1904" s="271"/>
      <c r="J1904" s="271"/>
      <c r="K1904" s="234"/>
      <c r="L1904" s="307"/>
      <c r="M1904" s="272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67"/>
      <c r="C1905" s="234"/>
      <c r="D1905" s="234"/>
      <c r="E1905" s="268"/>
      <c r="F1905" s="269"/>
      <c r="G1905" s="258"/>
      <c r="H1905" s="270"/>
      <c r="I1905" s="271"/>
      <c r="J1905" s="271"/>
      <c r="K1905" s="234"/>
      <c r="L1905" s="307"/>
      <c r="M1905" s="272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67"/>
      <c r="C1906" s="234"/>
      <c r="D1906" s="234"/>
      <c r="E1906" s="268"/>
      <c r="F1906" s="269"/>
      <c r="G1906" s="258"/>
      <c r="H1906" s="270"/>
      <c r="I1906" s="271"/>
      <c r="J1906" s="271"/>
      <c r="K1906" s="234"/>
      <c r="L1906" s="307"/>
      <c r="M1906" s="272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67"/>
      <c r="C1907" s="234"/>
      <c r="D1907" s="234"/>
      <c r="E1907" s="268"/>
      <c r="F1907" s="269"/>
      <c r="G1907" s="258"/>
      <c r="H1907" s="270"/>
      <c r="I1907" s="271"/>
      <c r="J1907" s="271"/>
      <c r="K1907" s="234"/>
      <c r="L1907" s="307"/>
      <c r="M1907" s="272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67"/>
      <c r="C1908" s="234"/>
      <c r="D1908" s="234"/>
      <c r="E1908" s="268"/>
      <c r="F1908" s="269"/>
      <c r="G1908" s="258"/>
      <c r="H1908" s="270"/>
      <c r="I1908" s="271"/>
      <c r="J1908" s="271"/>
      <c r="K1908" s="234"/>
      <c r="L1908" s="307"/>
      <c r="M1908" s="272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67"/>
      <c r="C1909" s="234"/>
      <c r="D1909" s="234"/>
      <c r="E1909" s="268"/>
      <c r="F1909" s="269"/>
      <c r="G1909" s="258"/>
      <c r="H1909" s="270"/>
      <c r="I1909" s="271"/>
      <c r="J1909" s="271"/>
      <c r="K1909" s="234"/>
      <c r="L1909" s="307"/>
      <c r="M1909" s="272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67"/>
      <c r="C1910" s="234"/>
      <c r="D1910" s="234"/>
      <c r="E1910" s="268"/>
      <c r="F1910" s="269"/>
      <c r="G1910" s="258"/>
      <c r="H1910" s="270"/>
      <c r="I1910" s="271"/>
      <c r="J1910" s="271"/>
      <c r="K1910" s="234"/>
      <c r="L1910" s="307"/>
      <c r="M1910" s="272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67"/>
      <c r="C1911" s="234"/>
      <c r="D1911" s="234"/>
      <c r="E1911" s="268"/>
      <c r="F1911" s="269"/>
      <c r="G1911" s="258"/>
      <c r="H1911" s="270"/>
      <c r="I1911" s="271"/>
      <c r="J1911" s="271"/>
      <c r="K1911" s="234"/>
      <c r="L1911" s="307"/>
      <c r="M1911" s="272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67"/>
      <c r="C1912" s="234"/>
      <c r="D1912" s="234"/>
      <c r="E1912" s="268"/>
      <c r="F1912" s="269"/>
      <c r="G1912" s="258"/>
      <c r="H1912" s="270"/>
      <c r="I1912" s="271"/>
      <c r="J1912" s="271"/>
      <c r="K1912" s="234"/>
      <c r="L1912" s="307"/>
      <c r="M1912" s="272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67"/>
      <c r="C1913" s="234"/>
      <c r="D1913" s="234"/>
      <c r="E1913" s="268"/>
      <c r="F1913" s="269"/>
      <c r="G1913" s="258"/>
      <c r="H1913" s="270"/>
      <c r="I1913" s="271"/>
      <c r="J1913" s="271"/>
      <c r="K1913" s="234"/>
      <c r="L1913" s="307"/>
      <c r="M1913" s="272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67"/>
      <c r="C1914" s="234"/>
      <c r="D1914" s="234"/>
      <c r="E1914" s="268"/>
      <c r="F1914" s="269"/>
      <c r="G1914" s="258"/>
      <c r="H1914" s="270"/>
      <c r="I1914" s="271"/>
      <c r="J1914" s="271"/>
      <c r="K1914" s="234"/>
      <c r="L1914" s="307"/>
      <c r="M1914" s="272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67"/>
      <c r="C1915" s="234"/>
      <c r="D1915" s="234"/>
      <c r="E1915" s="268"/>
      <c r="F1915" s="269"/>
      <c r="G1915" s="258"/>
      <c r="H1915" s="270"/>
      <c r="I1915" s="271"/>
      <c r="J1915" s="271"/>
      <c r="K1915" s="234"/>
      <c r="L1915" s="307"/>
      <c r="M1915" s="272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67"/>
      <c r="C1916" s="234"/>
      <c r="D1916" s="234"/>
      <c r="E1916" s="268"/>
      <c r="F1916" s="269"/>
      <c r="G1916" s="258"/>
      <c r="H1916" s="270"/>
      <c r="I1916" s="271"/>
      <c r="J1916" s="271"/>
      <c r="K1916" s="234"/>
      <c r="L1916" s="307"/>
      <c r="M1916" s="272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67"/>
      <c r="C1917" s="234"/>
      <c r="D1917" s="234"/>
      <c r="E1917" s="268"/>
      <c r="F1917" s="269"/>
      <c r="G1917" s="258"/>
      <c r="H1917" s="270"/>
      <c r="I1917" s="271"/>
      <c r="J1917" s="271"/>
      <c r="K1917" s="234"/>
      <c r="L1917" s="307"/>
      <c r="M1917" s="272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67"/>
      <c r="C1918" s="234"/>
      <c r="D1918" s="234"/>
      <c r="E1918" s="268"/>
      <c r="F1918" s="269"/>
      <c r="G1918" s="258"/>
      <c r="H1918" s="270"/>
      <c r="I1918" s="271"/>
      <c r="J1918" s="271"/>
      <c r="K1918" s="234"/>
      <c r="L1918" s="307"/>
      <c r="M1918" s="272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67"/>
      <c r="C1919" s="234"/>
      <c r="D1919" s="234"/>
      <c r="E1919" s="268"/>
      <c r="F1919" s="269"/>
      <c r="G1919" s="258"/>
      <c r="H1919" s="270"/>
      <c r="I1919" s="271"/>
      <c r="J1919" s="271"/>
      <c r="K1919" s="234"/>
      <c r="L1919" s="307"/>
      <c r="M1919" s="272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67"/>
      <c r="C1920" s="234"/>
      <c r="D1920" s="234"/>
      <c r="E1920" s="268"/>
      <c r="F1920" s="269"/>
      <c r="G1920" s="258"/>
      <c r="H1920" s="270"/>
      <c r="I1920" s="271"/>
      <c r="J1920" s="271"/>
      <c r="K1920" s="234"/>
      <c r="L1920" s="307"/>
      <c r="M1920" s="272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67"/>
      <c r="C1921" s="234"/>
      <c r="D1921" s="234"/>
      <c r="E1921" s="268"/>
      <c r="F1921" s="269"/>
      <c r="G1921" s="258"/>
      <c r="H1921" s="270"/>
      <c r="I1921" s="271"/>
      <c r="J1921" s="271"/>
      <c r="K1921" s="234"/>
      <c r="L1921" s="307"/>
      <c r="M1921" s="272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67"/>
      <c r="C1922" s="234"/>
      <c r="D1922" s="234"/>
      <c r="E1922" s="268"/>
      <c r="F1922" s="269"/>
      <c r="G1922" s="258"/>
      <c r="H1922" s="270"/>
      <c r="I1922" s="271"/>
      <c r="J1922" s="271"/>
      <c r="K1922" s="234"/>
      <c r="L1922" s="307"/>
      <c r="M1922" s="272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67"/>
      <c r="C1923" s="234"/>
      <c r="D1923" s="234"/>
      <c r="E1923" s="268"/>
      <c r="F1923" s="269"/>
      <c r="G1923" s="258"/>
      <c r="H1923" s="270"/>
      <c r="I1923" s="271"/>
      <c r="J1923" s="271"/>
      <c r="K1923" s="234"/>
      <c r="L1923" s="307"/>
      <c r="M1923" s="272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67"/>
      <c r="C1924" s="234"/>
      <c r="D1924" s="234"/>
      <c r="E1924" s="268"/>
      <c r="F1924" s="269"/>
      <c r="G1924" s="258"/>
      <c r="H1924" s="270"/>
      <c r="I1924" s="271"/>
      <c r="J1924" s="271"/>
      <c r="K1924" s="234"/>
      <c r="L1924" s="307"/>
      <c r="M1924" s="272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67"/>
      <c r="C1925" s="234"/>
      <c r="D1925" s="234"/>
      <c r="E1925" s="268"/>
      <c r="F1925" s="269"/>
      <c r="G1925" s="258"/>
      <c r="H1925" s="270"/>
      <c r="I1925" s="271"/>
      <c r="J1925" s="271"/>
      <c r="K1925" s="234"/>
      <c r="L1925" s="307"/>
      <c r="M1925" s="272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67"/>
      <c r="C1926" s="234"/>
      <c r="D1926" s="234"/>
      <c r="E1926" s="268"/>
      <c r="F1926" s="269"/>
      <c r="G1926" s="258"/>
      <c r="H1926" s="270"/>
      <c r="I1926" s="271"/>
      <c r="J1926" s="271"/>
      <c r="K1926" s="234"/>
      <c r="L1926" s="307"/>
      <c r="M1926" s="272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67"/>
      <c r="C1927" s="234"/>
      <c r="D1927" s="234"/>
      <c r="E1927" s="268"/>
      <c r="F1927" s="269"/>
      <c r="G1927" s="258"/>
      <c r="H1927" s="270"/>
      <c r="I1927" s="271"/>
      <c r="J1927" s="271"/>
      <c r="K1927" s="234"/>
      <c r="L1927" s="307"/>
      <c r="M1927" s="272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67"/>
      <c r="C1928" s="234"/>
      <c r="D1928" s="234"/>
      <c r="E1928" s="268"/>
      <c r="F1928" s="269"/>
      <c r="G1928" s="258"/>
      <c r="H1928" s="270"/>
      <c r="I1928" s="271"/>
      <c r="J1928" s="271"/>
      <c r="K1928" s="234"/>
      <c r="L1928" s="307"/>
      <c r="M1928" s="272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67"/>
      <c r="C1929" s="234"/>
      <c r="D1929" s="234"/>
      <c r="E1929" s="268"/>
      <c r="F1929" s="269"/>
      <c r="G1929" s="258"/>
      <c r="H1929" s="270"/>
      <c r="I1929" s="271"/>
      <c r="J1929" s="271"/>
      <c r="K1929" s="234"/>
      <c r="L1929" s="307"/>
      <c r="M1929" s="272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67"/>
      <c r="C1930" s="234"/>
      <c r="D1930" s="234"/>
      <c r="E1930" s="268"/>
      <c r="F1930" s="269"/>
      <c r="G1930" s="258"/>
      <c r="H1930" s="270"/>
      <c r="I1930" s="271"/>
      <c r="J1930" s="271"/>
      <c r="K1930" s="234"/>
      <c r="L1930" s="307"/>
      <c r="M1930" s="272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67"/>
      <c r="C1931" s="234"/>
      <c r="D1931" s="234"/>
      <c r="E1931" s="268"/>
      <c r="F1931" s="269"/>
      <c r="G1931" s="258"/>
      <c r="H1931" s="270"/>
      <c r="I1931" s="271"/>
      <c r="J1931" s="271"/>
      <c r="K1931" s="234"/>
      <c r="L1931" s="307"/>
      <c r="M1931" s="272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67"/>
      <c r="C1932" s="234"/>
      <c r="D1932" s="234"/>
      <c r="E1932" s="268"/>
      <c r="F1932" s="269"/>
      <c r="G1932" s="258"/>
      <c r="H1932" s="270"/>
      <c r="I1932" s="271"/>
      <c r="J1932" s="271"/>
      <c r="K1932" s="234"/>
      <c r="L1932" s="307"/>
      <c r="M1932" s="272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67"/>
      <c r="C1933" s="234"/>
      <c r="D1933" s="234"/>
      <c r="E1933" s="268"/>
      <c r="F1933" s="269"/>
      <c r="G1933" s="258"/>
      <c r="H1933" s="270"/>
      <c r="I1933" s="271"/>
      <c r="J1933" s="271"/>
      <c r="K1933" s="234"/>
      <c r="L1933" s="307"/>
      <c r="M1933" s="272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67"/>
      <c r="C1934" s="234"/>
      <c r="D1934" s="234"/>
      <c r="E1934" s="268"/>
      <c r="F1934" s="269"/>
      <c r="G1934" s="258"/>
      <c r="H1934" s="270"/>
      <c r="I1934" s="271"/>
      <c r="J1934" s="271"/>
      <c r="K1934" s="234"/>
      <c r="L1934" s="307"/>
      <c r="M1934" s="272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67"/>
      <c r="C1935" s="234"/>
      <c r="D1935" s="234"/>
      <c r="E1935" s="268"/>
      <c r="F1935" s="269"/>
      <c r="G1935" s="258"/>
      <c r="H1935" s="270"/>
      <c r="I1935" s="271"/>
      <c r="J1935" s="271"/>
      <c r="K1935" s="234"/>
      <c r="L1935" s="307"/>
      <c r="M1935" s="272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67"/>
      <c r="C1936" s="234"/>
      <c r="D1936" s="234"/>
      <c r="E1936" s="268"/>
      <c r="F1936" s="269"/>
      <c r="G1936" s="258"/>
      <c r="H1936" s="270"/>
      <c r="I1936" s="271"/>
      <c r="J1936" s="271"/>
      <c r="K1936" s="234"/>
      <c r="L1936" s="307"/>
      <c r="M1936" s="272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67"/>
      <c r="C1937" s="234"/>
      <c r="D1937" s="234"/>
      <c r="E1937" s="268"/>
      <c r="F1937" s="269"/>
      <c r="G1937" s="258"/>
      <c r="H1937" s="270"/>
      <c r="I1937" s="271"/>
      <c r="J1937" s="271"/>
      <c r="K1937" s="234"/>
      <c r="L1937" s="307"/>
      <c r="M1937" s="272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67"/>
      <c r="C1938" s="234"/>
      <c r="D1938" s="234"/>
      <c r="E1938" s="268"/>
      <c r="F1938" s="269"/>
      <c r="G1938" s="258"/>
      <c r="H1938" s="270"/>
      <c r="I1938" s="271"/>
      <c r="J1938" s="271"/>
      <c r="K1938" s="234"/>
      <c r="L1938" s="307"/>
      <c r="M1938" s="272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67"/>
      <c r="C1939" s="234"/>
      <c r="D1939" s="234"/>
      <c r="E1939" s="268"/>
      <c r="F1939" s="269"/>
      <c r="G1939" s="258"/>
      <c r="H1939" s="270"/>
      <c r="I1939" s="271"/>
      <c r="J1939" s="271"/>
      <c r="K1939" s="234"/>
      <c r="L1939" s="307"/>
      <c r="M1939" s="272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67"/>
      <c r="C1940" s="234"/>
      <c r="D1940" s="234"/>
      <c r="E1940" s="268"/>
      <c r="F1940" s="269"/>
      <c r="G1940" s="258"/>
      <c r="H1940" s="270"/>
      <c r="I1940" s="271"/>
      <c r="J1940" s="271"/>
      <c r="K1940" s="234"/>
      <c r="L1940" s="307"/>
      <c r="M1940" s="272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67"/>
      <c r="C1941" s="234"/>
      <c r="D1941" s="234"/>
      <c r="E1941" s="268"/>
      <c r="F1941" s="269"/>
      <c r="G1941" s="258"/>
      <c r="H1941" s="270"/>
      <c r="I1941" s="271"/>
      <c r="J1941" s="271"/>
      <c r="K1941" s="234"/>
      <c r="L1941" s="307"/>
      <c r="M1941" s="272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67"/>
      <c r="C1942" s="234"/>
      <c r="D1942" s="234"/>
      <c r="E1942" s="268"/>
      <c r="F1942" s="269"/>
      <c r="G1942" s="258"/>
      <c r="H1942" s="270"/>
      <c r="I1942" s="271"/>
      <c r="J1942" s="271"/>
      <c r="K1942" s="234"/>
      <c r="L1942" s="307"/>
      <c r="M1942" s="272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67"/>
      <c r="C1943" s="234"/>
      <c r="D1943" s="234"/>
      <c r="E1943" s="268"/>
      <c r="F1943" s="269"/>
      <c r="G1943" s="258"/>
      <c r="H1943" s="270"/>
      <c r="I1943" s="271"/>
      <c r="J1943" s="271"/>
      <c r="K1943" s="234"/>
      <c r="L1943" s="307"/>
      <c r="M1943" s="272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67"/>
      <c r="C1944" s="234"/>
      <c r="D1944" s="234"/>
      <c r="E1944" s="268"/>
      <c r="F1944" s="269"/>
      <c r="G1944" s="258"/>
      <c r="H1944" s="270"/>
      <c r="I1944" s="271"/>
      <c r="J1944" s="271"/>
      <c r="K1944" s="234"/>
      <c r="L1944" s="307"/>
      <c r="M1944" s="272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67"/>
      <c r="C1945" s="234"/>
      <c r="D1945" s="234"/>
      <c r="E1945" s="268"/>
      <c r="F1945" s="269"/>
      <c r="G1945" s="258"/>
      <c r="H1945" s="270"/>
      <c r="I1945" s="271"/>
      <c r="J1945" s="271"/>
      <c r="K1945" s="234"/>
      <c r="L1945" s="307"/>
      <c r="M1945" s="272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67"/>
      <c r="C1946" s="234"/>
      <c r="D1946" s="234"/>
      <c r="E1946" s="268"/>
      <c r="F1946" s="269"/>
      <c r="G1946" s="258"/>
      <c r="H1946" s="270"/>
      <c r="I1946" s="271"/>
      <c r="J1946" s="271"/>
      <c r="K1946" s="234"/>
      <c r="L1946" s="307"/>
      <c r="M1946" s="272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67"/>
      <c r="C1947" s="234"/>
      <c r="D1947" s="234"/>
      <c r="E1947" s="268"/>
      <c r="F1947" s="269"/>
      <c r="G1947" s="258"/>
      <c r="H1947" s="270"/>
      <c r="I1947" s="271"/>
      <c r="J1947" s="271"/>
      <c r="K1947" s="234"/>
      <c r="L1947" s="307"/>
      <c r="M1947" s="272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67"/>
      <c r="C1948" s="234"/>
      <c r="D1948" s="234"/>
      <c r="E1948" s="268"/>
      <c r="F1948" s="269"/>
      <c r="G1948" s="258"/>
      <c r="H1948" s="270"/>
      <c r="I1948" s="271"/>
      <c r="J1948" s="271"/>
      <c r="K1948" s="234"/>
      <c r="L1948" s="307"/>
      <c r="M1948" s="272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67"/>
      <c r="C1949" s="234"/>
      <c r="D1949" s="234"/>
      <c r="E1949" s="268"/>
      <c r="F1949" s="269"/>
      <c r="G1949" s="258"/>
      <c r="H1949" s="270"/>
      <c r="I1949" s="271"/>
      <c r="J1949" s="271"/>
      <c r="K1949" s="234"/>
      <c r="L1949" s="307"/>
      <c r="M1949" s="272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67"/>
      <c r="C1950" s="234"/>
      <c r="D1950" s="234"/>
      <c r="E1950" s="268"/>
      <c r="F1950" s="269"/>
      <c r="G1950" s="258"/>
      <c r="H1950" s="270"/>
      <c r="I1950" s="271"/>
      <c r="J1950" s="271"/>
      <c r="K1950" s="234"/>
      <c r="L1950" s="307"/>
      <c r="M1950" s="272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67"/>
      <c r="C1951" s="234"/>
      <c r="D1951" s="234"/>
      <c r="E1951" s="268"/>
      <c r="F1951" s="269"/>
      <c r="G1951" s="258"/>
      <c r="H1951" s="270"/>
      <c r="I1951" s="271"/>
      <c r="J1951" s="271"/>
      <c r="K1951" s="234"/>
      <c r="L1951" s="307"/>
      <c r="M1951" s="272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67"/>
      <c r="C1952" s="234"/>
      <c r="D1952" s="234"/>
      <c r="E1952" s="268"/>
      <c r="F1952" s="269"/>
      <c r="G1952" s="258"/>
      <c r="H1952" s="270"/>
      <c r="I1952" s="271"/>
      <c r="J1952" s="271"/>
      <c r="K1952" s="234"/>
      <c r="L1952" s="307"/>
      <c r="M1952" s="272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67"/>
      <c r="C1953" s="234"/>
      <c r="D1953" s="234"/>
      <c r="E1953" s="268"/>
      <c r="F1953" s="269"/>
      <c r="G1953" s="258"/>
      <c r="H1953" s="270"/>
      <c r="I1953" s="271"/>
      <c r="J1953" s="271"/>
      <c r="K1953" s="234"/>
      <c r="L1953" s="307"/>
      <c r="M1953" s="272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67"/>
      <c r="C1954" s="234"/>
      <c r="D1954" s="234"/>
      <c r="E1954" s="268"/>
      <c r="F1954" s="269"/>
      <c r="G1954" s="258"/>
      <c r="H1954" s="270"/>
      <c r="I1954" s="271"/>
      <c r="J1954" s="271"/>
      <c r="K1954" s="234"/>
      <c r="L1954" s="307"/>
      <c r="M1954" s="272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67"/>
      <c r="C1955" s="234"/>
      <c r="D1955" s="234"/>
      <c r="E1955" s="268"/>
      <c r="F1955" s="269"/>
      <c r="G1955" s="258"/>
      <c r="H1955" s="270"/>
      <c r="I1955" s="271"/>
      <c r="J1955" s="271"/>
      <c r="K1955" s="234"/>
      <c r="L1955" s="307"/>
      <c r="M1955" s="272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67"/>
      <c r="C1956" s="234"/>
      <c r="D1956" s="234"/>
      <c r="E1956" s="268"/>
      <c r="F1956" s="269"/>
      <c r="G1956" s="258"/>
      <c r="H1956" s="270"/>
      <c r="I1956" s="271"/>
      <c r="J1956" s="271"/>
      <c r="K1956" s="234"/>
      <c r="L1956" s="307"/>
      <c r="M1956" s="272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67"/>
      <c r="C1957" s="234"/>
      <c r="D1957" s="234"/>
      <c r="E1957" s="268"/>
      <c r="F1957" s="269"/>
      <c r="G1957" s="258"/>
      <c r="H1957" s="270"/>
      <c r="I1957" s="271"/>
      <c r="J1957" s="271"/>
      <c r="K1957" s="234"/>
      <c r="L1957" s="307"/>
      <c r="M1957" s="272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67"/>
      <c r="C1958" s="234"/>
      <c r="D1958" s="234"/>
      <c r="E1958" s="268"/>
      <c r="F1958" s="269"/>
      <c r="G1958" s="258"/>
      <c r="H1958" s="270"/>
      <c r="I1958" s="271"/>
      <c r="J1958" s="271"/>
      <c r="K1958" s="234"/>
      <c r="L1958" s="307"/>
      <c r="M1958" s="272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67"/>
      <c r="C1959" s="234"/>
      <c r="D1959" s="234"/>
      <c r="E1959" s="268"/>
      <c r="F1959" s="269"/>
      <c r="G1959" s="258"/>
      <c r="H1959" s="270"/>
      <c r="I1959" s="271"/>
      <c r="J1959" s="271"/>
      <c r="K1959" s="234"/>
      <c r="L1959" s="307"/>
      <c r="M1959" s="272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67"/>
      <c r="C1960" s="234"/>
      <c r="D1960" s="234"/>
      <c r="E1960" s="268"/>
      <c r="F1960" s="269"/>
      <c r="G1960" s="258"/>
      <c r="H1960" s="270"/>
      <c r="I1960" s="271"/>
      <c r="J1960" s="271"/>
      <c r="K1960" s="234"/>
      <c r="L1960" s="307"/>
      <c r="M1960" s="272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67"/>
      <c r="C1961" s="234"/>
      <c r="D1961" s="234"/>
      <c r="E1961" s="268"/>
      <c r="F1961" s="269"/>
      <c r="G1961" s="258"/>
      <c r="H1961" s="270"/>
      <c r="I1961" s="271"/>
      <c r="J1961" s="271"/>
      <c r="K1961" s="234"/>
      <c r="L1961" s="307"/>
      <c r="M1961" s="272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67"/>
      <c r="C1962" s="234"/>
      <c r="D1962" s="234"/>
      <c r="E1962" s="268"/>
      <c r="F1962" s="269"/>
      <c r="G1962" s="258"/>
      <c r="H1962" s="270"/>
      <c r="I1962" s="271"/>
      <c r="J1962" s="271"/>
      <c r="K1962" s="234"/>
      <c r="L1962" s="307"/>
      <c r="M1962" s="272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67"/>
      <c r="C1963" s="234"/>
      <c r="D1963" s="234"/>
      <c r="E1963" s="268"/>
      <c r="F1963" s="269"/>
      <c r="G1963" s="258"/>
      <c r="H1963" s="270"/>
      <c r="I1963" s="271"/>
      <c r="J1963" s="271"/>
      <c r="K1963" s="234"/>
      <c r="L1963" s="307"/>
      <c r="M1963" s="272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67"/>
      <c r="C1964" s="234"/>
      <c r="D1964" s="234"/>
      <c r="E1964" s="268"/>
      <c r="F1964" s="269"/>
      <c r="G1964" s="258"/>
      <c r="H1964" s="270"/>
      <c r="I1964" s="271"/>
      <c r="J1964" s="271"/>
      <c r="K1964" s="234"/>
      <c r="L1964" s="307"/>
      <c r="M1964" s="272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67"/>
      <c r="C1965" s="234"/>
      <c r="D1965" s="234"/>
      <c r="E1965" s="268"/>
      <c r="F1965" s="269"/>
      <c r="G1965" s="258"/>
      <c r="H1965" s="270"/>
      <c r="I1965" s="271"/>
      <c r="J1965" s="271"/>
      <c r="K1965" s="234"/>
      <c r="L1965" s="307"/>
      <c r="M1965" s="272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67"/>
      <c r="C1966" s="234"/>
      <c r="D1966" s="234"/>
      <c r="E1966" s="268"/>
      <c r="F1966" s="269"/>
      <c r="G1966" s="258"/>
      <c r="H1966" s="270"/>
      <c r="I1966" s="271"/>
      <c r="J1966" s="271"/>
      <c r="K1966" s="234"/>
      <c r="L1966" s="307"/>
      <c r="M1966" s="272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67"/>
      <c r="C1967" s="234"/>
      <c r="D1967" s="234"/>
      <c r="E1967" s="268"/>
      <c r="F1967" s="269"/>
      <c r="G1967" s="258"/>
      <c r="H1967" s="270"/>
      <c r="I1967" s="271"/>
      <c r="J1967" s="271"/>
      <c r="K1967" s="234"/>
      <c r="L1967" s="307"/>
      <c r="M1967" s="272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67"/>
      <c r="C1968" s="234"/>
      <c r="D1968" s="234"/>
      <c r="E1968" s="268"/>
      <c r="F1968" s="269"/>
      <c r="G1968" s="258"/>
      <c r="H1968" s="270"/>
      <c r="I1968" s="271"/>
      <c r="J1968" s="271"/>
      <c r="K1968" s="234"/>
      <c r="L1968" s="307"/>
      <c r="M1968" s="272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67"/>
      <c r="C1969" s="234"/>
      <c r="D1969" s="234"/>
      <c r="E1969" s="268"/>
      <c r="F1969" s="269"/>
      <c r="G1969" s="258"/>
      <c r="H1969" s="270"/>
      <c r="I1969" s="271"/>
      <c r="J1969" s="271"/>
      <c r="K1969" s="234"/>
      <c r="L1969" s="307"/>
      <c r="M1969" s="272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67"/>
      <c r="C1970" s="234"/>
      <c r="D1970" s="234"/>
      <c r="E1970" s="268"/>
      <c r="F1970" s="269"/>
      <c r="G1970" s="258"/>
      <c r="H1970" s="270"/>
      <c r="I1970" s="271"/>
      <c r="J1970" s="271"/>
      <c r="K1970" s="234"/>
      <c r="L1970" s="307"/>
      <c r="M1970" s="272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67"/>
      <c r="C1971" s="234"/>
      <c r="D1971" s="234"/>
      <c r="E1971" s="268"/>
      <c r="F1971" s="269"/>
      <c r="G1971" s="258"/>
      <c r="H1971" s="270"/>
      <c r="I1971" s="271"/>
      <c r="J1971" s="271"/>
      <c r="K1971" s="234"/>
      <c r="L1971" s="307"/>
      <c r="M1971" s="272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67"/>
      <c r="C1972" s="234"/>
      <c r="D1972" s="234"/>
      <c r="E1972" s="268"/>
      <c r="F1972" s="269"/>
      <c r="G1972" s="258"/>
      <c r="H1972" s="270"/>
      <c r="I1972" s="271"/>
      <c r="J1972" s="271"/>
      <c r="K1972" s="234"/>
      <c r="L1972" s="307"/>
      <c r="M1972" s="272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67"/>
      <c r="C1973" s="234"/>
      <c r="D1973" s="234"/>
      <c r="E1973" s="268"/>
      <c r="F1973" s="269"/>
      <c r="G1973" s="258"/>
      <c r="H1973" s="270"/>
      <c r="I1973" s="271"/>
      <c r="J1973" s="271"/>
      <c r="K1973" s="234"/>
      <c r="L1973" s="307"/>
      <c r="M1973" s="272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67"/>
      <c r="C1974" s="234"/>
      <c r="D1974" s="234"/>
      <c r="E1974" s="268"/>
      <c r="F1974" s="269"/>
      <c r="G1974" s="258"/>
      <c r="H1974" s="270"/>
      <c r="I1974" s="271"/>
      <c r="J1974" s="271"/>
      <c r="K1974" s="234"/>
      <c r="L1974" s="307"/>
      <c r="M1974" s="272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67"/>
      <c r="C1975" s="234"/>
      <c r="D1975" s="234"/>
      <c r="E1975" s="268"/>
      <c r="F1975" s="269"/>
      <c r="G1975" s="258"/>
      <c r="H1975" s="270"/>
      <c r="I1975" s="271"/>
      <c r="J1975" s="271"/>
      <c r="K1975" s="234"/>
      <c r="L1975" s="307"/>
      <c r="M1975" s="272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67"/>
      <c r="C1976" s="234"/>
      <c r="D1976" s="234"/>
      <c r="E1976" s="268"/>
      <c r="F1976" s="269"/>
      <c r="G1976" s="258"/>
      <c r="H1976" s="270"/>
      <c r="I1976" s="271"/>
      <c r="J1976" s="271"/>
      <c r="K1976" s="234"/>
      <c r="L1976" s="307"/>
      <c r="M1976" s="272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67"/>
      <c r="C1977" s="234"/>
      <c r="D1977" s="234"/>
      <c r="E1977" s="268"/>
      <c r="F1977" s="269"/>
      <c r="G1977" s="258"/>
      <c r="H1977" s="270"/>
      <c r="I1977" s="271"/>
      <c r="J1977" s="271"/>
      <c r="K1977" s="234"/>
      <c r="L1977" s="307"/>
      <c r="M1977" s="272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67"/>
      <c r="C1978" s="234"/>
      <c r="D1978" s="234"/>
      <c r="E1978" s="268"/>
      <c r="F1978" s="269"/>
      <c r="G1978" s="258"/>
      <c r="H1978" s="270"/>
      <c r="I1978" s="271"/>
      <c r="J1978" s="271"/>
      <c r="K1978" s="234"/>
      <c r="L1978" s="307"/>
      <c r="M1978" s="272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67"/>
      <c r="C1979" s="234"/>
      <c r="D1979" s="234"/>
      <c r="E1979" s="268"/>
      <c r="F1979" s="269"/>
      <c r="G1979" s="258"/>
      <c r="H1979" s="270"/>
      <c r="I1979" s="271"/>
      <c r="J1979" s="271"/>
      <c r="K1979" s="234"/>
      <c r="L1979" s="307"/>
      <c r="M1979" s="272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67"/>
      <c r="C1980" s="234"/>
      <c r="D1980" s="234"/>
      <c r="E1980" s="268"/>
      <c r="F1980" s="269"/>
      <c r="G1980" s="258"/>
      <c r="H1980" s="270"/>
      <c r="I1980" s="271"/>
      <c r="J1980" s="271"/>
      <c r="K1980" s="234"/>
      <c r="L1980" s="307"/>
      <c r="M1980" s="272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67"/>
      <c r="C1981" s="234"/>
      <c r="D1981" s="234"/>
      <c r="E1981" s="268"/>
      <c r="F1981" s="269"/>
      <c r="G1981" s="258"/>
      <c r="H1981" s="270"/>
      <c r="I1981" s="271"/>
      <c r="J1981" s="271"/>
      <c r="K1981" s="234"/>
      <c r="L1981" s="307"/>
      <c r="M1981" s="272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67"/>
      <c r="C1982" s="234"/>
      <c r="D1982" s="234"/>
      <c r="E1982" s="268"/>
      <c r="F1982" s="269"/>
      <c r="G1982" s="258"/>
      <c r="H1982" s="270"/>
      <c r="I1982" s="271"/>
      <c r="J1982" s="271"/>
      <c r="K1982" s="234"/>
      <c r="L1982" s="307"/>
      <c r="M1982" s="272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67"/>
      <c r="C1983" s="234"/>
      <c r="D1983" s="234"/>
      <c r="E1983" s="268"/>
      <c r="F1983" s="269"/>
      <c r="G1983" s="258"/>
      <c r="H1983" s="270"/>
      <c r="I1983" s="271"/>
      <c r="J1983" s="271"/>
      <c r="K1983" s="234"/>
      <c r="L1983" s="307"/>
      <c r="M1983" s="272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67"/>
      <c r="C1984" s="234"/>
      <c r="D1984" s="234"/>
      <c r="E1984" s="268"/>
      <c r="F1984" s="269"/>
      <c r="G1984" s="258"/>
      <c r="H1984" s="270"/>
      <c r="I1984" s="271"/>
      <c r="J1984" s="271"/>
      <c r="K1984" s="234"/>
      <c r="L1984" s="307"/>
      <c r="M1984" s="272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67"/>
      <c r="C1985" s="234"/>
      <c r="D1985" s="234"/>
      <c r="E1985" s="268"/>
      <c r="F1985" s="269"/>
      <c r="G1985" s="258"/>
      <c r="H1985" s="270"/>
      <c r="I1985" s="271"/>
      <c r="J1985" s="271"/>
      <c r="K1985" s="234"/>
      <c r="L1985" s="307"/>
      <c r="M1985" s="272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67"/>
      <c r="C1986" s="234"/>
      <c r="D1986" s="234"/>
      <c r="E1986" s="268"/>
      <c r="F1986" s="269"/>
      <c r="G1986" s="258"/>
      <c r="H1986" s="270"/>
      <c r="I1986" s="271"/>
      <c r="J1986" s="271"/>
      <c r="K1986" s="234"/>
      <c r="L1986" s="307"/>
      <c r="M1986" s="272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67"/>
      <c r="C1987" s="234"/>
      <c r="D1987" s="234"/>
      <c r="E1987" s="268"/>
      <c r="F1987" s="269"/>
      <c r="G1987" s="258"/>
      <c r="H1987" s="270"/>
      <c r="I1987" s="271"/>
      <c r="J1987" s="271"/>
      <c r="K1987" s="234"/>
      <c r="L1987" s="307"/>
      <c r="M1987" s="272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67"/>
      <c r="C1988" s="234"/>
      <c r="D1988" s="234"/>
      <c r="E1988" s="268"/>
      <c r="F1988" s="269"/>
      <c r="G1988" s="258"/>
      <c r="H1988" s="270"/>
      <c r="I1988" s="271"/>
      <c r="J1988" s="271"/>
      <c r="K1988" s="234"/>
      <c r="L1988" s="307"/>
      <c r="M1988" s="272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67"/>
      <c r="C1989" s="234"/>
      <c r="D1989" s="234"/>
      <c r="E1989" s="268"/>
      <c r="F1989" s="269"/>
      <c r="G1989" s="258"/>
      <c r="H1989" s="270"/>
      <c r="I1989" s="271"/>
      <c r="J1989" s="271"/>
      <c r="K1989" s="234"/>
      <c r="L1989" s="307"/>
      <c r="M1989" s="272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67"/>
      <c r="C1990" s="234"/>
      <c r="D1990" s="234"/>
      <c r="E1990" s="268"/>
      <c r="F1990" s="269"/>
      <c r="G1990" s="258"/>
      <c r="H1990" s="270"/>
      <c r="I1990" s="271"/>
      <c r="J1990" s="271"/>
      <c r="K1990" s="234"/>
      <c r="L1990" s="307"/>
      <c r="M1990" s="272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67"/>
      <c r="C1991" s="234"/>
      <c r="D1991" s="234"/>
      <c r="E1991" s="268"/>
      <c r="F1991" s="269"/>
      <c r="G1991" s="258"/>
      <c r="H1991" s="270"/>
      <c r="I1991" s="271"/>
      <c r="J1991" s="271"/>
      <c r="K1991" s="234"/>
      <c r="L1991" s="307"/>
      <c r="M1991" s="272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67"/>
      <c r="C1992" s="234"/>
      <c r="D1992" s="234"/>
      <c r="E1992" s="268"/>
      <c r="F1992" s="269"/>
      <c r="G1992" s="258"/>
      <c r="H1992" s="270"/>
      <c r="I1992" s="271"/>
      <c r="J1992" s="271"/>
      <c r="K1992" s="234"/>
      <c r="L1992" s="307"/>
      <c r="M1992" s="272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67"/>
      <c r="C1993" s="234"/>
      <c r="D1993" s="234"/>
      <c r="E1993" s="268"/>
      <c r="F1993" s="269"/>
      <c r="G1993" s="258"/>
      <c r="H1993" s="270"/>
      <c r="I1993" s="271"/>
      <c r="J1993" s="271"/>
      <c r="K1993" s="234"/>
      <c r="L1993" s="307"/>
      <c r="M1993" s="272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67"/>
      <c r="C1994" s="234"/>
      <c r="D1994" s="234"/>
      <c r="E1994" s="268"/>
      <c r="F1994" s="269"/>
      <c r="G1994" s="258"/>
      <c r="H1994" s="270"/>
      <c r="I1994" s="271"/>
      <c r="J1994" s="271"/>
      <c r="K1994" s="234"/>
      <c r="L1994" s="307"/>
      <c r="M1994" s="272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67"/>
      <c r="C1995" s="234"/>
      <c r="D1995" s="234"/>
      <c r="E1995" s="268"/>
      <c r="F1995" s="269"/>
      <c r="G1995" s="258"/>
      <c r="H1995" s="270"/>
      <c r="I1995" s="271"/>
      <c r="J1995" s="271"/>
      <c r="K1995" s="234"/>
      <c r="L1995" s="307"/>
      <c r="M1995" s="272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67"/>
      <c r="C1996" s="234"/>
      <c r="D1996" s="234"/>
      <c r="E1996" s="268"/>
      <c r="F1996" s="269"/>
      <c r="G1996" s="258"/>
      <c r="H1996" s="270"/>
      <c r="I1996" s="271"/>
      <c r="J1996" s="271"/>
      <c r="K1996" s="234"/>
      <c r="L1996" s="307"/>
      <c r="M1996" s="272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67"/>
      <c r="C1997" s="234"/>
      <c r="D1997" s="234"/>
      <c r="E1997" s="268"/>
      <c r="F1997" s="269"/>
      <c r="G1997" s="258"/>
      <c r="H1997" s="270"/>
      <c r="I1997" s="271"/>
      <c r="J1997" s="271"/>
      <c r="K1997" s="234"/>
      <c r="L1997" s="307"/>
      <c r="M1997" s="272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67"/>
      <c r="C1998" s="234"/>
      <c r="D1998" s="234"/>
      <c r="E1998" s="268"/>
      <c r="F1998" s="269"/>
      <c r="G1998" s="258"/>
      <c r="H1998" s="270"/>
      <c r="I1998" s="271"/>
      <c r="J1998" s="271"/>
      <c r="K1998" s="234"/>
      <c r="L1998" s="307"/>
      <c r="M1998" s="272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67"/>
      <c r="C1999" s="234"/>
      <c r="D1999" s="234"/>
      <c r="E1999" s="268"/>
      <c r="F1999" s="269"/>
      <c r="G1999" s="258"/>
      <c r="H1999" s="270"/>
      <c r="I1999" s="271"/>
      <c r="J1999" s="271"/>
      <c r="K1999" s="234"/>
      <c r="L1999" s="307"/>
      <c r="M1999" s="272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3"/>
      <c r="C2000" s="261"/>
      <c r="D2000" s="261"/>
      <c r="E2000" s="274"/>
      <c r="F2000" s="275"/>
      <c r="G2000" s="276"/>
      <c r="H2000" s="277"/>
      <c r="I2000" s="278"/>
      <c r="J2000" s="278"/>
      <c r="K2000" s="261"/>
      <c r="L2000" s="308"/>
      <c r="M2000" s="279"/>
      <c r="N2000" s="280"/>
      <c r="O2000" s="281"/>
      <c r="P2000" s="281"/>
      <c r="Q2000" s="281"/>
      <c r="R2000" s="281"/>
      <c r="S2000" s="261"/>
      <c r="T2000" s="276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721:J1048576 I704:J719 I681:J702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6"/>
  <sheetViews>
    <sheetView topLeftCell="A69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2375</v>
      </c>
      <c r="D88" t="s">
        <v>2202</v>
      </c>
    </row>
    <row r="89" spans="1:4" x14ac:dyDescent="0.25">
      <c r="A89">
        <v>87</v>
      </c>
      <c r="B89" t="s">
        <v>2283</v>
      </c>
      <c r="D89" t="s">
        <v>2202</v>
      </c>
    </row>
    <row r="90" spans="1:4" x14ac:dyDescent="0.25">
      <c r="A90">
        <v>88</v>
      </c>
      <c r="B90" t="s">
        <v>2384</v>
      </c>
      <c r="D90" t="s">
        <v>2202</v>
      </c>
    </row>
    <row r="91" spans="1:4" x14ac:dyDescent="0.25">
      <c r="A91">
        <v>89</v>
      </c>
      <c r="B91" t="s">
        <v>2389</v>
      </c>
      <c r="D91" t="s">
        <v>2202</v>
      </c>
    </row>
    <row r="92" spans="1:4" x14ac:dyDescent="0.25">
      <c r="A92">
        <v>90</v>
      </c>
      <c r="B92" t="s">
        <v>2392</v>
      </c>
      <c r="D92" t="s">
        <v>2202</v>
      </c>
    </row>
    <row r="93" spans="1:4" x14ac:dyDescent="0.25">
      <c r="A93">
        <v>91</v>
      </c>
      <c r="B93" t="s">
        <v>2395</v>
      </c>
      <c r="D93" t="s">
        <v>2202</v>
      </c>
    </row>
    <row r="94" spans="1:4" x14ac:dyDescent="0.25">
      <c r="A94">
        <v>92</v>
      </c>
      <c r="B94" t="s">
        <v>2411</v>
      </c>
      <c r="D94" t="s">
        <v>2202</v>
      </c>
    </row>
    <row r="95" spans="1:4" x14ac:dyDescent="0.25">
      <c r="A95">
        <v>93</v>
      </c>
      <c r="B95" t="s">
        <v>2412</v>
      </c>
      <c r="D95" t="s">
        <v>2202</v>
      </c>
    </row>
    <row r="96" spans="1:4" x14ac:dyDescent="0.25">
      <c r="A96">
        <v>94</v>
      </c>
      <c r="B96" t="s">
        <v>2413</v>
      </c>
      <c r="D96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0" activePane="bottomLeft" state="frozen"/>
      <selection pane="bottomLeft" activeCell="K69" sqref="K69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3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8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2415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2415</v>
      </c>
      <c r="Y38" s="218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2278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2026-045</v>
      </c>
      <c r="N40" t="str">
        <v>A realizar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2279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2280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2280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2281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2281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2282</v>
      </c>
      <c r="Y45" t="s">
        <v>2283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2282</v>
      </c>
      <c r="Y46" t="s">
        <v>2284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2282</v>
      </c>
      <c r="Y47" t="s">
        <v>2285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2282</v>
      </c>
      <c r="Y48" t="s">
        <v>2286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 Luiz Felipe Tenório de Lima Gondim; Priscila Nolasco de Oliveira</v>
      </c>
      <c r="R49">
        <v>5</v>
      </c>
      <c r="S49">
        <v>99</v>
      </c>
      <c r="T49">
        <v>94</v>
      </c>
      <c r="X49" t="s">
        <v>2282</v>
      </c>
      <c r="Y49" t="s">
        <v>2287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104</v>
      </c>
      <c r="T50">
        <v>99</v>
      </c>
      <c r="X50" t="s">
        <v>2282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Curso de formação sobre "Programa de Descentralização Progressiva das Ações de Saúde - PDPAS</v>
      </c>
      <c r="P51">
        <v>20</v>
      </c>
      <c r="Q51" t="str">
        <v>Tarsila Firmino Ely; Sara Cristina Lins Ramos; Carina de Souza Mariuba Herthel; Elvis Aaron Teixeira dos Santos Lima</v>
      </c>
      <c r="R51">
        <v>4</v>
      </c>
      <c r="S51">
        <v>108</v>
      </c>
      <c r="T51">
        <v>104</v>
      </c>
      <c r="X51" t="s">
        <v>2282</v>
      </c>
      <c r="Y51" t="s">
        <v>2288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2026-058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113</v>
      </c>
      <c r="T52">
        <v>108</v>
      </c>
      <c r="X52" t="s">
        <v>2282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118</v>
      </c>
      <c r="T53">
        <v>113</v>
      </c>
      <c r="X53" t="s">
        <v>2282</v>
      </c>
      <c r="Y53" t="s">
        <v>2289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123</v>
      </c>
      <c r="T54">
        <v>118</v>
      </c>
      <c r="X54" t="s">
        <v>2282</v>
      </c>
      <c r="Y54" t="s">
        <v>2290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128</v>
      </c>
      <c r="T55">
        <v>123</v>
      </c>
      <c r="X55" t="s">
        <v>2247</v>
      </c>
      <c r="Y55" t="s">
        <v>2283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2026-065</v>
      </c>
      <c r="N56" t="str">
        <v>A realizar</v>
      </c>
      <c r="O56" t="str">
        <v>Contratações de TIC com base na jurisprudência do TCDF - EAD</v>
      </c>
      <c r="P56">
        <v>17.45</v>
      </c>
      <c r="Q56" t="str">
        <v>Flávio José Fonseca de Souza; Felipe da Costa Malaquias</v>
      </c>
      <c r="R56">
        <v>2</v>
      </c>
      <c r="S56">
        <v>130</v>
      </c>
      <c r="T56">
        <v>128</v>
      </c>
      <c r="X56" t="s">
        <v>2382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Oficina Temática - SEMAT: Matriz de Riscos em contratos de obras e serviços de engenharia</v>
      </c>
      <c r="P57">
        <v>4</v>
      </c>
      <c r="Q57" t="str">
        <v>Silvia Lima Damasceno Carvalho; Renan Dias da Silva</v>
      </c>
      <c r="R57">
        <v>2</v>
      </c>
      <c r="S57">
        <v>132</v>
      </c>
      <c r="T57">
        <v>130</v>
      </c>
      <c r="X57" t="s">
        <v>2416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  <c r="T58">
        <v>132</v>
      </c>
      <c r="X58" t="s">
        <v>2416</v>
      </c>
      <c r="Y58" s="320" t="s">
        <v>2413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X59" t="s">
        <v>2416</v>
      </c>
      <c r="Y59" t="s">
        <v>2412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2416</v>
      </c>
      <c r="Y60" t="s">
        <v>2411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>A realizar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Adriana Cuoco Portugal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Cinthia Thais de Carvalho Luz Thomazi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Fernanda Viana de Souza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Luiz Felipe Tenório de Lima Gondim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2026-054</v>
      </c>
      <c r="C100" t="str">
        <v>A realizar</v>
      </c>
      <c r="D100" t="str">
        <v>TCendo o Futuro</v>
      </c>
      <c r="E100">
        <v>4</v>
      </c>
      <c r="F100" t="str">
        <v>Priscila Nolasco de Oliveira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Adriana Cuoco Portugal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Cinthia Thais de Carvalho Luz Thomazi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Fernanda Viana de Souza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Luiz Felipe Tenório de Lima Gondim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Priscila Nolasco de Oliveira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Curso de formação sobre "Programa de Descentralização Progressiva das Ações de Saúde - PDPAS</v>
      </c>
      <c r="E106">
        <v>20</v>
      </c>
      <c r="F106" t="str">
        <v>Tarsila Firmino Ely</v>
      </c>
      <c r="G106">
        <v>4</v>
      </c>
      <c r="H106">
        <v>20</v>
      </c>
      <c r="I106">
        <v>3.6</v>
      </c>
      <c r="J106">
        <v>23.6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Curso de formação sobre "Programa de Descentralização Progressiva das Ações de Saúde - PDPAS</v>
      </c>
      <c r="E107">
        <v>20</v>
      </c>
      <c r="F107" t="str">
        <v>Sara Cristina Lins Ramos</v>
      </c>
      <c r="G107">
        <v>4</v>
      </c>
      <c r="H107">
        <v>8</v>
      </c>
      <c r="I107">
        <v>2.4</v>
      </c>
      <c r="J107">
        <v>10.4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Curso de formação sobre "Programa de Descentralização Progressiva das Ações de Saúde - PDPAS</v>
      </c>
      <c r="E108">
        <v>20</v>
      </c>
      <c r="F108" t="str">
        <v>Carina de Souza Mariuba Herthel</v>
      </c>
      <c r="G108">
        <v>4</v>
      </c>
      <c r="H108">
        <v>8</v>
      </c>
      <c r="I108">
        <v>2.4</v>
      </c>
      <c r="J108">
        <v>10.4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Curso de formação sobre "Programa de Descentralização Progressiva das Ações de Saúde - PDPAS</v>
      </c>
      <c r="E109">
        <v>20</v>
      </c>
      <c r="F109" t="str">
        <v>Elvis Aaron Teixeira dos Santos Lima</v>
      </c>
      <c r="G109">
        <v>4</v>
      </c>
      <c r="H109">
        <v>0</v>
      </c>
      <c r="I109">
        <v>0</v>
      </c>
      <c r="J109">
        <v>0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2026-058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Adriana Cuoco Portugal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Cinthia Thais de Carvalho Luz Thomazi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Fernanda Viana de Souza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Luiz Felipe Tenório de Lima Gondim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2026-061</v>
      </c>
      <c r="C129" t="str">
        <v>A realizar</v>
      </c>
      <c r="D129" t="str">
        <v>TCendo o Futuro</v>
      </c>
      <c r="E129">
        <v>4</v>
      </c>
      <c r="F129" t="str">
        <v>Priscila Nolasco de Oliveira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2026-065</v>
      </c>
      <c r="C130" t="str">
        <v>A realizar</v>
      </c>
      <c r="D130" t="str">
        <v>Contratações de TIC com base na jurisprudência do TCDF - EAD</v>
      </c>
      <c r="E130">
        <v>17.45</v>
      </c>
      <c r="F130" t="str">
        <v>Flávio José Fonseca de Souza</v>
      </c>
      <c r="G130">
        <v>2</v>
      </c>
      <c r="H130">
        <v>17.45</v>
      </c>
      <c r="I130">
        <v>5.2349999999999994</v>
      </c>
      <c r="J130">
        <v>22.684999999999999</v>
      </c>
      <c r="R130" t="str">
        <v/>
      </c>
      <c r="S130" t="str">
        <v/>
      </c>
    </row>
    <row r="131" spans="1:19" x14ac:dyDescent="0.25">
      <c r="A131">
        <v>2026</v>
      </c>
      <c r="B131" t="str">
        <v>2026-065</v>
      </c>
      <c r="C131" t="str">
        <v>A realizar</v>
      </c>
      <c r="D131" t="str">
        <v>Contratações de TIC com base na jurisprudência do TCDF - EAD</v>
      </c>
      <c r="E131">
        <v>17.45</v>
      </c>
      <c r="F131" t="str">
        <v>Felipe da Costa Malaquias</v>
      </c>
      <c r="G131">
        <v>2</v>
      </c>
      <c r="H131">
        <v>17.45</v>
      </c>
      <c r="I131">
        <v>5.2349999999999994</v>
      </c>
      <c r="J131">
        <v>22.684999999999999</v>
      </c>
      <c r="R131" t="str">
        <v/>
      </c>
      <c r="S131" t="str">
        <v/>
      </c>
    </row>
    <row r="132" spans="1:19" x14ac:dyDescent="0.25">
      <c r="A132">
        <v>2026</v>
      </c>
      <c r="B132" t="str">
        <v>2026-066</v>
      </c>
      <c r="C132" t="str">
        <v>A realizar</v>
      </c>
      <c r="D132" t="str">
        <v>Oficina Temática - SEMAT: Matriz de Riscos em contratos de obras e serviços de engenharia</v>
      </c>
      <c r="E132">
        <v>4</v>
      </c>
      <c r="F132" t="str">
        <v>Silvia Lima Damasceno Carvalho</v>
      </c>
      <c r="G132">
        <v>2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2026-066</v>
      </c>
      <c r="C133" t="str">
        <v>A realizar</v>
      </c>
      <c r="D133" t="str">
        <v>Oficina Temática - SEMAT: Matriz de Riscos em contratos de obras e serviços de engenharia</v>
      </c>
      <c r="E133">
        <v>4</v>
      </c>
      <c r="F133" t="str">
        <v>Renan Dias da Silva</v>
      </c>
      <c r="G133">
        <v>2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R134" t="str">
        <v/>
      </c>
      <c r="S134" t="str">
        <v/>
      </c>
    </row>
    <row r="135" spans="1:19" x14ac:dyDescent="0.25">
      <c r="R135" t="str">
        <v/>
      </c>
      <c r="S135" t="str">
        <v/>
      </c>
    </row>
    <row r="136" spans="1:19" x14ac:dyDescent="0.25">
      <c r="R136" t="str">
        <v/>
      </c>
      <c r="S136" t="str">
        <v/>
      </c>
    </row>
    <row r="137" spans="1:19" x14ac:dyDescent="0.25"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5" t="s">
        <v>2291</v>
      </c>
      <c r="B1" s="325"/>
      <c r="C1" s="325"/>
      <c r="D1" s="325"/>
      <c r="E1" s="325"/>
      <c r="F1" s="325"/>
      <c r="G1" s="325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6" t="s">
        <v>2292</v>
      </c>
      <c r="B4" s="327"/>
      <c r="D4" s="328" t="s">
        <v>2293</v>
      </c>
      <c r="E4" s="329"/>
      <c r="G4" s="123" t="s">
        <v>2294</v>
      </c>
    </row>
    <row r="5" spans="1:7" ht="54.95" customHeight="1" thickBot="1" x14ac:dyDescent="0.75">
      <c r="A5" s="113">
        <f>COUNTIF('Ações InCompany'!B:B,2026)</f>
        <v>66</v>
      </c>
      <c r="B5" s="114" t="s">
        <v>2295</v>
      </c>
      <c r="D5" s="121">
        <f>COUNTIFS('Ações InCompany'!B:B,2026,'Ações InCompany'!C:C,"Realizado")</f>
        <v>37</v>
      </c>
      <c r="E5" s="122" t="s">
        <v>2295</v>
      </c>
      <c r="G5" s="124">
        <f>COUNTIFS('Ações InCompany'!B:B,2026,'Ações InCompany'!C:C,"A realizar")</f>
        <v>26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23" t="s">
        <v>2296</v>
      </c>
      <c r="B8" s="323"/>
      <c r="D8" s="323" t="s">
        <v>2297</v>
      </c>
      <c r="E8" s="323"/>
    </row>
    <row r="9" spans="1:7" ht="5.0999999999999996" customHeight="1" x14ac:dyDescent="0.25">
      <c r="A9" s="324"/>
      <c r="B9" s="324"/>
      <c r="D9" s="324"/>
      <c r="E9" s="324"/>
    </row>
    <row r="10" spans="1:7" ht="24.95" customHeight="1" x14ac:dyDescent="0.25">
      <c r="A10" s="106" t="s">
        <v>5</v>
      </c>
      <c r="B10" s="106" t="s">
        <v>2298</v>
      </c>
      <c r="D10" s="106" t="s">
        <v>2299</v>
      </c>
      <c r="E10" s="106" t="s">
        <v>2300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2301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2302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7</v>
      </c>
      <c r="D13" s="107" t="s">
        <v>2303</v>
      </c>
      <c r="E13" s="108">
        <f>SUMIFS('Ações InCompany'!Q:Q,'Ações InCompany'!B:B,2026,'Ações InCompany'!C:C,"Realizado")</f>
        <v>481</v>
      </c>
    </row>
    <row r="14" spans="1:7" ht="27.95" customHeight="1" x14ac:dyDescent="0.3">
      <c r="A14" s="111" t="s">
        <v>2304</v>
      </c>
      <c r="B14" s="112">
        <f>SUM(B11:B13)</f>
        <v>37</v>
      </c>
      <c r="D14" s="111" t="s">
        <v>2305</v>
      </c>
      <c r="E14" s="112">
        <f>SUM(E11:E13)</f>
        <v>1824</v>
      </c>
    </row>
    <row r="30" spans="1:5" ht="17.25" x14ac:dyDescent="0.3">
      <c r="A30" s="323" t="s">
        <v>2306</v>
      </c>
      <c r="B30" s="323"/>
      <c r="C30" s="323"/>
      <c r="D30" s="323"/>
      <c r="E30" s="323"/>
    </row>
    <row r="31" spans="1:5" ht="5.0999999999999996" customHeight="1" x14ac:dyDescent="0.25">
      <c r="A31" s="324"/>
      <c r="B31" s="324"/>
      <c r="C31" s="324"/>
      <c r="D31" s="324"/>
      <c r="E31" s="324"/>
    </row>
    <row r="32" spans="1:5" ht="24.95" customHeight="1" x14ac:dyDescent="0.25">
      <c r="A32" s="106" t="s">
        <v>6</v>
      </c>
      <c r="B32" s="106" t="s">
        <v>2307</v>
      </c>
      <c r="C32" s="106" t="s">
        <v>2308</v>
      </c>
      <c r="D32" s="106" t="s">
        <v>2309</v>
      </c>
      <c r="E32" s="106" t="s">
        <v>2310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14</v>
      </c>
      <c r="D33" s="115">
        <f t="shared" ref="D33:D44" si="0">B33+C33</f>
        <v>21</v>
      </c>
      <c r="E33" s="116">
        <f t="shared" ref="E33:E44" si="1">D33/$D$45</f>
        <v>0.33333333333333331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4.7619047619047616E-2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9.5238095238095233E-2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1</v>
      </c>
      <c r="D36" s="117">
        <f t="shared" si="0"/>
        <v>3</v>
      </c>
      <c r="E36" s="118">
        <f t="shared" si="1"/>
        <v>4.7619047619047616E-2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3.1746031746031744E-2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7</v>
      </c>
      <c r="C38" s="126">
        <f>COUNTIFS('Ações InCompany'!B:B,2026,'Ações InCompany'!C:C,"A realizar",'Ações InCompany'!G:G,A38)</f>
        <v>7</v>
      </c>
      <c r="D38" s="117">
        <f t="shared" si="0"/>
        <v>14</v>
      </c>
      <c r="E38" s="118">
        <f t="shared" si="1"/>
        <v>0.22222222222222221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6.3492063492063489E-2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1</v>
      </c>
      <c r="D40" s="151">
        <f>B40+C40</f>
        <v>1</v>
      </c>
      <c r="E40" s="156">
        <f>D40/$D$45</f>
        <v>1.5873015873015872E-2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0.1111111111111111</v>
      </c>
    </row>
    <row r="42" spans="1:5" ht="24" customHeight="1" x14ac:dyDescent="0.25">
      <c r="A42" s="154" t="s">
        <v>2311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3.1746031746031744E-2</v>
      </c>
    </row>
    <row r="44" spans="1:5" ht="24" customHeight="1" x14ac:dyDescent="0.25">
      <c r="A44" s="146" t="s">
        <v>2312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2304</v>
      </c>
      <c r="B45" s="119">
        <f>SUM(B33:B44)</f>
        <v>37</v>
      </c>
      <c r="C45" s="119">
        <f>SUM(C33:C44)</f>
        <v>26</v>
      </c>
      <c r="D45" s="119">
        <f>SUM(D33:D44)</f>
        <v>63</v>
      </c>
      <c r="E45" s="120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2318</v>
      </c>
      <c r="B2" s="12" t="s">
        <v>2319</v>
      </c>
      <c r="C2" s="12" t="s">
        <v>1316</v>
      </c>
      <c r="D2" s="12" t="s">
        <v>2320</v>
      </c>
      <c r="E2" s="12" t="s">
        <v>2321</v>
      </c>
    </row>
    <row r="3" spans="1:5" ht="18" customHeight="1" x14ac:dyDescent="0.25">
      <c r="A3" s="12" t="s">
        <v>2318</v>
      </c>
      <c r="B3" s="12" t="s">
        <v>2319</v>
      </c>
      <c r="C3" s="14" t="s">
        <v>23</v>
      </c>
      <c r="D3" s="12" t="s">
        <v>2322</v>
      </c>
      <c r="E3" s="12" t="s">
        <v>2323</v>
      </c>
    </row>
    <row r="4" spans="1:5" ht="18" customHeight="1" x14ac:dyDescent="0.25">
      <c r="A4" s="12" t="s">
        <v>2318</v>
      </c>
      <c r="B4" s="12" t="s">
        <v>2319</v>
      </c>
      <c r="C4" s="12" t="s">
        <v>56</v>
      </c>
      <c r="D4" s="12" t="s">
        <v>2320</v>
      </c>
      <c r="E4" s="12" t="s">
        <v>2324</v>
      </c>
    </row>
    <row r="5" spans="1:5" ht="18" customHeight="1" x14ac:dyDescent="0.25">
      <c r="A5" s="12" t="s">
        <v>2318</v>
      </c>
      <c r="B5" s="12" t="s">
        <v>2319</v>
      </c>
      <c r="C5" s="12" t="s">
        <v>59</v>
      </c>
      <c r="D5" s="12" t="s">
        <v>2325</v>
      </c>
      <c r="E5" s="12" t="s">
        <v>2326</v>
      </c>
    </row>
    <row r="6" spans="1:5" ht="18" customHeight="1" x14ac:dyDescent="0.25">
      <c r="A6" s="12" t="s">
        <v>2318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2318</v>
      </c>
      <c r="B7" s="12" t="s">
        <v>2329</v>
      </c>
      <c r="C7" s="12" t="s">
        <v>30</v>
      </c>
      <c r="D7" s="12" t="s">
        <v>2330</v>
      </c>
      <c r="E7" s="12" t="s">
        <v>2331</v>
      </c>
    </row>
    <row r="8" spans="1:5" ht="18" customHeight="1" x14ac:dyDescent="0.25">
      <c r="A8" s="12" t="s">
        <v>2318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2318</v>
      </c>
      <c r="B9" s="12" t="s">
        <v>2334</v>
      </c>
      <c r="C9" s="12" t="s">
        <v>353</v>
      </c>
      <c r="D9" s="12" t="s">
        <v>2335</v>
      </c>
      <c r="E9" s="12" t="s">
        <v>2336</v>
      </c>
    </row>
    <row r="10" spans="1:5" ht="18" customHeight="1" x14ac:dyDescent="0.25">
      <c r="A10" s="12" t="s">
        <v>2318</v>
      </c>
      <c r="B10" s="12" t="s">
        <v>2334</v>
      </c>
      <c r="C10" s="12" t="s">
        <v>157</v>
      </c>
      <c r="D10" s="12" t="s">
        <v>22</v>
      </c>
      <c r="E10" s="12" t="s">
        <v>2337</v>
      </c>
    </row>
    <row r="11" spans="1:5" ht="18" customHeight="1" x14ac:dyDescent="0.25">
      <c r="A11" s="12" t="s">
        <v>2318</v>
      </c>
      <c r="B11" s="12" t="s">
        <v>2334</v>
      </c>
      <c r="C11" s="12" t="s">
        <v>283</v>
      </c>
      <c r="D11" s="12" t="s">
        <v>22</v>
      </c>
      <c r="E11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2339</v>
      </c>
      <c r="B1" s="5" t="s">
        <v>10</v>
      </c>
      <c r="C1" s="15" t="s">
        <v>2340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2341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2342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2343</v>
      </c>
      <c r="B2" s="12" t="s">
        <v>2319</v>
      </c>
      <c r="C2" s="14" t="s">
        <v>23</v>
      </c>
      <c r="D2" s="12" t="s">
        <v>2320</v>
      </c>
      <c r="E2" s="17" t="s">
        <v>2344</v>
      </c>
    </row>
    <row r="3" spans="1:5" ht="18" customHeight="1" x14ac:dyDescent="0.25">
      <c r="A3" s="12" t="s">
        <v>2343</v>
      </c>
      <c r="B3" s="12" t="s">
        <v>2319</v>
      </c>
      <c r="C3" s="12" t="s">
        <v>56</v>
      </c>
      <c r="D3" s="12" t="s">
        <v>2322</v>
      </c>
      <c r="E3" s="12" t="s">
        <v>2345</v>
      </c>
    </row>
    <row r="4" spans="1:5" ht="18" customHeight="1" x14ac:dyDescent="0.25">
      <c r="A4" s="12" t="s">
        <v>2343</v>
      </c>
      <c r="B4" s="12" t="s">
        <v>2319</v>
      </c>
      <c r="C4" s="12" t="s">
        <v>59</v>
      </c>
      <c r="D4" s="12" t="s">
        <v>2325</v>
      </c>
      <c r="E4" s="12" t="s">
        <v>2346</v>
      </c>
    </row>
    <row r="5" spans="1:5" ht="27.75" customHeight="1" x14ac:dyDescent="0.25">
      <c r="A5" s="12" t="s">
        <v>2343</v>
      </c>
      <c r="B5" s="12" t="s">
        <v>2319</v>
      </c>
      <c r="C5" s="12" t="s">
        <v>2035</v>
      </c>
      <c r="D5" s="17" t="s">
        <v>2347</v>
      </c>
      <c r="E5" s="12" t="s">
        <v>2348</v>
      </c>
    </row>
    <row r="6" spans="1:5" ht="18" customHeight="1" x14ac:dyDescent="0.25">
      <c r="A6" s="12" t="s">
        <v>2343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2343</v>
      </c>
      <c r="B7" s="12" t="s">
        <v>2329</v>
      </c>
      <c r="C7" s="12" t="s">
        <v>2056</v>
      </c>
      <c r="D7" s="12" t="s">
        <v>2349</v>
      </c>
      <c r="E7" s="12" t="s">
        <v>2350</v>
      </c>
    </row>
    <row r="8" spans="1:5" ht="18" customHeight="1" x14ac:dyDescent="0.25">
      <c r="A8" s="12" t="s">
        <v>2343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2343</v>
      </c>
      <c r="B9" s="12" t="s">
        <v>2329</v>
      </c>
      <c r="C9" s="12" t="s">
        <v>2040</v>
      </c>
      <c r="D9" s="12" t="s">
        <v>2351</v>
      </c>
      <c r="E9" s="17" t="s">
        <v>2352</v>
      </c>
    </row>
    <row r="10" spans="1:5" ht="18" customHeight="1" x14ac:dyDescent="0.25">
      <c r="A10" s="12" t="s">
        <v>2343</v>
      </c>
      <c r="B10" s="12" t="s">
        <v>2353</v>
      </c>
      <c r="C10" s="12" t="s">
        <v>2311</v>
      </c>
      <c r="D10" s="12" t="s">
        <v>2354</v>
      </c>
      <c r="E10" s="17" t="s">
        <v>2355</v>
      </c>
    </row>
    <row r="11" spans="1:5" ht="18" customHeight="1" x14ac:dyDescent="0.25">
      <c r="A11" s="12" t="s">
        <v>2343</v>
      </c>
      <c r="B11" s="12" t="s">
        <v>2353</v>
      </c>
      <c r="C11" s="12" t="s">
        <v>157</v>
      </c>
      <c r="D11" s="12" t="s">
        <v>22</v>
      </c>
      <c r="E11" s="12" t="s">
        <v>2337</v>
      </c>
    </row>
    <row r="12" spans="1:5" ht="18" customHeight="1" x14ac:dyDescent="0.25">
      <c r="A12" s="12" t="s">
        <v>2343</v>
      </c>
      <c r="B12" s="12" t="s">
        <v>2353</v>
      </c>
      <c r="C12" s="12" t="s">
        <v>283</v>
      </c>
      <c r="D12" s="12" t="s">
        <v>22</v>
      </c>
      <c r="E12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30" t="s">
        <v>2356</v>
      </c>
      <c r="B1" s="330"/>
      <c r="C1" s="330"/>
      <c r="D1" s="330"/>
      <c r="E1" s="330"/>
      <c r="F1" s="330"/>
      <c r="G1" s="330"/>
      <c r="H1" s="330"/>
    </row>
    <row r="2" spans="1:8" x14ac:dyDescent="0.25">
      <c r="A2" s="128" t="s">
        <v>2357</v>
      </c>
    </row>
    <row r="4" spans="1:8" ht="21.95" customHeight="1" x14ac:dyDescent="0.25">
      <c r="A4" s="331" t="s">
        <v>2358</v>
      </c>
      <c r="B4" s="332"/>
      <c r="D4" s="331" t="s">
        <v>2359</v>
      </c>
      <c r="E4" s="332"/>
      <c r="G4" s="331" t="s">
        <v>2360</v>
      </c>
      <c r="H4" s="332"/>
    </row>
    <row r="5" spans="1:8" ht="35.1" customHeight="1" x14ac:dyDescent="0.25">
      <c r="A5" s="335">
        <f>COUNTIF('Ações InCompany'!E:E,"*maratona*")</f>
        <v>13</v>
      </c>
      <c r="B5" s="334"/>
      <c r="D5" s="333">
        <f>SUM(H8:H100)</f>
        <v>1762</v>
      </c>
      <c r="E5" s="334"/>
      <c r="G5" s="333">
        <f>IFERROR(ROUND(D5/A5,0),"-")</f>
        <v>136</v>
      </c>
      <c r="H5" s="334"/>
    </row>
    <row r="6" spans="1:8" ht="9.9499999999999993" customHeight="1" x14ac:dyDescent="0.25"/>
    <row r="7" spans="1:8" ht="24.95" customHeight="1" thickBot="1" x14ac:dyDescent="0.3">
      <c r="A7" s="141" t="s">
        <v>2361</v>
      </c>
      <c r="B7" s="141" t="s">
        <v>2362</v>
      </c>
      <c r="C7" s="141" t="s">
        <v>1</v>
      </c>
      <c r="D7" s="141" t="s">
        <v>2363</v>
      </c>
      <c r="E7" s="141" t="s">
        <v>2364</v>
      </c>
      <c r="F7" s="141" t="s">
        <v>2236</v>
      </c>
      <c r="G7" s="141" t="s">
        <v>5</v>
      </c>
      <c r="H7" s="141" t="s">
        <v>2365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6" t="s">
        <v>2366</v>
      </c>
      <c r="B1" s="336"/>
      <c r="C1" s="336"/>
      <c r="D1" s="336"/>
      <c r="E1" s="336"/>
      <c r="F1" s="336"/>
    </row>
    <row r="2" spans="1:7" x14ac:dyDescent="0.25">
      <c r="A2" s="337" t="s">
        <v>2367</v>
      </c>
      <c r="B2" s="337"/>
      <c r="C2" s="337"/>
      <c r="D2" s="337"/>
      <c r="E2" s="337"/>
      <c r="F2" s="337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2368</v>
      </c>
      <c r="E4" s="100" t="s">
        <v>2241</v>
      </c>
      <c r="F4" s="100" t="s">
        <v>2369</v>
      </c>
    </row>
    <row r="5" spans="1:7" x14ac:dyDescent="0.25">
      <c r="A5" t="str" cm="1">
        <f t="array" ref="A5:A54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Carina de Souza Mariuba Herthel</v>
      </c>
      <c r="B9" s="101">
        <f>IF($A9="","",SUMIFS('GECC 2026'!H$2:H$200,'GECC 2026'!F$2:F$200,$A9))</f>
        <v>8</v>
      </c>
      <c r="C9" s="101">
        <f>IF($A9="","",SUMIFS('GECC 2026'!I$2:I$200,'GECC 2026'!F$2:F$200,$A9))</f>
        <v>2.4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10.4</v>
      </c>
      <c r="F9" s="99">
        <f>IF($A9="","",COUNTIFS('GECC 2026'!F$2:F$200,$A9))</f>
        <v>1</v>
      </c>
    </row>
    <row r="10" spans="1:7" x14ac:dyDescent="0.25">
      <c r="A10" t="str">
        <v>Carlos Antônio</v>
      </c>
      <c r="B10" s="101">
        <f>IF($A10="","",SUMIFS('GECC 2026'!H$2:H$200,'GECC 2026'!F$2:F$200,$A10))</f>
        <v>4</v>
      </c>
      <c r="C10" s="101">
        <f>IF($A10="","",SUMIFS('GECC 2026'!I$2:I$200,'GECC 2026'!F$2:F$200,$A10))</f>
        <v>1.2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5.2</v>
      </c>
      <c r="F10" s="99">
        <f>IF($A10="","",COUNTIFS('GECC 2026'!F$2:F$200,$A10))</f>
        <v>1</v>
      </c>
    </row>
    <row r="11" spans="1:7" x14ac:dyDescent="0.25">
      <c r="A11" t="str">
        <v>Carolina Pereira de Oliveira</v>
      </c>
      <c r="B11" s="101">
        <f>IF($A11="","",SUMIFS('GECC 2026'!H$2:H$200,'GECC 2026'!F$2:F$200,$A11))</f>
        <v>8</v>
      </c>
      <c r="C11" s="101">
        <f>IF($A11="","",SUMIFS('GECC 2026'!I$2:I$200,'GECC 2026'!F$2:F$200,$A11))</f>
        <v>0.24</v>
      </c>
      <c r="D11" s="214">
        <f>IF($A11="","",SUMIFS('GECC 2026'!$AE$3:$AE$32,'GECC 2026'!$AD$3:$AD$32,$A11))</f>
        <v>0</v>
      </c>
      <c r="E11" s="203">
        <f>IF($A11="","",SUMIFS('GECC 2026'!J$2:J$200,'GECC 2026'!F$2:F$200,$A11)+SUMIFS('GECC 2026'!$AE$3:$AE$32,'GECC 2026'!$AD$3:$AD$32,$A11))</f>
        <v>8.24</v>
      </c>
      <c r="F11" s="99">
        <f>IF($A11="","",COUNTIFS('GECC 2026'!F$2:F$200,$A11))</f>
        <v>1</v>
      </c>
    </row>
    <row r="12" spans="1:7" x14ac:dyDescent="0.25">
      <c r="A12" t="str">
        <v>Cássio Murilo Alves Costa Filho</v>
      </c>
      <c r="B12" s="101">
        <f>IF($A12="","",SUMIFS('GECC 2026'!H$2:H$200,'GECC 2026'!F$2:F$200,$A12))</f>
        <v>16</v>
      </c>
      <c r="C12" s="101">
        <f>IF($A12="","",SUMIFS('GECC 2026'!I$2:I$200,'GECC 2026'!F$2:F$200,$A12))</f>
        <v>4.8</v>
      </c>
      <c r="D12" s="214">
        <f>IF($A12="","",SUMIFS('GECC 2026'!$AE$3:$AE$32,'GECC 2026'!$AD$3:$AD$32,$A12))</f>
        <v>16</v>
      </c>
      <c r="E12" s="203">
        <f>IF($A12="","",SUMIFS('GECC 2026'!J$2:J$200,'GECC 2026'!F$2:F$200,$A12)+SUMIFS('GECC 2026'!$AE$3:$AE$32,'GECC 2026'!$AD$3:$AD$32,$A12))</f>
        <v>36.799999999999997</v>
      </c>
      <c r="F12" s="99">
        <f>IF($A12="","",COUNTIFS('GECC 2026'!F$2:F$200,$A12))</f>
        <v>1</v>
      </c>
    </row>
    <row r="13" spans="1:7" x14ac:dyDescent="0.25">
      <c r="A13" t="str">
        <v>Cinthia Thais de Carvalho Luz Thomazi</v>
      </c>
      <c r="B13" s="101">
        <f>IF($A13="","",SUMIFS('GECC 2026'!H$2:H$200,'GECC 2026'!F$2:F$200,$A13))</f>
        <v>76</v>
      </c>
      <c r="C13" s="101">
        <f>IF($A13="","",SUMIFS('GECC 2026'!I$2:I$200,'GECC 2026'!F$2:F$200,$A13))</f>
        <v>11.879999999999999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87.88000000000001</v>
      </c>
      <c r="F13" s="99">
        <f>IF($A13="","",COUNTIFS('GECC 2026'!F$2:F$200,$A13))</f>
        <v>12</v>
      </c>
    </row>
    <row r="14" spans="1:7" x14ac:dyDescent="0.25">
      <c r="A14" t="str">
        <v>Davi Assunção Salvador Nery de Castro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David da Silva de Araújo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1.2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13.2</v>
      </c>
      <c r="F15" s="99">
        <f>IF($A15="","",COUNTIFS('GECC 2026'!F$2:F$200,$A15))</f>
        <v>1</v>
      </c>
    </row>
    <row r="16" spans="1:7" x14ac:dyDescent="0.25">
      <c r="A16" t="str">
        <v>Denise Duarte Guirra Kuhlmann</v>
      </c>
      <c r="B16" s="101">
        <f>IF($A16="","",SUMIFS('GECC 2026'!H$2:H$200,'GECC 2026'!F$2:F$200,$A16))</f>
        <v>12</v>
      </c>
      <c r="C16" s="101">
        <f>IF($A16="","",SUMIFS('GECC 2026'!I$2:I$200,'GECC 2026'!F$2:F$200,$A16))</f>
        <v>2.6399999999999997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14.64</v>
      </c>
      <c r="F16" s="99">
        <f>IF($A16="","",COUNTIFS('GECC 2026'!F$2:F$200,$A16))</f>
        <v>3</v>
      </c>
    </row>
    <row r="17" spans="1:6" x14ac:dyDescent="0.25">
      <c r="A17" t="str">
        <v>Diversos</v>
      </c>
      <c r="B17" s="101">
        <f>IF($A17="","",SUMIFS('GECC 2026'!H$2:H$200,'GECC 2026'!F$2:F$200,$A17))</f>
        <v>24</v>
      </c>
      <c r="C17" s="101">
        <f>IF($A17="","",SUMIFS('GECC 2026'!I$2:I$200,'GECC 2026'!F$2:F$200,$A17))</f>
        <v>7.2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31.2</v>
      </c>
      <c r="F17" s="99">
        <f>IF($A17="","",COUNTIFS('GECC 2026'!F$2:F$200,$A17))</f>
        <v>2</v>
      </c>
    </row>
    <row r="18" spans="1:6" x14ac:dyDescent="0.25">
      <c r="A18" t="str">
        <v>Douglas Vieira Silva Filho</v>
      </c>
      <c r="B18" s="101">
        <f>IF($A18="","",SUMIFS('GECC 2026'!H$2:H$200,'GECC 2026'!F$2:F$200,$A18))</f>
        <v>4</v>
      </c>
      <c r="C18" s="101">
        <f>IF($A18="","",SUMIFS('GECC 2026'!I$2:I$200,'GECC 2026'!F$2:F$200,$A18))</f>
        <v>0.6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4.5999999999999996</v>
      </c>
      <c r="F18" s="99">
        <f>IF($A18="","",COUNTIFS('GECC 2026'!F$2:F$200,$A18))</f>
        <v>1</v>
      </c>
    </row>
    <row r="19" spans="1:6" x14ac:dyDescent="0.25">
      <c r="A19" t="str">
        <v>Elvis Aaron Teixeira dos Santos Lima</v>
      </c>
      <c r="B19" s="101">
        <f>IF($A19="","",SUMIFS('GECC 2026'!H$2:H$200,'GECC 2026'!F$2:F$200,$A19))</f>
        <v>0</v>
      </c>
      <c r="C19" s="101">
        <f>IF($A19="","",SUMIFS('GECC 2026'!I$2:I$200,'GECC 2026'!F$2:F$200,$A19))</f>
        <v>0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0</v>
      </c>
      <c r="F19" s="99">
        <f>IF($A19="","",COUNTIFS('GECC 2026'!F$2:F$200,$A19))</f>
        <v>1</v>
      </c>
    </row>
    <row r="20" spans="1:6" x14ac:dyDescent="0.25">
      <c r="A20" t="str">
        <v>Eustáquio Rabelo de Souza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Felipe da Costa Malaquias</v>
      </c>
      <c r="B21" s="101">
        <f>IF($A21="","",SUMIFS('GECC 2026'!H$2:H$200,'GECC 2026'!F$2:F$200,$A21))</f>
        <v>25.45</v>
      </c>
      <c r="C21" s="101">
        <f>IF($A21="","",SUMIFS('GECC 2026'!I$2:I$200,'GECC 2026'!F$2:F$200,$A21))</f>
        <v>7.6349999999999998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33.085000000000001</v>
      </c>
      <c r="F21" s="99">
        <f>IF($A21="","",COUNTIFS('GECC 2026'!F$2:F$200,$A21))</f>
        <v>2</v>
      </c>
    </row>
    <row r="22" spans="1:6" x14ac:dyDescent="0.25">
      <c r="A22" t="str">
        <v>Felipe Ramos Barbosa</v>
      </c>
      <c r="B22" s="101">
        <f>IF($A22="","",SUMIFS('GECC 2026'!H$2:H$200,'GECC 2026'!F$2:F$200,$A22))</f>
        <v>8</v>
      </c>
      <c r="C22" s="101">
        <f>IF($A22="","",SUMIFS('GECC 2026'!I$2:I$200,'GECC 2026'!F$2:F$200,$A22))</f>
        <v>0.24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8.24</v>
      </c>
      <c r="F22" s="99">
        <f>IF($A22="","",COUNTIFS('GECC 2026'!F$2:F$200,$A22))</f>
        <v>1</v>
      </c>
    </row>
    <row r="23" spans="1:6" x14ac:dyDescent="0.25">
      <c r="A23" t="str">
        <v>Fernanda Viana de Souza</v>
      </c>
      <c r="B23" s="101">
        <f>IF($A23="","",SUMIFS('GECC 2026'!H$2:H$200,'GECC 2026'!F$2:F$200,$A23))</f>
        <v>39</v>
      </c>
      <c r="C23" s="101">
        <f>IF($A23="","",SUMIFS('GECC 2026'!I$2:I$200,'GECC 2026'!F$2:F$200,$A23))</f>
        <v>8.370000000000001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47.370000000000012</v>
      </c>
      <c r="F23" s="99">
        <f>IF($A23="","",COUNTIFS('GECC 2026'!F$2:F$200,$A23))</f>
        <v>10</v>
      </c>
    </row>
    <row r="24" spans="1:6" x14ac:dyDescent="0.25">
      <c r="A24" t="str">
        <v>Flávio José Fonseca de Souza</v>
      </c>
      <c r="B24" s="101">
        <f>IF($A24="","",SUMIFS('GECC 2026'!H$2:H$200,'GECC 2026'!F$2:F$200,$A24))</f>
        <v>25.45</v>
      </c>
      <c r="C24" s="101">
        <f>IF($A24="","",SUMIFS('GECC 2026'!I$2:I$200,'GECC 2026'!F$2:F$200,$A24))</f>
        <v>7.6349999999999998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33.085000000000001</v>
      </c>
      <c r="F24" s="99">
        <f>IF($A24="","",COUNTIFS('GECC 2026'!F$2:F$200,$A24))</f>
        <v>2</v>
      </c>
    </row>
    <row r="25" spans="1:6" x14ac:dyDescent="0.25">
      <c r="A25" t="str">
        <v>Gabriel Heller</v>
      </c>
      <c r="B25" s="101">
        <f>IF($A25="","",SUMIFS('GECC 2026'!H$2:H$200,'GECC 2026'!F$2:F$200,$A25))</f>
        <v>28</v>
      </c>
      <c r="C25" s="101">
        <f>IF($A25="","",SUMIFS('GECC 2026'!I$2:I$200,'GECC 2026'!F$2:F$200,$A25))</f>
        <v>5.52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33.520000000000003</v>
      </c>
      <c r="F25" s="99">
        <f>IF($A25="","",COUNTIFS('GECC 2026'!F$2:F$200,$A25))</f>
        <v>2</v>
      </c>
    </row>
    <row r="26" spans="1:6" x14ac:dyDescent="0.25">
      <c r="A26" t="str">
        <v>Guilherme Bride Fernandes</v>
      </c>
      <c r="B26" s="101">
        <f>IF($A26="","",SUMIFS('GECC 2026'!H$2:H$200,'GECC 2026'!F$2:F$200,$A26))</f>
        <v>8</v>
      </c>
      <c r="C26" s="101">
        <f>IF($A26="","",SUMIFS('GECC 2026'!I$2:I$200,'GECC 2026'!F$2:F$200,$A26))</f>
        <v>0.24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8.24</v>
      </c>
      <c r="F26" s="99">
        <f>IF($A26="","",COUNTIFS('GECC 2026'!F$2:F$200,$A26))</f>
        <v>1</v>
      </c>
    </row>
    <row r="27" spans="1:6" x14ac:dyDescent="0.25">
      <c r="A27" t="str">
        <v>Gustavo Takahashi</v>
      </c>
      <c r="B27" s="101">
        <f>IF($A27="","",SUMIFS('GECC 2026'!H$2:H$200,'GECC 2026'!F$2:F$200,$A27))</f>
        <v>33</v>
      </c>
      <c r="C27" s="101">
        <f>IF($A27="","",SUMIFS('GECC 2026'!I$2:I$200,'GECC 2026'!F$2:F$200,$A27))</f>
        <v>3.5999999999999996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36.599999999999994</v>
      </c>
      <c r="F27" s="99">
        <f>IF($A27="","",COUNTIFS('GECC 2026'!F$2:F$200,$A27))</f>
        <v>5</v>
      </c>
    </row>
    <row r="28" spans="1:6" x14ac:dyDescent="0.25">
      <c r="A28" t="str">
        <v>Hamilton de Jesus Lopes Neto</v>
      </c>
      <c r="B28" s="101">
        <f>IF($A28="","",SUMIFS('GECC 2026'!H$2:H$200,'GECC 2026'!F$2:F$200,$A28))</f>
        <v>12</v>
      </c>
      <c r="C28" s="101">
        <f>IF($A28="","",SUMIFS('GECC 2026'!I$2:I$200,'GECC 2026'!F$2:F$200,$A28))</f>
        <v>1.2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13.2</v>
      </c>
      <c r="F28" s="99">
        <f>IF($A28="","",COUNTIFS('GECC 2026'!F$2:F$200,$A28))</f>
        <v>1</v>
      </c>
    </row>
    <row r="29" spans="1:6" x14ac:dyDescent="0.25">
      <c r="A29" t="str">
        <v>Igor Queiroz</v>
      </c>
      <c r="B29" s="101">
        <f>IF($A29="","",SUMIFS('GECC 2026'!H$2:H$200,'GECC 2026'!F$2:F$200,$A29))</f>
        <v>8</v>
      </c>
      <c r="C29" s="101">
        <f>IF($A29="","",SUMIFS('GECC 2026'!I$2:I$200,'GECC 2026'!F$2:F$200,$A29))</f>
        <v>0.24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8.24</v>
      </c>
      <c r="F29" s="99">
        <f>IF($A29="","",COUNTIFS('GECC 2026'!F$2:F$200,$A29))</f>
        <v>1</v>
      </c>
    </row>
    <row r="30" spans="1:6" x14ac:dyDescent="0.25">
      <c r="A30" t="str">
        <v>Indio Artiaga do Brasil Rabelo</v>
      </c>
      <c r="B30" s="101">
        <f>IF($A30="","",SUMIFS('GECC 2026'!H$2:H$200,'GECC 2026'!F$2:F$200,$A30))</f>
        <v>16</v>
      </c>
      <c r="C30" s="101">
        <f>IF($A30="","",SUMIFS('GECC 2026'!I$2:I$200,'GECC 2026'!F$2:F$200,$A30))</f>
        <v>2.4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18.399999999999999</v>
      </c>
      <c r="F30" s="99">
        <f>IF($A30="","",COUNTIFS('GECC 2026'!F$2:F$200,$A30))</f>
        <v>2</v>
      </c>
    </row>
    <row r="31" spans="1:6" x14ac:dyDescent="0.25">
      <c r="A31" t="str">
        <v>Jamile Medeiros Fon</v>
      </c>
      <c r="B31" s="101">
        <f>IF($A31="","",SUMIFS('GECC 2026'!H$2:H$200,'GECC 2026'!F$2:F$200,$A31))</f>
        <v>4</v>
      </c>
      <c r="C31" s="101">
        <f>IF($A31="","",SUMIFS('GECC 2026'!I$2:I$200,'GECC 2026'!F$2:F$200,$A31))</f>
        <v>0.6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4.5999999999999996</v>
      </c>
      <c r="F31" s="99">
        <f>IF($A31="","",COUNTIFS('GECC 2026'!F$2:F$200,$A31))</f>
        <v>1</v>
      </c>
    </row>
    <row r="32" spans="1:6" x14ac:dyDescent="0.25">
      <c r="A32" t="str">
        <v>José Roberto Alcuri Júnior</v>
      </c>
      <c r="B32" s="101">
        <f>IF($A32="","",SUMIFS('GECC 2026'!H$2:H$200,'GECC 2026'!F$2:F$200,$A32))</f>
        <v>12</v>
      </c>
      <c r="C32" s="101">
        <f>IF($A32="","",SUMIFS('GECC 2026'!I$2:I$200,'GECC 2026'!F$2:F$200,$A32))</f>
        <v>0.84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12.84</v>
      </c>
      <c r="F32" s="99">
        <f>IF($A32="","",COUNTIFS('GECC 2026'!F$2:F$200,$A32))</f>
        <v>2</v>
      </c>
    </row>
    <row r="33" spans="1:6" x14ac:dyDescent="0.25">
      <c r="A33" t="str">
        <v>Leonardo de Melo</v>
      </c>
      <c r="B33" s="101">
        <f>IF($A33="","",SUMIFS('GECC 2026'!H$2:H$200,'GECC 2026'!F$2:F$200,$A33))</f>
        <v>16</v>
      </c>
      <c r="C33" s="101">
        <f>IF($A33="","",SUMIFS('GECC 2026'!I$2:I$200,'GECC 2026'!F$2:F$200,$A33))</f>
        <v>2.4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18.399999999999999</v>
      </c>
      <c r="F33" s="99">
        <f>IF($A33="","",COUNTIFS('GECC 2026'!F$2:F$200,$A33))</f>
        <v>2</v>
      </c>
    </row>
    <row r="34" spans="1:6" x14ac:dyDescent="0.25">
      <c r="A34" t="str">
        <v>Leonardo José Alves Leal Neri</v>
      </c>
      <c r="B34" s="101">
        <f>IF($A34="","",SUMIFS('GECC 2026'!H$2:H$200,'GECC 2026'!F$2:F$200,$A34))</f>
        <v>40</v>
      </c>
      <c r="C34" s="101">
        <f>IF($A34="","",SUMIFS('GECC 2026'!I$2:I$200,'GECC 2026'!F$2:F$200,$A34))</f>
        <v>12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52</v>
      </c>
      <c r="F34" s="99">
        <f>IF($A34="","",COUNTIFS('GECC 2026'!F$2:F$200,$A34))</f>
        <v>2</v>
      </c>
    </row>
    <row r="35" spans="1:6" x14ac:dyDescent="0.25">
      <c r="A35" t="str">
        <v>Luciana Alvim</v>
      </c>
      <c r="B35" s="101">
        <f>IF($A35="","",SUMIFS('GECC 2026'!H$2:H$200,'GECC 2026'!F$2:F$200,$A35))</f>
        <v>60</v>
      </c>
      <c r="C35" s="101">
        <f>IF($A35="","",SUMIFS('GECC 2026'!I$2:I$200,'GECC 2026'!F$2:F$200,$A35))</f>
        <v>74</v>
      </c>
      <c r="D35" s="214">
        <f>IF($A35="","",SUMIFS('GECC 2026'!$AE$3:$AE$32,'GECC 2026'!$AD$3:$AD$32,$A35))</f>
        <v>0</v>
      </c>
      <c r="E35" s="203">
        <f>IF($A35="","",SUMIFS('GECC 2026'!J$2:J$200,'GECC 2026'!F$2:F$200,$A35)+SUMIFS('GECC 2026'!$AE$3:$AE$32,'GECC 2026'!$AD$3:$AD$32,$A35))</f>
        <v>134</v>
      </c>
      <c r="F35" s="99">
        <f>IF($A35="","",COUNTIFS('GECC 2026'!F$2:F$200,$A35))</f>
        <v>6</v>
      </c>
    </row>
    <row r="36" spans="1:6" x14ac:dyDescent="0.25">
      <c r="A36" t="str">
        <v>Luiz Felipe Tenório de Lima Gondim</v>
      </c>
      <c r="B36" s="101">
        <f>IF($A36="","",SUMIFS('GECC 2026'!H$2:H$200,'GECC 2026'!F$2:F$200,$A36))</f>
        <v>24</v>
      </c>
      <c r="C36" s="101">
        <f>IF($A36="","",SUMIFS('GECC 2026'!I$2:I$200,'GECC 2026'!F$2:F$200,$A36))</f>
        <v>5.28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29.279999999999998</v>
      </c>
      <c r="F36" s="99">
        <f>IF($A36="","",COUNTIFS('GECC 2026'!F$2:F$200,$A36))</f>
        <v>6</v>
      </c>
    </row>
    <row r="37" spans="1:6" x14ac:dyDescent="0.25">
      <c r="A37" t="str">
        <v>Marcelo Bálbio Moraes</v>
      </c>
      <c r="B37" s="101">
        <f>IF($A37="","",SUMIFS('GECC 2026'!H$2:H$200,'GECC 2026'!F$2:F$200,$A37))</f>
        <v>0</v>
      </c>
      <c r="C37" s="101">
        <f>IF($A37="","",SUMIFS('GECC 2026'!I$2:I$200,'GECC 2026'!F$2:F$200,$A37))</f>
        <v>0</v>
      </c>
      <c r="D37" s="214">
        <f>IF($A37="","",SUMIFS('GECC 2026'!$AE$3:$AE$32,'GECC 2026'!$AD$3:$AD$32,$A37))</f>
        <v>16</v>
      </c>
      <c r="E37" s="203">
        <f>IF($A37="","",SUMIFS('GECC 2026'!J$2:J$200,'GECC 2026'!F$2:F$200,$A37)+SUMIFS('GECC 2026'!$AE$3:$AE$32,'GECC 2026'!$AD$3:$AD$32,$A37))</f>
        <v>16</v>
      </c>
      <c r="F37" s="99">
        <f>IF($A37="","",COUNTIFS('GECC 2026'!F$2:F$200,$A37))</f>
        <v>0</v>
      </c>
    </row>
    <row r="38" spans="1:6" x14ac:dyDescent="0.25">
      <c r="A38" t="str">
        <v>Marcelo Santana</v>
      </c>
      <c r="B38" s="101">
        <f>IF($A38="","",SUMIFS('GECC 2026'!H$2:H$200,'GECC 2026'!F$2:F$200,$A38))</f>
        <v>8</v>
      </c>
      <c r="C38" s="101">
        <f>IF($A38="","",SUMIFS('GECC 2026'!I$2:I$200,'GECC 2026'!F$2:F$200,$A38))</f>
        <v>0.24</v>
      </c>
      <c r="D38" s="214">
        <f>IF($A38="","",SUMIFS('GECC 2026'!$AE$3:$AE$32,'GECC 2026'!$AD$3:$AD$32,$A38))</f>
        <v>0</v>
      </c>
      <c r="E38" s="203">
        <f>IF($A38="","",SUMIFS('GECC 2026'!J$2:J$200,'GECC 2026'!F$2:F$200,$A38)+SUMIFS('GECC 2026'!$AE$3:$AE$32,'GECC 2026'!$AD$3:$AD$32,$A38))</f>
        <v>8.24</v>
      </c>
      <c r="F38" s="99">
        <f>IF($A38="","",COUNTIFS('GECC 2026'!F$2:F$200,$A38))</f>
        <v>1</v>
      </c>
    </row>
    <row r="39" spans="1:6" x14ac:dyDescent="0.25">
      <c r="A39" t="str">
        <v>Marcelo Silva Santana</v>
      </c>
      <c r="B39" s="101">
        <f>IF($A39="","",SUMIFS('GECC 2026'!H$2:H$200,'GECC 2026'!F$2:F$200,$A39))</f>
        <v>4</v>
      </c>
      <c r="C39" s="101">
        <f>IF($A39="","",SUMIFS('GECC 2026'!I$2:I$200,'GECC 2026'!F$2:F$200,$A39))</f>
        <v>0.6</v>
      </c>
      <c r="D39" s="214">
        <f>IF($A39="","",SUMIFS('GECC 2026'!$AE$3:$AE$32,'GECC 2026'!$AD$3:$AD$32,$A39))</f>
        <v>0</v>
      </c>
      <c r="E39" s="203">
        <f>IF($A39="","",SUMIFS('GECC 2026'!J$2:J$200,'GECC 2026'!F$2:F$200,$A39)+SUMIFS('GECC 2026'!$AE$3:$AE$32,'GECC 2026'!$AD$3:$AD$32,$A39))</f>
        <v>4.5999999999999996</v>
      </c>
      <c r="F39" s="99">
        <f>IF($A39="","",COUNTIFS('GECC 2026'!F$2:F$200,$A39))</f>
        <v>1</v>
      </c>
    </row>
    <row r="40" spans="1:6" x14ac:dyDescent="0.25">
      <c r="A40" t="str">
        <v>Mauri Siqueira Montessi</v>
      </c>
      <c r="B40" s="101">
        <f>IF($A40="","",SUMIFS('GECC 2026'!H$2:H$200,'GECC 2026'!F$2:F$200,$A40))</f>
        <v>0</v>
      </c>
      <c r="C40" s="101">
        <f>IF($A40="","",SUMIFS('GECC 2026'!I$2:I$200,'GECC 2026'!F$2:F$200,$A40))</f>
        <v>0</v>
      </c>
      <c r="D40" s="214">
        <f>IF($A40="","",SUMIFS('GECC 2026'!$AE$3:$AE$32,'GECC 2026'!$AD$3:$AD$32,$A40))</f>
        <v>16</v>
      </c>
      <c r="E40" s="203">
        <f>IF($A40="","",SUMIFS('GECC 2026'!J$2:J$200,'GECC 2026'!F$2:F$200,$A40)+SUMIFS('GECC 2026'!$AE$3:$AE$32,'GECC 2026'!$AD$3:$AD$32,$A40))</f>
        <v>16</v>
      </c>
      <c r="F40" s="99">
        <f>IF($A40="","",COUNTIFS('GECC 2026'!F$2:F$200,$A40))</f>
        <v>0</v>
      </c>
    </row>
    <row r="41" spans="1:6" x14ac:dyDescent="0.25">
      <c r="A41" t="str">
        <v>Michel Martins de Morais</v>
      </c>
      <c r="B41" s="101">
        <f>IF($A41="","",SUMIFS('GECC 2026'!H$2:H$200,'GECC 2026'!F$2:F$200,$A41))</f>
        <v>0</v>
      </c>
      <c r="C41" s="101">
        <f>IF($A41="","",SUMIFS('GECC 2026'!I$2:I$200,'GECC 2026'!F$2:F$200,$A41))</f>
        <v>0</v>
      </c>
      <c r="D41" s="214">
        <f>IF($A41="","",SUMIFS('GECC 2026'!$AE$3:$AE$32,'GECC 2026'!$AD$3:$AD$32,$A41))</f>
        <v>16</v>
      </c>
      <c r="E41" s="203">
        <f>IF($A41="","",SUMIFS('GECC 2026'!J$2:J$200,'GECC 2026'!F$2:F$200,$A41)+SUMIFS('GECC 2026'!$AE$3:$AE$32,'GECC 2026'!$AD$3:$AD$32,$A41))</f>
        <v>16</v>
      </c>
      <c r="F41" s="99">
        <f>IF($A41="","",COUNTIFS('GECC 2026'!F$2:F$200,$A41))</f>
        <v>0</v>
      </c>
    </row>
    <row r="42" spans="1:6" x14ac:dyDescent="0.25">
      <c r="A42" t="str">
        <v>Paulo José Góes Daltro</v>
      </c>
      <c r="B42" s="101">
        <f>IF($A42="","",SUMIFS('GECC 2026'!H$2:H$200,'GECC 2026'!F$2:F$200,$A42))</f>
        <v>43</v>
      </c>
      <c r="C42" s="101">
        <f>IF($A42="","",SUMIFS('GECC 2026'!I$2:I$200,'GECC 2026'!F$2:F$200,$A42))</f>
        <v>12.899999999999999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55.9</v>
      </c>
      <c r="F42" s="99">
        <f>IF($A42="","",COUNTIFS('GECC 2026'!F$2:F$200,$A42))</f>
        <v>4</v>
      </c>
    </row>
    <row r="43" spans="1:6" x14ac:dyDescent="0.25">
      <c r="A43" t="str">
        <v>Priscila Nolasco de Oliveira</v>
      </c>
      <c r="B43" s="101">
        <f>IF($A43="","",SUMIFS('GECC 2026'!H$2:H$200,'GECC 2026'!F$2:F$200,$A43))</f>
        <v>36</v>
      </c>
      <c r="C43" s="101">
        <f>IF($A43="","",SUMIFS('GECC 2026'!I$2:I$200,'GECC 2026'!F$2:F$200,$A43))</f>
        <v>6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42.000000000000007</v>
      </c>
      <c r="F43" s="99">
        <f>IF($A43="","",COUNTIFS('GECC 2026'!F$2:F$200,$A43))</f>
        <v>9</v>
      </c>
    </row>
    <row r="44" spans="1:6" x14ac:dyDescent="0.25">
      <c r="A44" t="str">
        <v>Reinaldo Alencar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Renan Dias da Silva</v>
      </c>
      <c r="B45" s="101">
        <f>IF($A45="","",SUMIFS('GECC 2026'!H$2:H$200,'GECC 2026'!F$2:F$200,$A45))</f>
        <v>4</v>
      </c>
      <c r="C45" s="101">
        <f>IF($A45="","",SUMIFS('GECC 2026'!I$2:I$200,'GECC 2026'!F$2:F$200,$A45))</f>
        <v>1.2</v>
      </c>
      <c r="D45" s="214">
        <f>IF($A45="","",SUMIFS('GECC 2026'!$AE$3:$AE$32,'GECC 2026'!$AD$3:$AD$32,$A45))</f>
        <v>0</v>
      </c>
      <c r="E45" s="203">
        <f>IF($A45="","",SUMIFS('GECC 2026'!J$2:J$200,'GECC 2026'!F$2:F$200,$A45)+SUMIFS('GECC 2026'!$AE$3:$AE$32,'GECC 2026'!$AD$3:$AD$32,$A45))</f>
        <v>5.2</v>
      </c>
      <c r="F45" s="99">
        <f>IF($A45="","",COUNTIFS('GECC 2026'!F$2:F$200,$A45))</f>
        <v>1</v>
      </c>
    </row>
    <row r="46" spans="1:6" x14ac:dyDescent="0.25">
      <c r="A46" t="str">
        <v>Rogério Ribeiro</v>
      </c>
      <c r="B46" s="101">
        <f>IF($A46="","",SUMIFS('GECC 2026'!H$2:H$200,'GECC 2026'!F$2:F$200,$A46))</f>
        <v>56</v>
      </c>
      <c r="C46" s="101">
        <f>IF($A46="","",SUMIFS('GECC 2026'!I$2:I$200,'GECC 2026'!F$2:F$200,$A46))</f>
        <v>7.3199999999999994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63.32</v>
      </c>
      <c r="F46" s="99">
        <f>IF($A46="","",COUNTIFS('GECC 2026'!F$2:F$200,$A46))</f>
        <v>3</v>
      </c>
    </row>
    <row r="47" spans="1:6" x14ac:dyDescent="0.25">
      <c r="A47" t="str">
        <v>Rômulo Miranda Alvim</v>
      </c>
      <c r="B47" s="101">
        <f>IF($A47="","",SUMIFS('GECC 2026'!H$2:H$200,'GECC 2026'!F$2:F$200,$A47))</f>
        <v>32</v>
      </c>
      <c r="C47" s="101">
        <f>IF($A47="","",SUMIFS('GECC 2026'!I$2:I$200,'GECC 2026'!F$2:F$200,$A47))</f>
        <v>3.7199999999999998</v>
      </c>
      <c r="D47" s="214">
        <f>IF($A47="","",SUMIFS('GECC 2026'!$AE$3:$AE$32,'GECC 2026'!$AD$3:$AD$32,$A47))</f>
        <v>16</v>
      </c>
      <c r="E47" s="203">
        <f>IF($A47="","",SUMIFS('GECC 2026'!J$2:J$200,'GECC 2026'!F$2:F$200,$A47)+SUMIFS('GECC 2026'!$AE$3:$AE$32,'GECC 2026'!$AD$3:$AD$32,$A47))</f>
        <v>51.72</v>
      </c>
      <c r="F47" s="99">
        <f>IF($A47="","",COUNTIFS('GECC 2026'!F$2:F$200,$A47))</f>
        <v>2</v>
      </c>
    </row>
    <row r="48" spans="1:6" x14ac:dyDescent="0.25">
      <c r="A48" t="str">
        <v>Sara Cristina Lins Ramos</v>
      </c>
      <c r="B48" s="101">
        <f>IF($A48="","",SUMIFS('GECC 2026'!H$2:H$200,'GECC 2026'!F$2:F$200,$A48))</f>
        <v>8</v>
      </c>
      <c r="C48" s="101">
        <f>IF($A48="","",SUMIFS('GECC 2026'!I$2:I$200,'GECC 2026'!F$2:F$200,$A48))</f>
        <v>2.4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10.4</v>
      </c>
      <c r="F48" s="99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101">
        <f>IF($A49="","",SUMIFS('GECC 2026'!H$2:H$200,'GECC 2026'!F$2:F$200,$A49))</f>
        <v>0</v>
      </c>
      <c r="C49" s="101">
        <f>IF($A49="","",SUMIFS('GECC 2026'!I$2:I$200,'GECC 2026'!F$2:F$200,$A49))</f>
        <v>0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0</v>
      </c>
      <c r="F49" s="99">
        <f>IF($A49="","",COUNTIFS('GECC 2026'!F$2:F$200,$A49))</f>
        <v>1</v>
      </c>
    </row>
    <row r="50" spans="1:6" x14ac:dyDescent="0.25">
      <c r="A50" t="str">
        <v>Silvia Lima Damasceno Carvalho</v>
      </c>
      <c r="B50" s="101">
        <f>IF($A50="","",SUMIFS('GECC 2026'!H$2:H$200,'GECC 2026'!F$2:F$200,$A50))</f>
        <v>28</v>
      </c>
      <c r="C50" s="101">
        <f>IF($A50="","",SUMIFS('GECC 2026'!I$2:I$200,'GECC 2026'!F$2:F$200,$A50))</f>
        <v>3.84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31.84</v>
      </c>
      <c r="F50" s="99">
        <f>IF($A50="","",COUNTIFS('GECC 2026'!F$2:F$200,$A50))</f>
        <v>6</v>
      </c>
    </row>
    <row r="51" spans="1:6" x14ac:dyDescent="0.25">
      <c r="A51" t="str">
        <v>Tarsila Firmino Ely</v>
      </c>
      <c r="B51" s="101">
        <f>IF($A51="","",SUMIFS('GECC 2026'!H$2:H$200,'GECC 2026'!F$2:F$200,$A51))</f>
        <v>76</v>
      </c>
      <c r="C51" s="101">
        <f>IF($A51="","",SUMIFS('GECC 2026'!I$2:I$200,'GECC 2026'!F$2:F$200,$A51))</f>
        <v>79.999999999999986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155.99999999999997</v>
      </c>
      <c r="F51" s="99">
        <f>IF($A51="","",COUNTIFS('GECC 2026'!F$2:F$200,$A51))</f>
        <v>6</v>
      </c>
    </row>
    <row r="52" spans="1:6" x14ac:dyDescent="0.25">
      <c r="A52" t="str">
        <v>Thiago Magalhães de Oliveira</v>
      </c>
      <c r="B52" s="101">
        <f>IF($A52="","",SUMIFS('GECC 2026'!H$2:H$200,'GECC 2026'!F$2:F$200,$A52))</f>
        <v>4</v>
      </c>
      <c r="C52" s="101">
        <f>IF($A52="","",SUMIFS('GECC 2026'!I$2:I$200,'GECC 2026'!F$2:F$200,$A52))</f>
        <v>0.6</v>
      </c>
      <c r="D52" s="214">
        <f>IF($A52="","",SUMIFS('GECC 2026'!$AE$3:$AE$32,'GECC 2026'!$AD$3:$AD$32,$A52))</f>
        <v>0</v>
      </c>
      <c r="E52" s="203">
        <f>IF($A52="","",SUMIFS('GECC 2026'!J$2:J$200,'GECC 2026'!F$2:F$200,$A52)+SUMIFS('GECC 2026'!$AE$3:$AE$32,'GECC 2026'!$AD$3:$AD$32,$A52))</f>
        <v>4.5999999999999996</v>
      </c>
      <c r="F52" s="99">
        <f>IF($A52="","",COUNTIFS('GECC 2026'!F$2:F$200,$A52))</f>
        <v>1</v>
      </c>
    </row>
    <row r="53" spans="1:6" x14ac:dyDescent="0.25">
      <c r="A53" t="str">
        <v>Túllio Herbeth Teixeira Moraes</v>
      </c>
      <c r="B53" s="101">
        <f>IF($A53="","",SUMIFS('GECC 2026'!H$2:H$200,'GECC 2026'!F$2:F$200,$A53))</f>
        <v>3</v>
      </c>
      <c r="C53" s="101">
        <f>IF($A53="","",SUMIFS('GECC 2026'!I$2:I$200,'GECC 2026'!F$2:F$200,$A53))</f>
        <v>0.44999999999999996</v>
      </c>
      <c r="D53" s="214">
        <f>IF($A53="","",SUMIFS('GECC 2026'!$AE$3:$AE$32,'GECC 2026'!$AD$3:$AD$32,$A53))</f>
        <v>0</v>
      </c>
      <c r="E53" s="203">
        <f>IF($A53="","",SUMIFS('GECC 2026'!J$2:J$200,'GECC 2026'!F$2:F$200,$A53)+SUMIFS('GECC 2026'!$AE$3:$AE$32,'GECC 2026'!$AD$3:$AD$32,$A53))</f>
        <v>3.45</v>
      </c>
      <c r="F53" s="99">
        <f>IF($A53="","",COUNTIFS('GECC 2026'!F$2:F$200,$A53))</f>
        <v>1</v>
      </c>
    </row>
    <row r="54" spans="1:6" x14ac:dyDescent="0.25">
      <c r="A54" t="str">
        <v>Wibys Pereira</v>
      </c>
      <c r="B54" s="101">
        <f>IF($A54="","",SUMIFS('GECC 2026'!H$2:H$200,'GECC 2026'!F$2:F$200,$A54))</f>
        <v>4</v>
      </c>
      <c r="C54" s="101">
        <f>IF($A54="","",SUMIFS('GECC 2026'!I$2:I$200,'GECC 2026'!F$2:F$200,$A54))</f>
        <v>0.6</v>
      </c>
      <c r="D54" s="214">
        <f>IF($A54="","",SUMIFS('GECC 2026'!$AE$3:$AE$32,'GECC 2026'!$AD$3:$AD$32,$A54))</f>
        <v>0</v>
      </c>
      <c r="E54" s="203">
        <f>IF($A54="","",SUMIFS('GECC 2026'!J$2:J$200,'GECC 2026'!F$2:F$200,$A54)+SUMIFS('GECC 2026'!$AE$3:$AE$32,'GECC 2026'!$AD$3:$AD$32,$A54))</f>
        <v>4.5999999999999996</v>
      </c>
      <c r="F54" s="99">
        <f>IF($A54="","",COUNTIFS('GECC 2026'!F$2:F$200,$A54))</f>
        <v>1</v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2305</v>
      </c>
      <c r="B105" s="205">
        <f>SUM(B5:B100)</f>
        <v>1017.9</v>
      </c>
      <c r="C105" s="205">
        <f>SUM(C5:C100)</f>
        <v>314.95000000000005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132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2026-07-28T18:08:24Z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