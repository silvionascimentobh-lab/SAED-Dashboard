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4" documentId="8_{454372C2-A99E-4E47-A759-72B38925853E}" xr6:coauthVersionLast="47" xr6:coauthVersionMax="47" xr10:uidLastSave="{64A1BABC-8AEA-491E-A8DF-F9A6E7393109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<sst xmlns="http://schemas.openxmlformats.org/spreadsheetml/2006/main" count="6238" uniqueCount="2408">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</sst>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2" activePane="bottomLeft" state="frozen"/>
      <selection pane="bottomLeft" activeCell="E717" sqref="E717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288" t="s">
        <v>2407</v>
      </c>
      <c r="F720" s="220" t="s">
        <v>51</v>
      </c>
      <c r="G720" s="217" t="s">
        <v>59</v>
      </c>
      <c r="H720" s="286" t="s">
        <v>2397</v>
      </c>
      <c r="I720" s="286" t="s">
        <v>2397</v>
      </c>
      <c r="J720" s="286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1" t="s">
        <v>2293</v>
      </c>
      <c r="B1" s="291"/>
      <c r="C1" s="291"/>
      <c r="D1" s="291"/>
      <c r="E1" s="291"/>
      <c r="F1" s="291"/>
      <c r="G1" s="291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2" t="s">
        <v>2294</v>
      </c>
      <c r="B4" s="293"/>
      <c r="D4" s="294" t="s">
        <v>2295</v>
      </c>
      <c r="E4" s="295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9" t="s">
        <v>2298</v>
      </c>
      <c r="B8" s="289"/>
      <c r="D8" s="289" t="s">
        <v>2299</v>
      </c>
      <c r="E8" s="289"/>
    </row>
    <row r="9" spans="1:7" ht="5.0999999999999996" customHeight="1" x14ac:dyDescent="0.25">
      <c r="A9" s="290"/>
      <c r="B9" s="290"/>
      <c r="D9" s="290"/>
      <c r="E9" s="290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89" t="s">
        <v>2308</v>
      </c>
      <c r="B30" s="289"/>
      <c r="C30" s="289"/>
      <c r="D30" s="289"/>
      <c r="E30" s="289"/>
    </row>
    <row r="31" spans="1:5" ht="5.0999999999999996" customHeight="1" x14ac:dyDescent="0.25">
      <c r="A31" s="290"/>
      <c r="B31" s="290"/>
      <c r="C31" s="290"/>
      <c r="D31" s="290"/>
      <c r="E31" s="290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6" t="s">
        <v>2358</v>
      </c>
      <c r="B1" s="296"/>
      <c r="C1" s="296"/>
      <c r="D1" s="296"/>
      <c r="E1" s="296"/>
      <c r="F1" s="296"/>
      <c r="G1" s="296"/>
      <c r="H1" s="296"/>
    </row>
    <row r="2" spans="1:8" x14ac:dyDescent="0.25">
      <c r="A2" s="130" t="s">
        <v>2359</v>
      </c>
    </row>
    <row r="4" spans="1:8" ht="21.95" customHeight="1" x14ac:dyDescent="0.25">
      <c r="A4" s="297" t="s">
        <v>2360</v>
      </c>
      <c r="B4" s="298"/>
      <c r="D4" s="297" t="s">
        <v>2361</v>
      </c>
      <c r="E4" s="298"/>
      <c r="G4" s="297" t="s">
        <v>2362</v>
      </c>
      <c r="H4" s="298"/>
    </row>
    <row r="5" spans="1:8" ht="35.1" customHeight="1" x14ac:dyDescent="0.25">
      <c r="A5" s="301">
        <f>COUNTIF('Ações InCompany'!E:E,"*maratona*")</f>
        <v>13</v>
      </c>
      <c r="B5" s="300"/>
      <c r="D5" s="299">
        <f>SUM(H8:H100)</f>
        <v>1762</v>
      </c>
      <c r="E5" s="300"/>
      <c r="G5" s="299">
        <f>IFERROR(ROUND(D5/A5,0),"-")</f>
        <v>136</v>
      </c>
      <c r="H5" s="300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2" t="s">
        <v>2368</v>
      </c>
      <c r="B1" s="302"/>
      <c r="C1" s="302"/>
      <c r="D1" s="302"/>
      <c r="E1" s="302"/>
      <c r="F1" s="302"/>
    </row>
    <row r="2" spans="1:7" x14ac:dyDescent="0.25">
      <c r="A2" s="303" t="s">
        <v>2369</v>
      </c>
      <c r="B2" s="303"/>
      <c r="C2" s="303"/>
      <c r="D2" s="303"/>
      <c r="E2" s="303"/>
      <c r="F2" s="303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2026-07-15T19:50:32Z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