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8" documentId="13_ncr:1_{6A2CC3E2-FAFB-4D8F-B284-5E8FB5045DFE}" xr6:coauthVersionLast="47" xr6:coauthVersionMax="47" xr10:uidLastSave="{A2DADDB5-C5DC-4258-896E-B174BA3DBE3A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<sst xmlns="http://schemas.openxmlformats.org/spreadsheetml/2006/main" count="7457" uniqueCount="3278">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</sst>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7" activePane="bottomLeft" state="frozen"/>
      <selection pane="bottomLeft" activeCell="C751" sqref="C657:C75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2949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2981</v>
      </c>
      <c r="U726" s="208"/>
    </row>
    <row r="727" spans="1:21" ht="15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2949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2949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2949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2949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2949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2949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2949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2949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2949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2949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3170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3171</v>
      </c>
      <c r="B4" s="223"/>
      <c r="D4" s="224" t="s">
        <v>3172</v>
      </c>
      <c r="E4" s="22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73</v>
      </c>
      <c r="E5" s="43" t="s">
        <v>3174</v>
      </c>
      <c r="G5" s="45">
        <f>COUNTIFS('Ações InCompany'!B:B,2026,'Ações InCompany'!C:C,"A realizar")</f>
        <v>13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3175</v>
      </c>
      <c r="B8" s="219"/>
      <c r="D8" s="219" t="s">
        <v>3176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3180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 x14ac:dyDescent="0.3">
      <c r="A14" s="32" t="s">
        <v>3183</v>
      </c>
      <c r="B14" s="33">
        <f>SUM(B11:B13)</f>
        <v>73</v>
      </c>
      <c r="D14" s="32" t="s">
        <v>3184</v>
      </c>
      <c r="E14" s="33">
        <f>SUM(E11:E13)</f>
        <v>3667</v>
      </c>
    </row>
    <row r="30" spans="1:5" ht="17.25" x14ac:dyDescent="0.3">
      <c r="A30" s="219" t="s">
        <v>3185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73</v>
      </c>
      <c r="C45" s="40">
        <f>SUM(C33:C44)</f>
        <v>13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3236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3237</v>
      </c>
    </row>
    <row r="4" spans="1:8" ht="21.95" customHeight="1" x14ac:dyDescent="0.25">
      <c r="A4" s="227" t="s">
        <v>3238</v>
      </c>
      <c r="B4" s="228"/>
      <c r="D4" s="227" t="s">
        <v>3239</v>
      </c>
      <c r="E4" s="228"/>
      <c r="G4" s="227" t="s">
        <v>3240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3246</v>
      </c>
      <c r="B1" s="232"/>
      <c r="C1" s="232"/>
      <c r="D1" s="232"/>
      <c r="E1" s="232"/>
      <c r="F1" s="232"/>
    </row>
    <row r="2" spans="1:7" x14ac:dyDescent="0.25">
      <c r="A2" s="233" t="s">
        <v>3247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91ce1707-6d34-452b-b217-9734c03e6729"/>
    <ds:schemaRef ds:uri="fe686eaa-0658-4f15-b230-9e46c4d089fd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2026-10-28T18:22:43Z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