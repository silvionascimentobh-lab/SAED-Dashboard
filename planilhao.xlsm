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2" documentId="13_ncr:1_{6A2CC3E2-FAFB-4D8F-B284-5E8FB5045DFE}" xr6:coauthVersionLast="47" xr6:coauthVersionMax="47" xr10:uidLastSave="{2A38CF5D-4252-4764-8AFB-8ABA24E1FD56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<sst xmlns="http://schemas.openxmlformats.org/spreadsheetml/2006/main" count="7259" uniqueCount="3189">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</sst>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553</c:v>
                </c:pt>
                <c:pt idx="1">
                  <c:v>847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92" activePane="bottomLeft" state="frozen"/>
      <selection pane="bottomLeft" activeCell="E704" sqref="E704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2566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46</v>
      </c>
      <c r="E5" s="44" t="s">
        <v>3085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553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3092</v>
      </c>
      <c r="E12" s="32">
        <f>SUMIFS('Ações InCompany'!P:P,'Ações InCompany'!B:B,2026,'Ações InCompany'!C:C,"Realizado")</f>
        <v>847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3094</v>
      </c>
      <c r="B14" s="34">
        <f>SUM(B11:B13)</f>
        <v>44</v>
      </c>
      <c r="D14" s="33" t="s">
        <v>3095</v>
      </c>
      <c r="E14" s="34">
        <f>SUM(E11:E13)</f>
        <v>1890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2026-08-14T17:03:18Z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