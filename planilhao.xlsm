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41" documentId="8_{454372C2-A99E-4E47-A759-72B38925853E}" xr6:coauthVersionLast="47" xr6:coauthVersionMax="47" xr10:uidLastSave="{11D43C96-ED1C-4009-8E2F-9F5A29C4F91B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4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47" i="23" l="1"/>
  <c r="E47" i="23"/>
  <c r="F47" i="23"/>
  <c r="C47" i="23"/>
  <c r="B47" i="23"/>
  <c r="B45" i="23" l="1"/>
  <c r="C45" i="23"/>
  <c r="F45" i="23"/>
  <c r="C46" i="23"/>
  <c r="F46" i="23"/>
  <c r="E46" i="23"/>
  <c r="E45" i="23"/>
  <c r="D45" i="23"/>
  <c r="B46" i="23"/>
  <c r="D46" i="23"/>
  <c r="B8" i="27" l="1"/>
  <c r="A8" i="27"/>
  <c r="L4" i="20"/>
  <c r="R4" i="20" s="1" a="1"/>
  <c r="R4" i="20" l="1"/>
  <c r="S4" i="20" s="1" a="1"/>
  <c r="S4" i="20" s="1"/>
  <c r="T4" i="20" s="1" a="1"/>
  <c r="T4" i="20" l="1"/>
  <c r="A2" i="20" s="1" a="1"/>
  <c r="A5" i="23" l="1" a="1"/>
  <c r="E105" i="23"/>
  <c r="A2" i="20"/>
  <c r="C35" i="23" l="1"/>
  <c r="E15" i="23"/>
  <c r="F9" i="23"/>
  <c r="B30" i="23"/>
  <c r="E34" i="23"/>
  <c r="F40" i="23"/>
  <c r="E18" i="23"/>
  <c r="B8" i="23"/>
  <c r="B35" i="23"/>
  <c r="E24" i="23"/>
  <c r="C24" i="23"/>
  <c r="E42" i="23"/>
  <c r="F18" i="23"/>
  <c r="C6" i="23"/>
  <c r="F41" i="23"/>
  <c r="C37" i="23"/>
  <c r="B22" i="23"/>
  <c r="E10" i="23"/>
  <c r="D23" i="23"/>
  <c r="C9" i="23"/>
  <c r="D29" i="23"/>
  <c r="D42" i="23"/>
  <c r="D17" i="23"/>
  <c r="E31" i="23"/>
  <c r="E19" i="23"/>
  <c r="B10" i="23"/>
  <c r="F11" i="23"/>
  <c r="B18" i="23"/>
  <c r="C19" i="23"/>
  <c r="F30" i="23"/>
  <c r="F34" i="23"/>
  <c r="B15" i="23"/>
  <c r="B16" i="23"/>
  <c r="C38" i="23"/>
  <c r="E21" i="23"/>
  <c r="B21" i="23"/>
  <c r="F39" i="23"/>
  <c r="B23" i="23"/>
  <c r="C31" i="23"/>
  <c r="E38" i="23"/>
  <c r="F7" i="23"/>
  <c r="C8" i="23"/>
  <c r="E36" i="23"/>
  <c r="F22" i="23"/>
  <c r="E33" i="23"/>
  <c r="C26" i="23"/>
  <c r="B9" i="23"/>
  <c r="F8" i="23"/>
  <c r="C32" i="23"/>
  <c r="E39" i="23"/>
  <c r="D7" i="23"/>
  <c r="D33" i="23"/>
  <c r="F20" i="23"/>
  <c r="C7" i="23"/>
  <c r="F37" i="23"/>
  <c r="E41" i="23"/>
  <c r="E37" i="23"/>
  <c r="F31" i="23"/>
  <c r="E22" i="23"/>
  <c r="D26" i="23"/>
  <c r="C41" i="23"/>
  <c r="C25" i="23"/>
  <c r="F42" i="23"/>
  <c r="C40" i="23"/>
  <c r="C20" i="23"/>
  <c r="E26" i="23"/>
  <c r="E8" i="23"/>
  <c r="F15" i="23"/>
  <c r="D35" i="23"/>
  <c r="D31" i="23"/>
  <c r="B44" i="23"/>
  <c r="F27" i="23"/>
  <c r="B41" i="23"/>
  <c r="C14" i="23"/>
  <c r="E20" i="23"/>
  <c r="D38" i="23"/>
  <c r="D37" i="23"/>
  <c r="C15" i="23"/>
  <c r="D32" i="23"/>
  <c r="B6" i="23"/>
  <c r="F23" i="23"/>
  <c r="C36" i="23"/>
  <c r="F38" i="23"/>
  <c r="B20" i="23"/>
  <c r="C39" i="23"/>
  <c r="D39" i="23"/>
  <c r="B34" i="23"/>
  <c r="C10" i="23"/>
  <c r="B27" i="23"/>
  <c r="F25" i="23"/>
  <c r="D34" i="23"/>
  <c r="F24" i="23"/>
  <c r="C30" i="23"/>
  <c r="C43" i="23"/>
  <c r="F16" i="23"/>
  <c r="E11" i="23"/>
  <c r="F19" i="23"/>
  <c r="B31" i="23"/>
  <c r="B33" i="23"/>
  <c r="B28" i="23"/>
  <c r="D6" i="23"/>
  <c r="F44" i="23"/>
  <c r="E16" i="23"/>
  <c r="F13" i="23"/>
  <c r="B29" i="23"/>
  <c r="E12" i="23"/>
  <c r="D8" i="23"/>
  <c r="E17" i="23"/>
  <c r="C22" i="23"/>
  <c r="B19" i="23"/>
  <c r="B37" i="23"/>
  <c r="F29" i="23"/>
  <c r="D41" i="23"/>
  <c r="F14" i="23"/>
  <c r="B13" i="23"/>
  <c r="B43" i="23"/>
  <c r="B39" i="23"/>
  <c r="E43" i="23"/>
  <c r="C34" i="23"/>
  <c r="B7" i="23"/>
  <c r="C28" i="23"/>
  <c r="E6" i="23"/>
  <c r="B24" i="23"/>
  <c r="B38" i="23"/>
  <c r="E7" i="23"/>
  <c r="E27" i="23"/>
  <c r="B11" i="23"/>
  <c r="C18" i="23"/>
  <c r="F28" i="23"/>
  <c r="D43" i="23"/>
  <c r="F36" i="23"/>
  <c r="D12" i="23"/>
  <c r="D25" i="23"/>
  <c r="F12" i="23"/>
  <c r="D13" i="23"/>
  <c r="B26" i="23"/>
  <c r="D15" i="23"/>
  <c r="B14" i="23"/>
  <c r="F6" i="23"/>
  <c r="C21" i="23"/>
  <c r="C44" i="23"/>
  <c r="D44" i="23"/>
  <c r="E14" i="23"/>
  <c r="D27" i="23"/>
  <c r="F26" i="23"/>
  <c r="F32" i="23"/>
  <c r="D18" i="23"/>
  <c r="D16" i="23"/>
  <c r="B25" i="23"/>
  <c r="D11" i="23"/>
  <c r="C23" i="23"/>
  <c r="B12" i="23"/>
  <c r="F43" i="23"/>
  <c r="D10" i="23"/>
  <c r="D14" i="23"/>
  <c r="B17" i="23"/>
  <c r="B36" i="23"/>
  <c r="D28" i="23"/>
  <c r="B32" i="23"/>
  <c r="E35" i="23"/>
  <c r="F21" i="23"/>
  <c r="D30" i="23"/>
  <c r="D21" i="23"/>
  <c r="E32" i="23"/>
  <c r="D19" i="23"/>
  <c r="E25" i="23"/>
  <c r="B40" i="23"/>
  <c r="C33" i="23"/>
  <c r="E44" i="23"/>
  <c r="D9" i="23"/>
  <c r="E23" i="23"/>
  <c r="F33" i="23"/>
  <c r="C27" i="23"/>
  <c r="D36" i="23"/>
  <c r="F35" i="23"/>
  <c r="C17" i="23"/>
  <c r="E28" i="23"/>
  <c r="E40" i="23"/>
  <c r="C13" i="23"/>
  <c r="B42" i="23"/>
  <c r="D24" i="23"/>
  <c r="D20" i="23"/>
  <c r="E30" i="23"/>
  <c r="C42" i="23"/>
  <c r="C11" i="23"/>
  <c r="D40" i="23"/>
  <c r="F17" i="23"/>
  <c r="E29" i="23"/>
  <c r="C29" i="23"/>
  <c r="E13" i="23"/>
  <c r="D22" i="23"/>
  <c r="E9" i="23"/>
  <c r="F10" i="23"/>
  <c r="C12" i="23"/>
  <c r="C16" i="23"/>
  <c r="A5" i="23"/>
  <c r="D5" i="23" l="1"/>
  <c r="G5" i="23"/>
  <c r="F5" i="23"/>
  <c r="F105" i="23" s="1"/>
  <c r="B5" i="23"/>
  <c r="B105" i="23" s="1"/>
  <c r="C5" i="23"/>
  <c r="C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<sst xmlns="http://schemas.openxmlformats.org/spreadsheetml/2006/main" count="6811" uniqueCount="3028">
  <si>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</si>
  <si>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</si>
  <si>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</si>
  <si>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</si>
  <si>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</si>
  <si>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</si>
  <si>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</si>
  <si>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</si>
  <si>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</si>
  <si>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</si>
  <si>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</si>
  <si>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</si>
  <si>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</si>
  <si>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</si>
  <si>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</si>
  <si>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</si>
  <si>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</si>
  <si>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</si>
  <si>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</si>
  <si>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</si>
  <si>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</si>
  <si>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</si>
  <si>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</si>
  <si>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</si>
  <si>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</si>
  <si>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</si>
  <si>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</si>
  <si>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2014-002</t>
  </si>
  <si>
    <t>procu</t>
  </si>
  <si>
    <t>ELABORAÇÃO DE PLANO DE AUDITORIA E MATRIZ DE PLANEJAMENTO</t>
  </si>
  <si>
    <t>14 e 14/04/2014</t>
  </si>
  <si>
    <t>2014-003</t>
  </si>
  <si>
    <t>CURSO DE EXCEL AVANÇADO</t>
  </si>
  <si>
    <t>Mineração e Análise de Dados</t>
  </si>
  <si>
    <t>02 a 09/06/2014</t>
  </si>
  <si>
    <t>Instrutoria Interna</t>
  </si>
  <si>
    <t>2014-004</t>
  </si>
  <si>
    <t>REGIME DIFERENCIADO DE CONTRATAÇÕES PÚBLICAS - RDC</t>
  </si>
  <si>
    <t>Administração, Estratégia e Inovação</t>
  </si>
  <si>
    <t>24 e 25/06/2014</t>
  </si>
  <si>
    <t>2014-005</t>
  </si>
  <si>
    <t>ENGENHARIA ECONÔMICA I E II - CAPACITAÇÃO EM PARCERIAS PÚBLICO PRIVADAS E CONCESSÕES DE</t>
  </si>
  <si>
    <t>04 a 08/08/2014</t>
  </si>
  <si>
    <t>2014-006</t>
  </si>
  <si>
    <t>CURSO TÉCNICAS DE AUDITORIA OPERACIONAL</t>
  </si>
  <si>
    <t>10/09/2014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</si>
  <si>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</si>
  <si>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</si>
  <si>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</si>
  <si>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</si>
  <si>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</si>
  <si>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</si>
  <si>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</si>
  <si>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</si>
  <si>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</si>
  <si>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</si>
  <si>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</si>
  <si>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</si>
  <si>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</si>
  <si>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</si>
  <si>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</si>
  <si>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</si>
  <si>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</si>
  <si>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</si>
  <si>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</si>
  <si>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</si>
  <si>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</si>
  <si>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</si>
  <si>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</si>
  <si>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</si>
  <si>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</si>
  <si>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</si>
  <si>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</si>
  <si>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</si>
  <si>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</si>
  <si>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</si>
  <si>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</si>
  <si>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</si>
  <si>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</si>
  <si>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</si>
  <si>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</si>
  <si>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</si>
  <si>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</si>
  <si>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</si>
  <si>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</si>
  <si>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</si>
  <si>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</si>
  <si>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</si>
  <si>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</si>
  <si>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</si>
  <si>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</si>
  <si>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</si>
  <si>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</si>
  <si>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</si>
  <si>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</si>
  <si>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</si>
  <si>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</si>
  <si>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</si>
  <si>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</si>
  <si>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</si>
  <si>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</si>
  <si>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</si>
  <si>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</si>
  <si>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</si>
  <si>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</si>
  <si>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</si>
  <si>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</si>
  <si>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</si>
  <si>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</si>
  <si>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</si>
  <si>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</si>
  <si>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</si>
  <si>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</si>
  <si>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</si>
  <si>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</si>
  <si>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</si>
  <si>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</si>
  <si>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</si>
  <si>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</si>
  <si>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</si>
  <si>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</si>
  <si>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</si>
  <si>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</si>
  <si>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</si>
  <si>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</si>
  <si>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</si>
  <si>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</si>
  <si>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</si>
  <si>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</si>
  <si>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</si>
  <si>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</si>
  <si>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</si>
  <si>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</si>
  <si>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</si>
  <si>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</si>
  <si>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</si>
  <si>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</si>
  <si>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</si>
  <si>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</si>
  <si>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</si>
  <si>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</si>
  <si>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</si>
  <si>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</si>
  <si>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</si>
  <si>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</si>
  <si>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</si>
  <si>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</si>
  <si>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</si>
  <si>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</si>
  <si>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</si>
  <si>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</si>
  <si>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</si>
  <si>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</si>
  <si>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</si>
  <si>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</si>
  <si>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</si>
  <si>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</si>
  <si>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</si>
  <si>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</si>
  <si>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</si>
  <si>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</si>
  <si>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</si>
  <si>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</si>
  <si>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</si>
  <si>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</si>
  <si>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</si>
  <si>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</si>
  <si>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</si>
  <si>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</si>
  <si>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</si>
  <si>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</si>
  <si>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</si>
  <si>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</si>
  <si>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</si>
  <si>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</si>
  <si>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</si>
  <si>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</si>
  <si>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</si>
  <si>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</si>
  <si>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</si>
  <si>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</si>
  <si>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</si>
  <si>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</si>
  <si>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</si>
  <si>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</si>
  <si>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</si>
  <si>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</si>
  <si>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</si>
  <si>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</si>
  <si>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</si>
  <si>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</si>
  <si>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</si>
  <si>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</si>
  <si>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</si>
  <si>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</si>
  <si>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</si>
  <si>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</si>
  <si>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</si>
  <si>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</si>
  <si>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</si>
  <si>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</si>
  <si>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</si>
  <si>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</si>
  <si>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</si>
  <si>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</si>
  <si>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</si>
  <si>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</si>
  <si>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</si>
  <si>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</si>
  <si>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</si>
  <si>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</si>
  <si>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</si>
  <si>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</si>
  <si>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</si>
  <si>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</si>
  <si>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</si>
  <si>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</si>
  <si>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</si>
  <si>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</si>
  <si>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</si>
  <si>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</si>
  <si>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</si>
  <si>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</si>
  <si>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</si>
  <si>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</si>
  <si>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</si>
  <si>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</si>
  <si>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</si>
  <si>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</si>
  <si>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</si>
  <si>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</si>
  <si>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</si>
  <si>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</si>
  <si>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</si>
  <si>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</si>
  <si>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</si>
  <si>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</si>
  <si>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</si>
  <si>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</si>
  <si>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</si>
  <si>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</si>
  <si>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</si>
  <si>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</si>
  <si>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</si>
  <si>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</si>
  <si>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</si>
  <si>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</si>
  <si>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</si>
  <si>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</si>
  <si>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</si>
  <si>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</si>
  <si>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</si>
  <si>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</si>
  <si>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</si>
  <si>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</si>
  <si>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</si>
  <si>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</si>
  <si>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</si>
  <si>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</si>
  <si>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</si>
  <si>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</si>
  <si>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</si>
  <si>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</si>
  <si>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</si>
  <si>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</si>
  <si>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</si>
  <si>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</si>
  <si>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</si>
  <si>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</si>
  <si>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</si>
  <si>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</si>
  <si>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</si>
  <si>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</si>
  <si>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</si>
  <si>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</si>
  <si>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</si>
  <si>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</si>
  <si>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</si>
  <si>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</si>
  <si>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</si>
  <si>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</si>
  <si>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</si>
  <si>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</si>
  <si>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</si>
  <si>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</si>
  <si>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</si>
  <si>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</si>
  <si>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</si>
  <si>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</si>
  <si>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</si>
  <si>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</si>
  <si>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</si>
  <si>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</si>
  <si>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</si>
  <si>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</si>
  <si>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</si>
  <si>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</si>
  <si>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</si>
  <si>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</si>
  <si>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</si>
  <si>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</si>
  <si>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</si>
  <si>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</si>
  <si>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</si>
  <si>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</si>
  <si>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</si>
  <si>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</si>
  <si>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</si>
  <si>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</si>
  <si>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</si>
  <si>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</si>
  <si>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</si>
  <si>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</si>
  <si>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</si>
  <si>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</si>
  <si>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</si>
  <si>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</si>
  <si>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</si>
  <si>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</si>
  <si>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</si>
  <si>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</si>
  <si>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</si>
  <si>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</si>
  <si>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</si>
  <si>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</si>
  <si>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</si>
  <si>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</si>
  <si>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</si>
  <si>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</si>
  <si>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</si>
  <si>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</si>
  <si>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</si>
  <si>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</si>
  <si>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</si>
  <si>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</si>
  <si>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</si>
  <si>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</si>
  <si>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</si>
  <si>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</si>
  <si>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</si>
  <si>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</si>
  <si>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</si>
  <si>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</si>
  <si>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</si>
  <si>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</si>
  <si>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</si>
  <si>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</si>
  <si>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</si>
  <si>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</si>
  <si>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</si>
  <si>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</si>
  <si>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</si>
  <si>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</si>
  <si>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</si>
  <si>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</si>
  <si>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</si>
  <si>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</si>
  <si>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</si>
  <si>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</si>
  <si>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</si>
  <si>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</si>
  <si>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</si>
  <si>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</si>
  <si>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</si>
  <si>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</si>
  <si>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</si>
  <si>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</si>
  <si>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</si>
  <si>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</si>
  <si>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</si>
  <si>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</si>
  <si>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</si>
  <si>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</si>
  <si>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</si>
  <si>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</si>
  <si>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</si>
  <si>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</si>
  <si>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</si>
  <si>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</si>
  <si>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</si>
  <si>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</si>
  <si>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</si>
  <si>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</si>
  <si>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</si>
  <si>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</si>
  <si>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</si>
  <si>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</si>
  <si>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</si>
  <si>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</si>
  <si>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</si>
  <si>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</si>
  <si>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</si>
  <si>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</si>
  <si>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</si>
  <si>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</si>
  <si>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</si>
  <si>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</si>
  <si>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</si>
  <si>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</si>
  <si>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</si>
  <si>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</si>
  <si>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</si>
  <si>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</si>
  <si>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</si>
  <si>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</si>
  <si>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</si>
  <si>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</si>
  <si>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</si>
  <si>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</si>
  <si>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</si>
  <si>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</si>
  <si>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</si>
  <si>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</si>
  <si>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</si>
  <si>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</si>
  <si>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</si>
  <si>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</si>
  <si>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</si>
  <si>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</si>
  <si>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</si>
  <si>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</si>
  <si>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</si>
  <si>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</si>
  <si>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</si>
  <si>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</si>
  <si>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</si>
  <si>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</si>
  <si>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</si>
  <si>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</si>
  <si>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</si>
  <si>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</si>
  <si>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</si>
  <si>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</si>
  <si>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</si>
  <si>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</si>
  <si>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</si>
  <si>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</si>
  <si>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</si>
  <si>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</si>
  <si>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</si>
  <si>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</si>
  <si>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</si>
  <si>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</si>
  <si>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</si>
  <si>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</si>
  <si>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</si>
  <si>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</si>
  <si>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</si>
  <si>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</si>
  <si>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</si>
  <si>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</si>
  <si>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</si>
  <si>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</si>
  <si>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</si>
  <si>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</si>
  <si>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</si>
  <si>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</si>
  <si>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</si>
  <si>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</si>
  <si>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</si>
  <si>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</si>
  <si>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</si>
  <si>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</si>
  <si>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</si>
  <si>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</si>
  <si>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</si>
  <si>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</si>
  <si>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</si>
  <si>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</si>
  <si>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</si>
  <si>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</si>
  <si>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</si>
  <si>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</si>
  <si>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</si>
  <si>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</si>
  <si>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</si>
  <si>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</si>
  <si>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</si>
  <si>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</si>
  <si>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</si>
  <si>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</si>
  <si>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</si>
  <si>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</si>
  <si>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</si>
  <si>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</si>
  <si>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</si>
  <si>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</si>
  <si>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</si>
  <si>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</si>
  <si>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</si>
  <si>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</si>
  <si>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</si>
  <si>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</si>
  <si>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</si>
  <si>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</si>
  <si>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</si>
  <si>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</si>
  <si>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</si>
  <si>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</si>
  <si>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</si>
  <si>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</si>
  <si>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</si>
  <si>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</si>
  <si>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</si>
  <si>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</si>
  <si>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</si>
  <si>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</si>
  <si>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</si>
  <si>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</si>
  <si>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</si>
  <si>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</si>
  <si>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</si>
  <si>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</si>
  <si>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</si>
  <si>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</si>
  <si>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</si>
  <si>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</si>
  <si>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</si>
  <si>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</si>
  <si>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</si>
  <si>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</si>
  <si>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</si>
  <si>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</si>
  <si>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</si>
  <si>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</si>
  <si>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</si>
  <si>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</si>
  <si>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</si>
  <si>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</si>
  <si>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</si>
  <si>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</si>
  <si>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</si>
  <si>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</si>
  <si>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</si>
  <si>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</si>
  <si>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</si>
  <si>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</si>
  <si>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</si>
  <si>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</si>
  <si>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</si>
  <si>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</si>
  <si>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</si>
  <si>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</si>
  <si>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</si>
  <si>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</si>
  <si>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</si>
  <si>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</si>
  <si>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</si>
  <si>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</si>
  <si>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</si>
  <si>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</si>
  <si>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</si>
  <si>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</si>
  <si>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</si>
  <si>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</si>
  <si>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</si>
  <si>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</si>
  <si>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</si>
  <si>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</si>
  <si>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</si>
  <si>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</si>
  <si>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</si>
  <si>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</si>
  <si>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</si>
  <si>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</si>
  <si>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</si>
  <si>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</si>
  <si>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</si>
  <si>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</si>
  <si>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</si>
  <si>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</si>
  <si>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</si>
  <si>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</si>
  <si>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</si>
  <si>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</si>
  <si>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</si>
  <si>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</si>
  <si>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</si>
  <si>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</si>
  <si>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</si>
  <si>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</si>
  <si>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</si>
  <si>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</si>
  <si>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</si>
  <si>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</si>
  <si>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</si>
  <si>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</si>
  <si>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</si>
  <si>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</si>
  <si>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</si>
  <si>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</si>
  <si>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</si>
  <si>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</si>
  <si>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</si>
  <si>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</si>
  <si>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</si>
  <si>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</si>
  <si>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</si>
  <si>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</si>
  <si>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</si>
  <si>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</si>
  <si>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</si>
  <si>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</si>
  <si>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</si>
  <si>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</si>
  <si>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</si>
  <si>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</si>
  <si>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</si>
  <si>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</si>
  <si>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</si>
  <si>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</si>
  <si>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</si>
  <si>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</si>
  <si>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</si>
  <si>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</si>
  <si>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</si>
  <si>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</si>
  <si>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</si>
  <si>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</si>
  <si>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</si>
  <si>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</si>
  <si>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</si>
  <si>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</si>
  <si>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</si>
  <si>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</si>
  <si>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</si>
  <si>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</si>
  <si>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</si>
  <si>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</si>
  <si>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</si>
  <si>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</si>
  <si>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</si>
  <si>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</si>
  <si>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</si>
  <si>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</si>
  <si>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</si>
  <si>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</si>
  <si>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</si>
  <si>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</si>
  <si>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</si>
  <si>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</si>
  <si>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</si>
  <si>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</si>
  <si>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</si>
  <si>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</si>
  <si>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</si>
  <si>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</si>
  <si>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</si>
  <si>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</si>
  <si>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</si>
  <si>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</si>
  <si>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</si>
  <si>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</si>
  <si>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</si>
  <si>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</si>
  <si>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</si>
  <si>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</si>
  <si>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</si>
  <si>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</si>
  <si>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</si>
  <si>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</si>
  <si>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</si>
  <si>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</si>
  <si>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</si>
  <si>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</si>
  <si>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</si>
  <si>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</si>
  <si>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</si>
  <si>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</si>
  <si>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</si>
  <si>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</si>
  <si>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</si>
  <si>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</si>
  <si>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</si>
  <si>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</si>
  <si>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</si>
  <si>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</si>
  <si>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</si>
  <si>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</si>
  <si>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</si>
  <si>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</si>
  <si>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</si>
  <si>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</si>
  <si>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</si>
  <si>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</si>
  <si>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</si>
  <si>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</si>
  <si>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</si>
  <si>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</si>
  <si>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</si>
  <si>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</si>
  <si>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</si>
  <si>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</si>
  <si>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</si>
  <si>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</si>
  <si>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</si>
  <si>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</si>
  <si>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</si>
  <si>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</si>
  <si>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</si>
  <si>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</si>
  <si>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</si>
  <si>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</si>
  <si>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</si>
  <si>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</si>
  <si>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</si>
  <si>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</si>
  <si>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</si>
  <si>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</si>
  <si>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</si>
  <si>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</si>
  <si>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</si>
  <si>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</si>
  <si>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</si>
  <si>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</si>
  <si>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</si>
  <si>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</si>
  <si>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</si>
  <si>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</si>
  <si>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</si>
  <si>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</si>
  <si>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</si>
  <si>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</si>
  <si>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</si>
  <si>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</si>
  <si>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</si>
  <si>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</si>
  <si>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</si>
  <si>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</si>
  <si>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</si>
  <si>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</si>
  <si>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</si>
  <si>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</si>
  <si>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</si>
  <si>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</si>
  <si>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</si>
  <si>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</si>
  <si>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</si>
  <si>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</si>
  <si>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</si>
  <si>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</si>
  <si>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</si>
  <si>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</si>
  <si>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</si>
  <si>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</si>
  <si>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</si>
  <si>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</si>
  <si>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</si>
  <si>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</si>
  <si>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</si>
  <si>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</si>
  <si>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</si>
  <si>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</si>
  <si>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</si>
  <si>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</si>
  <si>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</si>
  <si>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</si>
  <si>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</si>
  <si>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</si>
  <si>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</si>
  <si>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</si>
  <si>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</si>
  <si>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</si>
  <si>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</si>
  <si>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</si>
  <si>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</si>
  <si>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</si>
  <si>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</si>
  <si>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</si>
  <si>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</si>
  <si>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</si>
  <si>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</si>
  <si>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</si>
  <si>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</si>
  <si>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</si>
  <si>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</si>
  <si>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</si>
  <si>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</si>
  <si>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</si>
  <si>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</si>
  <si>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</si>
  <si>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</si>
  <si>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</si>
  <si>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</si>
  <si>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</si>
  <si>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</si>
  <si>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</si>
  <si>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</si>
  <si>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</si>
  <si>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</si>
  <si>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</si>
  <si>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</si>
  <si>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</si>
  <si>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</si>
  <si>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</si>
  <si>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</si>
  <si>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</si>
  <si>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</si>
  <si>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</si>
  <si>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</si>
  <si>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</si>
  <si>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</si>
  <si>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</si>
  <si>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</si>
  <si>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</si>
  <si>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</si>
  <si>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</si>
  <si>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</si>
  <si>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</si>
  <si>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</si>
  <si>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</si>
  <si>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</si>
  <si>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</si>
  <si>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</si>
  <si>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</si>
  <si>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</si>
  <si>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</si>
  <si>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</si>
  <si>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</si>
  <si>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</si>
  <si>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</si>
  <si>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</si>
  <si>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</si>
  <si>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</si>
  <si>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</si>
  <si>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</si>
  <si>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</si>
  <si>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</si>
  <si>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</si>
  <si>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</si>
  <si>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</si>
  <si>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</si>
  <si>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</si>
  <si>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</si>
  <si>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</si>
  <si>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</si>
  <si>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</si>
  <si>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</si>
  <si>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</si>
  <si>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</si>
  <si>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</si>
  <si>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</si>
  <si>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</si>
  <si>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</si>
  <si>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</si>
  <si>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</si>
  <si>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</si>
  <si>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</si>
  <si>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</si>
  <si>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</si>
  <si>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</si>
  <si>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</si>
  <si>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</si>
  <si>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</si>
  <si>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</si>
  <si>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</si>
  <si>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</si>
  <si>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</si>
  <si>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</si>
  <si>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</si>
  <si>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</si>
  <si>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</si>
  <si>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</si>
  <si>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</si>
  <si>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</si>
  <si>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</si>
  <si>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</si>
  <si>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</si>
  <si>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</si>
  <si>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</si>
  <si>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</si>
  <si>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</si>
  <si>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</si>
  <si>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</si>
  <si>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</si>
  <si>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</si>
  <si>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</si>
  <si>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</si>
  <si>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</si>
  <si>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</si>
  <si>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</si>
  <si>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</si>
  <si>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</si>
  <si>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</si>
  <si>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</si>
  <si>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</si>
  <si>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</si>
  <si>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</si>
  <si>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</si>
  <si>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</si>
  <si>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</si>
  <si>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</si>
  <si>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</si>
  <si>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</si>
  <si>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</si>
  <si>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</si>
  <si>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</si>
  <si>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</si>
  <si>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</si>
  <si>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</si>
  <si>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</si>
  <si>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</si>
  <si>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</si>
  <si>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</si>
  <si>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</si>
  <si>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</si>
  <si>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</si>
  <si>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</si>
  <si>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</si>
  <si>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</si>
  <si>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</si>
  <si>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</si>
  <si>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</si>
  <si>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</si>
  <si>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</si>
  <si>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</si>
  <si>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</si>
  <si>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</si>
  <si>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</si>
  <si>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</si>
  <si>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</si>
  <si>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</si>
  <si>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</si>
  <si>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</si>
  <si>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</si>
  <si>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</si>
  <si>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</si>
  <si>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</si>
  <si>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</si>
  <si>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</si>
  <si>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</si>
  <si>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</si>
  <si>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</si>
  <si>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</si>
  <si>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</si>
  <si>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</si>
  <si>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</si>
  <si>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</si>
  <si>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</si>
  <si>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</si>
  <si>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</si>
  <si>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</si>
  <si>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</si>
  <si>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</si>
  <si>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</si>
  <si>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</si>
  <si>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</si>
  <si>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</si>
  <si>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</si>
  <si>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</si>
  <si>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</si>
  <si>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</si>
  <si>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</si>
  <si>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</si>
  <si>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</si>
  <si>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</si>
  <si>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</si>
  <si>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</si>
  <si>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</si>
  <si>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</si>
  <si>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</si>
  <si>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</si>
  <si>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</si>
  <si>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</si>
  <si>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</si>
  <si>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</si>
  <si>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</si>
  <si>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</si>
  <si>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</si>
  <si>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</si>
  <si>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</si>
  <si>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</si>
  <si>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</si>
  <si>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</si>
  <si>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</si>
  <si>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</si>
  <si>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</si>
  <si>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</si>
  <si>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</si>
  <si>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</si>
  <si>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</si>
  <si>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</si>
  <si>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</si>
  <si>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</si>
  <si>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</si>
  <si>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</si>
  <si>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</si>
  <si>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</si>
  <si>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</si>
  <si>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</si>
  <si>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</si>
  <si>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</si>
  <si>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</si>
  <si>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</si>
  <si>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</si>
  <si>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</si>
  <si>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</si>
  <si>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</si>
  <si>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</si>
  <si>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</si>
  <si>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</si>
  <si>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</si>
  <si>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</si>
  <si>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</si>
  <si>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</si>
  <si>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</si>
  <si>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</si>
  <si>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</si>
  <si>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</si>
  <si>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</si>
  <si>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</si>
  <si>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</si>
  <si>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</si>
  <si>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</si>
  <si>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</si>
  <si>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</si>
  <si>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</si>
  <si>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</si>
  <si>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</si>
  <si>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</si>
  <si>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</si>
  <si>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</si>
  <si>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</si>
  <si>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</si>
  <si>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</si>
  <si>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</si>
  <si>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</si>
  <si>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</si>
  <si>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</si>
  <si>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</si>
  <si>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</si>
  <si>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</si>
  <si>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</si>
  <si>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</si>
  <si>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</si>
  <si>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</si>
  <si>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</si>
  <si>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</si>
  <si>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</si>
  <si>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</si>
  <si>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</si>
  <si>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</si>
  <si>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</si>
  <si>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</si>
  <si>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</si>
  <si>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</si>
  <si>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</si>
  <si>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</si>
  <si>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</si>
  <si>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</si>
  <si>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</si>
  <si>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</si>
  <si>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</si>
  <si>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</si>
  <si>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</si>
  <si>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</si>
  <si>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</si>
  <si>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</si>
  <si>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</si>
  <si>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</si>
  <si>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</si>
  <si>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</si>
  <si>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</si>
  <si>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</si>
  <si>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</si>
  <si>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</si>
  <si>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</si>
  <si>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</si>
  <si>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</si>
  <si>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</si>
  <si>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</si>
  <si>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</si>
  <si>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</si>
  <si>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</si>
  <si>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</si>
  <si>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</si>
  <si>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</si>
  <si>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</si>
  <si>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</si>
  <si>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</si>
  <si>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</si>
  <si>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</si>
  <si>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</si>
  <si>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</si>
  <si>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</si>
  <si>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</si>
  <si>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</si>
  <si>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</si>
  <si>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</si>
  <si>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</si>
  <si>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</si>
  <si>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</si>
  <si>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</si>
  <si>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</si>
  <si>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</si>
  <si>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</si>
  <si>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</si>
  <si>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</si>
  <si>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</si>
  <si>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</si>
  <si>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</si>
  <si>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</si>
  <si>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</si>
  <si>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</si>
  <si>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</si>
  <si>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</si>
  <si>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</si>
  <si>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</si>
  <si>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</si>
  <si>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</si>
  <si>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</si>
  <si>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</si>
  <si>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</si>
  <si>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</si>
  <si>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</si>
  <si>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</si>
  <si>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</si>
  <si>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</si>
  <si>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</si>
  <si>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</si>
  <si>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</si>
  <si>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</si>
  <si>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</si>
  <si>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</si>
  <si>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</si>
  <si>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</si>
  <si>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</si>
  <si>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</si>
  <si>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</si>
  <si>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</si>
  <si>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</si>
  <si>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</si>
  <si>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</si>
  <si>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</si>
  <si>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</si>
  <si>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</si>
  <si>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</si>
  <si>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</si>
  <si>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</si>
  <si>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</si>
  <si>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</si>
  <si>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</si>
  <si>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</si>
  <si>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</si>
  <si>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</si>
  <si>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</si>
  <si>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</si>
  <si>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</si>
  <si>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</si>
  <si>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</si>
  <si>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</si>
  <si>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</si>
  <si>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</si>
  <si>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</si>
  <si>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</si>
  <si>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</si>
  <si>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</si>
  <si>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</si>
  <si>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</si>
  <si>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</si>
  <si>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</si>
  <si>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</si>
  <si>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</si>
  <si>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</si>
  <si>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</si>
  <si>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</si>
  <si>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</si>
  <si>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</si>
  <si>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</si>
  <si>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</si>
  <si>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</si>
  <si>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</si>
  <si>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</si>
  <si>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</si>
  <si>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</si>
  <si>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</si>
  <si>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</si>
  <si>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</si>
  <si>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</si>
  <si>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</si>
  <si>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</si>
  <si>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</si>
  <si>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</si>
  <si>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</si>
  <si>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</si>
  <si>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</si>
  <si>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</si>
  <si>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</si>
  <si>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</si>
  <si>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</si>
  <si>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</si>
  <si>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</si>
  <si>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</si>
  <si>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</si>
  <si>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</si>
  <si>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</si>
  <si>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</si>
  <si>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</si>
  <si>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</si>
  <si>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</si>
  <si>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</si>
  <si>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</si>
  <si>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</si>
  <si>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</si>
  <si>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</si>
  <si>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</si>
  <si>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</si>
  <si>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</si>
  <si>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</si>
  <si>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</si>
  <si>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</si>
  <si>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</si>
  <si>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</si>
  <si>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</si>
  <si>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</si>
  <si>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</si>
  <si>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</si>
  <si>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</si>
  <si>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</si>
  <si>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</si>
  <si>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</si>
  <si>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</si>
  <si>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</si>
  <si>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</si>
  <si>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</si>
  <si>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</si>
  <si>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</si>
  <si>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</si>
  <si>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</si>
  <si>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</si>
  <si>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</si>
  <si>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</si>
  <si>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</si>
  <si>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</si>
  <si>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</si>
  <si>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</si>
  <si>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</si>
  <si>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</si>
  <si>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</si>
  <si>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</si>
  <si>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</si>
  <si>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</si>
  <si>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</si>
  <si>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</si>
  <si>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</si>
  <si>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</si>
  <si>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</si>
  <si>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</si>
  <si>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</si>
  <si>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</si>
  <si>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</si>
  <si>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</si>
  <si>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</si>
  <si>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</si>
  <si>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</si>
  <si>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</si>
  <si>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</si>
  <si>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</si>
  <si>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</si>
  <si>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</si>
  <si>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</si>
  <si>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</si>
  <si>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</si>
  <si>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</si>
  <si>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</si>
  <si>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</si>
  <si>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</si>
  <si>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</si>
  <si>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</si>
  <si>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</si>
  <si>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</si>
  <si>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</si>
  <si>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</si>
  <si>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</si>
  <si>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</si>
  <si>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</si>
  <si>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</si>
  <si>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</si>
  <si>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</si>
  <si>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</si>
  <si>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</si>
  <si>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</si>
  <si>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</si>
  <si>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</si>
  <si>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</si>
  <si>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</si>
  <si>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</si>
  <si>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</si>
  <si>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</si>
  <si>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</si>
  <si>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</si>
  <si>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</si>
  <si>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</si>
  <si>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</si>
  <si>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</si>
  <si>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</si>
  <si>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</si>
  <si>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</si>
  <si>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</si>
  <si>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</si>
  <si>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</si>
  <si>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</si>
  <si>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</si>
  <si>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</si>
  <si>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</si>
  <si>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</si>
  <si>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</si>
  <si>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</si>
  <si>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</si>
  <si>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</si>
  <si>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</si>
  <si>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</si>
  <si>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</si>
  <si>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</si>
  <si>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</si>
  <si>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</si>
  <si>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</si>
  <si>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</si>
  <si>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</si>
  <si>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</si>
  <si>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</si>
  <si>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</si>
  <si>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</si>
  <si>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</si>
  <si>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</si>
  <si>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</si>
  <si>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</si>
  <si>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</si>
  <si>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</si>
  <si>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</si>
  <si>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</si>
  <si>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</si>
  <si>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</si>
  <si>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</si>
  <si>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</si>
  <si>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</si>
  <si>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</si>
  <si>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</si>
  <si>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</si>
  <si>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</si>
  <si>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</si>
  <si>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</si>
  <si>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</si>
  <si>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</si>
  <si>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</si>
  <si>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</si>
  <si>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</si>
  <si>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</si>
  <si>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</si>
  <si>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</si>
  <si>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</si>
  <si>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</si>
  <si>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</si>
  <si>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</si>
  <si>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</si>
  <si>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</si>
  <si>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</si>
  <si>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</si>
  <si>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</si>
  <si>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</si>
  <si>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</si>
  <si>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</si>
  <si>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</si>
  <si>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</si>
  <si>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</si>
  <si>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</si>
  <si>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</si>
  <si>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</si>
  <si>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</si>
  <si>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</si>
  <si>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</si>
  <si>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</si>
  <si>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</si>
  <si>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</si>
  <si>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</si>
  <si>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</si>
  <si>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</si>
  <si>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</si>
  <si>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</si>
  <si>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</si>
  <si>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</si>
  <si>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</si>
  <si>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</si>
  <si>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</si>
  <si>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</si>
  <si>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</si>
  <si>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</si>
  <si>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</si>
  <si>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</si>
  <si>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</si>
  <si>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</si>
  <si>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</si>
  <si>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</si>
  <si>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</si>
  <si>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</si>
  <si>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</si>
  <si>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</si>
  <si>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</si>
  <si>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</si>
  <si>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</si>
  <si>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</si>
  <si>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</si>
  <si>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</si>
  <si>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</si>
  <si>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</si>
  <si>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</si>
  <si>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</si>
  <si>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</si>
  <si>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</si>
  <si>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</si>
  <si>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</si>
  <si>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</si>
  <si>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</si>
  <si>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</si>
  <si>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</si>
  <si>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</si>
  <si>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</si>
  <si>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</si>
  <si>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</si>
  <si>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</si>
  <si>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</si>
  <si>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</si>
  <si>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</si>
  <si>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</si>
  <si>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</si>
  <si>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</si>
  <si>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</si>
  <si>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</si>
  <si>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</si>
  <si>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</si>
  <si>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</si>
  <si>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</si>
  <si>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</si>
  <si>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</si>
  <si>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</si>
  <si>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</si>
  <si>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</si>
  <si>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</si>
  <si>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</si>
  <si>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</si>
  <si>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</si>
  <si>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</si>
  <si>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</si>
  <si>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</si>
  <si>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</si>
  <si>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</si>
  <si>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</si>
  <si>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</si>
  <si>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</si>
  <si>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</si>
  <si>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</si>
  <si>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</si>
  <si>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</si>
  <si>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</si>
  <si>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</si>
  <si>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</si>
  <si>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</si>
  <si>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</si>
  <si>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</si>
  <si>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</si>
  <si>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</si>
  <si>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</si>
  <si>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</si>
  <si>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</si>
  <si>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</si>
  <si>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</si>
  <si>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</si>
  <si>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</si>
  <si>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</si>
  <si>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</si>
  <si>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</si>
  <si>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</si>
  <si>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</si>
  <si>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</si>
  <si>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</si>
  <si>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</si>
  <si>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</si>
  <si>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</si>
  <si>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</si>
  <si>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</si>
  <si>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</si>
  <si>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</si>
  <si>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</si>
  <si>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</si>
  <si>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</si>
  <si>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</si>
  <si>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</si>
  <si>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</si>
  <si>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</si>
  <si>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</si>
  <si>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</si>
  <si>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</si>
  <si>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</si>
  <si>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</si>
  <si>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</si>
  <si>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</si>
  <si>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</si>
  <si>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</si>
  <si>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</si>
  <si>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</si>
  <si>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</si>
  <si>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</si>
  <si>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</si>
  <si>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</si>
  <si>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</si>
  <si>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</si>
  <si>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</si>
  <si>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</si>
  <si>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</si>
  <si>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</si>
  <si>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</si>
  <si>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</si>
  <si>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</si>
  <si>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</si>
  <si>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</si>
  <si>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</si>
  <si>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</si>
  <si>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</si>
  <si>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</si>
  <si>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</si>
  <si>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</si>
  <si>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</si>
  <si>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</si>
  <si>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</si>
  <si>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</si>
  <si>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</si>
  <si>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</si>
  <si>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</si>
  <si>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</si>
  <si>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</si>
  <si>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</si>
  <si>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</si>
  <si>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</si>
  <si>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</si>
  <si>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</si>
  <si>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</si>
  <si>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</si>
  <si>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</si>
  <si>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</si>
  <si>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</si>
  <si>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</si>
  <si>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</si>
  <si>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</si>
  <si>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</si>
  <si>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</si>
  <si>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</si>
  <si>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</si>
  <si>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</si>
  <si>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</si>
  <si>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</si>
  <si>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</si>
  <si>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</si>
  <si>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</si>
  <si>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</si>
  <si>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</si>
  <si>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</si>
  <si>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</si>
  <si>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</si>
  <si>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</si>
  <si>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</si>
  <si>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</si>
  <si>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</si>
  <si>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</si>
  <si>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</si>
  <si>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</si>
  <si>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</si>
  <si>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</si>
  <si>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</si>
  <si>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</si>
  <si>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</si>
  <si>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</si>
  <si>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</si>
  <si>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</si>
  <si>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</si>
  <si>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</si>
  <si>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</si>
  <si>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</si>
  <si>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</si>
  <si>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</si>
  <si>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</si>
  <si>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</si>
  <si>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</si>
  <si>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</si>
  <si>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</si>
  <si>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</si>
  <si>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</si>
  <si>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</si>
  <si>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</si>
  <si>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</si>
  <si>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</si>
  <si>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</si>
  <si>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</si>
  <si>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</si>
  <si>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</si>
  <si>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</si>
  <si>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</si>
  <si>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</si>
  <si>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</si>
  <si>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</si>
  <si>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</si>
  <si>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</si>
  <si>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</si>
  <si>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</si>
  <si>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</si>
  <si>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</si>
  <si>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</si>
  <si>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</si>
  <si>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</si>
  <si>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</si>
  <si>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</si>
  <si>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</si>
  <si>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</si>
  <si>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</si>
  <si>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</si>
  <si>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</si>
  <si>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</si>
  <si>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</si>
  <si>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</si>
  <si>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</si>
  <si>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</si>
  <si>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</si>
  <si>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</si>
  <si>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</si>
  <si>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</si>
  <si>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</si>
  <si>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</si>
  <si>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</si>
  <si>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</si>
  <si>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</si>
  <si>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</si>
  <si>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</si>
  <si>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</si>
  <si>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</si>
  <si>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</si>
  <si>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</si>
  <si>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</si>
  <si>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</si>
  <si>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</si>
  <si>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</si>
  <si>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</si>
  <si>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</si>
  <si>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</si>
  <si>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</si>
  <si>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</si>
  <si>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</si>
  <si>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</si>
  <si>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</si>
  <si>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</si>
  <si>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</si>
  <si>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</si>
  <si>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</si>
  <si>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</si>
  <si>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</si>
  <si>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</si>
  <si>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</si>
  <si>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</si>
  <si>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</si>
  <si>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</si>
  <si>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</si>
  <si>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</si>
  <si>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</si>
  <si>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</si>
  <si>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</si>
  <si>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</si>
  <si>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</si>
  <si>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</si>
  <si>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</si>
  <si>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</si>
  <si>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</si>
  <si>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</si>
  <si>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</si>
  <si>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</si>
  <si>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</si>
  <si>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</si>
  <si>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</si>
  <si>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</si>
  <si>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</si>
  <si>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</si>
  <si>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</si>
  <si>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</si>
  <si>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</si>
  <si>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</si>
  <si>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</si>
  <si>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</si>
  <si>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</si>
  <si>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</si>
  <si>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</si>
  <si>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</si>
  <si>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</si>
  <si>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</si>
  <si>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</si>
  <si>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</si>
  <si>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</si>
  <si>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</si>
  <si>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</si>
  <si>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</si>
  <si>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</si>
  <si>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</si>
  <si>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</si>
  <si>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</si>
  <si>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</si>
  <si>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</si>
  <si>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</si>
  <si>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</si>
  <si>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</si>
  <si>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</si>
  <si>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</si>
  <si>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</si>
  <si>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</si>
  <si>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</si>
  <si>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</si>
  <si>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</si>
  <si>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</si>
  <si>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</si>
  <si>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</si>
  <si>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</si>
  <si>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</si>
  <si>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</si>
  <si>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</si>
  <si>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</si>
  <si>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</si>
  <si>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</si>
  <si>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</si>
  <si>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</si>
  <si>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</si>
  <si>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</si>
  <si>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</si>
  <si>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</si>
  <si>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</si>
  <si>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</si>
  <si>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</si>
  <si>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</si>
  <si>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</si>
  <si>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</si>
  <si>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Inatrutores: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</si>
  <si>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</si>
  <si>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</si>
  <si>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</si>
  <si>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</si>
  <si>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</si>
  <si>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</si>
  <si>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</si>
  <si>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</si>
  <si>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</si>
  <si>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</si>
  <si>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</si>
  <si>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</si>
  <si>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</si>
  <si>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</si>
  <si>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</si>
  <si>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</si>
  <si>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</si>
  <si>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</si>
  <si>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</si>
  <si>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</si>
  <si>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</si>
  <si>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</si>
  <si>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</si>
  <si>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</si>
  <si>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</si>
  <si>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</si>
  <si>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</si>
  <si>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</si>
  <si>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</si>
  <si>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</si>
  <si>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</si>
  <si>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</si>
  <si>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</si>
  <si>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</si>
  <si>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</si>
  <si>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</si>
  <si>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</si>
  <si>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</si>
  <si>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</si>
  <si>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</si>
  <si>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</si>
  <si>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</si>
  <si>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</si>
  <si>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</si>
  <si>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</si>
  <si>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</si>
  <si>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</si>
  <si>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</si>
  <si>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</si>
  <si>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</si>
  <si>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</si>
  <si>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</si>
  <si>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</si>
  <si>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</si>
  <si>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</si>
  <si>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</si>
  <si>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</si>
  <si>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</si>
  <si>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</si>
  <si>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</si>
  <si>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</si>
  <si>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</si>
  <si>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</si>
  <si>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</si>
  <si>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</si>
  <si>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</si>
  <si>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</si>
  <si>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</si>
  <si>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</si>
  <si>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</si>
  <si>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</si>
  <si>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</si>
  <si>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</si>
  <si>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</si>
  <si>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</si>
  <si>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</si>
  <si>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</si>
  <si>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</si>
  <si>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</si>
  <si>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</si>
  <si>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</si>
  <si>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</si>
  <si>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</si>
  <si>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</si>
  <si>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</si>
  <si>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</si>
  <si>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</si>
  <si>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</si>
  <si>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</si>
  <si>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</si>
  <si>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</si>
  <si>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</si>
  <si>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</si>
  <si>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</si>
  <si>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</si>
  <si>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</si>
  <si>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</si>
  <si>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</si>
  <si>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</si>
  <si>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</si>
  <si>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</si>
  <si>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</si>
  <si>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</si>
  <si>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</si>
  <si>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</si>
  <si>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</si>
  <si>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</si>
  <si>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</si>
  <si>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</si>
  <si>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</si>
  <si>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</si>
  <si>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</si>
  <si>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</si>
  <si>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</si>
  <si>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</si>
  <si>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</si>
  <si>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</si>
  <si>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</si>
  <si>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</si>
  <si>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</si>
  <si>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</si>
  <si>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</si>
  <si>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</si>
  <si>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</si>
  <si>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</si>
  <si>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</si>
  <si>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</si>
  <si>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</si>
  <si>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</si>
  <si>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</si>
  <si>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</si>
  <si>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</si>
  <si>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</si>
  <si>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</si>
  <si>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</si>
  <si>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</si>
  <si>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</si>
  <si>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</si>
  <si>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</si>
  <si>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</si>
  <si>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</si>
  <si>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</si>
  <si>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</si>
  <si>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</si>
  <si>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</si>
  <si>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</si>
  <si>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</si>
  <si>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</si>
  <si>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</si>
  <si>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</si>
  <si>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</si>
  <si>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</si>
  <si>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</si>
  <si>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</si>
  <si>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</si>
  <si>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</si>
  <si>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</si>
  <si>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</si>
  <si>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</si>
  <si>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</si>
  <si>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</si>
  <si>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</si>
  <si>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</si>
  <si>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</si>
  <si>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</si>
  <si>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</si>
  <si>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</si>
  <si>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</si>
  <si>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</si>
  <si>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</si>
  <si>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</si>
  <si>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</si>
  <si>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</si>
  <si>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</si>
  <si>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</si>
  <si>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</si>
  <si>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</si>
  <si>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</si>
  <si>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</si>
  <si>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</si>
  <si>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</si>
  <si>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</si>
  <si>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</si>
  <si>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</si>
  <si>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</si>
  <si>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</si>
  <si>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</si>
  <si>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</si>
  <si>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</si>
  <si>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</si>
  <si>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</si>
  <si>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</si>
  <si>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</si>
  <si>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</si>
  <si>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</si>
  <si>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</si>
  <si>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</si>
  <si>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</si>
  <si>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</si>
  <si>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</si>
  <si>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</si>
  <si>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</si>
  <si>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</si>
  <si>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</si>
  <si>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</si>
  <si>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</si>
  <si>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</si>
  <si>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</si>
  <si>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</si>
  <si>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</si>
  <si>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</si>
  <si>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</si>
  <si>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</si>
  <si>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</si>
  <si>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</si>
  <si>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</si>
  <si>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</si>
  <si>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</si>
  <si>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</si>
  <si>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</si>
  <si>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</si>
  <si>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</si>
  <si>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</si>
  <si>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</si>
  <si>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</si>
  <si>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</si>
  <si>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</si>
  <si>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</si>
  <si>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</si>
  <si>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</si>
  <si>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</si>
  <si>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</si>
  <si>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</si>
  <si>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</si>
  <si>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</si>
  <si>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</si>
  <si>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</si>
  <si>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</si>
  <si>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</si>
  <si>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</si>
  <si>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</si>
  <si>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</si>
  <si>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</si>
  <si>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</si>
  <si>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</si>
  <si>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</si>
  <si>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</si>
  <si>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</si>
  <si>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</si>
  <si>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</si>
  <si>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</si>
  <si>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</si>
  <si>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</si>
  <si>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</si>
  <si>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</si>
  <si>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</si>
  <si>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</si>
  <si>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</si>
  <si>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</si>
  <si>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</si>
  <si>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</si>
  <si>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</si>
  <si>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</si>
  <si>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</si>
  <si>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</si>
  <si>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</si>
  <si>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</si>
  <si>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</si>
  <si>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</si>
  <si>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</si>
  <si>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</si>
  <si>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</si>
  <si>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</si>
  <si>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</si>
  <si>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</si>
  <si>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</si>
  <si>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</si>
  <si>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</si>
  <si>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</si>
  <si>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</si>
  <si>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</si>
  <si>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</si>
  <si>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</si>
  <si>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</si>
  <si>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</si>
  <si>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</si>
  <si>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</si>
  <si>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</si>
  <si>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</si>
  <si>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</si>
  <si>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</si>
  <si>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</si>
  <si>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</si>
  <si>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</si>
  <si>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</si>
  <si>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</si>
  <si>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</si>
  <si>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</si>
  <si>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</si>
  <si>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</si>
  <si>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</si>
  <si>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</si>
  <si>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</si>
  <si>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</si>
  <si>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</si>
  <si>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</si>
  <si>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</si>
  <si>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</si>
  <si>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</si>
  <si>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</si>
  <si>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</si>
  <si>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</si>
  <si>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</si>
  <si>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</si>
  <si>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</si>
  <si>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</si>
  <si>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</si>
  <si>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</si>
  <si>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</si>
  <si>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</si>
  <si>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</si>
  <si>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</si>
  <si>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</si>
  <si>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</si>
  <si>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</si>
  <si>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</si>
  <si>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</si>
  <si>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</si>
  <si>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</si>
  <si>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</si>
  <si>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</si>
  <si>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</si>
  <si>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</si>
  <si>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</si>
  <si>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</si>
  <si>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</si>
  <si>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</si>
  <si>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</si>
  <si>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</si>
  <si>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</si>
  <si>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</si>
  <si>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</si>
  <si>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</si>
  <si>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</si>
  <si>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</si>
  <si>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</si>
  <si>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</si>
  <si>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</si>
  <si>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</si>
  <si>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</si>
  <si>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</si>
  <si>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</si>
  <si>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</si>
  <si>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</si>
  <si>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</si>
  <si>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</si>
  <si>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</si>
  <si>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</si>
  <si>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</si>
  <si>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</si>
  <si>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</si>
  <si>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</si>
  <si>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</si>
  <si>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</si>
  <si>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</si>
  <si>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</si>
  <si>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</si>
  <si>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</si>
  <si>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</si>
  <si>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</si>
  <si>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</si>
  <si>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</si>
  <si>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</si>
  <si>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</si>
  <si>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</si>
  <si>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</si>
  <si>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</si>
  <si>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</si>
  <si>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</si>
  <si>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</si>
  <si>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</si>
  <si>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</si>
  <si>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</si>
  <si>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</si>
  <si>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</si>
  <si>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</si>
  <si>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</si>
  <si>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</si>
  <si>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</si>
  <si>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</si>
  <si>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</si>
  <si>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</si>
  <si>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</si>
  <si>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</si>
  <si>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</si>
  <si>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</si>
  <si>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</si>
  <si>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</si>
  <si>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</si>
  <si>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</si>
  <si>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</si>
  <si>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</si>
  <si>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</si>
  <si>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</si>
  <si>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</si>
  <si>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</si>
  <si>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</si>
  <si>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</si>
  <si>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</si>
  <si>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</si>
  <si>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</si>
  <si>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</si>
  <si>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</si>
  <si>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</si>
  <si>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</si>
  <si>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</si>
  <si>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</si>
  <si>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</si>
  <si>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</si>
  <si>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</si>
  <si>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</si>
  <si>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</si>
  <si>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</si>
  <si>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</si>
  <si>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</si>
  <si>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</si>
  <si>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</si>
  <si>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</si>
  <si>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</si>
  <si>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</si>
  <si>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</si>
  <si>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</si>
  <si>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</si>
  <si>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</si>
  <si>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</si>
  <si>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</si>
  <si>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</si>
  <si>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</si>
  <si>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</si>
  <si>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</si>
  <si>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</si>
  <si>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</si>
  <si>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</si>
  <si>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</si>
  <si>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</si>
  <si>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</si>
  <si>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</si>
  <si>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</si>
  <si>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</si>
  <si>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</si>
  <si>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</si>
  <si>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</si>
  <si>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</si>
  <si>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</si>
  <si>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</si>
  <si>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</si>
  <si>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</si>
  <si>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</si>
  <si>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</si>
  <si>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</si>
  <si>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</si>
  <si>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</si>
  <si>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</si>
  <si>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</si>
  <si>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</si>
  <si>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</si>
  <si>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</si>
  <si>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</si>
  <si>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</si>
  <si>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</si>
  <si>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</si>
  <si>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</si>
  <si>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</si>
  <si>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</si>
  <si>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</si>
  <si>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</si>
  <si>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</si>
  <si>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</si>
  <si>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</si>
  <si>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</si>
  <si>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</si>
  <si>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</si>
  <si>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</si>
  <si>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</si>
  <si>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</si>
  <si>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</si>
  <si>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</si>
  <si>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</si>
  <si>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</si>
  <si>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</si>
  <si>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</si>
  <si>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</si>
  <si>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</si>
  <si>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</si>
  <si>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</si>
  <si>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</si>
  <si>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</si>
  <si>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</si>
  <si>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</si>
  <si>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</si>
  <si>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</si>
  <si>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</si>
  <si>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</si>
  <si>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</si>
  <si>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</si>
  <si>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</si>
  <si>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</si>
  <si>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</si>
  <si>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</si>
  <si>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</si>
  <si>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</si>
  <si>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</si>
  <si>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</si>
  <si>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</si>
  <si>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</si>
  <si>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</si>
  <si>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</si>
  <si>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</si>
  <si>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</si>
  <si>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</si>
  <si>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</si>
  <si>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</si>
  <si>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</si>
  <si>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</si>
  <si>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</si>
  <si>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</si>
  <si>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</si>
  <si>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</si>
  <si>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</si>
  <si>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</si>
  <si>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</si>
  <si>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</si>
  <si>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</si>
  <si>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</si>
  <si>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</si>
  <si>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</si>
  <si>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</si>
  <si>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</si>
  <si>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</si>
  <si>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</si>
  <si>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</si>
  <si>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</si>
  <si>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</si>
  <si>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</si>
  <si>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</si>
  <si>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</si>
  <si>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</si>
  <si>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</si>
  <si>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</si>
  <si>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</si>
  <si>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</si>
  <si>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</si>
  <si>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</si>
  <si>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</si>
  <si>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</si>
  <si>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</si>
  <si>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</si>
  <si>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</si>
  <si>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</si>
  <si>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</si>
  <si>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</si>
  <si>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</si>
  <si>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</si>
  <si>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</si>
  <si>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</si>
  <si>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</si>
  <si>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</si>
  <si>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</si>
  <si>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</si>
  <si>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</si>
  <si>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</si>
  <si>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</si>
  <si>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</si>
  <si>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</si>
  <si>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</si>
  <si>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</si>
  <si>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</si>
  <si>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</si>
  <si>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</si>
  <si>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</si>
  <si>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</si>
  <si>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</si>
  <si>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</si>
  <si>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</si>
  <si>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</si>
  <si>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</si>
  <si>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</si>
  <si>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</si>
  <si>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</si>
  <si>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</si>
  <si>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</si>
  <si>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</si>
  <si>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</si>
  <si>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</si>
  <si>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</si>
  <si>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</si>
  <si>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</si>
  <si>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</si>
  <si>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</si>
  <si>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</si>
  <si>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</si>
  <si>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</si>
  <si>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</si>
  <si>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</si>
  <si>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</si>
  <si>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</si>
  <si>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</si>
  <si>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</si>
  <si>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</si>
  <si>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</si>
  <si>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</si>
  <si>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</si>
  <si>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</si>
  <si>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</si>
  <si>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</si>
  <si>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</si>
  <si>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</si>
  <si>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</si>
  <si>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</si>
  <si>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</si>
  <si>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</si>
  <si>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</si>
  <si>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</si>
  <si>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</si>
  <si>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</si>
  <si>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</si>
  <si>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</si>
  <si>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</si>
  <si>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</si>
  <si>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</si>
  <si>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</si>
  <si>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</si>
  <si>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</si>
  <si>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</si>
  <si>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</si>
  <si>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</si>
  <si>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</si>
  <si>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</si>
  <si>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</si>
  <si>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</si>
  <si>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</si>
  <si>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</si>
  <si>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</si>
  <si>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</si>
  <si>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</si>
  <si>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</si>
  <si>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</si>
  <si>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</si>
  <si>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</si>
  <si>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</si>
  <si>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</si>
  <si>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</si>
  <si>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</si>
  <si>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</si>
  <si>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</si>
  <si>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</si>
  <si>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</si>
  <si>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</si>
  <si>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</si>
  <si>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</si>
  <si>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</si>
  <si>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</si>
  <si>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</si>
  <si>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</si>
  <si>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</si>
  <si>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</si>
  <si>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</si>
  <si>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</si>
  <si>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</si>
  <si>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</si>
  <si>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</si>
  <si>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</si>
  <si>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</si>
  <si>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</si>
  <si>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</si>
  <si>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</si>
  <si>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</si>
  <si>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</si>
  <si>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</si>
  <si>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</si>
  <si>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</si>
  <si>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</si>
  <si>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</si>
  <si>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</si>
  <si>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</si>
  <si>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</si>
  <si>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</si>
  <si>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</si>
  <si>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</si>
  <si>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</si>
  <si>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</si>
  <si>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</si>
  <si>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</si>
  <si>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</si>
  <si>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</si>
  <si>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</si>
  <si>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</si>
  <si>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</si>
  <si>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</si>
  <si>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</si>
  <si>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</si>
  <si>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</si>
  <si>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</si>
  <si>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</si>
  <si>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</si>
  <si>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</si>
  <si>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</si>
  <si>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</si>
  <si>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</si>
  <si>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</si>
  <si>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</si>
  <si>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</si>
  <si>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</si>
  <si>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</si>
  <si>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</si>
  <si>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</si>
  <si>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</si>
  <si>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</si>
  <si>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</si>
  <si>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</si>
  <si>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</si>
  <si>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</si>
  <si>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</si>
  <si>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</si>
  <si>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</si>
  <si>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</si>
  <si>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</si>
  <si>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</si>
  <si>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</si>
  <si>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</si>
  <si>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</si>
  <si>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</si>
  <si>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</si>
  <si>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</si>
  <si>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</si>
  <si>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</si>
  <si>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</si>
  <si>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</si>
  <si>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</si>
  <si>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</si>
  <si>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</si>
  <si>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</si>
  <si>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</si>
  <si>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</si>
  <si>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</si>
  <si>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</si>
  <si>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</si>
  <si>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</si>
  <si>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</si>
  <si>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</si>
  <si>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</si>
  <si>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</si>
  <si>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</si>
  <si>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</si>
  <si>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</si>
  <si>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</si>
  <si>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</si>
  <si>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</si>
  <si>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</si>
  <si>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</si>
  <si>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</si>
  <si>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</si>
  <si>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</si>
  <si>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</si>
  <si>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</si>
  <si>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</si>
  <si>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</si>
  <si>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</si>
  <si>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</si>
  <si>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</si>
  <si>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</si>
  <si>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</si>
  <si>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</si>
  <si>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</si>
  <si>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</si>
  <si>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</si>
  <si>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</si>
  <si>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</si>
  <si>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</si>
  <si>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</si>
  <si>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</si>
  <si>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</si>
  <si>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</si>
  <si>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</si>
  <si>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</si>
  <si>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</si>
  <si>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</si>
  <si>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</si>
  <si>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</si>
  <si>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</si>
  <si>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</si>
  <si>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</si>
  <si>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</si>
  <si>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</si>
  <si>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</si>
  <si>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</si>
  <si>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</si>
  <si>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</si>
  <si>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</si>
  <si>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</si>
  <si>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</si>
  <si>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</si>
  <si>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</si>
  <si>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</si>
  <si>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</si>
  <si>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</si>
  <si>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</si>
  <si>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</si>
  <si>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</si>
  <si>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</si>
  <si>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</si>
  <si>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</si>
  <si>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</si>
  <si>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</si>
  <si>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</si>
  <si>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</si>
  <si>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</si>
  <si>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</si>
  <si>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</si>
  <si>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</si>
  <si>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</si>
  <si>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</si>
  <si>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</si>
  <si>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</si>
  <si>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9325/2025</t>
  </si>
  <si>
    <t>Sessão de Cinema - Aniversário TCDF "JK o Reinventor do Brasil"</t>
  </si>
  <si>
    <t>16/09/2025</t>
  </si>
  <si>
    <t>2025-092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</si>
  <si>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</si>
  <si>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</si>
  <si>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</si>
  <si>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</si>
  <si>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</si>
  <si>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2025-093</t>
  </si>
  <si>
    <t>5489/2025</t>
  </si>
  <si>
    <t>Principais Falhas em Processos Licitatórios</t>
  </si>
  <si>
    <t>24/09 a 01/10/2025</t>
  </si>
  <si>
    <t>Henrique Luciano</t>
  </si>
  <si>
    <t>2025-094</t>
  </si>
  <si>
    <t>6899/2025</t>
  </si>
  <si>
    <t>Maratona Temática “O Olhar dos Tribunais de Contas sobre Políticas Públicas"</t>
  </si>
  <si>
    <t>25 e 26/09/2025</t>
  </si>
  <si>
    <t>2025-095</t>
  </si>
  <si>
    <t>Prescrição no âmbito do TCDF - T3</t>
  </si>
  <si>
    <t>02 e 03/10/2025</t>
  </si>
  <si>
    <t>2025-096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</si>
  <si>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</si>
  <si>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</si>
  <si>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</si>
  <si>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</si>
  <si>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2025-097</t>
  </si>
  <si>
    <t>10519/2025</t>
  </si>
  <si>
    <t>Curso “MROSC para servidores públicas distritais”</t>
  </si>
  <si>
    <t>02, 03e 06/10/2025</t>
  </si>
  <si>
    <t>2025-098</t>
  </si>
  <si>
    <t>11320/2025</t>
  </si>
  <si>
    <t>Visita dos Filhos ao TCDF</t>
  </si>
  <si>
    <t>03/10/2025</t>
  </si>
  <si>
    <t>2025-099</t>
  </si>
  <si>
    <t>Palestras Gartner - Segurança da Informação e privacidade</t>
  </si>
  <si>
    <t>06/10/2025</t>
  </si>
  <si>
    <t>2025-100</t>
  </si>
  <si>
    <t>10959/2025</t>
  </si>
  <si>
    <t>Curso para gestores e fiscais de contrato – SES/DF</t>
  </si>
  <si>
    <t>08 a 10/10/2025</t>
  </si>
  <si>
    <t>Adriana Salles; Luciana Alvim</t>
  </si>
  <si>
    <t>2025-101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</si>
  <si>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</si>
  <si>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</si>
  <si>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</si>
  <si>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</si>
  <si>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2025-102</t>
  </si>
  <si>
    <t>10932/2025</t>
  </si>
  <si>
    <t>Curso "Gestão de Informações e Proteção do Conhecimento no Controle Externo"</t>
  </si>
  <si>
    <t>20 a 24/10/2025</t>
  </si>
  <si>
    <t>2025-103</t>
  </si>
  <si>
    <t>10621/2025</t>
  </si>
  <si>
    <t>Maratona Temática: Segurança Pública</t>
  </si>
  <si>
    <t>20 e 21/10/2025</t>
  </si>
  <si>
    <t>2025-104</t>
  </si>
  <si>
    <t>12113/2025</t>
  </si>
  <si>
    <t>Lançamento de Livros</t>
  </si>
  <si>
    <t>23/10/2025</t>
  </si>
  <si>
    <t>2025-105</t>
  </si>
  <si>
    <t>13122/2025</t>
  </si>
  <si>
    <t>24/10 a 28/11/2025</t>
  </si>
  <si>
    <t>Adriana Portugal</t>
  </si>
  <si>
    <t>2025-106</t>
  </si>
  <si>
    <t>12335/2025</t>
  </si>
  <si>
    <t>03 a 07/11/2025</t>
  </si>
  <si>
    <t>2025-107</t>
  </si>
  <si>
    <t>Tcendo o Futuro</t>
  </si>
  <si>
    <t>06/11/2025</t>
  </si>
  <si>
    <t>2025-108</t>
  </si>
  <si>
    <t>4523/2025</t>
  </si>
  <si>
    <t>Cinthia Thais de Carvalho Luz Thomazi; Adriana Cuoco Portugal; Fernanda Viana de Souza; Denise Duarte Guirra Kuhlmann; Priscila Nolasco</t>
  </si>
  <si>
    <t>2025-109</t>
  </si>
  <si>
    <t>12086/2025</t>
  </si>
  <si>
    <t>Café e Tertúlia - Mês do Servidor (Show de Talentos)</t>
  </si>
  <si>
    <t>07/11/2025</t>
  </si>
  <si>
    <t>2025-110</t>
  </si>
  <si>
    <t>Oratória - T2</t>
  </si>
  <si>
    <t>10 a 14/11/2025</t>
  </si>
  <si>
    <t>2025-111</t>
  </si>
  <si>
    <t>9102/2025</t>
  </si>
  <si>
    <t>11, 12, 13, 18 e 19/11/2025</t>
  </si>
  <si>
    <t>2025-112</t>
  </si>
  <si>
    <t>12830/2025</t>
  </si>
  <si>
    <t>Curso “Contratação Integrada na Prática”</t>
  </si>
  <si>
    <t>17 a 19/11/2025</t>
  </si>
  <si>
    <t>2025-113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</si>
  <si>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</si>
  <si>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</si>
  <si>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</si>
  <si>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</si>
  <si>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2025-114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</si>
  <si>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</si>
  <si>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</si>
  <si>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</si>
  <si>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</si>
  <si>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2025-115</t>
  </si>
  <si>
    <t>6624/2025</t>
  </si>
  <si>
    <t>Curso “Fundamentos de Auditoria Ágil”</t>
  </si>
  <si>
    <t>24, 26 e 28/11/2025</t>
  </si>
  <si>
    <t>Ricardo Akl</t>
  </si>
  <si>
    <t>2025-116</t>
  </si>
  <si>
    <t>11833/2025</t>
  </si>
  <si>
    <t>Curso para Conselheiros Tutelares do DF</t>
  </si>
  <si>
    <t>2025-117</t>
  </si>
  <si>
    <t>Em andamento</t>
  </si>
  <si>
    <t>6011/2025</t>
  </si>
  <si>
    <t>01/12/2025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</si>
  <si>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</si>
  <si>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</si>
  <si>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</si>
  <si>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</si>
  <si>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</si>
  <si>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</si>
  <si>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</si>
  <si>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</si>
  <si>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</si>
  <si>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</si>
  <si>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</si>
  <si>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</si>
  <si>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</si>
  <si>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</si>
  <si>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</si>
  <si>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</si>
  <si>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</si>
  <si>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</si>
  <si>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</si>
  <si>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</si>
  <si>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</si>
  <si>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</si>
  <si>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</si>
  <si>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</si>
  <si>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</si>
  <si>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</si>
  <si>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</si>
  <si>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</si>
  <si>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</si>
  <si>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</si>
  <si>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</si>
  <si>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</si>
  <si>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</si>
  <si>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</si>
  <si>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</si>
  <si>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</si>
  <si>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</si>
  <si>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</si>
  <si>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</si>
  <si>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</si>
  <si>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</si>
  <si>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</si>
  <si>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</si>
  <si>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</si>
  <si>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</si>
  <si>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</si>
  <si>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</si>
  <si>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</si>
  <si>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</si>
  <si>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</si>
  <si>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</si>
  <si>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</si>
  <si>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</si>
  <si>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</si>
  <si>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</si>
  <si>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</si>
  <si>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</si>
  <si>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</si>
  <si>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</si>
  <si>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</si>
  <si>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</si>
  <si>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</si>
  <si>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</si>
  <si>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</si>
  <si>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</si>
  <si>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</si>
  <si>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</si>
  <si>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</si>
  <si>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</si>
  <si>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</si>
  <si>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</si>
  <si>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</si>
  <si>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</si>
  <si>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</si>
  <si>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</si>
  <si>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</si>
  <si>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</si>
  <si>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</si>
  <si>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</si>
  <si>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</si>
  <si>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</si>
  <si>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</si>
  <si>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</si>
  <si>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</si>
  <si>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</si>
  <si>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</si>
  <si>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</si>
  <si>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</si>
  <si>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</si>
  <si>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</si>
  <si>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</si>
  <si>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</si>
  <si>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</si>
  <si>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</si>
  <si>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</si>
  <si>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</si>
  <si>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</si>
  <si>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</si>
  <si>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</si>
  <si>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</si>
  <si>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</si>
  <si>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</si>
  <si>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</si>
  <si>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</si>
  <si>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</si>
  <si>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</si>
  <si>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</si>
  <si>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</si>
  <si>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</si>
  <si>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</si>
  <si>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</si>
  <si>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</si>
  <si>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</si>
  <si>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</si>
  <si>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</si>
  <si>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</si>
  <si>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</si>
  <si>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</si>
  <si>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</si>
  <si>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</si>
  <si>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</si>
  <si>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</si>
  <si>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</si>
  <si>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</si>
  <si>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</si>
  <si>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</si>
  <si>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</si>
  <si>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</si>
  <si>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</si>
  <si>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</si>
  <si>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Curso de Formação Inicial para Novos Auditores do TCDF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</si>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</sst>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b/>
      <sz val="11"/>
      <color rgb="FF000000"/>
      <name val="Calibri"/>
    </font>
    <font>
      <sz val="11"/>
      <color theme="1"/>
      <name val="Calibri"/>
    </font>
    <font>
      <b/>
      <sz val="11"/>
      <color theme="1"/>
      <name val="Calibri"/>
    </font>
    <font>
      <b/>
      <sz val="11"/>
      <color rgb="FF0000FF"/>
      <name val="Calibri"/>
      <scheme val="minor"/>
    </font>
    <font>
      <b/>
      <sz val="14"/>
      <color theme="1"/>
      <name val="Calibri"/>
      <scheme val="minor"/>
    </font>
    <font>
      <i/>
      <sz val="10"/>
      <color rgb="FF666666"/>
      <name val="Calibri"/>
      <scheme val="minor"/>
    </font>
    <font>
      <b/>
      <sz val="11"/>
      <color rgb="FFFFFFFF"/>
      <name val="Calibri"/>
      <scheme val="minor"/>
    </font>
    <font>
      <sz val="11"/>
      <color rgb="FF000000"/>
      <name val="Calibri"/>
      <family val="2"/>
    </font>
    <font>
      <b/>
      <sz val="18"/>
      <color rgb="FFFFFFFF"/>
      <name val="Calibri"/>
      <scheme val="minor"/>
    </font>
    <font>
      <sz val="11"/>
      <color rgb="FF1F4E79"/>
      <name val="Calibri"/>
      <scheme val="minor"/>
    </font>
    <font>
      <b/>
      <sz val="36"/>
      <color rgb="FF1F4E79"/>
      <name val="Calibri"/>
      <scheme val="minor"/>
    </font>
    <font>
      <b/>
      <sz val="13"/>
      <color rgb="FFFFFFFF"/>
      <name val="Calibri"/>
      <scheme val="minor"/>
    </font>
    <font>
      <b/>
      <sz val="14"/>
      <color rgb="FF1F4E79"/>
      <name val="Calibri"/>
      <scheme val="minor"/>
    </font>
    <font>
      <b/>
      <sz val="14"/>
      <color rgb="FFFFFFFF"/>
      <name val="Calibri"/>
      <scheme val="minor"/>
    </font>
    <font>
      <b/>
      <sz val="12"/>
      <color rgb="FF1F4E79"/>
      <name val="Calibri"/>
      <scheme val="minor"/>
    </font>
    <font>
      <b/>
      <sz val="12"/>
      <color rgb="FFFFFFFF"/>
      <name val="Calibri"/>
      <scheme val="minor"/>
    </font>
    <font>
      <b/>
      <sz val="12"/>
      <color rgb="FF999999"/>
      <name val="Calibri"/>
      <scheme val="minor"/>
    </font>
    <font>
      <sz val="11"/>
      <color rgb="FF375623"/>
      <name val="Calibri"/>
      <scheme val="minor"/>
    </font>
    <font>
      <b/>
      <sz val="36"/>
      <color rgb="FF375623"/>
      <name val="Calibri"/>
      <scheme val="minor"/>
    </font>
    <font>
      <b/>
      <sz val="36"/>
      <color rgb="FF806000"/>
      <name val="Calibri"/>
      <scheme val="minor"/>
    </font>
    <font>
      <b/>
      <sz val="12"/>
      <color rgb="FFBF8F00"/>
      <name val="Calibri"/>
      <scheme val="minor"/>
    </font>
    <font>
      <sz val="11"/>
      <color rgb="FF999999"/>
      <name val="Calibri"/>
      <scheme val="minor"/>
    </font>
    <font>
      <i/>
      <sz val="11"/>
      <color rgb="FF999999"/>
      <name val="Calibri"/>
      <scheme val="minor"/>
    </font>
    <font>
      <sz val="11"/>
      <color rgb="FF000000"/>
      <name val="Calibri"/>
      <scheme val="minor"/>
    </font>
    <font>
      <b/>
      <sz val="16"/>
      <color rgb="FFFFFFFF"/>
      <name val="Calibri"/>
      <scheme val="minor"/>
    </font>
    <font>
      <i/>
      <sz val="9"/>
      <color rgb="FF808080"/>
      <name val="Calibri"/>
      <scheme val="minor"/>
    </font>
    <font>
      <b/>
      <sz val="10"/>
      <color rgb="FF1F4E79"/>
      <name val="Calibri"/>
      <scheme val="minor"/>
    </font>
    <font>
      <b/>
      <sz val="22"/>
      <color rgb="FF1F4E79"/>
      <name val="Calibri"/>
      <scheme val="minor"/>
    </font>
    <font>
      <b/>
      <sz val="10"/>
      <color rgb="FFFFFFFF"/>
      <name val="Calibri"/>
      <scheme val="minor"/>
    </font>
    <font>
      <sz val="10"/>
      <color rgb="FF808080"/>
      <name val="Calibri"/>
      <scheme val="minor"/>
    </font>
    <font>
      <sz val="10"/>
      <color theme="1"/>
      <name val="Calibri"/>
      <scheme val="minor"/>
    </font>
    <font>
      <b/>
      <sz val="11"/>
      <color rgb="FF000000"/>
      <name val="Calibri"/>
      <scheme val="minor"/>
    </font>
    <font>
      <b/>
      <sz val="11"/>
      <color rgb="FF999999"/>
      <name val="Calibri"/>
      <scheme val="minor"/>
    </font>
    <font>
      <b/>
      <i/>
      <sz val="9"/>
      <color rgb="FF999999"/>
      <name val="Calibri"/>
      <scheme val="minor"/>
    </font>
    <font>
      <b/>
      <sz val="10"/>
      <color rgb="FFBF8F00"/>
      <name val="Calibri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1"/>
      <color rgb="FF000000"/>
      <name val="Calibri"/>
      <family val="2"/>
    </font>
    <font>
      <sz val="11"/>
      <color rgb="FF242424"/>
      <name val="Aptos Narrow"/>
      <charset val="1"/>
    </font>
    <font>
      <sz val="11"/>
      <color rgb="FF000000"/>
      <name val="Calibri"/>
      <charset val="1"/>
    </font>
    <font>
      <b/>
      <sz val="14"/>
      <color rgb="FF1F4E78"/>
      <name val="Calibri"/>
      <scheme val="minor"/>
    </font>
    <font>
      <b/>
      <sz val="9"/>
      <color rgb="FF7F7F7F"/>
      <name val="Calibri"/>
      <scheme val="minor"/>
    </font>
    <font>
      <sz val="9"/>
      <color rgb="FF7F7F7F"/>
      <name val="Calibri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165" fontId="9" fillId="18" borderId="2" xfId="2" applyNumberFormat="1" applyFont="1" applyFill="1" applyBorder="1" applyAlignment="1">
      <alignment vertical="center"/>
    </xf>
    <xf numFmtId="49" fontId="9" fillId="3" borderId="0" xfId="0" applyNumberFormat="1" applyFont="1" applyFill="1" applyBorder="1" applyAlignment="1">
      <alignment horizontal="center" vertical="center"/>
    </xf>
    <xf numFmtId="166" fontId="9" fillId="3" borderId="0" xfId="0" applyNumberFormat="1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16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504</c:v>
                </c:pt>
                <c:pt idx="1">
                  <c:v>603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>
    <filterColumn colId="0">
      <filters>
        <filter val="2026"/>
      </filters>
    </filterColumn>
    <filterColumn colId="4">
      <filters>
        <filter val="Sociedade"/>
      </filters>
    </filterColumn>
  </autoFilter>
  <sortState xmlns:xlrd2="http://schemas.microsoft.com/office/spreadsheetml/2017/richdata2" ref="B2:T684">
    <sortCondition ref="I1:I684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7" totalsRowShown="0">
  <autoFilter ref="A3:D8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 filterMode="1">
    <pageSetUpPr fitToPage="1"/>
  </sheetPr>
  <dimension ref="A1:U749"/>
  <sheetViews>
    <sheetView tabSelected="1" zoomScaleNormal="100" workbookViewId="0">
      <pane ySplit="1" topLeftCell="A670" activePane="bottomLeft" state="frozen"/>
      <selection pane="bottomLeft" activeCell="F684" sqref="F684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hidden="1" customHeight="1" x14ac:dyDescent="0.25">
      <c r="A2" s="20" t="s">
        <v>20</v>
      </c>
      <c r="B2" s="22">
        <v>2014</v>
      </c>
      <c r="C2" s="90" t="s">
        <v>21</v>
      </c>
      <c r="D2" s="22"/>
      <c r="E2" s="27" t="s">
        <v>22</v>
      </c>
      <c r="F2" s="29" t="s">
        <v>23</v>
      </c>
      <c r="G2" s="20" t="s">
        <v>24</v>
      </c>
      <c r="H2" s="36" t="s">
        <v>25</v>
      </c>
      <c r="I2" s="37">
        <v>41715</v>
      </c>
      <c r="J2" s="37">
        <v>41719</v>
      </c>
      <c r="K2" s="22" t="s">
        <v>26</v>
      </c>
      <c r="L2" s="28">
        <v>19500</v>
      </c>
      <c r="M2" s="86"/>
      <c r="N2" s="41"/>
      <c r="O2" s="23">
        <v>20</v>
      </c>
      <c r="P2" s="23"/>
      <c r="Q2" s="23"/>
      <c r="R2" s="23">
        <f>SUM(O2:Q2)</f>
        <v>20</v>
      </c>
      <c r="S2" s="22">
        <v>20</v>
      </c>
      <c r="T2" s="20"/>
    </row>
    <row r="3" spans="1:20" ht="23.25" hidden="1" customHeight="1" x14ac:dyDescent="0.25">
      <c r="A3" s="21" t="s">
        <v>27</v>
      </c>
      <c r="B3" s="24">
        <v>2014</v>
      </c>
      <c r="C3" s="90" t="s">
        <v>21</v>
      </c>
      <c r="D3" s="24" t="s">
        <v>28</v>
      </c>
      <c r="E3" s="30" t="s">
        <v>29</v>
      </c>
      <c r="F3" s="31" t="s">
        <v>23</v>
      </c>
      <c r="G3" s="21" t="s">
        <v>24</v>
      </c>
      <c r="H3" s="38" t="s">
        <v>30</v>
      </c>
      <c r="I3" s="39">
        <v>41743</v>
      </c>
      <c r="J3" s="39">
        <v>41744</v>
      </c>
      <c r="K3" s="24" t="s">
        <v>26</v>
      </c>
      <c r="L3" s="26">
        <v>28000</v>
      </c>
      <c r="M3" s="87"/>
      <c r="N3" s="40"/>
      <c r="O3" s="25">
        <v>16</v>
      </c>
      <c r="P3" s="25"/>
      <c r="Q3" s="25"/>
      <c r="R3" s="25">
        <f>SUM(O3:Q3)</f>
        <v>16</v>
      </c>
      <c r="S3" s="24">
        <v>16</v>
      </c>
      <c r="T3" s="21"/>
    </row>
    <row r="4" spans="1:20" ht="23.25" hidden="1" customHeight="1" x14ac:dyDescent="0.25">
      <c r="A4" s="20" t="s">
        <v>31</v>
      </c>
      <c r="B4" s="22">
        <v>2014</v>
      </c>
      <c r="C4" s="90" t="s">
        <v>21</v>
      </c>
      <c r="D4" s="22"/>
      <c r="E4" s="27" t="s">
        <v>32</v>
      </c>
      <c r="F4" s="29" t="s">
        <v>23</v>
      </c>
      <c r="G4" s="20" t="s">
        <v>33</v>
      </c>
      <c r="H4" s="36" t="s">
        <v>34</v>
      </c>
      <c r="I4" s="37">
        <v>41792</v>
      </c>
      <c r="J4" s="37">
        <v>41799</v>
      </c>
      <c r="K4" s="22" t="s">
        <v>35</v>
      </c>
      <c r="L4" s="28">
        <v>2991</v>
      </c>
      <c r="M4" s="86"/>
      <c r="N4" s="41"/>
      <c r="O4" s="23">
        <v>24</v>
      </c>
      <c r="P4" s="23"/>
      <c r="Q4" s="23"/>
      <c r="R4" s="23">
        <f>SUM(O4:Q4)</f>
        <v>24</v>
      </c>
      <c r="S4" s="22">
        <v>24</v>
      </c>
      <c r="T4" s="20"/>
    </row>
    <row r="5" spans="1:20" ht="23.25" hidden="1" customHeight="1" x14ac:dyDescent="0.25">
      <c r="A5" s="21" t="s">
        <v>36</v>
      </c>
      <c r="B5" s="24">
        <v>2014</v>
      </c>
      <c r="C5" s="90" t="s">
        <v>21</v>
      </c>
      <c r="D5" s="24"/>
      <c r="E5" s="30" t="s">
        <v>37</v>
      </c>
      <c r="F5" s="31" t="s">
        <v>23</v>
      </c>
      <c r="G5" s="21" t="s">
        <v>38</v>
      </c>
      <c r="H5" s="38" t="s">
        <v>39</v>
      </c>
      <c r="I5" s="39">
        <v>41814</v>
      </c>
      <c r="J5" s="39">
        <v>41815</v>
      </c>
      <c r="K5" s="24" t="s">
        <v>26</v>
      </c>
      <c r="L5" s="26">
        <v>41341.160000000003</v>
      </c>
      <c r="M5" s="87"/>
      <c r="N5" s="40"/>
      <c r="O5" s="25">
        <v>16</v>
      </c>
      <c r="P5" s="25"/>
      <c r="Q5" s="25"/>
      <c r="R5" s="25">
        <f>SUM(O5:Q5)</f>
        <v>16</v>
      </c>
      <c r="S5" s="24">
        <v>16</v>
      </c>
      <c r="T5" s="21"/>
    </row>
    <row r="6" spans="1:20" ht="23.25" hidden="1" customHeight="1" x14ac:dyDescent="0.25">
      <c r="A6" s="20" t="s">
        <v>40</v>
      </c>
      <c r="B6" s="22">
        <v>2014</v>
      </c>
      <c r="C6" s="90" t="s">
        <v>21</v>
      </c>
      <c r="D6" s="22"/>
      <c r="E6" s="27" t="s">
        <v>41</v>
      </c>
      <c r="F6" s="29" t="s">
        <v>23</v>
      </c>
      <c r="G6" s="20" t="s">
        <v>24</v>
      </c>
      <c r="H6" s="36" t="s">
        <v>42</v>
      </c>
      <c r="I6" s="37">
        <v>41855</v>
      </c>
      <c r="J6" s="37">
        <v>41859</v>
      </c>
      <c r="K6" s="22" t="s">
        <v>26</v>
      </c>
      <c r="L6" s="28">
        <v>54900</v>
      </c>
      <c r="M6" s="86"/>
      <c r="N6" s="41"/>
      <c r="O6" s="23">
        <v>40</v>
      </c>
      <c r="P6" s="23"/>
      <c r="Q6" s="23"/>
      <c r="R6" s="23">
        <f>SUM(O6:Q6)</f>
        <v>40</v>
      </c>
      <c r="S6" s="22">
        <v>40</v>
      </c>
      <c r="T6" s="20"/>
    </row>
    <row r="7" spans="1:20" ht="23.25" hidden="1" customHeight="1" x14ac:dyDescent="0.25">
      <c r="A7" s="21" t="s">
        <v>43</v>
      </c>
      <c r="B7" s="24">
        <v>2014</v>
      </c>
      <c r="C7" s="90" t="s">
        <v>21</v>
      </c>
      <c r="D7" s="24"/>
      <c r="E7" s="30" t="s">
        <v>44</v>
      </c>
      <c r="F7" s="31" t="s">
        <v>23</v>
      </c>
      <c r="G7" s="21" t="s">
        <v>24</v>
      </c>
      <c r="H7" s="38" t="s">
        <v>45</v>
      </c>
      <c r="I7" s="39">
        <v>41892</v>
      </c>
      <c r="J7" s="39">
        <v>41892</v>
      </c>
      <c r="K7" s="24" t="s">
        <v>26</v>
      </c>
      <c r="L7" s="26">
        <v>15000</v>
      </c>
      <c r="M7" s="87"/>
      <c r="N7" s="40"/>
      <c r="O7" s="25">
        <v>30</v>
      </c>
      <c r="P7" s="25"/>
      <c r="Q7" s="25"/>
      <c r="R7" s="25">
        <f>SUM(O7:Q7)</f>
        <v>30</v>
      </c>
      <c r="S7" s="24">
        <v>30</v>
      </c>
      <c r="T7" s="21"/>
    </row>
    <row r="8" spans="1:20" ht="23.25" hidden="1" customHeight="1" x14ac:dyDescent="0.25">
      <c r="A8" s="20" t="s">
        <v>46</v>
      </c>
      <c r="B8" s="22">
        <v>2014</v>
      </c>
      <c r="C8" s="90" t="s">
        <v>21</v>
      </c>
      <c r="D8" s="22"/>
      <c r="E8" s="27"/>
      <c r="F8" s="29" t="s">
        <v>23</v>
      </c>
      <c r="G8" s="20" t="s">
        <v>24</v>
      </c>
      <c r="H8" s="36" t="s">
        <v>47</v>
      </c>
      <c r="I8" s="37">
        <v>41943</v>
      </c>
      <c r="J8" s="37">
        <v>41943</v>
      </c>
      <c r="K8" s="22" t="s">
        <v>26</v>
      </c>
      <c r="L8" s="28">
        <v>33260</v>
      </c>
      <c r="M8" s="86"/>
      <c r="N8" s="41"/>
      <c r="O8" s="23">
        <v>24</v>
      </c>
      <c r="P8" s="23"/>
      <c r="Q8" s="23"/>
      <c r="R8" s="23">
        <f>SUM(O8:Q8)</f>
        <v>24</v>
      </c>
      <c r="S8" s="22">
        <v>24</v>
      </c>
      <c r="T8" s="20"/>
    </row>
    <row r="9" spans="1:20" ht="23.25" hidden="1" customHeight="1" x14ac:dyDescent="0.25">
      <c r="A9" s="21" t="s">
        <v>48</v>
      </c>
      <c r="B9" s="24">
        <v>2014</v>
      </c>
      <c r="C9" s="90" t="s">
        <v>21</v>
      </c>
      <c r="D9" s="24"/>
      <c r="E9" s="30" t="s">
        <v>49</v>
      </c>
      <c r="F9" s="31" t="s">
        <v>23</v>
      </c>
      <c r="G9" s="21" t="s">
        <v>38</v>
      </c>
      <c r="H9" s="38" t="s">
        <v>50</v>
      </c>
      <c r="I9" s="39">
        <v>41953</v>
      </c>
      <c r="J9" s="39">
        <v>41957</v>
      </c>
      <c r="K9" s="24" t="s">
        <v>35</v>
      </c>
      <c r="L9" s="26">
        <v>4353.54</v>
      </c>
      <c r="M9" s="87"/>
      <c r="N9" s="40"/>
      <c r="O9" s="25"/>
      <c r="P9" s="25">
        <v>37</v>
      </c>
      <c r="Q9" s="25"/>
      <c r="R9" s="25">
        <f>SUM(O9:Q9)</f>
        <v>37</v>
      </c>
      <c r="S9" s="24">
        <v>8</v>
      </c>
      <c r="T9" s="21"/>
    </row>
    <row r="10" spans="1:20" ht="23.25" hidden="1" customHeight="1" x14ac:dyDescent="0.25">
      <c r="A10" s="20" t="s">
        <v>51</v>
      </c>
      <c r="B10" s="22">
        <v>2014</v>
      </c>
      <c r="C10" s="90" t="s">
        <v>21</v>
      </c>
      <c r="D10" s="22"/>
      <c r="E10" s="27" t="s">
        <v>52</v>
      </c>
      <c r="F10" s="29" t="s">
        <v>23</v>
      </c>
      <c r="G10" s="20" t="s">
        <v>24</v>
      </c>
      <c r="H10" s="36" t="s">
        <v>53</v>
      </c>
      <c r="I10" s="37">
        <v>41967</v>
      </c>
      <c r="J10" s="37">
        <v>41971</v>
      </c>
      <c r="K10" s="22" t="s">
        <v>35</v>
      </c>
      <c r="L10" s="28">
        <v>4353.54</v>
      </c>
      <c r="M10" s="86"/>
      <c r="N10" s="41"/>
      <c r="O10" s="23"/>
      <c r="P10" s="23">
        <v>58</v>
      </c>
      <c r="Q10" s="23"/>
      <c r="R10" s="23">
        <f>SUM(O10:Q10)</f>
        <v>58</v>
      </c>
      <c r="S10" s="22">
        <v>20</v>
      </c>
      <c r="T10" s="20"/>
    </row>
    <row r="11" spans="1:20" ht="23.25" hidden="1" customHeight="1" x14ac:dyDescent="0.25">
      <c r="A11" s="21" t="s">
        <v>54</v>
      </c>
      <c r="B11" s="24">
        <v>2015</v>
      </c>
      <c r="C11" s="90" t="s">
        <v>21</v>
      </c>
      <c r="D11" s="24" t="s">
        <v>55</v>
      </c>
      <c r="E11" s="30" t="s">
        <v>56</v>
      </c>
      <c r="F11" s="31" t="s">
        <v>23</v>
      </c>
      <c r="G11" s="21" t="s">
        <v>24</v>
      </c>
      <c r="H11" s="38" t="s">
        <v>57</v>
      </c>
      <c r="I11" s="39">
        <v>42086</v>
      </c>
      <c r="J11" s="39">
        <v>42090</v>
      </c>
      <c r="K11" s="24" t="s">
        <v>26</v>
      </c>
      <c r="L11" s="26">
        <v>23500</v>
      </c>
      <c r="M11" s="87"/>
      <c r="N11" s="40"/>
      <c r="O11" s="25">
        <v>25</v>
      </c>
      <c r="P11" s="25"/>
      <c r="Q11" s="25"/>
      <c r="R11" s="25">
        <f>SUM(O11:Q11)</f>
        <v>25</v>
      </c>
      <c r="S11" s="24">
        <v>20</v>
      </c>
      <c r="T11" s="21" t="s">
        <v>58</v>
      </c>
    </row>
    <row r="12" spans="1:20" ht="23.25" hidden="1" customHeight="1" x14ac:dyDescent="0.25">
      <c r="A12" s="20" t="s">
        <v>59</v>
      </c>
      <c r="B12" s="22">
        <v>2015</v>
      </c>
      <c r="C12" s="90" t="s">
        <v>21</v>
      </c>
      <c r="D12" s="22" t="s">
        <v>60</v>
      </c>
      <c r="E12" s="27" t="s">
        <v>61</v>
      </c>
      <c r="F12" s="29" t="s">
        <v>62</v>
      </c>
      <c r="G12" s="20" t="s">
        <v>38</v>
      </c>
      <c r="H12" s="36" t="s">
        <v>63</v>
      </c>
      <c r="I12" s="37">
        <v>42100</v>
      </c>
      <c r="J12" s="37">
        <v>42104</v>
      </c>
      <c r="K12" s="22" t="s">
        <v>35</v>
      </c>
      <c r="L12" s="28">
        <v>4992.74</v>
      </c>
      <c r="M12" s="86"/>
      <c r="N12" s="41"/>
      <c r="O12" s="23"/>
      <c r="P12" s="23">
        <v>85</v>
      </c>
      <c r="Q12" s="23"/>
      <c r="R12" s="23">
        <f>SUM(O12:Q12)</f>
        <v>85</v>
      </c>
      <c r="S12" s="22">
        <v>20</v>
      </c>
      <c r="T12" s="20" t="s">
        <v>64</v>
      </c>
    </row>
    <row r="13" spans="1:20" ht="23.25" hidden="1" customHeight="1" x14ac:dyDescent="0.25">
      <c r="A13" s="21" t="s">
        <v>65</v>
      </c>
      <c r="B13" s="24">
        <v>2015</v>
      </c>
      <c r="C13" s="90" t="s">
        <v>21</v>
      </c>
      <c r="D13" s="24" t="s">
        <v>66</v>
      </c>
      <c r="E13" s="30" t="s">
        <v>67</v>
      </c>
      <c r="F13" s="31" t="s">
        <v>23</v>
      </c>
      <c r="G13" s="21" t="s">
        <v>68</v>
      </c>
      <c r="H13" s="38" t="s">
        <v>63</v>
      </c>
      <c r="I13" s="39">
        <v>42100</v>
      </c>
      <c r="J13" s="39">
        <v>42104</v>
      </c>
      <c r="K13" s="24" t="s">
        <v>26</v>
      </c>
      <c r="L13" s="26">
        <v>29000</v>
      </c>
      <c r="M13" s="87"/>
      <c r="N13" s="40"/>
      <c r="O13" s="25">
        <v>19</v>
      </c>
      <c r="P13" s="25"/>
      <c r="Q13" s="25"/>
      <c r="R13" s="25">
        <f>SUM(O13:Q13)</f>
        <v>19</v>
      </c>
      <c r="S13" s="24">
        <v>40</v>
      </c>
      <c r="T13" s="21" t="s">
        <v>69</v>
      </c>
    </row>
    <row r="14" spans="1:20" ht="23.25" hidden="1" customHeight="1" x14ac:dyDescent="0.25">
      <c r="A14" s="20" t="s">
        <v>70</v>
      </c>
      <c r="B14" s="22">
        <v>2015</v>
      </c>
      <c r="C14" s="90" t="s">
        <v>21</v>
      </c>
      <c r="D14" s="22" t="s">
        <v>71</v>
      </c>
      <c r="E14" s="27" t="s">
        <v>52</v>
      </c>
      <c r="F14" s="29" t="s">
        <v>62</v>
      </c>
      <c r="G14" s="20" t="s">
        <v>72</v>
      </c>
      <c r="H14" s="36" t="s">
        <v>73</v>
      </c>
      <c r="I14" s="37">
        <v>42107</v>
      </c>
      <c r="J14" s="37">
        <v>42111</v>
      </c>
      <c r="K14" s="22" t="s">
        <v>35</v>
      </c>
      <c r="L14" s="28">
        <v>4447.5200000000004</v>
      </c>
      <c r="M14" s="86"/>
      <c r="N14" s="41"/>
      <c r="O14" s="23"/>
      <c r="P14" s="23">
        <v>89</v>
      </c>
      <c r="Q14" s="23"/>
      <c r="R14" s="23">
        <f>SUM(O14:Q14)</f>
        <v>89</v>
      </c>
      <c r="S14" s="22">
        <v>20</v>
      </c>
      <c r="T14" s="20" t="s">
        <v>74</v>
      </c>
    </row>
    <row r="15" spans="1:20" ht="23.25" hidden="1" customHeight="1" x14ac:dyDescent="0.25">
      <c r="A15" s="21" t="s">
        <v>75</v>
      </c>
      <c r="B15" s="24">
        <v>2015</v>
      </c>
      <c r="C15" s="90" t="s">
        <v>21</v>
      </c>
      <c r="D15" s="24" t="s">
        <v>76</v>
      </c>
      <c r="E15" s="30" t="s">
        <v>77</v>
      </c>
      <c r="F15" s="31" t="s">
        <v>23</v>
      </c>
      <c r="G15" s="21" t="s">
        <v>38</v>
      </c>
      <c r="H15" s="38" t="s">
        <v>78</v>
      </c>
      <c r="I15" s="39">
        <v>42110</v>
      </c>
      <c r="J15" s="39">
        <v>42118</v>
      </c>
      <c r="K15" s="24" t="s">
        <v>35</v>
      </c>
      <c r="L15" s="26">
        <v>4447.5200000000004</v>
      </c>
      <c r="M15" s="87"/>
      <c r="N15" s="40"/>
      <c r="O15" s="25">
        <v>37</v>
      </c>
      <c r="P15" s="25"/>
      <c r="Q15" s="25"/>
      <c r="R15" s="25">
        <f>SUM(O15:Q15)</f>
        <v>37</v>
      </c>
      <c r="S15" s="24">
        <v>30</v>
      </c>
      <c r="T15" s="21" t="s">
        <v>74</v>
      </c>
    </row>
    <row r="16" spans="1:20" ht="23.25" hidden="1" customHeight="1" x14ac:dyDescent="0.25">
      <c r="A16" s="20" t="s">
        <v>79</v>
      </c>
      <c r="B16" s="22">
        <v>2015</v>
      </c>
      <c r="C16" s="90" t="s">
        <v>21</v>
      </c>
      <c r="D16" s="22"/>
      <c r="E16" s="27" t="s">
        <v>80</v>
      </c>
      <c r="F16" s="29" t="s">
        <v>81</v>
      </c>
      <c r="G16" s="20" t="s">
        <v>82</v>
      </c>
      <c r="H16" s="36" t="s">
        <v>83</v>
      </c>
      <c r="I16" s="37">
        <v>42122</v>
      </c>
      <c r="J16" s="37">
        <v>42122</v>
      </c>
      <c r="K16" s="22" t="s">
        <v>35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>SUM(O16:Q16)</f>
        <v>0</v>
      </c>
      <c r="S16" s="22">
        <v>5</v>
      </c>
      <c r="T16" s="20"/>
    </row>
    <row r="17" spans="1:20" ht="23.25" hidden="1" customHeight="1" x14ac:dyDescent="0.25">
      <c r="A17" s="21" t="s">
        <v>84</v>
      </c>
      <c r="B17" s="24">
        <v>2015</v>
      </c>
      <c r="C17" s="90" t="s">
        <v>21</v>
      </c>
      <c r="D17" s="24" t="s">
        <v>85</v>
      </c>
      <c r="E17" s="30" t="s">
        <v>86</v>
      </c>
      <c r="F17" s="31" t="s">
        <v>23</v>
      </c>
      <c r="G17" s="21" t="s">
        <v>24</v>
      </c>
      <c r="H17" s="38" t="s">
        <v>87</v>
      </c>
      <c r="I17" s="39">
        <v>42129</v>
      </c>
      <c r="J17" s="39">
        <v>42132</v>
      </c>
      <c r="K17" s="24" t="s">
        <v>26</v>
      </c>
      <c r="L17" s="26">
        <v>35500</v>
      </c>
      <c r="M17" s="87"/>
      <c r="N17" s="40"/>
      <c r="O17" s="25">
        <v>30</v>
      </c>
      <c r="P17" s="25"/>
      <c r="Q17" s="25"/>
      <c r="R17" s="25">
        <f>SUM(O17:Q17)</f>
        <v>30</v>
      </c>
      <c r="S17" s="24">
        <v>16</v>
      </c>
      <c r="T17" s="21" t="s">
        <v>88</v>
      </c>
    </row>
    <row r="18" spans="1:20" ht="23.25" hidden="1" customHeight="1" x14ac:dyDescent="0.25">
      <c r="A18" s="20" t="s">
        <v>89</v>
      </c>
      <c r="B18" s="22">
        <v>2015</v>
      </c>
      <c r="C18" s="90" t="s">
        <v>21</v>
      </c>
      <c r="D18" s="22" t="s">
        <v>90</v>
      </c>
      <c r="E18" s="27" t="s">
        <v>91</v>
      </c>
      <c r="F18" s="29" t="s">
        <v>23</v>
      </c>
      <c r="G18" s="20" t="s">
        <v>38</v>
      </c>
      <c r="H18" s="36" t="s">
        <v>92</v>
      </c>
      <c r="I18" s="37">
        <v>42135</v>
      </c>
      <c r="J18" s="37">
        <v>42139</v>
      </c>
      <c r="K18" s="22" t="s">
        <v>35</v>
      </c>
      <c r="L18" s="28">
        <v>4992.74</v>
      </c>
      <c r="M18" s="86"/>
      <c r="N18" s="41"/>
      <c r="O18" s="23">
        <v>30</v>
      </c>
      <c r="P18" s="23"/>
      <c r="Q18" s="23"/>
      <c r="R18" s="23">
        <f>SUM(O18:Q18)</f>
        <v>30</v>
      </c>
      <c r="S18" s="22">
        <v>20</v>
      </c>
      <c r="T18" s="20" t="s">
        <v>93</v>
      </c>
    </row>
    <row r="19" spans="1:20" ht="23.25" hidden="1" customHeight="1" x14ac:dyDescent="0.25">
      <c r="A19" s="21" t="s">
        <v>94</v>
      </c>
      <c r="B19" s="24">
        <v>2015</v>
      </c>
      <c r="C19" s="90" t="s">
        <v>21</v>
      </c>
      <c r="D19" s="24" t="s">
        <v>95</v>
      </c>
      <c r="E19" s="30" t="s">
        <v>96</v>
      </c>
      <c r="F19" s="31" t="s">
        <v>23</v>
      </c>
      <c r="G19" s="21" t="s">
        <v>38</v>
      </c>
      <c r="H19" s="38" t="s">
        <v>97</v>
      </c>
      <c r="I19" s="39">
        <v>42146</v>
      </c>
      <c r="J19" s="39">
        <v>42146</v>
      </c>
      <c r="K19" s="24" t="s">
        <v>26</v>
      </c>
      <c r="L19" s="26">
        <v>0</v>
      </c>
      <c r="M19" s="87"/>
      <c r="N19" s="40"/>
      <c r="O19" s="25">
        <v>15</v>
      </c>
      <c r="P19" s="25"/>
      <c r="Q19" s="25"/>
      <c r="R19" s="25">
        <f>SUM(O19:Q19)</f>
        <v>15</v>
      </c>
      <c r="S19" s="24">
        <v>8</v>
      </c>
      <c r="T19" s="21" t="s">
        <v>98</v>
      </c>
    </row>
    <row r="20" spans="1:20" ht="23.25" hidden="1" customHeight="1" x14ac:dyDescent="0.25">
      <c r="A20" s="20" t="s">
        <v>99</v>
      </c>
      <c r="B20" s="22">
        <v>2015</v>
      </c>
      <c r="C20" s="90" t="s">
        <v>21</v>
      </c>
      <c r="D20" s="22" t="s">
        <v>100</v>
      </c>
      <c r="E20" s="27" t="s">
        <v>101</v>
      </c>
      <c r="F20" s="29" t="s">
        <v>23</v>
      </c>
      <c r="G20" s="20" t="s">
        <v>33</v>
      </c>
      <c r="H20" s="36" t="s">
        <v>102</v>
      </c>
      <c r="I20" s="37">
        <v>42149</v>
      </c>
      <c r="J20" s="37">
        <v>42156</v>
      </c>
      <c r="K20" s="22" t="s">
        <v>26</v>
      </c>
      <c r="L20" s="28">
        <v>2630</v>
      </c>
      <c r="M20" s="86"/>
      <c r="N20" s="41"/>
      <c r="O20" s="23">
        <v>14</v>
      </c>
      <c r="P20" s="23"/>
      <c r="Q20" s="23"/>
      <c r="R20" s="23">
        <f>SUM(O20:Q20)</f>
        <v>14</v>
      </c>
      <c r="S20" s="22">
        <v>24</v>
      </c>
      <c r="T20" s="20" t="s">
        <v>103</v>
      </c>
    </row>
    <row r="21" spans="1:20" ht="23.25" hidden="1" customHeight="1" x14ac:dyDescent="0.25">
      <c r="A21" s="21" t="s">
        <v>104</v>
      </c>
      <c r="B21" s="24">
        <v>2015</v>
      </c>
      <c r="C21" s="90" t="s">
        <v>21</v>
      </c>
      <c r="D21" s="24" t="s">
        <v>105</v>
      </c>
      <c r="E21" s="30" t="s">
        <v>106</v>
      </c>
      <c r="F21" s="31" t="s">
        <v>23</v>
      </c>
      <c r="G21" s="21" t="s">
        <v>38</v>
      </c>
      <c r="H21" s="38" t="s">
        <v>107</v>
      </c>
      <c r="I21" s="39">
        <v>42163</v>
      </c>
      <c r="J21" s="39">
        <v>42167</v>
      </c>
      <c r="K21" s="24" t="s">
        <v>35</v>
      </c>
      <c r="L21" s="26">
        <v>0</v>
      </c>
      <c r="M21" s="87"/>
      <c r="N21" s="40"/>
      <c r="O21" s="25">
        <v>14</v>
      </c>
      <c r="P21" s="25"/>
      <c r="Q21" s="25"/>
      <c r="R21" s="25">
        <f>SUM(O21:Q21)</f>
        <v>14</v>
      </c>
      <c r="S21" s="24">
        <v>20</v>
      </c>
      <c r="T21" s="21" t="s">
        <v>108</v>
      </c>
    </row>
    <row r="22" spans="1:20" ht="23.25" hidden="1" customHeight="1" x14ac:dyDescent="0.25">
      <c r="A22" s="20" t="s">
        <v>109</v>
      </c>
      <c r="B22" s="22">
        <v>2015</v>
      </c>
      <c r="C22" s="90" t="s">
        <v>21</v>
      </c>
      <c r="D22" s="22" t="s">
        <v>110</v>
      </c>
      <c r="E22" s="27" t="s">
        <v>111</v>
      </c>
      <c r="F22" s="29" t="s">
        <v>62</v>
      </c>
      <c r="G22" s="20" t="s">
        <v>72</v>
      </c>
      <c r="H22" s="36" t="s">
        <v>112</v>
      </c>
      <c r="I22" s="37">
        <v>42170</v>
      </c>
      <c r="J22" s="37">
        <v>42174</v>
      </c>
      <c r="K22" s="22" t="s">
        <v>35</v>
      </c>
      <c r="L22" s="28">
        <v>4447.5200000000004</v>
      </c>
      <c r="M22" s="86"/>
      <c r="N22" s="41"/>
      <c r="O22" s="23"/>
      <c r="P22" s="23">
        <v>49</v>
      </c>
      <c r="Q22" s="23"/>
      <c r="R22" s="23">
        <f>SUM(O22:Q22)</f>
        <v>49</v>
      </c>
      <c r="S22" s="22">
        <v>20</v>
      </c>
      <c r="T22" s="20" t="s">
        <v>113</v>
      </c>
    </row>
    <row r="23" spans="1:20" ht="23.25" hidden="1" customHeight="1" x14ac:dyDescent="0.25">
      <c r="A23" s="21" t="s">
        <v>114</v>
      </c>
      <c r="B23" s="24">
        <v>2015</v>
      </c>
      <c r="C23" s="90" t="s">
        <v>21</v>
      </c>
      <c r="D23" s="24" t="s">
        <v>115</v>
      </c>
      <c r="E23" s="30" t="s">
        <v>116</v>
      </c>
      <c r="F23" s="31" t="s">
        <v>23</v>
      </c>
      <c r="G23" s="21" t="s">
        <v>38</v>
      </c>
      <c r="H23" s="38" t="s">
        <v>117</v>
      </c>
      <c r="I23" s="39">
        <v>42221</v>
      </c>
      <c r="J23" s="39">
        <v>42223</v>
      </c>
      <c r="K23" s="24" t="s">
        <v>35</v>
      </c>
      <c r="L23" s="26">
        <v>0</v>
      </c>
      <c r="M23" s="87"/>
      <c r="N23" s="40"/>
      <c r="O23" s="25">
        <v>43</v>
      </c>
      <c r="P23" s="25"/>
      <c r="Q23" s="25"/>
      <c r="R23" s="25">
        <f>SUM(O23:Q23)</f>
        <v>43</v>
      </c>
      <c r="S23" s="24">
        <v>8</v>
      </c>
      <c r="T23" s="21" t="s">
        <v>118</v>
      </c>
    </row>
    <row r="24" spans="1:20" ht="23.25" hidden="1" customHeight="1" x14ac:dyDescent="0.25">
      <c r="A24" s="20" t="s">
        <v>119</v>
      </c>
      <c r="B24" s="22">
        <v>2015</v>
      </c>
      <c r="C24" s="90" t="s">
        <v>21</v>
      </c>
      <c r="D24" s="22" t="s">
        <v>120</v>
      </c>
      <c r="E24" s="27" t="s">
        <v>121</v>
      </c>
      <c r="F24" s="29" t="s">
        <v>23</v>
      </c>
      <c r="G24" s="20" t="s">
        <v>33</v>
      </c>
      <c r="H24" s="36" t="s">
        <v>122</v>
      </c>
      <c r="I24" s="37">
        <v>42240</v>
      </c>
      <c r="J24" s="37">
        <v>42244</v>
      </c>
      <c r="K24" s="22" t="s">
        <v>35</v>
      </c>
      <c r="L24" s="28">
        <v>2702.38</v>
      </c>
      <c r="M24" s="86"/>
      <c r="N24" s="41"/>
      <c r="O24" s="23">
        <v>25</v>
      </c>
      <c r="P24" s="23"/>
      <c r="Q24" s="23"/>
      <c r="R24" s="23">
        <f>SUM(O24:Q24)</f>
        <v>25</v>
      </c>
      <c r="S24" s="22">
        <v>20</v>
      </c>
      <c r="T24" s="20" t="s">
        <v>123</v>
      </c>
    </row>
    <row r="25" spans="1:20" ht="23.25" hidden="1" customHeight="1" x14ac:dyDescent="0.25">
      <c r="A25" s="21" t="s">
        <v>124</v>
      </c>
      <c r="B25" s="24">
        <v>2015</v>
      </c>
      <c r="C25" s="90" t="s">
        <v>21</v>
      </c>
      <c r="D25" s="24" t="s">
        <v>125</v>
      </c>
      <c r="E25" s="30" t="s">
        <v>126</v>
      </c>
      <c r="F25" s="31" t="s">
        <v>23</v>
      </c>
      <c r="G25" s="21" t="s">
        <v>72</v>
      </c>
      <c r="H25" s="38" t="s">
        <v>127</v>
      </c>
      <c r="I25" s="39">
        <v>42247</v>
      </c>
      <c r="J25" s="39">
        <v>42251</v>
      </c>
      <c r="K25" s="24" t="s">
        <v>26</v>
      </c>
      <c r="L25" s="26">
        <v>33600</v>
      </c>
      <c r="M25" s="87"/>
      <c r="N25" s="40"/>
      <c r="O25" s="25">
        <v>35</v>
      </c>
      <c r="P25" s="25"/>
      <c r="Q25" s="25"/>
      <c r="R25" s="25">
        <f>SUM(O25:Q25)</f>
        <v>35</v>
      </c>
      <c r="S25" s="24">
        <v>20</v>
      </c>
      <c r="T25" s="21" t="s">
        <v>128</v>
      </c>
    </row>
    <row r="26" spans="1:20" ht="23.25" hidden="1" customHeight="1" x14ac:dyDescent="0.25">
      <c r="A26" s="20" t="s">
        <v>129</v>
      </c>
      <c r="B26" s="22">
        <v>2015</v>
      </c>
      <c r="C26" s="90" t="s">
        <v>21</v>
      </c>
      <c r="D26" s="22" t="s">
        <v>130</v>
      </c>
      <c r="E26" s="27" t="s">
        <v>131</v>
      </c>
      <c r="F26" s="29" t="s">
        <v>23</v>
      </c>
      <c r="G26" s="20" t="s">
        <v>24</v>
      </c>
      <c r="H26" s="36" t="s">
        <v>132</v>
      </c>
      <c r="I26" s="37">
        <v>42261</v>
      </c>
      <c r="J26" s="37">
        <v>42265</v>
      </c>
      <c r="K26" s="22" t="s">
        <v>26</v>
      </c>
      <c r="L26" s="28">
        <v>15000</v>
      </c>
      <c r="M26" s="86"/>
      <c r="N26" s="41"/>
      <c r="O26" s="23">
        <v>35</v>
      </c>
      <c r="P26" s="23"/>
      <c r="Q26" s="23"/>
      <c r="R26" s="23">
        <f>SUM(O26:Q26)</f>
        <v>35</v>
      </c>
      <c r="S26" s="22">
        <v>25</v>
      </c>
      <c r="T26" s="20" t="s">
        <v>133</v>
      </c>
    </row>
    <row r="27" spans="1:20" ht="23.25" hidden="1" customHeight="1" x14ac:dyDescent="0.25">
      <c r="A27" s="21" t="s">
        <v>134</v>
      </c>
      <c r="B27" s="24">
        <v>2015</v>
      </c>
      <c r="C27" s="90" t="s">
        <v>21</v>
      </c>
      <c r="D27" s="24"/>
      <c r="E27" s="30" t="s">
        <v>135</v>
      </c>
      <c r="F27" s="31" t="s">
        <v>62</v>
      </c>
      <c r="G27" s="21" t="s">
        <v>82</v>
      </c>
      <c r="H27" s="38" t="s">
        <v>83</v>
      </c>
      <c r="I27" s="39">
        <v>42268</v>
      </c>
      <c r="J27" s="39">
        <v>42272</v>
      </c>
      <c r="K27" s="24" t="s">
        <v>35</v>
      </c>
      <c r="L27" s="26">
        <v>4447.5200000000004</v>
      </c>
      <c r="M27" s="87"/>
      <c r="N27" s="40"/>
      <c r="O27" s="25">
        <v>87</v>
      </c>
      <c r="P27" s="25"/>
      <c r="Q27" s="25"/>
      <c r="R27" s="25">
        <f>SUM(O27:Q27)</f>
        <v>87</v>
      </c>
      <c r="S27" s="24"/>
      <c r="T27" s="21"/>
    </row>
    <row r="28" spans="1:20" ht="23.25" hidden="1" customHeight="1" x14ac:dyDescent="0.25">
      <c r="A28" s="20" t="s">
        <v>136</v>
      </c>
      <c r="B28" s="22">
        <v>2015</v>
      </c>
      <c r="C28" s="90" t="s">
        <v>21</v>
      </c>
      <c r="D28" s="22" t="s">
        <v>137</v>
      </c>
      <c r="E28" s="27" t="s">
        <v>138</v>
      </c>
      <c r="F28" s="29" t="s">
        <v>81</v>
      </c>
      <c r="G28" s="20" t="s">
        <v>72</v>
      </c>
      <c r="H28" s="36" t="s">
        <v>139</v>
      </c>
      <c r="I28" s="37">
        <v>42276</v>
      </c>
      <c r="J28" s="37">
        <v>42279</v>
      </c>
      <c r="K28" s="22" t="s">
        <v>35</v>
      </c>
      <c r="L28" s="28">
        <v>4076.52</v>
      </c>
      <c r="M28" s="86"/>
      <c r="N28" s="41"/>
      <c r="O28" s="23"/>
      <c r="P28" s="23"/>
      <c r="Q28" s="23">
        <v>46</v>
      </c>
      <c r="R28" s="23">
        <f>SUM(O28:Q28)</f>
        <v>46</v>
      </c>
      <c r="S28" s="22">
        <v>20</v>
      </c>
      <c r="T28" s="20" t="s">
        <v>140</v>
      </c>
    </row>
    <row r="29" spans="1:20" ht="23.25" hidden="1" customHeight="1" x14ac:dyDescent="0.25">
      <c r="A29" s="21" t="s">
        <v>141</v>
      </c>
      <c r="B29" s="24">
        <v>2015</v>
      </c>
      <c r="C29" s="90" t="s">
        <v>21</v>
      </c>
      <c r="D29" s="24" t="s">
        <v>142</v>
      </c>
      <c r="E29" s="30" t="s">
        <v>143</v>
      </c>
      <c r="F29" s="31" t="s">
        <v>23</v>
      </c>
      <c r="G29" s="21" t="s">
        <v>33</v>
      </c>
      <c r="H29" s="38" t="s">
        <v>144</v>
      </c>
      <c r="I29" s="39">
        <v>42282</v>
      </c>
      <c r="J29" s="39">
        <v>42286</v>
      </c>
      <c r="K29" s="24" t="s">
        <v>35</v>
      </c>
      <c r="L29" s="26">
        <v>4447.5200000000004</v>
      </c>
      <c r="M29" s="87"/>
      <c r="N29" s="40"/>
      <c r="O29" s="25">
        <v>15</v>
      </c>
      <c r="P29" s="25"/>
      <c r="Q29" s="25"/>
      <c r="R29" s="25">
        <f>SUM(O29:Q29)</f>
        <v>15</v>
      </c>
      <c r="S29" s="24">
        <v>20</v>
      </c>
      <c r="T29" s="32" t="s">
        <v>145</v>
      </c>
    </row>
    <row r="30" spans="1:20" ht="23.25" hidden="1" customHeight="1" x14ac:dyDescent="0.25">
      <c r="A30" s="20" t="s">
        <v>146</v>
      </c>
      <c r="B30" s="22">
        <v>2015</v>
      </c>
      <c r="C30" s="90" t="s">
        <v>21</v>
      </c>
      <c r="D30" s="22" t="s">
        <v>110</v>
      </c>
      <c r="E30" s="27" t="s">
        <v>147</v>
      </c>
      <c r="F30" s="29" t="s">
        <v>62</v>
      </c>
      <c r="G30" s="20" t="s">
        <v>72</v>
      </c>
      <c r="H30" s="36" t="s">
        <v>148</v>
      </c>
      <c r="I30" s="37">
        <v>42296</v>
      </c>
      <c r="J30" s="37">
        <v>42300</v>
      </c>
      <c r="K30" s="22" t="s">
        <v>35</v>
      </c>
      <c r="L30" s="28">
        <v>4447.5200000000004</v>
      </c>
      <c r="M30" s="86"/>
      <c r="N30" s="41"/>
      <c r="O30" s="23"/>
      <c r="P30" s="23">
        <v>54</v>
      </c>
      <c r="Q30" s="23"/>
      <c r="R30" s="23">
        <f>SUM(O30:Q30)</f>
        <v>54</v>
      </c>
      <c r="S30" s="22">
        <v>20</v>
      </c>
      <c r="T30" s="20" t="s">
        <v>113</v>
      </c>
    </row>
    <row r="31" spans="1:20" ht="23.25" hidden="1" customHeight="1" x14ac:dyDescent="0.25">
      <c r="A31" s="21" t="s">
        <v>149</v>
      </c>
      <c r="B31" s="24">
        <v>2015</v>
      </c>
      <c r="C31" s="90" t="s">
        <v>21</v>
      </c>
      <c r="D31" s="24"/>
      <c r="E31" s="30" t="s">
        <v>150</v>
      </c>
      <c r="F31" s="31" t="s">
        <v>62</v>
      </c>
      <c r="G31" s="21" t="s">
        <v>82</v>
      </c>
      <c r="H31" s="38" t="s">
        <v>83</v>
      </c>
      <c r="I31" s="39">
        <v>42303</v>
      </c>
      <c r="J31" s="39">
        <v>42305</v>
      </c>
      <c r="K31" s="24" t="s">
        <v>35</v>
      </c>
      <c r="L31" s="26">
        <v>4447.5200000000004</v>
      </c>
      <c r="M31" s="87"/>
      <c r="N31" s="40"/>
      <c r="O31" s="25">
        <v>52</v>
      </c>
      <c r="P31" s="25"/>
      <c r="Q31" s="25"/>
      <c r="R31" s="25">
        <f>SUM(O31:Q31)</f>
        <v>52</v>
      </c>
      <c r="S31" s="24">
        <v>0</v>
      </c>
      <c r="T31" s="21"/>
    </row>
    <row r="32" spans="1:20" ht="23.25" hidden="1" customHeight="1" x14ac:dyDescent="0.25">
      <c r="A32" s="20" t="s">
        <v>151</v>
      </c>
      <c r="B32" s="22">
        <v>2015</v>
      </c>
      <c r="C32" s="90" t="s">
        <v>21</v>
      </c>
      <c r="D32" s="22" t="s">
        <v>137</v>
      </c>
      <c r="E32" s="27" t="s">
        <v>152</v>
      </c>
      <c r="F32" s="29" t="s">
        <v>81</v>
      </c>
      <c r="G32" s="20" t="s">
        <v>72</v>
      </c>
      <c r="H32" s="36" t="s">
        <v>153</v>
      </c>
      <c r="I32" s="37">
        <v>42325</v>
      </c>
      <c r="J32" s="37">
        <v>42328</v>
      </c>
      <c r="K32" s="22" t="s">
        <v>35</v>
      </c>
      <c r="L32" s="28">
        <v>4076.52</v>
      </c>
      <c r="M32" s="86"/>
      <c r="N32" s="41"/>
      <c r="O32" s="23"/>
      <c r="P32" s="23"/>
      <c r="Q32" s="23">
        <v>46</v>
      </c>
      <c r="R32" s="23">
        <f>SUM(O32:Q32)</f>
        <v>46</v>
      </c>
      <c r="S32" s="22">
        <v>20</v>
      </c>
      <c r="T32" s="20" t="s">
        <v>140</v>
      </c>
    </row>
    <row r="33" spans="1:20" ht="23.25" hidden="1" customHeight="1" x14ac:dyDescent="0.25">
      <c r="A33" s="21" t="s">
        <v>154</v>
      </c>
      <c r="B33" s="24">
        <v>2016</v>
      </c>
      <c r="C33" s="90" t="s">
        <v>21</v>
      </c>
      <c r="D33" s="24" t="s">
        <v>155</v>
      </c>
      <c r="E33" s="30" t="s">
        <v>156</v>
      </c>
      <c r="F33" s="31" t="s">
        <v>23</v>
      </c>
      <c r="G33" s="21" t="s">
        <v>82</v>
      </c>
      <c r="H33" s="38" t="s">
        <v>83</v>
      </c>
      <c r="I33" s="39">
        <v>42495</v>
      </c>
      <c r="J33" s="39"/>
      <c r="K33" s="24" t="s">
        <v>26</v>
      </c>
      <c r="L33" s="26">
        <v>0</v>
      </c>
      <c r="M33" s="87"/>
      <c r="N33" s="40"/>
      <c r="O33" s="25">
        <v>14</v>
      </c>
      <c r="P33" s="25"/>
      <c r="Q33" s="25"/>
      <c r="R33" s="25">
        <f>SUM(O33:Q33)</f>
        <v>14</v>
      </c>
      <c r="S33" s="24">
        <v>8</v>
      </c>
      <c r="T33" s="21" t="s">
        <v>157</v>
      </c>
    </row>
    <row r="34" spans="1:20" ht="23.25" hidden="1" customHeight="1" x14ac:dyDescent="0.25">
      <c r="A34" s="20" t="s">
        <v>158</v>
      </c>
      <c r="B34" s="22">
        <v>2016</v>
      </c>
      <c r="C34" s="90" t="s">
        <v>21</v>
      </c>
      <c r="D34" s="22"/>
      <c r="E34" s="27" t="s">
        <v>159</v>
      </c>
      <c r="F34" s="29" t="s">
        <v>23</v>
      </c>
      <c r="G34" s="20" t="s">
        <v>82</v>
      </c>
      <c r="H34" s="36" t="s">
        <v>83</v>
      </c>
      <c r="I34" s="37">
        <v>42495</v>
      </c>
      <c r="J34" s="37"/>
      <c r="K34" s="22" t="s">
        <v>26</v>
      </c>
      <c r="L34" s="28">
        <v>22500</v>
      </c>
      <c r="M34" s="86"/>
      <c r="N34" s="41"/>
      <c r="O34" s="23">
        <v>25</v>
      </c>
      <c r="P34" s="23"/>
      <c r="Q34" s="23"/>
      <c r="R34" s="23">
        <f>SUM(O34:Q34)</f>
        <v>25</v>
      </c>
      <c r="S34" s="22">
        <v>20</v>
      </c>
      <c r="T34" s="20"/>
    </row>
    <row r="35" spans="1:20" ht="23.25" hidden="1" customHeight="1" x14ac:dyDescent="0.25">
      <c r="A35" s="21" t="s">
        <v>160</v>
      </c>
      <c r="B35" s="24">
        <v>2016</v>
      </c>
      <c r="C35" s="90" t="s">
        <v>21</v>
      </c>
      <c r="D35" s="24" t="s">
        <v>161</v>
      </c>
      <c r="E35" s="30" t="s">
        <v>162</v>
      </c>
      <c r="F35" s="31" t="s">
        <v>23</v>
      </c>
      <c r="G35" s="21" t="s">
        <v>82</v>
      </c>
      <c r="H35" s="38" t="s">
        <v>83</v>
      </c>
      <c r="I35" s="39">
        <v>42495</v>
      </c>
      <c r="J35" s="39"/>
      <c r="K35" s="24" t="s">
        <v>26</v>
      </c>
      <c r="L35" s="26">
        <v>25200</v>
      </c>
      <c r="M35" s="87"/>
      <c r="N35" s="40"/>
      <c r="O35" s="25">
        <v>17</v>
      </c>
      <c r="P35" s="25"/>
      <c r="Q35" s="25"/>
      <c r="R35" s="25">
        <f>SUM(O35:Q35)</f>
        <v>17</v>
      </c>
      <c r="S35" s="24">
        <v>20</v>
      </c>
      <c r="T35" s="21" t="s">
        <v>163</v>
      </c>
    </row>
    <row r="36" spans="1:20" ht="23.25" hidden="1" customHeight="1" x14ac:dyDescent="0.25">
      <c r="A36" s="20" t="s">
        <v>164</v>
      </c>
      <c r="B36" s="22">
        <v>2016</v>
      </c>
      <c r="C36" s="90" t="s">
        <v>21</v>
      </c>
      <c r="D36" s="22" t="s">
        <v>165</v>
      </c>
      <c r="E36" s="27" t="s">
        <v>166</v>
      </c>
      <c r="F36" s="29" t="s">
        <v>62</v>
      </c>
      <c r="G36" s="20" t="s">
        <v>72</v>
      </c>
      <c r="H36" s="36" t="s">
        <v>167</v>
      </c>
      <c r="I36" s="37">
        <v>42506</v>
      </c>
      <c r="J36" s="37">
        <v>42510</v>
      </c>
      <c r="K36" s="22" t="s">
        <v>35</v>
      </c>
      <c r="L36" s="28">
        <v>6671.48</v>
      </c>
      <c r="M36" s="86"/>
      <c r="N36" s="41"/>
      <c r="O36" s="23"/>
      <c r="P36" s="23">
        <v>75</v>
      </c>
      <c r="Q36" s="23"/>
      <c r="R36" s="23">
        <f>SUM(O36:Q36)</f>
        <v>75</v>
      </c>
      <c r="S36" s="22">
        <v>20</v>
      </c>
      <c r="T36" s="20" t="s">
        <v>74</v>
      </c>
    </row>
    <row r="37" spans="1:20" ht="23.25" hidden="1" customHeight="1" x14ac:dyDescent="0.25">
      <c r="A37" s="21" t="s">
        <v>168</v>
      </c>
      <c r="B37" s="24">
        <v>2016</v>
      </c>
      <c r="C37" s="90" t="s">
        <v>21</v>
      </c>
      <c r="D37" s="24" t="s">
        <v>169</v>
      </c>
      <c r="E37" s="30" t="s">
        <v>170</v>
      </c>
      <c r="F37" s="31" t="s">
        <v>81</v>
      </c>
      <c r="G37" s="21" t="s">
        <v>72</v>
      </c>
      <c r="H37" s="38" t="s">
        <v>171</v>
      </c>
      <c r="I37" s="39">
        <v>42534</v>
      </c>
      <c r="J37" s="39">
        <v>42534</v>
      </c>
      <c r="K37" s="24" t="s">
        <v>35</v>
      </c>
      <c r="L37" s="26">
        <v>2668.6</v>
      </c>
      <c r="M37" s="87"/>
      <c r="N37" s="40"/>
      <c r="O37" s="25"/>
      <c r="P37" s="25">
        <v>18</v>
      </c>
      <c r="Q37" s="25"/>
      <c r="R37" s="25">
        <f>SUM(O37:Q37)</f>
        <v>18</v>
      </c>
      <c r="S37" s="24">
        <v>3</v>
      </c>
      <c r="T37" s="32" t="s">
        <v>172</v>
      </c>
    </row>
    <row r="38" spans="1:20" ht="23.25" hidden="1" customHeight="1" x14ac:dyDescent="0.25">
      <c r="A38" s="20" t="s">
        <v>173</v>
      </c>
      <c r="B38" s="22">
        <v>2016</v>
      </c>
      <c r="C38" s="90" t="s">
        <v>21</v>
      </c>
      <c r="D38" s="22" t="s">
        <v>174</v>
      </c>
      <c r="E38" s="27" t="s">
        <v>175</v>
      </c>
      <c r="F38" s="29" t="s">
        <v>81</v>
      </c>
      <c r="G38" s="20" t="s">
        <v>72</v>
      </c>
      <c r="H38" s="36" t="s">
        <v>176</v>
      </c>
      <c r="I38" s="37">
        <v>42534</v>
      </c>
      <c r="J38" s="37">
        <v>42535</v>
      </c>
      <c r="K38" s="22" t="s">
        <v>26</v>
      </c>
      <c r="L38" s="28">
        <v>0</v>
      </c>
      <c r="M38" s="86"/>
      <c r="N38" s="41"/>
      <c r="O38" s="23">
        <v>33</v>
      </c>
      <c r="P38" s="23"/>
      <c r="Q38" s="23"/>
      <c r="R38" s="23">
        <f>SUM(O38:Q38)</f>
        <v>33</v>
      </c>
      <c r="S38" s="22">
        <v>10</v>
      </c>
      <c r="T38" s="20" t="s">
        <v>177</v>
      </c>
    </row>
    <row r="39" spans="1:20" ht="23.25" hidden="1" customHeight="1" x14ac:dyDescent="0.25">
      <c r="A39" s="21" t="s">
        <v>178</v>
      </c>
      <c r="B39" s="24">
        <v>2016</v>
      </c>
      <c r="C39" s="90" t="s">
        <v>21</v>
      </c>
      <c r="D39" s="24" t="s">
        <v>179</v>
      </c>
      <c r="E39" s="30" t="s">
        <v>180</v>
      </c>
      <c r="F39" s="31" t="s">
        <v>62</v>
      </c>
      <c r="G39" s="21" t="s">
        <v>72</v>
      </c>
      <c r="H39" s="38" t="s">
        <v>181</v>
      </c>
      <c r="I39" s="39">
        <v>42534</v>
      </c>
      <c r="J39" s="39">
        <v>42538</v>
      </c>
      <c r="K39" s="24" t="s">
        <v>35</v>
      </c>
      <c r="L39" s="26">
        <v>6671.48</v>
      </c>
      <c r="M39" s="87"/>
      <c r="N39" s="40"/>
      <c r="O39" s="25"/>
      <c r="P39" s="25">
        <v>55</v>
      </c>
      <c r="Q39" s="25"/>
      <c r="R39" s="25">
        <f>SUM(O39:Q39)</f>
        <v>55</v>
      </c>
      <c r="S39" s="24">
        <v>20</v>
      </c>
      <c r="T39" s="21" t="s">
        <v>113</v>
      </c>
    </row>
    <row r="40" spans="1:20" ht="23.25" hidden="1" customHeight="1" x14ac:dyDescent="0.25">
      <c r="A40" s="20" t="s">
        <v>182</v>
      </c>
      <c r="B40" s="22">
        <v>2016</v>
      </c>
      <c r="C40" s="90" t="s">
        <v>21</v>
      </c>
      <c r="D40" s="22" t="s">
        <v>183</v>
      </c>
      <c r="E40" s="27" t="s">
        <v>184</v>
      </c>
      <c r="F40" s="29" t="s">
        <v>81</v>
      </c>
      <c r="G40" s="20" t="s">
        <v>24</v>
      </c>
      <c r="H40" s="36" t="s">
        <v>185</v>
      </c>
      <c r="I40" s="37">
        <v>42548</v>
      </c>
      <c r="J40" s="37">
        <v>42552</v>
      </c>
      <c r="K40" s="22" t="s">
        <v>35</v>
      </c>
      <c r="L40" s="28">
        <v>7080.23</v>
      </c>
      <c r="M40" s="86"/>
      <c r="N40" s="41"/>
      <c r="O40" s="23"/>
      <c r="P40" s="23"/>
      <c r="Q40" s="23">
        <v>45</v>
      </c>
      <c r="R40" s="23">
        <f>SUM(O40:Q40)</f>
        <v>45</v>
      </c>
      <c r="S40" s="22">
        <v>20</v>
      </c>
      <c r="T40" s="20" t="s">
        <v>186</v>
      </c>
    </row>
    <row r="41" spans="1:20" ht="23.25" hidden="1" customHeight="1" x14ac:dyDescent="0.25">
      <c r="A41" s="21" t="s">
        <v>187</v>
      </c>
      <c r="B41" s="24">
        <v>2016</v>
      </c>
      <c r="C41" s="90" t="s">
        <v>21</v>
      </c>
      <c r="D41" s="24" t="s">
        <v>188</v>
      </c>
      <c r="E41" s="30" t="s">
        <v>189</v>
      </c>
      <c r="F41" s="31" t="s">
        <v>23</v>
      </c>
      <c r="G41" s="21" t="s">
        <v>33</v>
      </c>
      <c r="H41" s="38" t="s">
        <v>185</v>
      </c>
      <c r="I41" s="39">
        <v>42548</v>
      </c>
      <c r="J41" s="39">
        <v>42552</v>
      </c>
      <c r="K41" s="24" t="s">
        <v>35</v>
      </c>
      <c r="L41" s="26">
        <v>6671.48</v>
      </c>
      <c r="M41" s="87"/>
      <c r="N41" s="40"/>
      <c r="O41" s="25">
        <v>15</v>
      </c>
      <c r="P41" s="25"/>
      <c r="Q41" s="25"/>
      <c r="R41" s="25">
        <f>SUM(O41:Q41)</f>
        <v>15</v>
      </c>
      <c r="S41" s="24">
        <v>20</v>
      </c>
      <c r="T41" s="21" t="s">
        <v>190</v>
      </c>
    </row>
    <row r="42" spans="1:20" ht="23.25" hidden="1" customHeight="1" x14ac:dyDescent="0.25">
      <c r="A42" s="20" t="s">
        <v>191</v>
      </c>
      <c r="B42" s="22">
        <v>2016</v>
      </c>
      <c r="C42" s="90" t="s">
        <v>21</v>
      </c>
      <c r="D42" s="22" t="s">
        <v>192</v>
      </c>
      <c r="E42" s="27" t="s">
        <v>193</v>
      </c>
      <c r="F42" s="29" t="s">
        <v>81</v>
      </c>
      <c r="G42" s="20" t="s">
        <v>72</v>
      </c>
      <c r="H42" s="36" t="s">
        <v>194</v>
      </c>
      <c r="I42" s="37">
        <v>42549</v>
      </c>
      <c r="J42" s="37">
        <v>42551</v>
      </c>
      <c r="K42" s="22" t="s">
        <v>35</v>
      </c>
      <c r="L42" s="28">
        <v>1334.3</v>
      </c>
      <c r="M42" s="86"/>
      <c r="N42" s="41"/>
      <c r="O42" s="23"/>
      <c r="P42" s="23"/>
      <c r="Q42" s="23">
        <v>21</v>
      </c>
      <c r="R42" s="23">
        <f>SUM(O42:Q42)</f>
        <v>21</v>
      </c>
      <c r="S42" s="22">
        <v>8</v>
      </c>
      <c r="T42" s="33" t="s">
        <v>195</v>
      </c>
    </row>
    <row r="43" spans="1:20" ht="23.25" hidden="1" customHeight="1" x14ac:dyDescent="0.25">
      <c r="A43" s="21" t="s">
        <v>196</v>
      </c>
      <c r="B43" s="24">
        <v>2016</v>
      </c>
      <c r="C43" s="90" t="s">
        <v>21</v>
      </c>
      <c r="D43" s="24" t="s">
        <v>197</v>
      </c>
      <c r="E43" s="30" t="s">
        <v>198</v>
      </c>
      <c r="F43" s="31" t="s">
        <v>23</v>
      </c>
      <c r="G43" s="21" t="s">
        <v>199</v>
      </c>
      <c r="H43" s="38" t="s">
        <v>200</v>
      </c>
      <c r="I43" s="39">
        <v>42571</v>
      </c>
      <c r="J43" s="39">
        <v>42572</v>
      </c>
      <c r="K43" s="24" t="s">
        <v>26</v>
      </c>
      <c r="L43" s="26">
        <v>0</v>
      </c>
      <c r="M43" s="87"/>
      <c r="N43" s="40"/>
      <c r="O43" s="25">
        <v>40</v>
      </c>
      <c r="P43" s="25"/>
      <c r="Q43" s="25"/>
      <c r="R43" s="25">
        <f>SUM(O43:Q43)</f>
        <v>40</v>
      </c>
      <c r="S43" s="24">
        <v>9</v>
      </c>
      <c r="T43" s="21" t="s">
        <v>201</v>
      </c>
    </row>
    <row r="44" spans="1:20" ht="23.25" hidden="1" customHeight="1" x14ac:dyDescent="0.25">
      <c r="A44" s="20" t="s">
        <v>202</v>
      </c>
      <c r="B44" s="22">
        <v>2016</v>
      </c>
      <c r="C44" s="90" t="s">
        <v>21</v>
      </c>
      <c r="D44" s="22" t="s">
        <v>203</v>
      </c>
      <c r="E44" s="27" t="s">
        <v>204</v>
      </c>
      <c r="F44" s="29" t="s">
        <v>62</v>
      </c>
      <c r="G44" s="20" t="s">
        <v>72</v>
      </c>
      <c r="H44" s="36" t="s">
        <v>205</v>
      </c>
      <c r="I44" s="37">
        <v>42583</v>
      </c>
      <c r="J44" s="37">
        <v>42584</v>
      </c>
      <c r="K44" s="22" t="s">
        <v>35</v>
      </c>
      <c r="L44" s="28">
        <v>2668.6</v>
      </c>
      <c r="M44" s="86"/>
      <c r="N44" s="41"/>
      <c r="O44" s="23"/>
      <c r="P44" s="23">
        <v>45</v>
      </c>
      <c r="Q44" s="23"/>
      <c r="R44" s="23">
        <f>SUM(O44:Q44)</f>
        <v>45</v>
      </c>
      <c r="S44" s="22">
        <v>8</v>
      </c>
      <c r="T44" s="20" t="s">
        <v>206</v>
      </c>
    </row>
    <row r="45" spans="1:20" ht="23.25" hidden="1" customHeight="1" x14ac:dyDescent="0.25">
      <c r="A45" s="21" t="s">
        <v>207</v>
      </c>
      <c r="B45" s="24">
        <v>2016</v>
      </c>
      <c r="C45" s="90" t="s">
        <v>21</v>
      </c>
      <c r="D45" s="24" t="s">
        <v>208</v>
      </c>
      <c r="E45" s="30" t="s">
        <v>209</v>
      </c>
      <c r="F45" s="31" t="s">
        <v>23</v>
      </c>
      <c r="G45" s="21" t="s">
        <v>33</v>
      </c>
      <c r="H45" s="38" t="s">
        <v>210</v>
      </c>
      <c r="I45" s="39">
        <v>42590</v>
      </c>
      <c r="J45" s="39">
        <v>42594</v>
      </c>
      <c r="K45" s="24" t="s">
        <v>35</v>
      </c>
      <c r="L45" s="26">
        <v>7488.98</v>
      </c>
      <c r="M45" s="87"/>
      <c r="N45" s="40"/>
      <c r="O45" s="25">
        <v>13</v>
      </c>
      <c r="P45" s="25"/>
      <c r="Q45" s="25"/>
      <c r="R45" s="25">
        <f>SUM(O45:Q45)</f>
        <v>13</v>
      </c>
      <c r="S45" s="24">
        <v>20</v>
      </c>
      <c r="T45" s="32" t="s">
        <v>211</v>
      </c>
    </row>
    <row r="46" spans="1:20" ht="23.25" hidden="1" customHeight="1" x14ac:dyDescent="0.25">
      <c r="A46" s="20" t="s">
        <v>212</v>
      </c>
      <c r="B46" s="22">
        <v>2016</v>
      </c>
      <c r="C46" s="90" t="s">
        <v>21</v>
      </c>
      <c r="D46" s="22" t="s">
        <v>213</v>
      </c>
      <c r="E46" s="27" t="s">
        <v>214</v>
      </c>
      <c r="F46" s="29" t="s">
        <v>23</v>
      </c>
      <c r="G46" s="20" t="s">
        <v>199</v>
      </c>
      <c r="H46" s="36" t="s">
        <v>215</v>
      </c>
      <c r="I46" s="37">
        <v>42597</v>
      </c>
      <c r="J46" s="37">
        <v>42601</v>
      </c>
      <c r="K46" s="22" t="s">
        <v>26</v>
      </c>
      <c r="L46" s="28">
        <v>7880</v>
      </c>
      <c r="M46" s="86"/>
      <c r="N46" s="41"/>
      <c r="O46" s="23">
        <v>35</v>
      </c>
      <c r="P46" s="23"/>
      <c r="Q46" s="23"/>
      <c r="R46" s="23">
        <f>SUM(O46:Q46)</f>
        <v>35</v>
      </c>
      <c r="S46" s="22">
        <v>20</v>
      </c>
      <c r="T46" s="20" t="s">
        <v>216</v>
      </c>
    </row>
    <row r="47" spans="1:20" ht="23.25" hidden="1" customHeight="1" x14ac:dyDescent="0.25">
      <c r="A47" s="21" t="s">
        <v>217</v>
      </c>
      <c r="B47" s="24">
        <v>2016</v>
      </c>
      <c r="C47" s="90" t="s">
        <v>21</v>
      </c>
      <c r="D47" s="24" t="s">
        <v>218</v>
      </c>
      <c r="E47" s="30" t="s">
        <v>219</v>
      </c>
      <c r="F47" s="31" t="s">
        <v>62</v>
      </c>
      <c r="G47" s="21" t="s">
        <v>72</v>
      </c>
      <c r="H47" s="38" t="s">
        <v>215</v>
      </c>
      <c r="I47" s="39">
        <v>42597</v>
      </c>
      <c r="J47" s="39">
        <v>42601</v>
      </c>
      <c r="K47" s="24" t="s">
        <v>220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>SUM(O47:Q47)</f>
        <v>71</v>
      </c>
      <c r="S47" s="24">
        <v>20</v>
      </c>
      <c r="T47" s="21" t="s">
        <v>221</v>
      </c>
    </row>
    <row r="48" spans="1:20" ht="23.25" hidden="1" customHeight="1" x14ac:dyDescent="0.25">
      <c r="A48" s="20" t="s">
        <v>222</v>
      </c>
      <c r="B48" s="22">
        <v>2016</v>
      </c>
      <c r="C48" s="90" t="s">
        <v>21</v>
      </c>
      <c r="D48" s="22" t="s">
        <v>223</v>
      </c>
      <c r="E48" s="27" t="s">
        <v>224</v>
      </c>
      <c r="F48" s="29" t="s">
        <v>225</v>
      </c>
      <c r="G48" s="20" t="s">
        <v>72</v>
      </c>
      <c r="H48" s="36" t="s">
        <v>226</v>
      </c>
      <c r="I48" s="37">
        <v>42613</v>
      </c>
      <c r="J48" s="37">
        <v>42614</v>
      </c>
      <c r="K48" s="22" t="s">
        <v>26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>SUM(O48:Q48)</f>
        <v>329</v>
      </c>
      <c r="S48" s="22">
        <v>8</v>
      </c>
      <c r="T48" s="20" t="s">
        <v>227</v>
      </c>
    </row>
    <row r="49" spans="1:20" ht="23.25" hidden="1" customHeight="1" x14ac:dyDescent="0.25">
      <c r="A49" s="21" t="s">
        <v>228</v>
      </c>
      <c r="B49" s="24">
        <v>2016</v>
      </c>
      <c r="C49" s="90" t="s">
        <v>21</v>
      </c>
      <c r="D49" s="24" t="s">
        <v>229</v>
      </c>
      <c r="E49" s="30" t="s">
        <v>230</v>
      </c>
      <c r="F49" s="31" t="s">
        <v>23</v>
      </c>
      <c r="G49" s="21" t="s">
        <v>38</v>
      </c>
      <c r="H49" s="38" t="s">
        <v>231</v>
      </c>
      <c r="I49" s="39">
        <v>42625</v>
      </c>
      <c r="J49" s="39">
        <v>42629</v>
      </c>
      <c r="K49" s="24" t="s">
        <v>26</v>
      </c>
      <c r="L49" s="26">
        <v>9200</v>
      </c>
      <c r="M49" s="87"/>
      <c r="N49" s="40"/>
      <c r="O49" s="25">
        <v>26</v>
      </c>
      <c r="P49" s="25"/>
      <c r="Q49" s="25"/>
      <c r="R49" s="25">
        <f>SUM(O49:Q49)</f>
        <v>26</v>
      </c>
      <c r="S49" s="24">
        <v>20</v>
      </c>
      <c r="T49" s="21" t="s">
        <v>232</v>
      </c>
    </row>
    <row r="50" spans="1:20" ht="23.25" hidden="1" customHeight="1" x14ac:dyDescent="0.25">
      <c r="A50" s="20" t="s">
        <v>233</v>
      </c>
      <c r="B50" s="22">
        <v>2016</v>
      </c>
      <c r="C50" s="90" t="s">
        <v>21</v>
      </c>
      <c r="D50" s="22" t="s">
        <v>234</v>
      </c>
      <c r="E50" s="27" t="s">
        <v>235</v>
      </c>
      <c r="F50" s="29" t="s">
        <v>23</v>
      </c>
      <c r="G50" s="20" t="s">
        <v>38</v>
      </c>
      <c r="H50" s="36" t="s">
        <v>236</v>
      </c>
      <c r="I50" s="37">
        <v>42632</v>
      </c>
      <c r="J50" s="37">
        <v>42636</v>
      </c>
      <c r="K50" s="22" t="s">
        <v>26</v>
      </c>
      <c r="L50" s="28">
        <v>5900</v>
      </c>
      <c r="M50" s="86"/>
      <c r="N50" s="41"/>
      <c r="O50" s="23">
        <v>35</v>
      </c>
      <c r="P50" s="23"/>
      <c r="Q50" s="23"/>
      <c r="R50" s="23">
        <f>SUM(O50:Q50)</f>
        <v>35</v>
      </c>
      <c r="S50" s="22">
        <v>20</v>
      </c>
      <c r="T50" s="20" t="s">
        <v>237</v>
      </c>
    </row>
    <row r="51" spans="1:20" ht="23.25" hidden="1" customHeight="1" x14ac:dyDescent="0.25">
      <c r="A51" s="21" t="s">
        <v>238</v>
      </c>
      <c r="B51" s="24">
        <v>2016</v>
      </c>
      <c r="C51" s="90" t="s">
        <v>21</v>
      </c>
      <c r="D51" s="24" t="s">
        <v>239</v>
      </c>
      <c r="E51" s="30" t="s">
        <v>240</v>
      </c>
      <c r="F51" s="31" t="s">
        <v>62</v>
      </c>
      <c r="G51" s="21" t="s">
        <v>72</v>
      </c>
      <c r="H51" s="38" t="s">
        <v>236</v>
      </c>
      <c r="I51" s="39">
        <v>42632</v>
      </c>
      <c r="J51" s="39">
        <v>42636</v>
      </c>
      <c r="K51" s="24" t="s">
        <v>35</v>
      </c>
      <c r="L51" s="26">
        <v>6671.48</v>
      </c>
      <c r="M51" s="87"/>
      <c r="N51" s="40"/>
      <c r="O51" s="25"/>
      <c r="P51" s="25">
        <v>46</v>
      </c>
      <c r="Q51" s="25"/>
      <c r="R51" s="25">
        <f>SUM(O51:Q51)</f>
        <v>46</v>
      </c>
      <c r="S51" s="24">
        <v>20</v>
      </c>
      <c r="T51" s="21" t="s">
        <v>113</v>
      </c>
    </row>
    <row r="52" spans="1:20" ht="23.25" hidden="1" customHeight="1" x14ac:dyDescent="0.25">
      <c r="A52" s="20" t="s">
        <v>241</v>
      </c>
      <c r="B52" s="22">
        <v>2016</v>
      </c>
      <c r="C52" s="90" t="s">
        <v>21</v>
      </c>
      <c r="D52" s="22" t="s">
        <v>239</v>
      </c>
      <c r="E52" s="27" t="s">
        <v>242</v>
      </c>
      <c r="F52" s="29" t="s">
        <v>62</v>
      </c>
      <c r="G52" s="20" t="s">
        <v>72</v>
      </c>
      <c r="H52" s="36" t="s">
        <v>236</v>
      </c>
      <c r="I52" s="37">
        <v>42632</v>
      </c>
      <c r="J52" s="37">
        <v>42636</v>
      </c>
      <c r="K52" s="22" t="s">
        <v>35</v>
      </c>
      <c r="L52" s="28">
        <v>6671.48</v>
      </c>
      <c r="M52" s="86"/>
      <c r="N52" s="41"/>
      <c r="O52" s="23"/>
      <c r="P52" s="23">
        <v>52</v>
      </c>
      <c r="Q52" s="23"/>
      <c r="R52" s="23">
        <f>SUM(O52:Q52)</f>
        <v>52</v>
      </c>
      <c r="S52" s="22">
        <v>20</v>
      </c>
      <c r="T52" s="20" t="s">
        <v>113</v>
      </c>
    </row>
    <row r="53" spans="1:20" ht="23.25" hidden="1" customHeight="1" x14ac:dyDescent="0.25">
      <c r="A53" s="21" t="s">
        <v>243</v>
      </c>
      <c r="B53" s="24">
        <v>2016</v>
      </c>
      <c r="C53" s="90" t="s">
        <v>21</v>
      </c>
      <c r="D53" s="24" t="s">
        <v>244</v>
      </c>
      <c r="E53" s="30" t="s">
        <v>245</v>
      </c>
      <c r="F53" s="31" t="s">
        <v>23</v>
      </c>
      <c r="G53" s="21" t="s">
        <v>199</v>
      </c>
      <c r="H53" s="38" t="s">
        <v>246</v>
      </c>
      <c r="I53" s="39">
        <v>42646</v>
      </c>
      <c r="J53" s="39">
        <v>42650</v>
      </c>
      <c r="K53" s="24" t="s">
        <v>35</v>
      </c>
      <c r="L53" s="26">
        <v>8088.22</v>
      </c>
      <c r="M53" s="87"/>
      <c r="N53" s="40"/>
      <c r="O53" s="25">
        <v>34</v>
      </c>
      <c r="P53" s="25"/>
      <c r="Q53" s="25"/>
      <c r="R53" s="25">
        <f>SUM(O53:Q53)</f>
        <v>34</v>
      </c>
      <c r="S53" s="24">
        <v>20</v>
      </c>
      <c r="T53" s="21" t="s">
        <v>247</v>
      </c>
    </row>
    <row r="54" spans="1:20" ht="23.25" hidden="1" customHeight="1" x14ac:dyDescent="0.25">
      <c r="A54" s="20" t="s">
        <v>248</v>
      </c>
      <c r="B54" s="22">
        <v>2016</v>
      </c>
      <c r="C54" s="90" t="s">
        <v>21</v>
      </c>
      <c r="D54" s="22" t="s">
        <v>249</v>
      </c>
      <c r="E54" s="27" t="s">
        <v>250</v>
      </c>
      <c r="F54" s="29" t="s">
        <v>23</v>
      </c>
      <c r="G54" s="20" t="s">
        <v>24</v>
      </c>
      <c r="H54" s="36" t="s">
        <v>251</v>
      </c>
      <c r="I54" s="37">
        <v>42660</v>
      </c>
      <c r="J54" s="37">
        <v>42662</v>
      </c>
      <c r="K54" s="22" t="s">
        <v>26</v>
      </c>
      <c r="L54" s="28">
        <v>54183.63</v>
      </c>
      <c r="M54" s="86"/>
      <c r="N54" s="41"/>
      <c r="O54" s="23">
        <v>27</v>
      </c>
      <c r="P54" s="23"/>
      <c r="Q54" s="23"/>
      <c r="R54" s="23">
        <f>SUM(O54:Q54)</f>
        <v>27</v>
      </c>
      <c r="S54" s="22">
        <v>15</v>
      </c>
      <c r="T54" s="20" t="s">
        <v>252</v>
      </c>
    </row>
    <row r="55" spans="1:20" ht="23.25" hidden="1" customHeight="1" x14ac:dyDescent="0.25">
      <c r="A55" s="21" t="s">
        <v>253</v>
      </c>
      <c r="B55" s="24">
        <v>2016</v>
      </c>
      <c r="C55" s="90" t="s">
        <v>21</v>
      </c>
      <c r="D55" s="24" t="s">
        <v>254</v>
      </c>
      <c r="E55" s="34" t="s">
        <v>255</v>
      </c>
      <c r="F55" s="31" t="s">
        <v>23</v>
      </c>
      <c r="G55" s="21" t="s">
        <v>38</v>
      </c>
      <c r="H55" s="38" t="s">
        <v>256</v>
      </c>
      <c r="I55" s="39">
        <v>42663</v>
      </c>
      <c r="J55" s="39">
        <v>42671</v>
      </c>
      <c r="K55" s="24" t="s">
        <v>26</v>
      </c>
      <c r="L55" s="26">
        <v>22500</v>
      </c>
      <c r="M55" s="87"/>
      <c r="N55" s="40"/>
      <c r="O55" s="25">
        <v>16</v>
      </c>
      <c r="P55" s="25"/>
      <c r="Q55" s="25"/>
      <c r="R55" s="25">
        <f>SUM(O55:Q55)</f>
        <v>16</v>
      </c>
      <c r="S55" s="24">
        <v>20</v>
      </c>
      <c r="T55" s="21" t="s">
        <v>163</v>
      </c>
    </row>
    <row r="56" spans="1:20" ht="23.25" hidden="1" customHeight="1" x14ac:dyDescent="0.25">
      <c r="A56" s="20" t="s">
        <v>257</v>
      </c>
      <c r="B56" s="22">
        <v>2016</v>
      </c>
      <c r="C56" s="90" t="s">
        <v>21</v>
      </c>
      <c r="D56" s="22" t="s">
        <v>258</v>
      </c>
      <c r="E56" s="27" t="s">
        <v>259</v>
      </c>
      <c r="F56" s="29" t="s">
        <v>62</v>
      </c>
      <c r="G56" s="20" t="s">
        <v>72</v>
      </c>
      <c r="H56" s="36" t="s">
        <v>260</v>
      </c>
      <c r="I56" s="37">
        <v>42667</v>
      </c>
      <c r="J56" s="37">
        <v>42669</v>
      </c>
      <c r="K56" s="22" t="s">
        <v>35</v>
      </c>
      <c r="L56" s="28">
        <v>4002.88</v>
      </c>
      <c r="M56" s="86"/>
      <c r="N56" s="41"/>
      <c r="O56" s="23"/>
      <c r="P56" s="23">
        <v>55</v>
      </c>
      <c r="Q56" s="23"/>
      <c r="R56" s="23">
        <f>SUM(O56:Q56)</f>
        <v>55</v>
      </c>
      <c r="S56" s="22">
        <v>12</v>
      </c>
      <c r="T56" s="20" t="s">
        <v>261</v>
      </c>
    </row>
    <row r="57" spans="1:20" ht="23.25" hidden="1" customHeight="1" x14ac:dyDescent="0.25">
      <c r="A57" s="21" t="s">
        <v>262</v>
      </c>
      <c r="B57" s="24">
        <v>2016</v>
      </c>
      <c r="C57" s="90" t="s">
        <v>21</v>
      </c>
      <c r="D57" s="24" t="s">
        <v>263</v>
      </c>
      <c r="E57" s="30" t="s">
        <v>264</v>
      </c>
      <c r="F57" s="31" t="s">
        <v>23</v>
      </c>
      <c r="G57" s="21" t="s">
        <v>33</v>
      </c>
      <c r="H57" s="38" t="s">
        <v>265</v>
      </c>
      <c r="I57" s="39">
        <v>42681</v>
      </c>
      <c r="J57" s="39">
        <v>42685</v>
      </c>
      <c r="K57" s="24" t="s">
        <v>35</v>
      </c>
      <c r="L57" s="26">
        <v>8088.22</v>
      </c>
      <c r="M57" s="87"/>
      <c r="N57" s="40"/>
      <c r="O57" s="25">
        <v>14</v>
      </c>
      <c r="P57" s="25"/>
      <c r="Q57" s="25"/>
      <c r="R57" s="25">
        <f>SUM(O57:Q57)</f>
        <v>14</v>
      </c>
      <c r="S57" s="24">
        <v>20</v>
      </c>
      <c r="T57" s="32" t="s">
        <v>211</v>
      </c>
    </row>
    <row r="58" spans="1:20" ht="23.25" hidden="1" customHeight="1" x14ac:dyDescent="0.25">
      <c r="A58" s="20" t="s">
        <v>266</v>
      </c>
      <c r="B58" s="22">
        <v>2016</v>
      </c>
      <c r="C58" s="90" t="s">
        <v>21</v>
      </c>
      <c r="D58" s="22" t="s">
        <v>267</v>
      </c>
      <c r="E58" s="27" t="s">
        <v>268</v>
      </c>
      <c r="F58" s="29" t="s">
        <v>62</v>
      </c>
      <c r="G58" s="20" t="s">
        <v>72</v>
      </c>
      <c r="H58" s="36" t="s">
        <v>265</v>
      </c>
      <c r="I58" s="37">
        <v>42681</v>
      </c>
      <c r="J58" s="37">
        <v>42685</v>
      </c>
      <c r="K58" s="22" t="s">
        <v>35</v>
      </c>
      <c r="L58" s="28">
        <v>6671.48</v>
      </c>
      <c r="M58" s="86"/>
      <c r="N58" s="41"/>
      <c r="O58" s="23"/>
      <c r="P58" s="23">
        <v>47</v>
      </c>
      <c r="Q58" s="23"/>
      <c r="R58" s="23">
        <f>SUM(O58:Q58)</f>
        <v>47</v>
      </c>
      <c r="S58" s="22">
        <v>20</v>
      </c>
      <c r="T58" s="20" t="s">
        <v>269</v>
      </c>
    </row>
    <row r="59" spans="1:20" ht="23.25" hidden="1" customHeight="1" x14ac:dyDescent="0.25">
      <c r="A59" s="21" t="s">
        <v>270</v>
      </c>
      <c r="B59" s="24">
        <v>2016</v>
      </c>
      <c r="C59" s="90" t="s">
        <v>21</v>
      </c>
      <c r="D59" s="24" t="s">
        <v>271</v>
      </c>
      <c r="E59" s="30" t="s">
        <v>272</v>
      </c>
      <c r="F59" s="31" t="s">
        <v>23</v>
      </c>
      <c r="G59" s="21" t="s">
        <v>199</v>
      </c>
      <c r="H59" s="38" t="s">
        <v>273</v>
      </c>
      <c r="I59" s="39">
        <v>42695</v>
      </c>
      <c r="J59" s="39">
        <v>42702</v>
      </c>
      <c r="K59" s="24" t="s">
        <v>26</v>
      </c>
      <c r="L59" s="26">
        <v>7880</v>
      </c>
      <c r="M59" s="87"/>
      <c r="N59" s="40"/>
      <c r="O59" s="25">
        <v>31</v>
      </c>
      <c r="P59" s="25"/>
      <c r="Q59" s="25"/>
      <c r="R59" s="25">
        <f>SUM(O59:Q59)</f>
        <v>31</v>
      </c>
      <c r="S59" s="24">
        <v>20</v>
      </c>
      <c r="T59" s="21" t="s">
        <v>274</v>
      </c>
    </row>
    <row r="60" spans="1:20" ht="23.25" hidden="1" customHeight="1" x14ac:dyDescent="0.25">
      <c r="A60" s="20" t="s">
        <v>275</v>
      </c>
      <c r="B60" s="22">
        <v>2016</v>
      </c>
      <c r="C60" s="90" t="s">
        <v>21</v>
      </c>
      <c r="D60" s="22" t="s">
        <v>276</v>
      </c>
      <c r="E60" s="27" t="s">
        <v>277</v>
      </c>
      <c r="F60" s="29" t="s">
        <v>62</v>
      </c>
      <c r="G60" s="20" t="s">
        <v>72</v>
      </c>
      <c r="H60" s="36" t="s">
        <v>278</v>
      </c>
      <c r="I60" s="37">
        <v>42695</v>
      </c>
      <c r="J60" s="37">
        <v>42699</v>
      </c>
      <c r="K60" s="22" t="s">
        <v>35</v>
      </c>
      <c r="L60" s="28">
        <v>5612</v>
      </c>
      <c r="M60" s="86"/>
      <c r="N60" s="41"/>
      <c r="O60" s="23"/>
      <c r="P60" s="23">
        <v>28</v>
      </c>
      <c r="Q60" s="23"/>
      <c r="R60" s="23">
        <f>SUM(O60:Q60)</f>
        <v>28</v>
      </c>
      <c r="S60" s="22">
        <v>20</v>
      </c>
      <c r="T60" s="20" t="s">
        <v>113</v>
      </c>
    </row>
    <row r="61" spans="1:20" ht="23.25" hidden="1" customHeight="1" x14ac:dyDescent="0.25">
      <c r="A61" s="21" t="s">
        <v>279</v>
      </c>
      <c r="B61" s="24">
        <v>2016</v>
      </c>
      <c r="C61" s="90" t="s">
        <v>21</v>
      </c>
      <c r="D61" s="24" t="s">
        <v>276</v>
      </c>
      <c r="E61" s="30" t="s">
        <v>280</v>
      </c>
      <c r="F61" s="31" t="s">
        <v>62</v>
      </c>
      <c r="G61" s="21" t="s">
        <v>72</v>
      </c>
      <c r="H61" s="38" t="s">
        <v>278</v>
      </c>
      <c r="I61" s="39">
        <v>42695</v>
      </c>
      <c r="J61" s="39">
        <v>42699</v>
      </c>
      <c r="K61" s="24" t="s">
        <v>35</v>
      </c>
      <c r="L61" s="26">
        <v>5612</v>
      </c>
      <c r="M61" s="87"/>
      <c r="N61" s="40"/>
      <c r="O61" s="25"/>
      <c r="P61" s="25">
        <v>34</v>
      </c>
      <c r="Q61" s="25"/>
      <c r="R61" s="25">
        <f>SUM(O61:Q61)</f>
        <v>34</v>
      </c>
      <c r="S61" s="24">
        <v>20</v>
      </c>
      <c r="T61" s="21" t="s">
        <v>113</v>
      </c>
    </row>
    <row r="62" spans="1:20" ht="23.25" hidden="1" customHeight="1" x14ac:dyDescent="0.25">
      <c r="A62" s="20" t="s">
        <v>281</v>
      </c>
      <c r="B62" s="22">
        <v>2016</v>
      </c>
      <c r="C62" s="90" t="s">
        <v>21</v>
      </c>
      <c r="D62" s="22" t="s">
        <v>282</v>
      </c>
      <c r="E62" s="27" t="s">
        <v>283</v>
      </c>
      <c r="F62" s="29" t="s">
        <v>62</v>
      </c>
      <c r="G62" s="20" t="s">
        <v>72</v>
      </c>
      <c r="H62" s="36" t="s">
        <v>284</v>
      </c>
      <c r="I62" s="37">
        <v>42709</v>
      </c>
      <c r="J62" s="37">
        <v>42711</v>
      </c>
      <c r="K62" s="22" t="s">
        <v>35</v>
      </c>
      <c r="L62" s="28">
        <v>8000</v>
      </c>
      <c r="M62" s="86"/>
      <c r="N62" s="41"/>
      <c r="O62" s="23"/>
      <c r="P62" s="23">
        <v>60</v>
      </c>
      <c r="Q62" s="23"/>
      <c r="R62" s="23">
        <f>SUM(O62:Q62)</f>
        <v>60</v>
      </c>
      <c r="S62" s="22">
        <v>20</v>
      </c>
      <c r="T62" s="20" t="s">
        <v>285</v>
      </c>
    </row>
    <row r="63" spans="1:20" ht="23.25" hidden="1" customHeight="1" x14ac:dyDescent="0.25">
      <c r="A63" s="21" t="s">
        <v>286</v>
      </c>
      <c r="B63" s="24">
        <v>2017</v>
      </c>
      <c r="C63" s="90" t="s">
        <v>21</v>
      </c>
      <c r="D63" s="24" t="s">
        <v>254</v>
      </c>
      <c r="E63" s="30" t="s">
        <v>287</v>
      </c>
      <c r="F63" s="31" t="s">
        <v>23</v>
      </c>
      <c r="G63" s="21" t="s">
        <v>38</v>
      </c>
      <c r="H63" s="38" t="s">
        <v>288</v>
      </c>
      <c r="I63" s="39">
        <v>42773</v>
      </c>
      <c r="J63" s="39">
        <v>42788</v>
      </c>
      <c r="K63" s="24" t="s">
        <v>26</v>
      </c>
      <c r="L63" s="26">
        <v>27300</v>
      </c>
      <c r="M63" s="87"/>
      <c r="N63" s="40"/>
      <c r="O63" s="25">
        <v>29</v>
      </c>
      <c r="P63" s="25"/>
      <c r="Q63" s="25"/>
      <c r="R63" s="25">
        <f>SUM(O63:Q63)</f>
        <v>29</v>
      </c>
      <c r="S63" s="24">
        <v>26</v>
      </c>
      <c r="T63" s="21" t="s">
        <v>289</v>
      </c>
    </row>
    <row r="64" spans="1:20" ht="23.25" hidden="1" customHeight="1" x14ac:dyDescent="0.25">
      <c r="A64" s="20" t="s">
        <v>290</v>
      </c>
      <c r="B64" s="22">
        <v>2017</v>
      </c>
      <c r="C64" s="90" t="s">
        <v>21</v>
      </c>
      <c r="D64" s="22" t="s">
        <v>254</v>
      </c>
      <c r="E64" s="27" t="s">
        <v>291</v>
      </c>
      <c r="F64" s="29" t="s">
        <v>23</v>
      </c>
      <c r="G64" s="20" t="s">
        <v>38</v>
      </c>
      <c r="H64" s="36" t="s">
        <v>292</v>
      </c>
      <c r="I64" s="37">
        <v>42800</v>
      </c>
      <c r="J64" s="37">
        <v>42825</v>
      </c>
      <c r="K64" s="22" t="s">
        <v>26</v>
      </c>
      <c r="L64" s="28">
        <v>54300</v>
      </c>
      <c r="M64" s="86"/>
      <c r="N64" s="41"/>
      <c r="O64" s="23">
        <v>26</v>
      </c>
      <c r="P64" s="23"/>
      <c r="Q64" s="23"/>
      <c r="R64" s="23">
        <f>SUM(O64:Q64)</f>
        <v>26</v>
      </c>
      <c r="S64" s="22">
        <v>30</v>
      </c>
      <c r="T64" s="20" t="s">
        <v>163</v>
      </c>
    </row>
    <row r="65" spans="1:20" ht="23.25" hidden="1" customHeight="1" x14ac:dyDescent="0.25">
      <c r="A65" s="21" t="s">
        <v>293</v>
      </c>
      <c r="B65" s="24">
        <v>2017</v>
      </c>
      <c r="C65" s="90" t="s">
        <v>21</v>
      </c>
      <c r="D65" s="24" t="s">
        <v>294</v>
      </c>
      <c r="E65" s="30" t="s">
        <v>295</v>
      </c>
      <c r="F65" s="31" t="s">
        <v>62</v>
      </c>
      <c r="G65" s="21" t="s">
        <v>72</v>
      </c>
      <c r="H65" s="38" t="s">
        <v>296</v>
      </c>
      <c r="I65" s="39">
        <v>42807</v>
      </c>
      <c r="J65" s="39">
        <v>42811</v>
      </c>
      <c r="K65" s="24" t="s">
        <v>35</v>
      </c>
      <c r="L65" s="26">
        <v>6962.15</v>
      </c>
      <c r="M65" s="87"/>
      <c r="N65" s="40"/>
      <c r="O65" s="25"/>
      <c r="P65" s="25">
        <v>47</v>
      </c>
      <c r="Q65" s="25"/>
      <c r="R65" s="25">
        <f>SUM(O65:Q65)</f>
        <v>47</v>
      </c>
      <c r="S65" s="24">
        <v>20</v>
      </c>
      <c r="T65" s="21" t="s">
        <v>113</v>
      </c>
    </row>
    <row r="66" spans="1:20" ht="23.25" hidden="1" customHeight="1" x14ac:dyDescent="0.25">
      <c r="A66" s="20" t="s">
        <v>297</v>
      </c>
      <c r="B66" s="22">
        <v>2017</v>
      </c>
      <c r="C66" s="90" t="s">
        <v>21</v>
      </c>
      <c r="D66" s="22" t="s">
        <v>298</v>
      </c>
      <c r="E66" s="27" t="s">
        <v>299</v>
      </c>
      <c r="F66" s="29" t="s">
        <v>23</v>
      </c>
      <c r="G66" s="20" t="s">
        <v>33</v>
      </c>
      <c r="H66" s="36" t="s">
        <v>300</v>
      </c>
      <c r="I66" s="37">
        <v>42814</v>
      </c>
      <c r="J66" s="37">
        <v>42818</v>
      </c>
      <c r="K66" s="22" t="s">
        <v>35</v>
      </c>
      <c r="L66" s="28">
        <v>7466.41</v>
      </c>
      <c r="M66" s="86"/>
      <c r="N66" s="41"/>
      <c r="O66" s="23">
        <v>20</v>
      </c>
      <c r="P66" s="23"/>
      <c r="Q66" s="23"/>
      <c r="R66" s="23">
        <f>SUM(O66:Q66)</f>
        <v>20</v>
      </c>
      <c r="S66" s="22">
        <v>20</v>
      </c>
      <c r="T66" s="33" t="s">
        <v>211</v>
      </c>
    </row>
    <row r="67" spans="1:20" ht="23.25" hidden="1" customHeight="1" x14ac:dyDescent="0.25">
      <c r="A67" s="21" t="s">
        <v>301</v>
      </c>
      <c r="B67" s="24">
        <v>2017</v>
      </c>
      <c r="C67" s="90" t="s">
        <v>21</v>
      </c>
      <c r="D67" s="24" t="s">
        <v>302</v>
      </c>
      <c r="E67" s="30" t="s">
        <v>303</v>
      </c>
      <c r="F67" s="31" t="s">
        <v>62</v>
      </c>
      <c r="G67" s="21" t="s">
        <v>72</v>
      </c>
      <c r="H67" s="38" t="s">
        <v>304</v>
      </c>
      <c r="I67" s="39">
        <v>42821</v>
      </c>
      <c r="J67" s="39">
        <v>42825</v>
      </c>
      <c r="K67" s="24" t="s">
        <v>35</v>
      </c>
      <c r="L67" s="26">
        <v>6962.15</v>
      </c>
      <c r="M67" s="87"/>
      <c r="N67" s="40"/>
      <c r="O67" s="25"/>
      <c r="P67" s="25">
        <v>43</v>
      </c>
      <c r="Q67" s="25"/>
      <c r="R67" s="25">
        <f>SUM(O67:Q67)</f>
        <v>43</v>
      </c>
      <c r="S67" s="24">
        <v>20</v>
      </c>
      <c r="T67" s="21" t="s">
        <v>74</v>
      </c>
    </row>
    <row r="68" spans="1:20" ht="23.25" hidden="1" customHeight="1" x14ac:dyDescent="0.25">
      <c r="A68" s="20" t="s">
        <v>305</v>
      </c>
      <c r="B68" s="22">
        <v>2017</v>
      </c>
      <c r="C68" s="90" t="s">
        <v>21</v>
      </c>
      <c r="D68" s="22" t="s">
        <v>306</v>
      </c>
      <c r="E68" s="27" t="s">
        <v>307</v>
      </c>
      <c r="F68" s="29" t="s">
        <v>23</v>
      </c>
      <c r="G68" s="20" t="s">
        <v>199</v>
      </c>
      <c r="H68" s="36" t="s">
        <v>304</v>
      </c>
      <c r="I68" s="37">
        <v>42821</v>
      </c>
      <c r="J68" s="37">
        <v>42825</v>
      </c>
      <c r="K68" s="22" t="s">
        <v>35</v>
      </c>
      <c r="L68" s="28">
        <v>7241.74</v>
      </c>
      <c r="M68" s="86"/>
      <c r="N68" s="41"/>
      <c r="O68" s="23">
        <v>15</v>
      </c>
      <c r="P68" s="23"/>
      <c r="Q68" s="23"/>
      <c r="R68" s="23">
        <f>SUM(O68:Q68)</f>
        <v>15</v>
      </c>
      <c r="S68" s="22">
        <v>20</v>
      </c>
      <c r="T68" s="20" t="s">
        <v>247</v>
      </c>
    </row>
    <row r="69" spans="1:20" ht="23.25" hidden="1" customHeight="1" x14ac:dyDescent="0.25">
      <c r="A69" s="21" t="s">
        <v>308</v>
      </c>
      <c r="B69" s="24">
        <v>2017</v>
      </c>
      <c r="C69" s="90" t="s">
        <v>21</v>
      </c>
      <c r="D69" s="24" t="s">
        <v>309</v>
      </c>
      <c r="E69" s="30" t="s">
        <v>310</v>
      </c>
      <c r="F69" s="31" t="s">
        <v>23</v>
      </c>
      <c r="G69" s="21" t="s">
        <v>68</v>
      </c>
      <c r="H69" s="38" t="s">
        <v>311</v>
      </c>
      <c r="I69" s="39">
        <v>42828</v>
      </c>
      <c r="J69" s="39">
        <v>42832</v>
      </c>
      <c r="K69" s="24" t="s">
        <v>26</v>
      </c>
      <c r="L69" s="26">
        <v>7950</v>
      </c>
      <c r="M69" s="87"/>
      <c r="N69" s="40"/>
      <c r="O69" s="25">
        <v>29</v>
      </c>
      <c r="P69" s="25"/>
      <c r="Q69" s="25"/>
      <c r="R69" s="25">
        <f>SUM(O69:Q69)</f>
        <v>29</v>
      </c>
      <c r="S69" s="24">
        <v>20</v>
      </c>
      <c r="T69" s="21" t="s">
        <v>312</v>
      </c>
    </row>
    <row r="70" spans="1:20" ht="23.25" hidden="1" customHeight="1" x14ac:dyDescent="0.25">
      <c r="A70" s="20" t="s">
        <v>313</v>
      </c>
      <c r="B70" s="22">
        <v>2017</v>
      </c>
      <c r="C70" s="90" t="s">
        <v>21</v>
      </c>
      <c r="D70" s="22" t="s">
        <v>294</v>
      </c>
      <c r="E70" s="27" t="s">
        <v>314</v>
      </c>
      <c r="F70" s="29" t="s">
        <v>62</v>
      </c>
      <c r="G70" s="20" t="s">
        <v>72</v>
      </c>
      <c r="H70" s="36" t="s">
        <v>315</v>
      </c>
      <c r="I70" s="37">
        <v>42849</v>
      </c>
      <c r="J70" s="37">
        <v>42853</v>
      </c>
      <c r="K70" s="22" t="s">
        <v>35</v>
      </c>
      <c r="L70" s="28">
        <v>6962.15</v>
      </c>
      <c r="M70" s="86"/>
      <c r="N70" s="41"/>
      <c r="O70" s="23"/>
      <c r="P70" s="23">
        <v>46</v>
      </c>
      <c r="Q70" s="23"/>
      <c r="R70" s="23">
        <f>SUM(O70:Q70)</f>
        <v>46</v>
      </c>
      <c r="S70" s="22">
        <v>20</v>
      </c>
      <c r="T70" s="20" t="s">
        <v>113</v>
      </c>
    </row>
    <row r="71" spans="1:20" ht="23.25" hidden="1" customHeight="1" x14ac:dyDescent="0.25">
      <c r="A71" s="21" t="s">
        <v>316</v>
      </c>
      <c r="B71" s="24">
        <v>2017</v>
      </c>
      <c r="C71" s="90" t="s">
        <v>21</v>
      </c>
      <c r="D71" s="24" t="s">
        <v>317</v>
      </c>
      <c r="E71" s="30" t="s">
        <v>318</v>
      </c>
      <c r="F71" s="31" t="s">
        <v>23</v>
      </c>
      <c r="G71" s="21" t="s">
        <v>82</v>
      </c>
      <c r="H71" s="38" t="s">
        <v>83</v>
      </c>
      <c r="I71" s="39">
        <v>42860</v>
      </c>
      <c r="J71" s="39">
        <v>42860</v>
      </c>
      <c r="K71" s="24" t="s">
        <v>26</v>
      </c>
      <c r="L71" s="26">
        <v>27300</v>
      </c>
      <c r="M71" s="87"/>
      <c r="N71" s="40"/>
      <c r="O71" s="25">
        <v>14</v>
      </c>
      <c r="P71" s="25"/>
      <c r="Q71" s="25"/>
      <c r="R71" s="25">
        <f>SUM(O71:Q71)</f>
        <v>14</v>
      </c>
      <c r="S71" s="24">
        <v>26</v>
      </c>
      <c r="T71" s="21" t="s">
        <v>319</v>
      </c>
    </row>
    <row r="72" spans="1:20" ht="23.25" hidden="1" customHeight="1" x14ac:dyDescent="0.25">
      <c r="A72" s="20" t="s">
        <v>320</v>
      </c>
      <c r="B72" s="22">
        <v>2017</v>
      </c>
      <c r="C72" s="90" t="s">
        <v>21</v>
      </c>
      <c r="D72" s="22" t="s">
        <v>321</v>
      </c>
      <c r="E72" s="27" t="s">
        <v>322</v>
      </c>
      <c r="F72" s="29" t="s">
        <v>23</v>
      </c>
      <c r="G72" s="20" t="s">
        <v>82</v>
      </c>
      <c r="H72" s="36" t="s">
        <v>83</v>
      </c>
      <c r="I72" s="37">
        <v>42860</v>
      </c>
      <c r="J72" s="37">
        <v>42860</v>
      </c>
      <c r="K72" s="22" t="s">
        <v>26</v>
      </c>
      <c r="L72" s="28">
        <v>0</v>
      </c>
      <c r="M72" s="86"/>
      <c r="N72" s="41"/>
      <c r="O72" s="23">
        <v>12</v>
      </c>
      <c r="P72" s="23"/>
      <c r="Q72" s="23"/>
      <c r="R72" s="23">
        <f>SUM(O72:Q72)</f>
        <v>12</v>
      </c>
      <c r="S72" s="22">
        <v>8</v>
      </c>
      <c r="T72" s="20" t="s">
        <v>157</v>
      </c>
    </row>
    <row r="73" spans="1:20" ht="23.25" hidden="1" customHeight="1" x14ac:dyDescent="0.25">
      <c r="A73" s="21" t="s">
        <v>323</v>
      </c>
      <c r="B73" s="24">
        <v>2017</v>
      </c>
      <c r="C73" s="90" t="s">
        <v>21</v>
      </c>
      <c r="D73" s="24" t="s">
        <v>324</v>
      </c>
      <c r="E73" s="30" t="s">
        <v>325</v>
      </c>
      <c r="F73" s="31" t="s">
        <v>23</v>
      </c>
      <c r="G73" s="21" t="s">
        <v>33</v>
      </c>
      <c r="H73" s="38" t="s">
        <v>326</v>
      </c>
      <c r="I73" s="39">
        <v>42863</v>
      </c>
      <c r="J73" s="39">
        <v>42867</v>
      </c>
      <c r="K73" s="24" t="s">
        <v>35</v>
      </c>
      <c r="L73" s="26">
        <v>7241.74</v>
      </c>
      <c r="M73" s="87"/>
      <c r="N73" s="40"/>
      <c r="O73" s="25">
        <v>18</v>
      </c>
      <c r="P73" s="25"/>
      <c r="Q73" s="25"/>
      <c r="R73" s="25">
        <f>SUM(O73:Q73)</f>
        <v>18</v>
      </c>
      <c r="S73" s="24">
        <v>20</v>
      </c>
      <c r="T73" s="32" t="s">
        <v>211</v>
      </c>
    </row>
    <row r="74" spans="1:20" ht="23.25" hidden="1" customHeight="1" x14ac:dyDescent="0.25">
      <c r="A74" s="20" t="s">
        <v>327</v>
      </c>
      <c r="B74" s="22">
        <v>2017</v>
      </c>
      <c r="C74" s="90" t="s">
        <v>21</v>
      </c>
      <c r="D74" s="22" t="s">
        <v>328</v>
      </c>
      <c r="E74" s="27" t="s">
        <v>329</v>
      </c>
      <c r="F74" s="29" t="s">
        <v>23</v>
      </c>
      <c r="G74" s="20" t="s">
        <v>24</v>
      </c>
      <c r="H74" s="36" t="s">
        <v>330</v>
      </c>
      <c r="I74" s="37">
        <v>42870</v>
      </c>
      <c r="J74" s="37">
        <v>42874</v>
      </c>
      <c r="K74" s="22" t="s">
        <v>26</v>
      </c>
      <c r="L74" s="28">
        <v>33600</v>
      </c>
      <c r="M74" s="86"/>
      <c r="N74" s="41"/>
      <c r="O74" s="23">
        <v>30</v>
      </c>
      <c r="P74" s="23"/>
      <c r="Q74" s="23"/>
      <c r="R74" s="23">
        <f>SUM(O74:Q74)</f>
        <v>30</v>
      </c>
      <c r="S74" s="22">
        <v>20</v>
      </c>
      <c r="T74" s="20" t="s">
        <v>88</v>
      </c>
    </row>
    <row r="75" spans="1:20" ht="23.25" hidden="1" customHeight="1" x14ac:dyDescent="0.25">
      <c r="A75" s="21" t="s">
        <v>331</v>
      </c>
      <c r="B75" s="24">
        <v>2017</v>
      </c>
      <c r="C75" s="90" t="s">
        <v>21</v>
      </c>
      <c r="D75" s="24" t="s">
        <v>332</v>
      </c>
      <c r="E75" s="30" t="s">
        <v>333</v>
      </c>
      <c r="F75" s="31" t="s">
        <v>81</v>
      </c>
      <c r="G75" s="21" t="s">
        <v>72</v>
      </c>
      <c r="H75" s="38" t="s">
        <v>334</v>
      </c>
      <c r="I75" s="39">
        <v>42877</v>
      </c>
      <c r="J75" s="39">
        <v>42881</v>
      </c>
      <c r="K75" s="24" t="s">
        <v>35</v>
      </c>
      <c r="L75" s="26">
        <v>0</v>
      </c>
      <c r="M75" s="87"/>
      <c r="N75" s="40"/>
      <c r="O75" s="25"/>
      <c r="P75" s="25"/>
      <c r="Q75" s="25">
        <v>37</v>
      </c>
      <c r="R75" s="25">
        <f>SUM(O75:Q75)</f>
        <v>37</v>
      </c>
      <c r="S75" s="24">
        <v>20</v>
      </c>
      <c r="T75" s="21" t="s">
        <v>335</v>
      </c>
    </row>
    <row r="76" spans="1:20" ht="23.25" hidden="1" customHeight="1" x14ac:dyDescent="0.25">
      <c r="A76" s="20" t="s">
        <v>336</v>
      </c>
      <c r="B76" s="22">
        <v>2017</v>
      </c>
      <c r="C76" s="90" t="s">
        <v>21</v>
      </c>
      <c r="D76" s="22" t="s">
        <v>337</v>
      </c>
      <c r="E76" s="27" t="s">
        <v>338</v>
      </c>
      <c r="F76" s="29" t="s">
        <v>62</v>
      </c>
      <c r="G76" s="20" t="s">
        <v>72</v>
      </c>
      <c r="H76" s="36" t="s">
        <v>334</v>
      </c>
      <c r="I76" s="37">
        <v>42877</v>
      </c>
      <c r="J76" s="37">
        <v>42881</v>
      </c>
      <c r="K76" s="22" t="s">
        <v>35</v>
      </c>
      <c r="L76" s="28">
        <v>6962.15</v>
      </c>
      <c r="M76" s="86"/>
      <c r="N76" s="41"/>
      <c r="O76" s="23"/>
      <c r="P76" s="23">
        <v>47</v>
      </c>
      <c r="Q76" s="23"/>
      <c r="R76" s="23">
        <f>SUM(O76:Q76)</f>
        <v>47</v>
      </c>
      <c r="S76" s="22">
        <v>20</v>
      </c>
      <c r="T76" s="20" t="s">
        <v>269</v>
      </c>
    </row>
    <row r="77" spans="1:20" ht="23.25" hidden="1" customHeight="1" x14ac:dyDescent="0.25">
      <c r="A77" s="21" t="s">
        <v>339</v>
      </c>
      <c r="B77" s="24">
        <v>2017</v>
      </c>
      <c r="C77" s="90" t="s">
        <v>21</v>
      </c>
      <c r="D77" s="24" t="s">
        <v>340</v>
      </c>
      <c r="E77" s="30" t="s">
        <v>341</v>
      </c>
      <c r="F77" s="31" t="s">
        <v>23</v>
      </c>
      <c r="G77" s="21" t="s">
        <v>24</v>
      </c>
      <c r="H77" s="38" t="s">
        <v>342</v>
      </c>
      <c r="I77" s="39">
        <v>42880</v>
      </c>
      <c r="J77" s="39">
        <v>42881</v>
      </c>
      <c r="K77" s="24" t="s">
        <v>26</v>
      </c>
      <c r="L77" s="26">
        <v>8000</v>
      </c>
      <c r="M77" s="87"/>
      <c r="N77" s="40"/>
      <c r="O77" s="25">
        <v>30</v>
      </c>
      <c r="P77" s="25"/>
      <c r="Q77" s="25"/>
      <c r="R77" s="25">
        <f>SUM(O77:Q77)</f>
        <v>30</v>
      </c>
      <c r="S77" s="24">
        <v>16</v>
      </c>
      <c r="T77" s="21" t="s">
        <v>343</v>
      </c>
    </row>
    <row r="78" spans="1:20" ht="23.25" hidden="1" customHeight="1" x14ac:dyDescent="0.25">
      <c r="A78" s="20" t="s">
        <v>344</v>
      </c>
      <c r="B78" s="22">
        <v>2017</v>
      </c>
      <c r="C78" s="90" t="s">
        <v>21</v>
      </c>
      <c r="D78" s="22" t="s">
        <v>345</v>
      </c>
      <c r="E78" s="27" t="s">
        <v>346</v>
      </c>
      <c r="F78" s="29" t="s">
        <v>23</v>
      </c>
      <c r="G78" s="20" t="s">
        <v>199</v>
      </c>
      <c r="H78" s="36" t="s">
        <v>347</v>
      </c>
      <c r="I78" s="37">
        <v>42880</v>
      </c>
      <c r="J78" s="37">
        <v>42881</v>
      </c>
      <c r="K78" s="22" t="s">
        <v>26</v>
      </c>
      <c r="L78" s="28">
        <v>7880</v>
      </c>
      <c r="M78" s="86"/>
      <c r="N78" s="41"/>
      <c r="O78" s="23">
        <v>19</v>
      </c>
      <c r="P78" s="23"/>
      <c r="Q78" s="23"/>
      <c r="R78" s="23">
        <f>SUM(O78:Q78)</f>
        <v>19</v>
      </c>
      <c r="S78" s="22">
        <v>20</v>
      </c>
      <c r="T78" s="20" t="s">
        <v>274</v>
      </c>
    </row>
    <row r="79" spans="1:20" ht="23.25" hidden="1" customHeight="1" x14ac:dyDescent="0.25">
      <c r="A79" s="21" t="s">
        <v>348</v>
      </c>
      <c r="B79" s="24">
        <v>2017</v>
      </c>
      <c r="C79" s="90" t="s">
        <v>21</v>
      </c>
      <c r="D79" s="24" t="s">
        <v>349</v>
      </c>
      <c r="E79" s="30" t="s">
        <v>350</v>
      </c>
      <c r="F79" s="31" t="s">
        <v>62</v>
      </c>
      <c r="G79" s="21" t="s">
        <v>72</v>
      </c>
      <c r="H79" s="38" t="s">
        <v>351</v>
      </c>
      <c r="I79" s="39">
        <v>42881</v>
      </c>
      <c r="J79" s="39">
        <v>42884</v>
      </c>
      <c r="K79" s="24" t="s">
        <v>35</v>
      </c>
      <c r="L79" s="26">
        <v>5569.72</v>
      </c>
      <c r="M79" s="87"/>
      <c r="N79" s="40"/>
      <c r="O79" s="25"/>
      <c r="P79" s="25">
        <v>37</v>
      </c>
      <c r="Q79" s="25"/>
      <c r="R79" s="25">
        <f>SUM(O79:Q79)</f>
        <v>37</v>
      </c>
      <c r="S79" s="24">
        <v>16</v>
      </c>
      <c r="T79" s="21" t="s">
        <v>352</v>
      </c>
    </row>
    <row r="80" spans="1:20" ht="23.25" hidden="1" customHeight="1" x14ac:dyDescent="0.25">
      <c r="A80" s="20" t="s">
        <v>353</v>
      </c>
      <c r="B80" s="22">
        <v>2017</v>
      </c>
      <c r="C80" s="90" t="s">
        <v>21</v>
      </c>
      <c r="D80" s="22" t="s">
        <v>345</v>
      </c>
      <c r="E80" s="27" t="s">
        <v>354</v>
      </c>
      <c r="F80" s="29" t="s">
        <v>23</v>
      </c>
      <c r="G80" s="20" t="s">
        <v>199</v>
      </c>
      <c r="H80" s="36" t="s">
        <v>355</v>
      </c>
      <c r="I80" s="37">
        <v>42891</v>
      </c>
      <c r="J80" s="37">
        <v>42895</v>
      </c>
      <c r="K80" s="22" t="s">
        <v>26</v>
      </c>
      <c r="L80" s="28">
        <v>7880</v>
      </c>
      <c r="M80" s="86"/>
      <c r="N80" s="41"/>
      <c r="O80" s="23">
        <v>19</v>
      </c>
      <c r="P80" s="23"/>
      <c r="Q80" s="23"/>
      <c r="R80" s="23">
        <f>SUM(O80:Q80)</f>
        <v>19</v>
      </c>
      <c r="S80" s="22">
        <v>20</v>
      </c>
      <c r="T80" s="20" t="s">
        <v>274</v>
      </c>
    </row>
    <row r="81" spans="1:20" ht="23.25" hidden="1" customHeight="1" x14ac:dyDescent="0.25">
      <c r="A81" s="21" t="s">
        <v>356</v>
      </c>
      <c r="B81" s="24">
        <v>2017</v>
      </c>
      <c r="C81" s="90" t="s">
        <v>21</v>
      </c>
      <c r="D81" s="24" t="s">
        <v>357</v>
      </c>
      <c r="E81" s="30" t="s">
        <v>358</v>
      </c>
      <c r="F81" s="31" t="s">
        <v>23</v>
      </c>
      <c r="G81" s="21" t="s">
        <v>33</v>
      </c>
      <c r="H81" s="38" t="s">
        <v>359</v>
      </c>
      <c r="I81" s="39">
        <v>42905</v>
      </c>
      <c r="J81" s="39">
        <v>42909</v>
      </c>
      <c r="K81" s="24" t="s">
        <v>35</v>
      </c>
      <c r="L81" s="26">
        <v>8547.4</v>
      </c>
      <c r="M81" s="87"/>
      <c r="N81" s="40"/>
      <c r="O81" s="25">
        <v>20</v>
      </c>
      <c r="P81" s="25"/>
      <c r="Q81" s="25"/>
      <c r="R81" s="25">
        <f>SUM(O81:Q81)</f>
        <v>20</v>
      </c>
      <c r="S81" s="24">
        <v>20</v>
      </c>
      <c r="T81" s="21" t="s">
        <v>360</v>
      </c>
    </row>
    <row r="82" spans="1:20" ht="23.25" hidden="1" customHeight="1" x14ac:dyDescent="0.25">
      <c r="A82" s="20" t="s">
        <v>361</v>
      </c>
      <c r="B82" s="22">
        <v>2017</v>
      </c>
      <c r="C82" s="90" t="s">
        <v>21</v>
      </c>
      <c r="D82" s="22" t="s">
        <v>362</v>
      </c>
      <c r="E82" s="27" t="s">
        <v>363</v>
      </c>
      <c r="F82" s="29" t="s">
        <v>23</v>
      </c>
      <c r="G82" s="20" t="s">
        <v>364</v>
      </c>
      <c r="H82" s="36" t="s">
        <v>365</v>
      </c>
      <c r="I82" s="37">
        <v>42909</v>
      </c>
      <c r="J82" s="37">
        <v>42963</v>
      </c>
      <c r="K82" s="22" t="s">
        <v>35</v>
      </c>
      <c r="L82" s="28">
        <v>11567.86</v>
      </c>
      <c r="M82" s="86"/>
      <c r="N82" s="41"/>
      <c r="O82" s="23">
        <v>50</v>
      </c>
      <c r="P82" s="23"/>
      <c r="Q82" s="23"/>
      <c r="R82" s="23">
        <f>SUM(O82:Q82)</f>
        <v>50</v>
      </c>
      <c r="S82" s="22">
        <v>20</v>
      </c>
      <c r="T82" s="20" t="s">
        <v>366</v>
      </c>
    </row>
    <row r="83" spans="1:20" ht="23.25" hidden="1" customHeight="1" x14ac:dyDescent="0.25">
      <c r="A83" s="21" t="s">
        <v>367</v>
      </c>
      <c r="B83" s="24">
        <v>2017</v>
      </c>
      <c r="C83" s="90" t="s">
        <v>21</v>
      </c>
      <c r="D83" s="24" t="s">
        <v>368</v>
      </c>
      <c r="E83" s="30" t="s">
        <v>230</v>
      </c>
      <c r="F83" s="31" t="s">
        <v>23</v>
      </c>
      <c r="G83" s="21" t="s">
        <v>38</v>
      </c>
      <c r="H83" s="38" t="s">
        <v>369</v>
      </c>
      <c r="I83" s="39">
        <v>42912</v>
      </c>
      <c r="J83" s="39">
        <v>42916</v>
      </c>
      <c r="K83" s="24" t="s">
        <v>26</v>
      </c>
      <c r="L83" s="26">
        <v>9780</v>
      </c>
      <c r="M83" s="87"/>
      <c r="N83" s="40"/>
      <c r="O83" s="25">
        <v>17</v>
      </c>
      <c r="P83" s="25"/>
      <c r="Q83" s="25"/>
      <c r="R83" s="25">
        <f>SUM(O83:Q83)</f>
        <v>17</v>
      </c>
      <c r="S83" s="24">
        <v>20</v>
      </c>
      <c r="T83" s="21" t="s">
        <v>232</v>
      </c>
    </row>
    <row r="84" spans="1:20" ht="23.25" hidden="1" customHeight="1" x14ac:dyDescent="0.25">
      <c r="A84" s="20" t="s">
        <v>370</v>
      </c>
      <c r="B84" s="22">
        <v>2017</v>
      </c>
      <c r="C84" s="90" t="s">
        <v>21</v>
      </c>
      <c r="D84" s="22" t="s">
        <v>371</v>
      </c>
      <c r="E84" s="27" t="s">
        <v>372</v>
      </c>
      <c r="F84" s="29" t="s">
        <v>62</v>
      </c>
      <c r="G84" s="20" t="s">
        <v>72</v>
      </c>
      <c r="H84" s="36" t="s">
        <v>369</v>
      </c>
      <c r="I84" s="37">
        <v>42912</v>
      </c>
      <c r="J84" s="37">
        <v>42916</v>
      </c>
      <c r="K84" s="22" t="s">
        <v>35</v>
      </c>
      <c r="L84" s="28">
        <v>6962.15</v>
      </c>
      <c r="M84" s="86"/>
      <c r="N84" s="41"/>
      <c r="O84" s="23"/>
      <c r="P84" s="23">
        <v>25</v>
      </c>
      <c r="Q84" s="23"/>
      <c r="R84" s="23">
        <f>SUM(O84:Q84)</f>
        <v>25</v>
      </c>
      <c r="S84" s="22">
        <v>20</v>
      </c>
      <c r="T84" s="20" t="s">
        <v>74</v>
      </c>
    </row>
    <row r="85" spans="1:20" ht="23.25" hidden="1" customHeight="1" x14ac:dyDescent="0.25">
      <c r="A85" s="21" t="s">
        <v>373</v>
      </c>
      <c r="B85" s="24">
        <v>2017</v>
      </c>
      <c r="C85" s="90" t="s">
        <v>21</v>
      </c>
      <c r="D85" s="24" t="s">
        <v>374</v>
      </c>
      <c r="E85" s="30" t="s">
        <v>184</v>
      </c>
      <c r="F85" s="31" t="s">
        <v>81</v>
      </c>
      <c r="G85" s="21" t="s">
        <v>72</v>
      </c>
      <c r="H85" s="38" t="s">
        <v>375</v>
      </c>
      <c r="I85" s="39">
        <v>42919</v>
      </c>
      <c r="J85" s="39">
        <v>42923</v>
      </c>
      <c r="K85" s="24" t="s">
        <v>35</v>
      </c>
      <c r="L85" s="26">
        <v>7231.26</v>
      </c>
      <c r="M85" s="87"/>
      <c r="N85" s="40"/>
      <c r="O85" s="25"/>
      <c r="P85" s="25"/>
      <c r="Q85" s="25">
        <v>49</v>
      </c>
      <c r="R85" s="25">
        <f>SUM(O85:Q85)</f>
        <v>49</v>
      </c>
      <c r="S85" s="24">
        <v>20</v>
      </c>
      <c r="T85" s="21" t="s">
        <v>140</v>
      </c>
    </row>
    <row r="86" spans="1:20" ht="23.25" hidden="1" customHeight="1" x14ac:dyDescent="0.25">
      <c r="A86" s="20" t="s">
        <v>376</v>
      </c>
      <c r="B86" s="22">
        <v>2017</v>
      </c>
      <c r="C86" s="90" t="s">
        <v>21</v>
      </c>
      <c r="D86" s="22" t="s">
        <v>377</v>
      </c>
      <c r="E86" s="27" t="s">
        <v>378</v>
      </c>
      <c r="F86" s="29" t="s">
        <v>62</v>
      </c>
      <c r="G86" s="20" t="s">
        <v>72</v>
      </c>
      <c r="H86" s="36" t="s">
        <v>379</v>
      </c>
      <c r="I86" s="37">
        <v>42940</v>
      </c>
      <c r="J86" s="37">
        <v>42944</v>
      </c>
      <c r="K86" s="22" t="s">
        <v>35</v>
      </c>
      <c r="L86" s="28">
        <v>6008.6</v>
      </c>
      <c r="M86" s="86"/>
      <c r="N86" s="41"/>
      <c r="O86" s="23"/>
      <c r="P86" s="23">
        <v>34</v>
      </c>
      <c r="Q86" s="23"/>
      <c r="R86" s="23">
        <f>SUM(O86:Q86)</f>
        <v>34</v>
      </c>
      <c r="S86" s="22">
        <v>20</v>
      </c>
      <c r="T86" s="20" t="s">
        <v>74</v>
      </c>
    </row>
    <row r="87" spans="1:20" ht="23.25" hidden="1" customHeight="1" x14ac:dyDescent="0.25">
      <c r="A87" s="21" t="s">
        <v>380</v>
      </c>
      <c r="B87" s="24">
        <v>2017</v>
      </c>
      <c r="C87" s="90" t="s">
        <v>21</v>
      </c>
      <c r="D87" s="24" t="s">
        <v>381</v>
      </c>
      <c r="E87" s="30" t="s">
        <v>382</v>
      </c>
      <c r="F87" s="31" t="s">
        <v>23</v>
      </c>
      <c r="G87" s="21" t="s">
        <v>33</v>
      </c>
      <c r="H87" s="38" t="s">
        <v>383</v>
      </c>
      <c r="I87" s="39">
        <v>42968</v>
      </c>
      <c r="J87" s="39">
        <v>42972</v>
      </c>
      <c r="K87" s="24" t="s">
        <v>35</v>
      </c>
      <c r="L87" s="26">
        <v>7603.8</v>
      </c>
      <c r="M87" s="87"/>
      <c r="N87" s="40"/>
      <c r="O87" s="25">
        <v>19</v>
      </c>
      <c r="P87" s="25"/>
      <c r="Q87" s="25"/>
      <c r="R87" s="25">
        <f>SUM(O87:Q87)</f>
        <v>19</v>
      </c>
      <c r="S87" s="24">
        <v>20</v>
      </c>
      <c r="T87" s="32" t="s">
        <v>211</v>
      </c>
    </row>
    <row r="88" spans="1:20" ht="23.25" hidden="1" customHeight="1" x14ac:dyDescent="0.25">
      <c r="A88" s="20" t="s">
        <v>384</v>
      </c>
      <c r="B88" s="22">
        <v>2017</v>
      </c>
      <c r="C88" s="90" t="s">
        <v>21</v>
      </c>
      <c r="D88" s="22" t="s">
        <v>385</v>
      </c>
      <c r="E88" s="27" t="s">
        <v>386</v>
      </c>
      <c r="F88" s="29" t="s">
        <v>62</v>
      </c>
      <c r="G88" s="20" t="s">
        <v>72</v>
      </c>
      <c r="H88" s="36" t="s">
        <v>387</v>
      </c>
      <c r="I88" s="37">
        <v>42976</v>
      </c>
      <c r="J88" s="37">
        <v>42977</v>
      </c>
      <c r="K88" s="22" t="s">
        <v>26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>SUM(O88:Q88)</f>
        <v>312</v>
      </c>
      <c r="S88" s="22">
        <v>8</v>
      </c>
      <c r="T88" s="20" t="s">
        <v>388</v>
      </c>
    </row>
    <row r="89" spans="1:20" ht="23.25" hidden="1" customHeight="1" x14ac:dyDescent="0.25">
      <c r="A89" s="21" t="s">
        <v>389</v>
      </c>
      <c r="B89" s="24">
        <v>2017</v>
      </c>
      <c r="C89" s="90" t="s">
        <v>21</v>
      </c>
      <c r="D89" s="24" t="s">
        <v>390</v>
      </c>
      <c r="E89" s="30" t="s">
        <v>391</v>
      </c>
      <c r="F89" s="31" t="s">
        <v>62</v>
      </c>
      <c r="G89" s="21" t="s">
        <v>72</v>
      </c>
      <c r="H89" s="38" t="s">
        <v>392</v>
      </c>
      <c r="I89" s="39">
        <v>42989</v>
      </c>
      <c r="J89" s="39">
        <v>42993</v>
      </c>
      <c r="K89" s="24" t="s">
        <v>35</v>
      </c>
      <c r="L89" s="26">
        <v>7452.02</v>
      </c>
      <c r="M89" s="87"/>
      <c r="N89" s="40"/>
      <c r="O89" s="25"/>
      <c r="P89" s="25">
        <v>57</v>
      </c>
      <c r="Q89" s="25"/>
      <c r="R89" s="25">
        <f>SUM(O89:Q89)</f>
        <v>57</v>
      </c>
      <c r="S89" s="24">
        <v>20</v>
      </c>
      <c r="T89" s="21" t="s">
        <v>113</v>
      </c>
    </row>
    <row r="90" spans="1:20" ht="23.25" hidden="1" customHeight="1" x14ac:dyDescent="0.25">
      <c r="A90" s="20" t="s">
        <v>393</v>
      </c>
      <c r="B90" s="22">
        <v>2017</v>
      </c>
      <c r="C90" s="90" t="s">
        <v>21</v>
      </c>
      <c r="D90" s="22" t="s">
        <v>394</v>
      </c>
      <c r="E90" s="27" t="s">
        <v>395</v>
      </c>
      <c r="F90" s="29" t="s">
        <v>62</v>
      </c>
      <c r="G90" s="20" t="s">
        <v>72</v>
      </c>
      <c r="H90" s="36" t="s">
        <v>396</v>
      </c>
      <c r="I90" s="37">
        <v>43003</v>
      </c>
      <c r="J90" s="37">
        <v>43007</v>
      </c>
      <c r="K90" s="22" t="s">
        <v>35</v>
      </c>
      <c r="L90" s="28">
        <v>7510.44</v>
      </c>
      <c r="M90" s="86"/>
      <c r="N90" s="41"/>
      <c r="O90" s="23"/>
      <c r="P90" s="23">
        <v>50</v>
      </c>
      <c r="Q90" s="23"/>
      <c r="R90" s="23">
        <f>SUM(O90:Q90)</f>
        <v>50</v>
      </c>
      <c r="S90" s="22">
        <v>20</v>
      </c>
      <c r="T90" s="20" t="s">
        <v>113</v>
      </c>
    </row>
    <row r="91" spans="1:20" ht="23.25" hidden="1" customHeight="1" x14ac:dyDescent="0.25">
      <c r="A91" s="21" t="s">
        <v>397</v>
      </c>
      <c r="B91" s="24">
        <v>2017</v>
      </c>
      <c r="C91" s="90" t="s">
        <v>21</v>
      </c>
      <c r="D91" s="24" t="s">
        <v>398</v>
      </c>
      <c r="E91" s="30" t="s">
        <v>399</v>
      </c>
      <c r="F91" s="31" t="s">
        <v>23</v>
      </c>
      <c r="G91" s="21" t="s">
        <v>68</v>
      </c>
      <c r="H91" s="38" t="s">
        <v>400</v>
      </c>
      <c r="I91" s="39">
        <v>43025</v>
      </c>
      <c r="J91" s="39">
        <v>43026</v>
      </c>
      <c r="K91" s="24" t="s">
        <v>26</v>
      </c>
      <c r="L91" s="26">
        <v>19780</v>
      </c>
      <c r="M91" s="87"/>
      <c r="N91" s="40"/>
      <c r="O91" s="25">
        <v>18</v>
      </c>
      <c r="P91" s="25"/>
      <c r="Q91" s="25"/>
      <c r="R91" s="25">
        <f>SUM(O91:Q91)</f>
        <v>18</v>
      </c>
      <c r="S91" s="24">
        <v>20</v>
      </c>
      <c r="T91" s="21" t="s">
        <v>69</v>
      </c>
    </row>
    <row r="92" spans="1:20" ht="23.25" hidden="1" customHeight="1" x14ac:dyDescent="0.25">
      <c r="A92" s="20" t="s">
        <v>401</v>
      </c>
      <c r="B92" s="22">
        <v>2017</v>
      </c>
      <c r="C92" s="90" t="s">
        <v>21</v>
      </c>
      <c r="D92" s="22" t="s">
        <v>402</v>
      </c>
      <c r="E92" s="27" t="s">
        <v>403</v>
      </c>
      <c r="F92" s="29" t="s">
        <v>23</v>
      </c>
      <c r="G92" s="20" t="s">
        <v>38</v>
      </c>
      <c r="H92" s="36" t="s">
        <v>404</v>
      </c>
      <c r="I92" s="37">
        <v>43031</v>
      </c>
      <c r="J92" s="37">
        <v>43035</v>
      </c>
      <c r="K92" s="22" t="s">
        <v>35</v>
      </c>
      <c r="L92" s="28">
        <v>7452.02</v>
      </c>
      <c r="M92" s="86"/>
      <c r="N92" s="41"/>
      <c r="O92" s="23">
        <v>18</v>
      </c>
      <c r="P92" s="23"/>
      <c r="Q92" s="23"/>
      <c r="R92" s="23">
        <f>SUM(O92:Q92)</f>
        <v>18</v>
      </c>
      <c r="S92" s="22">
        <v>20</v>
      </c>
      <c r="T92" s="20" t="s">
        <v>405</v>
      </c>
    </row>
    <row r="93" spans="1:20" ht="23.25" hidden="1" customHeight="1" x14ac:dyDescent="0.25">
      <c r="A93" s="21" t="s">
        <v>406</v>
      </c>
      <c r="B93" s="24">
        <v>2017</v>
      </c>
      <c r="C93" s="90" t="s">
        <v>21</v>
      </c>
      <c r="D93" s="24" t="s">
        <v>407</v>
      </c>
      <c r="E93" s="30" t="s">
        <v>408</v>
      </c>
      <c r="F93" s="31" t="s">
        <v>62</v>
      </c>
      <c r="G93" s="21" t="s">
        <v>72</v>
      </c>
      <c r="H93" s="38" t="s">
        <v>404</v>
      </c>
      <c r="I93" s="39">
        <v>43031</v>
      </c>
      <c r="J93" s="39">
        <v>43035</v>
      </c>
      <c r="K93" s="24" t="s">
        <v>220</v>
      </c>
      <c r="L93" s="26">
        <v>10272.4</v>
      </c>
      <c r="M93" s="87"/>
      <c r="N93" s="40"/>
      <c r="O93" s="25"/>
      <c r="P93" s="25">
        <v>40</v>
      </c>
      <c r="Q93" s="25"/>
      <c r="R93" s="25">
        <f>SUM(O93:Q93)</f>
        <v>40</v>
      </c>
      <c r="S93" s="24">
        <v>20</v>
      </c>
      <c r="T93" s="21" t="s">
        <v>409</v>
      </c>
    </row>
    <row r="94" spans="1:20" ht="23.25" hidden="1" customHeight="1" x14ac:dyDescent="0.25">
      <c r="A94" s="20" t="s">
        <v>410</v>
      </c>
      <c r="B94" s="22">
        <v>2017</v>
      </c>
      <c r="C94" s="90" t="s">
        <v>21</v>
      </c>
      <c r="D94" s="22" t="s">
        <v>411</v>
      </c>
      <c r="E94" s="27" t="s">
        <v>412</v>
      </c>
      <c r="F94" s="29" t="s">
        <v>62</v>
      </c>
      <c r="G94" s="20" t="s">
        <v>72</v>
      </c>
      <c r="H94" s="36" t="s">
        <v>413</v>
      </c>
      <c r="I94" s="37">
        <v>43045</v>
      </c>
      <c r="J94" s="37">
        <v>43048</v>
      </c>
      <c r="K94" s="22" t="s">
        <v>35</v>
      </c>
      <c r="L94" s="28">
        <v>5961.61</v>
      </c>
      <c r="M94" s="86"/>
      <c r="N94" s="41"/>
      <c r="O94" s="23"/>
      <c r="P94" s="23">
        <v>37</v>
      </c>
      <c r="Q94" s="23"/>
      <c r="R94" s="23">
        <f>SUM(O94:Q94)</f>
        <v>37</v>
      </c>
      <c r="S94" s="22">
        <v>16</v>
      </c>
      <c r="T94" s="20" t="s">
        <v>414</v>
      </c>
    </row>
    <row r="95" spans="1:20" ht="23.25" hidden="1" customHeight="1" x14ac:dyDescent="0.25">
      <c r="A95" s="21" t="s">
        <v>415</v>
      </c>
      <c r="B95" s="24">
        <v>2018</v>
      </c>
      <c r="C95" s="90" t="s">
        <v>21</v>
      </c>
      <c r="D95" s="24" t="s">
        <v>416</v>
      </c>
      <c r="E95" s="30" t="s">
        <v>184</v>
      </c>
      <c r="F95" s="31" t="s">
        <v>81</v>
      </c>
      <c r="G95" s="21" t="s">
        <v>72</v>
      </c>
      <c r="H95" s="38" t="s">
        <v>417</v>
      </c>
      <c r="I95" s="39">
        <v>43179</v>
      </c>
      <c r="J95" s="39">
        <v>43180</v>
      </c>
      <c r="K95" s="24" t="s">
        <v>35</v>
      </c>
      <c r="L95" s="26">
        <v>5647.92</v>
      </c>
      <c r="M95" s="87"/>
      <c r="N95" s="40"/>
      <c r="O95" s="25"/>
      <c r="P95" s="25"/>
      <c r="Q95" s="25">
        <v>96</v>
      </c>
      <c r="R95" s="25">
        <f>SUM(O95:Q95)</f>
        <v>96</v>
      </c>
      <c r="S95" s="24">
        <v>20</v>
      </c>
      <c r="T95" s="32" t="s">
        <v>418</v>
      </c>
    </row>
    <row r="96" spans="1:20" ht="23.25" hidden="1" customHeight="1" x14ac:dyDescent="0.25">
      <c r="A96" s="20" t="s">
        <v>419</v>
      </c>
      <c r="B96" s="22">
        <v>2018</v>
      </c>
      <c r="C96" s="90" t="s">
        <v>21</v>
      </c>
      <c r="D96" s="22" t="s">
        <v>420</v>
      </c>
      <c r="E96" s="27" t="s">
        <v>421</v>
      </c>
      <c r="F96" s="29" t="s">
        <v>23</v>
      </c>
      <c r="G96" s="20" t="s">
        <v>33</v>
      </c>
      <c r="H96" s="36" t="s">
        <v>422</v>
      </c>
      <c r="I96" s="37">
        <v>43192</v>
      </c>
      <c r="J96" s="37">
        <v>43196</v>
      </c>
      <c r="K96" s="22" t="s">
        <v>35</v>
      </c>
      <c r="L96" s="28">
        <v>13018.48</v>
      </c>
      <c r="M96" s="86"/>
      <c r="N96" s="41"/>
      <c r="O96" s="23">
        <v>19</v>
      </c>
      <c r="P96" s="23"/>
      <c r="Q96" s="23"/>
      <c r="R96" s="23">
        <f>SUM(O96:Q96)</f>
        <v>19</v>
      </c>
      <c r="S96" s="22">
        <v>20</v>
      </c>
      <c r="T96" s="20" t="s">
        <v>108</v>
      </c>
    </row>
    <row r="97" spans="1:20" ht="23.25" hidden="1" customHeight="1" x14ac:dyDescent="0.25">
      <c r="A97" s="21" t="s">
        <v>423</v>
      </c>
      <c r="B97" s="24">
        <v>2018</v>
      </c>
      <c r="C97" s="90" t="s">
        <v>21</v>
      </c>
      <c r="D97" s="24" t="s">
        <v>424</v>
      </c>
      <c r="E97" s="30" t="s">
        <v>425</v>
      </c>
      <c r="F97" s="31" t="s">
        <v>62</v>
      </c>
      <c r="G97" s="21" t="s">
        <v>72</v>
      </c>
      <c r="H97" s="38" t="s">
        <v>426</v>
      </c>
      <c r="I97" s="39">
        <v>43199</v>
      </c>
      <c r="J97" s="39">
        <v>43203</v>
      </c>
      <c r="K97" s="24" t="s">
        <v>35</v>
      </c>
      <c r="L97" s="26">
        <v>7310.2</v>
      </c>
      <c r="M97" s="87"/>
      <c r="N97" s="40"/>
      <c r="O97" s="25"/>
      <c r="P97" s="25">
        <v>65</v>
      </c>
      <c r="Q97" s="25"/>
      <c r="R97" s="25">
        <f>SUM(O97:Q97)</f>
        <v>65</v>
      </c>
      <c r="S97" s="24">
        <v>20</v>
      </c>
      <c r="T97" s="21" t="s">
        <v>113</v>
      </c>
    </row>
    <row r="98" spans="1:20" ht="23.25" hidden="1" customHeight="1" x14ac:dyDescent="0.25">
      <c r="A98" s="20" t="s">
        <v>427</v>
      </c>
      <c r="B98" s="22">
        <v>2018</v>
      </c>
      <c r="C98" s="90" t="s">
        <v>21</v>
      </c>
      <c r="D98" s="22" t="s">
        <v>428</v>
      </c>
      <c r="E98" s="27" t="s">
        <v>429</v>
      </c>
      <c r="F98" s="29" t="s">
        <v>23</v>
      </c>
      <c r="G98" s="20" t="s">
        <v>82</v>
      </c>
      <c r="H98" s="36" t="s">
        <v>83</v>
      </c>
      <c r="I98" s="37">
        <v>43225</v>
      </c>
      <c r="J98" s="37">
        <v>43225</v>
      </c>
      <c r="K98" s="22" t="s">
        <v>26</v>
      </c>
      <c r="L98" s="28">
        <v>0</v>
      </c>
      <c r="M98" s="86"/>
      <c r="N98" s="41"/>
      <c r="O98" s="23">
        <v>19</v>
      </c>
      <c r="P98" s="23"/>
      <c r="Q98" s="23"/>
      <c r="R98" s="23">
        <f>SUM(O98:Q98)</f>
        <v>19</v>
      </c>
      <c r="S98" s="22">
        <v>8</v>
      </c>
      <c r="T98" s="20" t="s">
        <v>108</v>
      </c>
    </row>
    <row r="99" spans="1:20" ht="23.25" hidden="1" customHeight="1" x14ac:dyDescent="0.25">
      <c r="A99" s="21" t="s">
        <v>430</v>
      </c>
      <c r="B99" s="24">
        <v>2018</v>
      </c>
      <c r="C99" s="90" t="s">
        <v>21</v>
      </c>
      <c r="D99" s="24" t="s">
        <v>431</v>
      </c>
      <c r="E99" s="30" t="s">
        <v>432</v>
      </c>
      <c r="F99" s="31" t="s">
        <v>23</v>
      </c>
      <c r="G99" s="21" t="s">
        <v>199</v>
      </c>
      <c r="H99" s="38" t="s">
        <v>433</v>
      </c>
      <c r="I99" s="39">
        <v>43227</v>
      </c>
      <c r="J99" s="39">
        <v>43231</v>
      </c>
      <c r="K99" s="24" t="s">
        <v>26</v>
      </c>
      <c r="L99" s="26">
        <v>7690</v>
      </c>
      <c r="M99" s="87"/>
      <c r="N99" s="40"/>
      <c r="O99" s="25">
        <v>19</v>
      </c>
      <c r="P99" s="25"/>
      <c r="Q99" s="25"/>
      <c r="R99" s="25">
        <f>SUM(O99:Q99)</f>
        <v>19</v>
      </c>
      <c r="S99" s="24">
        <v>16</v>
      </c>
      <c r="T99" s="21" t="s">
        <v>274</v>
      </c>
    </row>
    <row r="100" spans="1:20" ht="23.25" hidden="1" customHeight="1" x14ac:dyDescent="0.25">
      <c r="A100" s="20" t="s">
        <v>434</v>
      </c>
      <c r="B100" s="22">
        <v>2018</v>
      </c>
      <c r="C100" s="90" t="s">
        <v>21</v>
      </c>
      <c r="D100" s="22" t="s">
        <v>435</v>
      </c>
      <c r="E100" s="27" t="s">
        <v>436</v>
      </c>
      <c r="F100" s="29" t="s">
        <v>23</v>
      </c>
      <c r="G100" s="20" t="s">
        <v>33</v>
      </c>
      <c r="H100" s="36" t="s">
        <v>437</v>
      </c>
      <c r="I100" s="37">
        <v>43234</v>
      </c>
      <c r="J100" s="37">
        <v>43238</v>
      </c>
      <c r="K100" s="22" t="s">
        <v>35</v>
      </c>
      <c r="L100" s="28">
        <v>7510.44</v>
      </c>
      <c r="M100" s="86"/>
      <c r="N100" s="41"/>
      <c r="O100" s="23">
        <v>20</v>
      </c>
      <c r="P100" s="23"/>
      <c r="Q100" s="23"/>
      <c r="R100" s="23">
        <f>SUM(O100:Q100)</f>
        <v>20</v>
      </c>
      <c r="S100" s="22">
        <v>20</v>
      </c>
      <c r="T100" s="20" t="s">
        <v>108</v>
      </c>
    </row>
    <row r="101" spans="1:20" ht="23.25" hidden="1" customHeight="1" x14ac:dyDescent="0.25">
      <c r="A101" s="21" t="s">
        <v>438</v>
      </c>
      <c r="B101" s="24">
        <v>2018</v>
      </c>
      <c r="C101" s="90" t="s">
        <v>21</v>
      </c>
      <c r="D101" s="24" t="s">
        <v>439</v>
      </c>
      <c r="E101" s="30" t="s">
        <v>440</v>
      </c>
      <c r="F101" s="31" t="s">
        <v>62</v>
      </c>
      <c r="G101" s="21" t="s">
        <v>72</v>
      </c>
      <c r="H101" s="38" t="s">
        <v>441</v>
      </c>
      <c r="I101" s="39">
        <v>43255</v>
      </c>
      <c r="J101" s="39">
        <v>43259</v>
      </c>
      <c r="K101" s="24" t="s">
        <v>220</v>
      </c>
      <c r="L101" s="26">
        <v>6612.08</v>
      </c>
      <c r="M101" s="87"/>
      <c r="N101" s="40"/>
      <c r="O101" s="25"/>
      <c r="P101" s="25">
        <v>63</v>
      </c>
      <c r="Q101" s="25"/>
      <c r="R101" s="25">
        <f>SUM(O101:Q101)</f>
        <v>63</v>
      </c>
      <c r="S101" s="24">
        <v>20</v>
      </c>
      <c r="T101" s="21" t="s">
        <v>442</v>
      </c>
    </row>
    <row r="102" spans="1:20" ht="23.25" hidden="1" customHeight="1" x14ac:dyDescent="0.25">
      <c r="A102" s="20" t="s">
        <v>443</v>
      </c>
      <c r="B102" s="22">
        <v>2018</v>
      </c>
      <c r="C102" s="90" t="s">
        <v>21</v>
      </c>
      <c r="D102" s="22" t="s">
        <v>420</v>
      </c>
      <c r="E102" s="27" t="s">
        <v>444</v>
      </c>
      <c r="F102" s="35" t="s">
        <v>23</v>
      </c>
      <c r="G102" s="20" t="s">
        <v>33</v>
      </c>
      <c r="H102" s="36" t="s">
        <v>441</v>
      </c>
      <c r="I102" s="37">
        <v>43255</v>
      </c>
      <c r="J102" s="37">
        <v>43259</v>
      </c>
      <c r="K102" s="22" t="s">
        <v>35</v>
      </c>
      <c r="L102" s="28">
        <v>6509.24</v>
      </c>
      <c r="M102" s="86"/>
      <c r="N102" s="41"/>
      <c r="O102" s="23">
        <v>18</v>
      </c>
      <c r="P102" s="23"/>
      <c r="Q102" s="23"/>
      <c r="R102" s="23">
        <f>SUM(O102:Q102)</f>
        <v>18</v>
      </c>
      <c r="S102" s="22">
        <v>20</v>
      </c>
      <c r="T102" s="20" t="s">
        <v>190</v>
      </c>
    </row>
    <row r="103" spans="1:20" ht="23.25" hidden="1" customHeight="1" x14ac:dyDescent="0.25">
      <c r="A103" s="21" t="s">
        <v>445</v>
      </c>
      <c r="B103" s="24">
        <v>2018</v>
      </c>
      <c r="C103" s="90" t="s">
        <v>21</v>
      </c>
      <c r="D103" s="24" t="s">
        <v>446</v>
      </c>
      <c r="E103" s="30" t="s">
        <v>447</v>
      </c>
      <c r="F103" s="31" t="s">
        <v>23</v>
      </c>
      <c r="G103" s="21" t="s">
        <v>38</v>
      </c>
      <c r="H103" s="38" t="s">
        <v>448</v>
      </c>
      <c r="I103" s="39">
        <v>43262</v>
      </c>
      <c r="J103" s="39">
        <v>43266</v>
      </c>
      <c r="K103" s="24" t="s">
        <v>26</v>
      </c>
      <c r="L103" s="26">
        <v>20000</v>
      </c>
      <c r="M103" s="87"/>
      <c r="N103" s="40"/>
      <c r="O103" s="25">
        <v>31</v>
      </c>
      <c r="P103" s="25"/>
      <c r="Q103" s="25"/>
      <c r="R103" s="25">
        <f>SUM(O103:Q103)</f>
        <v>31</v>
      </c>
      <c r="S103" s="24">
        <v>20</v>
      </c>
      <c r="T103" s="21" t="s">
        <v>449</v>
      </c>
    </row>
    <row r="104" spans="1:20" ht="23.25" hidden="1" customHeight="1" x14ac:dyDescent="0.25">
      <c r="A104" s="20" t="s">
        <v>450</v>
      </c>
      <c r="B104" s="22">
        <v>2018</v>
      </c>
      <c r="C104" s="90" t="s">
        <v>21</v>
      </c>
      <c r="D104" s="22" t="s">
        <v>451</v>
      </c>
      <c r="E104" s="27" t="s">
        <v>452</v>
      </c>
      <c r="F104" s="29" t="s">
        <v>62</v>
      </c>
      <c r="G104" s="20" t="s">
        <v>72</v>
      </c>
      <c r="H104" s="36" t="s">
        <v>453</v>
      </c>
      <c r="I104" s="37">
        <v>43269</v>
      </c>
      <c r="J104" s="37">
        <v>43273</v>
      </c>
      <c r="K104" s="22" t="s">
        <v>35</v>
      </c>
      <c r="L104" s="28">
        <v>7310.2</v>
      </c>
      <c r="M104" s="86"/>
      <c r="N104" s="41"/>
      <c r="O104" s="23"/>
      <c r="P104" s="23">
        <v>59</v>
      </c>
      <c r="Q104" s="23"/>
      <c r="R104" s="23">
        <f>SUM(O104:Q104)</f>
        <v>59</v>
      </c>
      <c r="S104" s="22">
        <v>20</v>
      </c>
      <c r="T104" s="20" t="s">
        <v>269</v>
      </c>
    </row>
    <row r="105" spans="1:20" ht="23.25" hidden="1" customHeight="1" x14ac:dyDescent="0.25">
      <c r="A105" s="21" t="s">
        <v>454</v>
      </c>
      <c r="B105" s="24">
        <v>2018</v>
      </c>
      <c r="C105" s="90" t="s">
        <v>21</v>
      </c>
      <c r="D105" s="24" t="s">
        <v>455</v>
      </c>
      <c r="E105" s="30" t="s">
        <v>456</v>
      </c>
      <c r="F105" s="31" t="s">
        <v>23</v>
      </c>
      <c r="G105" s="21" t="s">
        <v>457</v>
      </c>
      <c r="H105" s="38" t="s">
        <v>458</v>
      </c>
      <c r="I105" s="39">
        <v>43272</v>
      </c>
      <c r="J105" s="39">
        <v>43277</v>
      </c>
      <c r="K105" s="24" t="s">
        <v>26</v>
      </c>
      <c r="L105" s="26">
        <v>17625</v>
      </c>
      <c r="M105" s="87"/>
      <c r="N105" s="40"/>
      <c r="O105" s="25">
        <v>25</v>
      </c>
      <c r="P105" s="25"/>
      <c r="Q105" s="25"/>
      <c r="R105" s="25">
        <f>SUM(O105:Q105)</f>
        <v>25</v>
      </c>
      <c r="S105" s="24">
        <v>24</v>
      </c>
      <c r="T105" s="21" t="s">
        <v>459</v>
      </c>
    </row>
    <row r="106" spans="1:20" ht="23.25" hidden="1" customHeight="1" x14ac:dyDescent="0.25">
      <c r="A106" s="20" t="s">
        <v>460</v>
      </c>
      <c r="B106" s="22">
        <v>2018</v>
      </c>
      <c r="C106" s="90" t="s">
        <v>21</v>
      </c>
      <c r="D106" s="22" t="s">
        <v>461</v>
      </c>
      <c r="E106" s="27" t="s">
        <v>462</v>
      </c>
      <c r="F106" s="29" t="s">
        <v>62</v>
      </c>
      <c r="G106" s="20" t="s">
        <v>72</v>
      </c>
      <c r="H106" s="36" t="s">
        <v>463</v>
      </c>
      <c r="I106" s="37">
        <v>43297</v>
      </c>
      <c r="J106" s="37">
        <v>43301</v>
      </c>
      <c r="K106" s="22" t="s">
        <v>35</v>
      </c>
      <c r="L106" s="28">
        <v>7510.44</v>
      </c>
      <c r="M106" s="86"/>
      <c r="N106" s="41"/>
      <c r="O106" s="23"/>
      <c r="P106" s="23">
        <v>34</v>
      </c>
      <c r="Q106" s="23"/>
      <c r="R106" s="23">
        <f>SUM(O106:Q106)</f>
        <v>34</v>
      </c>
      <c r="S106" s="22">
        <v>20</v>
      </c>
      <c r="T106" s="20" t="s">
        <v>464</v>
      </c>
    </row>
    <row r="107" spans="1:20" ht="23.25" hidden="1" customHeight="1" x14ac:dyDescent="0.25">
      <c r="A107" s="21" t="s">
        <v>465</v>
      </c>
      <c r="B107" s="24">
        <v>2018</v>
      </c>
      <c r="C107" s="90" t="s">
        <v>21</v>
      </c>
      <c r="D107" s="24" t="s">
        <v>431</v>
      </c>
      <c r="E107" s="30" t="s">
        <v>466</v>
      </c>
      <c r="F107" s="31" t="s">
        <v>23</v>
      </c>
      <c r="G107" s="21" t="s">
        <v>199</v>
      </c>
      <c r="H107" s="38" t="s">
        <v>467</v>
      </c>
      <c r="I107" s="39">
        <v>43325</v>
      </c>
      <c r="J107" s="39">
        <v>43329</v>
      </c>
      <c r="K107" s="24" t="s">
        <v>26</v>
      </c>
      <c r="L107" s="26">
        <v>7690</v>
      </c>
      <c r="M107" s="87"/>
      <c r="N107" s="40"/>
      <c r="O107" s="25">
        <v>19</v>
      </c>
      <c r="P107" s="25"/>
      <c r="Q107" s="25"/>
      <c r="R107" s="25">
        <f>SUM(O107:Q107)</f>
        <v>19</v>
      </c>
      <c r="S107" s="24">
        <v>16</v>
      </c>
      <c r="T107" s="21" t="s">
        <v>274</v>
      </c>
    </row>
    <row r="108" spans="1:20" ht="23.25" hidden="1" customHeight="1" x14ac:dyDescent="0.25">
      <c r="A108" s="20" t="s">
        <v>468</v>
      </c>
      <c r="B108" s="22">
        <v>2018</v>
      </c>
      <c r="C108" s="90" t="s">
        <v>21</v>
      </c>
      <c r="D108" s="22" t="s">
        <v>469</v>
      </c>
      <c r="E108" s="27" t="s">
        <v>470</v>
      </c>
      <c r="F108" s="29" t="s">
        <v>23</v>
      </c>
      <c r="G108" s="20" t="s">
        <v>72</v>
      </c>
      <c r="H108" s="36" t="s">
        <v>471</v>
      </c>
      <c r="I108" s="37">
        <v>43333</v>
      </c>
      <c r="J108" s="37">
        <v>43334</v>
      </c>
      <c r="K108" s="22" t="s">
        <v>26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>SUM(O108:Q108)</f>
        <v>353</v>
      </c>
      <c r="S108" s="22">
        <v>8</v>
      </c>
      <c r="T108" s="20" t="s">
        <v>472</v>
      </c>
    </row>
    <row r="109" spans="1:20" ht="23.25" hidden="1" customHeight="1" x14ac:dyDescent="0.25">
      <c r="A109" s="21" t="s">
        <v>473</v>
      </c>
      <c r="B109" s="24">
        <v>2018</v>
      </c>
      <c r="C109" s="90" t="s">
        <v>21</v>
      </c>
      <c r="D109" s="24" t="s">
        <v>446</v>
      </c>
      <c r="E109" s="30" t="s">
        <v>474</v>
      </c>
      <c r="F109" s="31" t="s">
        <v>23</v>
      </c>
      <c r="G109" s="21" t="s">
        <v>38</v>
      </c>
      <c r="H109" s="38" t="s">
        <v>475</v>
      </c>
      <c r="I109" s="39">
        <v>43339</v>
      </c>
      <c r="J109" s="39">
        <v>43343</v>
      </c>
      <c r="K109" s="24" t="s">
        <v>26</v>
      </c>
      <c r="L109" s="26">
        <v>20000</v>
      </c>
      <c r="M109" s="87"/>
      <c r="N109" s="40"/>
      <c r="O109" s="25">
        <v>28</v>
      </c>
      <c r="P109" s="25"/>
      <c r="Q109" s="25"/>
      <c r="R109" s="25">
        <f>SUM(O109:Q109)</f>
        <v>28</v>
      </c>
      <c r="S109" s="24">
        <v>20</v>
      </c>
      <c r="T109" s="21" t="s">
        <v>449</v>
      </c>
    </row>
    <row r="110" spans="1:20" ht="23.25" hidden="1" customHeight="1" x14ac:dyDescent="0.25">
      <c r="A110" s="20" t="s">
        <v>476</v>
      </c>
      <c r="B110" s="22">
        <v>2018</v>
      </c>
      <c r="C110" s="90" t="s">
        <v>21</v>
      </c>
      <c r="D110" s="22" t="s">
        <v>477</v>
      </c>
      <c r="E110" s="27" t="s">
        <v>478</v>
      </c>
      <c r="F110" s="29" t="s">
        <v>23</v>
      </c>
      <c r="G110" s="20" t="s">
        <v>457</v>
      </c>
      <c r="H110" s="36" t="s">
        <v>479</v>
      </c>
      <c r="I110" s="37">
        <v>43343</v>
      </c>
      <c r="J110" s="37">
        <v>43343</v>
      </c>
      <c r="K110" s="22" t="s">
        <v>26</v>
      </c>
      <c r="L110" s="28">
        <v>43000</v>
      </c>
      <c r="M110" s="86"/>
      <c r="N110" s="41"/>
      <c r="O110" s="23">
        <v>215</v>
      </c>
      <c r="P110" s="23"/>
      <c r="Q110" s="23"/>
      <c r="R110" s="23">
        <f>SUM(O110:Q110)</f>
        <v>215</v>
      </c>
      <c r="S110" s="22">
        <v>2</v>
      </c>
      <c r="T110" s="20" t="s">
        <v>480</v>
      </c>
    </row>
    <row r="111" spans="1:20" ht="23.25" hidden="1" customHeight="1" x14ac:dyDescent="0.25">
      <c r="A111" s="21" t="s">
        <v>481</v>
      </c>
      <c r="B111" s="24">
        <v>2018</v>
      </c>
      <c r="C111" s="90" t="s">
        <v>21</v>
      </c>
      <c r="D111" s="24" t="s">
        <v>482</v>
      </c>
      <c r="E111" s="30" t="s">
        <v>483</v>
      </c>
      <c r="F111" s="31" t="s">
        <v>23</v>
      </c>
      <c r="G111" s="21" t="s">
        <v>457</v>
      </c>
      <c r="H111" s="38" t="s">
        <v>484</v>
      </c>
      <c r="I111" s="39">
        <v>43369</v>
      </c>
      <c r="J111" s="39">
        <v>43424</v>
      </c>
      <c r="K111" s="24" t="s">
        <v>26</v>
      </c>
      <c r="L111" s="26">
        <v>31960</v>
      </c>
      <c r="M111" s="87"/>
      <c r="N111" s="40"/>
      <c r="O111" s="25">
        <v>55</v>
      </c>
      <c r="P111" s="25"/>
      <c r="Q111" s="25"/>
      <c r="R111" s="25">
        <f>SUM(O111:Q111)</f>
        <v>55</v>
      </c>
      <c r="S111" s="24">
        <v>47</v>
      </c>
      <c r="T111" s="21" t="s">
        <v>485</v>
      </c>
    </row>
    <row r="112" spans="1:20" ht="23.25" hidden="1" customHeight="1" x14ac:dyDescent="0.25">
      <c r="A112" s="20" t="s">
        <v>486</v>
      </c>
      <c r="B112" s="22">
        <v>2018</v>
      </c>
      <c r="C112" s="90" t="s">
        <v>21</v>
      </c>
      <c r="D112" s="22" t="s">
        <v>487</v>
      </c>
      <c r="E112" s="27" t="s">
        <v>488</v>
      </c>
      <c r="F112" s="29" t="s">
        <v>23</v>
      </c>
      <c r="G112" s="20" t="s">
        <v>457</v>
      </c>
      <c r="H112" s="36" t="s">
        <v>489</v>
      </c>
      <c r="I112" s="37">
        <v>43397</v>
      </c>
      <c r="J112" s="37">
        <v>43397</v>
      </c>
      <c r="K112" s="22" t="s">
        <v>26</v>
      </c>
      <c r="L112" s="28">
        <v>2419.23</v>
      </c>
      <c r="M112" s="86"/>
      <c r="N112" s="41"/>
      <c r="O112" s="23">
        <v>11</v>
      </c>
      <c r="P112" s="23"/>
      <c r="Q112" s="23"/>
      <c r="R112" s="23">
        <f>SUM(O112:Q112)</f>
        <v>11</v>
      </c>
      <c r="S112" s="22">
        <v>3.5</v>
      </c>
      <c r="T112" s="20" t="s">
        <v>490</v>
      </c>
    </row>
    <row r="113" spans="1:20" ht="23.25" hidden="1" customHeight="1" x14ac:dyDescent="0.25">
      <c r="A113" s="21" t="s">
        <v>491</v>
      </c>
      <c r="B113" s="24">
        <v>2018</v>
      </c>
      <c r="C113" s="90" t="s">
        <v>21</v>
      </c>
      <c r="D113" s="24" t="s">
        <v>492</v>
      </c>
      <c r="E113" s="30" t="s">
        <v>493</v>
      </c>
      <c r="F113" s="31" t="s">
        <v>23</v>
      </c>
      <c r="G113" s="21" t="s">
        <v>38</v>
      </c>
      <c r="H113" s="38" t="s">
        <v>494</v>
      </c>
      <c r="I113" s="39">
        <v>43423</v>
      </c>
      <c r="J113" s="39">
        <v>43425</v>
      </c>
      <c r="K113" s="24" t="s">
        <v>35</v>
      </c>
      <c r="L113" s="26">
        <v>2585.36</v>
      </c>
      <c r="M113" s="87"/>
      <c r="N113" s="40"/>
      <c r="O113" s="25">
        <v>26</v>
      </c>
      <c r="P113" s="25"/>
      <c r="Q113" s="25"/>
      <c r="R113" s="25">
        <f>SUM(O113:Q113)</f>
        <v>26</v>
      </c>
      <c r="S113" s="24">
        <v>14</v>
      </c>
      <c r="T113" s="21" t="s">
        <v>495</v>
      </c>
    </row>
    <row r="114" spans="1:20" ht="23.25" hidden="1" customHeight="1" x14ac:dyDescent="0.25">
      <c r="A114" s="20" t="s">
        <v>496</v>
      </c>
      <c r="B114" s="22">
        <v>2018</v>
      </c>
      <c r="C114" s="90" t="s">
        <v>21</v>
      </c>
      <c r="D114" s="22" t="s">
        <v>487</v>
      </c>
      <c r="E114" s="27" t="s">
        <v>497</v>
      </c>
      <c r="F114" s="29" t="s">
        <v>23</v>
      </c>
      <c r="G114" s="20" t="s">
        <v>457</v>
      </c>
      <c r="H114" s="36" t="s">
        <v>498</v>
      </c>
      <c r="I114" s="37">
        <v>43431</v>
      </c>
      <c r="J114" s="37">
        <v>43431</v>
      </c>
      <c r="K114" s="22" t="s">
        <v>26</v>
      </c>
      <c r="L114" s="28">
        <v>1760.48</v>
      </c>
      <c r="M114" s="86"/>
      <c r="N114" s="41"/>
      <c r="O114" s="23">
        <v>8</v>
      </c>
      <c r="P114" s="23"/>
      <c r="Q114" s="23"/>
      <c r="R114" s="23">
        <f>SUM(O114:Q114)</f>
        <v>8</v>
      </c>
      <c r="S114" s="22">
        <v>3.5</v>
      </c>
      <c r="T114" s="20" t="s">
        <v>499</v>
      </c>
    </row>
    <row r="115" spans="1:20" ht="23.25" hidden="1" customHeight="1" x14ac:dyDescent="0.25">
      <c r="A115" s="21" t="s">
        <v>500</v>
      </c>
      <c r="B115" s="24">
        <v>2018</v>
      </c>
      <c r="C115" s="90" t="s">
        <v>21</v>
      </c>
      <c r="D115" s="24" t="s">
        <v>501</v>
      </c>
      <c r="E115" s="30" t="s">
        <v>502</v>
      </c>
      <c r="F115" s="31" t="s">
        <v>23</v>
      </c>
      <c r="G115" s="21" t="s">
        <v>38</v>
      </c>
      <c r="H115" s="38" t="s">
        <v>503</v>
      </c>
      <c r="I115" s="39">
        <v>43437</v>
      </c>
      <c r="J115" s="39">
        <v>43437</v>
      </c>
      <c r="K115" s="24" t="s">
        <v>26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>SUM(O115:Q115)</f>
        <v>38</v>
      </c>
      <c r="S115" s="24">
        <v>4</v>
      </c>
      <c r="T115" s="21" t="s">
        <v>504</v>
      </c>
    </row>
    <row r="116" spans="1:20" ht="23.25" hidden="1" customHeight="1" x14ac:dyDescent="0.25">
      <c r="A116" s="20" t="s">
        <v>505</v>
      </c>
      <c r="B116" s="22">
        <v>2019</v>
      </c>
      <c r="C116" s="90" t="s">
        <v>21</v>
      </c>
      <c r="D116" s="22" t="s">
        <v>506</v>
      </c>
      <c r="E116" s="27" t="s">
        <v>507</v>
      </c>
      <c r="F116" s="29" t="s">
        <v>23</v>
      </c>
      <c r="G116" s="20" t="s">
        <v>364</v>
      </c>
      <c r="H116" s="36" t="s">
        <v>508</v>
      </c>
      <c r="I116" s="37">
        <v>43542</v>
      </c>
      <c r="J116" s="37">
        <v>43717</v>
      </c>
      <c r="K116" s="22" t="s">
        <v>35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>SUM(O116:Q116)</f>
        <v>18</v>
      </c>
      <c r="S116" s="22">
        <v>20</v>
      </c>
      <c r="T116" s="20" t="s">
        <v>509</v>
      </c>
    </row>
    <row r="117" spans="1:20" ht="23.25" hidden="1" customHeight="1" x14ac:dyDescent="0.25">
      <c r="A117" s="21" t="s">
        <v>510</v>
      </c>
      <c r="B117" s="24">
        <v>2019</v>
      </c>
      <c r="C117" s="90" t="s">
        <v>21</v>
      </c>
      <c r="D117" s="24" t="s">
        <v>511</v>
      </c>
      <c r="E117" s="30" t="s">
        <v>512</v>
      </c>
      <c r="F117" s="31" t="s">
        <v>62</v>
      </c>
      <c r="G117" s="21" t="s">
        <v>72</v>
      </c>
      <c r="H117" s="38" t="s">
        <v>513</v>
      </c>
      <c r="I117" s="39">
        <v>43546</v>
      </c>
      <c r="J117" s="39">
        <v>43571</v>
      </c>
      <c r="K117" s="24" t="s">
        <v>26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>SUM(O117:Q117)</f>
        <v>45</v>
      </c>
      <c r="S117" s="24">
        <v>18</v>
      </c>
      <c r="T117" s="21" t="s">
        <v>514</v>
      </c>
    </row>
    <row r="118" spans="1:20" ht="23.25" hidden="1" customHeight="1" x14ac:dyDescent="0.25">
      <c r="A118" s="20" t="s">
        <v>515</v>
      </c>
      <c r="B118" s="22">
        <v>2019</v>
      </c>
      <c r="C118" s="90" t="s">
        <v>21</v>
      </c>
      <c r="D118" s="22" t="s">
        <v>516</v>
      </c>
      <c r="E118" s="27" t="s">
        <v>517</v>
      </c>
      <c r="F118" s="29" t="s">
        <v>23</v>
      </c>
      <c r="G118" s="20" t="s">
        <v>364</v>
      </c>
      <c r="H118" s="36" t="s">
        <v>518</v>
      </c>
      <c r="I118" s="37">
        <v>43549</v>
      </c>
      <c r="J118" s="37">
        <v>43728</v>
      </c>
      <c r="K118" s="22" t="s">
        <v>35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>SUM(O118:Q118)</f>
        <v>45</v>
      </c>
      <c r="S118" s="22">
        <v>20</v>
      </c>
      <c r="T118" s="20" t="s">
        <v>519</v>
      </c>
    </row>
    <row r="119" spans="1:20" ht="23.25" hidden="1" customHeight="1" x14ac:dyDescent="0.25">
      <c r="A119" s="21" t="s">
        <v>520</v>
      </c>
      <c r="B119" s="24">
        <v>2019</v>
      </c>
      <c r="C119" s="90" t="s">
        <v>21</v>
      </c>
      <c r="D119" s="24" t="s">
        <v>521</v>
      </c>
      <c r="E119" s="30" t="s">
        <v>522</v>
      </c>
      <c r="F119" s="31" t="s">
        <v>23</v>
      </c>
      <c r="G119" s="21" t="s">
        <v>24</v>
      </c>
      <c r="H119" s="38" t="s">
        <v>523</v>
      </c>
      <c r="I119" s="39">
        <v>43577</v>
      </c>
      <c r="J119" s="39">
        <v>43585</v>
      </c>
      <c r="K119" s="24" t="s">
        <v>35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>SUM(O119:Q119)</f>
        <v>44</v>
      </c>
      <c r="S119" s="24">
        <v>12</v>
      </c>
      <c r="T119" s="21" t="s">
        <v>524</v>
      </c>
    </row>
    <row r="120" spans="1:20" ht="23.25" hidden="1" customHeight="1" x14ac:dyDescent="0.25">
      <c r="A120" s="20" t="s">
        <v>525</v>
      </c>
      <c r="B120" s="22">
        <v>2019</v>
      </c>
      <c r="C120" s="90" t="s">
        <v>21</v>
      </c>
      <c r="D120" s="22" t="s">
        <v>526</v>
      </c>
      <c r="E120" s="27" t="s">
        <v>527</v>
      </c>
      <c r="F120" s="29" t="s">
        <v>62</v>
      </c>
      <c r="G120" s="20" t="s">
        <v>72</v>
      </c>
      <c r="H120" s="36" t="s">
        <v>528</v>
      </c>
      <c r="I120" s="37">
        <v>43578</v>
      </c>
      <c r="J120" s="37">
        <v>43578</v>
      </c>
      <c r="K120" s="22" t="s">
        <v>35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>SUM(O120:Q120)</f>
        <v>50</v>
      </c>
      <c r="S120" s="22">
        <v>4</v>
      </c>
      <c r="T120" s="20" t="s">
        <v>529</v>
      </c>
    </row>
    <row r="121" spans="1:20" ht="23.25" hidden="1" customHeight="1" x14ac:dyDescent="0.25">
      <c r="A121" s="21" t="s">
        <v>530</v>
      </c>
      <c r="B121" s="24">
        <v>2019</v>
      </c>
      <c r="C121" s="90" t="s">
        <v>21</v>
      </c>
      <c r="D121" s="24" t="s">
        <v>521</v>
      </c>
      <c r="E121" s="30" t="s">
        <v>531</v>
      </c>
      <c r="F121" s="31" t="s">
        <v>23</v>
      </c>
      <c r="G121" s="21" t="s">
        <v>24</v>
      </c>
      <c r="H121" s="38" t="s">
        <v>532</v>
      </c>
      <c r="I121" s="39">
        <v>43598</v>
      </c>
      <c r="J121" s="39">
        <v>43602</v>
      </c>
      <c r="K121" s="24" t="s">
        <v>35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>SUM(O121:Q121)</f>
        <v>41</v>
      </c>
      <c r="S121" s="24">
        <v>12</v>
      </c>
      <c r="T121" s="21" t="s">
        <v>533</v>
      </c>
    </row>
    <row r="122" spans="1:20" ht="23.25" hidden="1" customHeight="1" x14ac:dyDescent="0.25">
      <c r="A122" s="20" t="s">
        <v>534</v>
      </c>
      <c r="B122" s="22">
        <v>2019</v>
      </c>
      <c r="C122" s="90" t="s">
        <v>21</v>
      </c>
      <c r="D122" s="22" t="s">
        <v>526</v>
      </c>
      <c r="E122" s="27" t="s">
        <v>535</v>
      </c>
      <c r="F122" s="29" t="s">
        <v>62</v>
      </c>
      <c r="G122" s="20" t="s">
        <v>72</v>
      </c>
      <c r="H122" s="36" t="s">
        <v>536</v>
      </c>
      <c r="I122" s="37">
        <v>43605</v>
      </c>
      <c r="J122" s="37">
        <v>43605</v>
      </c>
      <c r="K122" s="22" t="s">
        <v>35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>SUM(O122:Q122)</f>
        <v>44</v>
      </c>
      <c r="S122" s="22">
        <v>4</v>
      </c>
      <c r="T122" s="20" t="s">
        <v>529</v>
      </c>
    </row>
    <row r="123" spans="1:20" ht="23.25" hidden="1" customHeight="1" x14ac:dyDescent="0.25">
      <c r="A123" s="21" t="s">
        <v>537</v>
      </c>
      <c r="B123" s="24">
        <v>2019</v>
      </c>
      <c r="C123" s="90" t="s">
        <v>21</v>
      </c>
      <c r="D123" s="24" t="s">
        <v>526</v>
      </c>
      <c r="E123" s="30" t="s">
        <v>538</v>
      </c>
      <c r="F123" s="31" t="s">
        <v>62</v>
      </c>
      <c r="G123" s="21" t="s">
        <v>72</v>
      </c>
      <c r="H123" s="38" t="s">
        <v>539</v>
      </c>
      <c r="I123" s="39">
        <v>43606</v>
      </c>
      <c r="J123" s="39">
        <v>43606</v>
      </c>
      <c r="K123" s="24" t="s">
        <v>35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>SUM(O123:Q123)</f>
        <v>40</v>
      </c>
      <c r="S123" s="24">
        <v>4</v>
      </c>
      <c r="T123" s="21" t="s">
        <v>529</v>
      </c>
    </row>
    <row r="124" spans="1:20" ht="23.25" hidden="1" customHeight="1" x14ac:dyDescent="0.25">
      <c r="A124" s="20" t="s">
        <v>540</v>
      </c>
      <c r="B124" s="22">
        <v>2019</v>
      </c>
      <c r="C124" s="90" t="s">
        <v>21</v>
      </c>
      <c r="D124" s="22" t="s">
        <v>541</v>
      </c>
      <c r="E124" s="27" t="s">
        <v>542</v>
      </c>
      <c r="F124" s="29" t="s">
        <v>23</v>
      </c>
      <c r="G124" s="20" t="s">
        <v>24</v>
      </c>
      <c r="H124" s="36" t="s">
        <v>543</v>
      </c>
      <c r="I124" s="37">
        <v>43606</v>
      </c>
      <c r="J124" s="37">
        <v>43608</v>
      </c>
      <c r="K124" s="22" t="s">
        <v>35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>SUM(O124:Q124)</f>
        <v>12</v>
      </c>
      <c r="S124" s="22">
        <v>8</v>
      </c>
      <c r="T124" s="20" t="s">
        <v>544</v>
      </c>
    </row>
    <row r="125" spans="1:20" ht="23.25" hidden="1" customHeight="1" x14ac:dyDescent="0.25">
      <c r="A125" s="21" t="s">
        <v>545</v>
      </c>
      <c r="B125" s="24">
        <v>2019</v>
      </c>
      <c r="C125" s="90" t="s">
        <v>21</v>
      </c>
      <c r="D125" s="24" t="s">
        <v>546</v>
      </c>
      <c r="E125" s="30" t="s">
        <v>547</v>
      </c>
      <c r="F125" s="31" t="s">
        <v>23</v>
      </c>
      <c r="G125" s="21" t="s">
        <v>68</v>
      </c>
      <c r="H125" s="38" t="s">
        <v>548</v>
      </c>
      <c r="I125" s="39">
        <v>43607</v>
      </c>
      <c r="J125" s="39">
        <v>43614</v>
      </c>
      <c r="K125" s="24" t="s">
        <v>35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>SUM(O125:Q125)</f>
        <v>19</v>
      </c>
      <c r="S125" s="24">
        <v>12</v>
      </c>
      <c r="T125" s="21" t="s">
        <v>549</v>
      </c>
    </row>
    <row r="126" spans="1:20" ht="23.25" hidden="1" customHeight="1" x14ac:dyDescent="0.25">
      <c r="A126" s="20" t="s">
        <v>550</v>
      </c>
      <c r="B126" s="22">
        <v>2019</v>
      </c>
      <c r="C126" s="90" t="s">
        <v>21</v>
      </c>
      <c r="D126" s="22" t="s">
        <v>551</v>
      </c>
      <c r="E126" s="27" t="s">
        <v>552</v>
      </c>
      <c r="F126" s="29" t="s">
        <v>23</v>
      </c>
      <c r="G126" s="20" t="s">
        <v>33</v>
      </c>
      <c r="H126" s="36" t="s">
        <v>553</v>
      </c>
      <c r="I126" s="37">
        <v>43612</v>
      </c>
      <c r="J126" s="37">
        <v>43619</v>
      </c>
      <c r="K126" s="22" t="s">
        <v>35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>SUM(O126:Q126)</f>
        <v>14</v>
      </c>
      <c r="S126" s="22">
        <v>12</v>
      </c>
      <c r="T126" s="20" t="s">
        <v>554</v>
      </c>
    </row>
    <row r="127" spans="1:20" ht="23.25" hidden="1" customHeight="1" x14ac:dyDescent="0.25">
      <c r="A127" s="21" t="s">
        <v>555</v>
      </c>
      <c r="B127" s="24">
        <v>2019</v>
      </c>
      <c r="C127" s="90" t="s">
        <v>21</v>
      </c>
      <c r="D127" s="24" t="s">
        <v>546</v>
      </c>
      <c r="E127" s="30" t="s">
        <v>556</v>
      </c>
      <c r="F127" s="31" t="s">
        <v>23</v>
      </c>
      <c r="G127" s="21" t="s">
        <v>68</v>
      </c>
      <c r="H127" s="38" t="s">
        <v>557</v>
      </c>
      <c r="I127" s="39">
        <v>43622</v>
      </c>
      <c r="J127" s="39">
        <v>43626</v>
      </c>
      <c r="K127" s="24" t="s">
        <v>35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>SUM(O127:Q127)</f>
        <v>19</v>
      </c>
      <c r="S127" s="24">
        <v>12</v>
      </c>
      <c r="T127" s="21" t="s">
        <v>549</v>
      </c>
    </row>
    <row r="128" spans="1:20" ht="23.25" hidden="1" customHeight="1" x14ac:dyDescent="0.25">
      <c r="A128" s="20" t="s">
        <v>558</v>
      </c>
      <c r="B128" s="22">
        <v>2019</v>
      </c>
      <c r="C128" s="90" t="s">
        <v>21</v>
      </c>
      <c r="D128" s="22" t="s">
        <v>541</v>
      </c>
      <c r="E128" s="27" t="s">
        <v>559</v>
      </c>
      <c r="F128" s="29" t="s">
        <v>23</v>
      </c>
      <c r="G128" s="20" t="s">
        <v>24</v>
      </c>
      <c r="H128" s="36" t="s">
        <v>560</v>
      </c>
      <c r="I128" s="37">
        <v>43633</v>
      </c>
      <c r="J128" s="37">
        <v>43635</v>
      </c>
      <c r="K128" s="22" t="s">
        <v>35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>SUM(O128:Q128)</f>
        <v>9</v>
      </c>
      <c r="S128" s="22">
        <v>8</v>
      </c>
      <c r="T128" s="20" t="s">
        <v>544</v>
      </c>
    </row>
    <row r="129" spans="1:20" ht="23.25" hidden="1" customHeight="1" x14ac:dyDescent="0.25">
      <c r="A129" s="21" t="s">
        <v>561</v>
      </c>
      <c r="B129" s="24">
        <v>2019</v>
      </c>
      <c r="C129" s="90" t="s">
        <v>21</v>
      </c>
      <c r="D129" s="24" t="s">
        <v>526</v>
      </c>
      <c r="E129" s="30" t="s">
        <v>562</v>
      </c>
      <c r="F129" s="31" t="s">
        <v>62</v>
      </c>
      <c r="G129" s="21" t="s">
        <v>72</v>
      </c>
      <c r="H129" s="38" t="s">
        <v>563</v>
      </c>
      <c r="I129" s="39">
        <v>43634</v>
      </c>
      <c r="J129" s="39">
        <v>43634</v>
      </c>
      <c r="K129" s="24" t="s">
        <v>35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>SUM(O129:Q129)</f>
        <v>45</v>
      </c>
      <c r="S129" s="24">
        <v>4</v>
      </c>
      <c r="T129" s="21" t="s">
        <v>529</v>
      </c>
    </row>
    <row r="130" spans="1:20" ht="23.25" hidden="1" customHeight="1" x14ac:dyDescent="0.25">
      <c r="A130" s="20" t="s">
        <v>564</v>
      </c>
      <c r="B130" s="22">
        <v>2019</v>
      </c>
      <c r="C130" s="90" t="s">
        <v>21</v>
      </c>
      <c r="D130" s="22" t="s">
        <v>546</v>
      </c>
      <c r="E130" s="27" t="s">
        <v>565</v>
      </c>
      <c r="F130" s="29" t="s">
        <v>62</v>
      </c>
      <c r="G130" s="20" t="s">
        <v>68</v>
      </c>
      <c r="H130" s="36" t="s">
        <v>566</v>
      </c>
      <c r="I130" s="37">
        <v>43643</v>
      </c>
      <c r="J130" s="37">
        <v>43651</v>
      </c>
      <c r="K130" s="22" t="s">
        <v>35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>SUM(O130:Q130)</f>
        <v>25</v>
      </c>
      <c r="S130" s="22">
        <v>12</v>
      </c>
      <c r="T130" s="20" t="s">
        <v>549</v>
      </c>
    </row>
    <row r="131" spans="1:20" ht="23.25" hidden="1" customHeight="1" x14ac:dyDescent="0.25">
      <c r="A131" s="21" t="s">
        <v>567</v>
      </c>
      <c r="B131" s="24">
        <v>2019</v>
      </c>
      <c r="C131" s="90" t="s">
        <v>21</v>
      </c>
      <c r="D131" s="24" t="s">
        <v>568</v>
      </c>
      <c r="E131" s="30" t="s">
        <v>569</v>
      </c>
      <c r="F131" s="31" t="s">
        <v>23</v>
      </c>
      <c r="G131" s="21" t="s">
        <v>24</v>
      </c>
      <c r="H131" s="38" t="s">
        <v>570</v>
      </c>
      <c r="I131" s="39">
        <v>43647</v>
      </c>
      <c r="J131" s="39">
        <v>43654</v>
      </c>
      <c r="K131" s="24" t="s">
        <v>35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>SUM(O131:Q131)</f>
        <v>15</v>
      </c>
      <c r="S131" s="24">
        <v>12</v>
      </c>
      <c r="T131" s="21" t="s">
        <v>571</v>
      </c>
    </row>
    <row r="132" spans="1:20" ht="23.25" hidden="1" customHeight="1" x14ac:dyDescent="0.25">
      <c r="A132" s="20" t="s">
        <v>572</v>
      </c>
      <c r="B132" s="22">
        <v>2019</v>
      </c>
      <c r="C132" s="90" t="s">
        <v>21</v>
      </c>
      <c r="D132" s="22" t="s">
        <v>573</v>
      </c>
      <c r="E132" s="27" t="s">
        <v>574</v>
      </c>
      <c r="F132" s="29" t="s">
        <v>62</v>
      </c>
      <c r="G132" s="20" t="s">
        <v>68</v>
      </c>
      <c r="H132" s="36" t="s">
        <v>575</v>
      </c>
      <c r="I132" s="37">
        <v>43654</v>
      </c>
      <c r="J132" s="37">
        <v>43657</v>
      </c>
      <c r="K132" s="22" t="s">
        <v>35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>SUM(O132:Q132)</f>
        <v>26</v>
      </c>
      <c r="S132" s="22">
        <v>16</v>
      </c>
      <c r="T132" s="20" t="s">
        <v>464</v>
      </c>
    </row>
    <row r="133" spans="1:20" ht="23.25" hidden="1" customHeight="1" x14ac:dyDescent="0.25">
      <c r="A133" s="21" t="s">
        <v>576</v>
      </c>
      <c r="B133" s="24">
        <v>2019</v>
      </c>
      <c r="C133" s="90" t="s">
        <v>21</v>
      </c>
      <c r="D133" s="24" t="s">
        <v>577</v>
      </c>
      <c r="E133" s="30" t="s">
        <v>578</v>
      </c>
      <c r="F133" s="31" t="s">
        <v>23</v>
      </c>
      <c r="G133" s="21" t="s">
        <v>24</v>
      </c>
      <c r="H133" s="38" t="s">
        <v>579</v>
      </c>
      <c r="I133" s="39">
        <v>43658</v>
      </c>
      <c r="J133" s="39">
        <v>43661</v>
      </c>
      <c r="K133" s="24" t="s">
        <v>35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>SUM(O133:Q133)</f>
        <v>16</v>
      </c>
      <c r="S133" s="24">
        <v>8</v>
      </c>
      <c r="T133" s="21" t="s">
        <v>580</v>
      </c>
    </row>
    <row r="134" spans="1:20" ht="23.25" hidden="1" customHeight="1" x14ac:dyDescent="0.25">
      <c r="A134" s="20" t="s">
        <v>581</v>
      </c>
      <c r="B134" s="22">
        <v>2019</v>
      </c>
      <c r="C134" s="90" t="s">
        <v>21</v>
      </c>
      <c r="D134" s="22" t="s">
        <v>577</v>
      </c>
      <c r="E134" s="27" t="s">
        <v>582</v>
      </c>
      <c r="F134" s="29" t="s">
        <v>23</v>
      </c>
      <c r="G134" s="20" t="s">
        <v>24</v>
      </c>
      <c r="H134" s="36" t="s">
        <v>583</v>
      </c>
      <c r="I134" s="37">
        <v>43678</v>
      </c>
      <c r="J134" s="37">
        <v>43683</v>
      </c>
      <c r="K134" s="22" t="s">
        <v>35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>SUM(O134:Q134)</f>
        <v>15</v>
      </c>
      <c r="S134" s="22">
        <v>8</v>
      </c>
      <c r="T134" s="20" t="s">
        <v>584</v>
      </c>
    </row>
    <row r="135" spans="1:20" ht="23.25" hidden="1" customHeight="1" x14ac:dyDescent="0.25">
      <c r="A135" s="21" t="s">
        <v>585</v>
      </c>
      <c r="B135" s="24">
        <v>2019</v>
      </c>
      <c r="C135" s="90" t="s">
        <v>21</v>
      </c>
      <c r="D135" s="24" t="s">
        <v>568</v>
      </c>
      <c r="E135" s="30" t="s">
        <v>586</v>
      </c>
      <c r="F135" s="31" t="s">
        <v>23</v>
      </c>
      <c r="G135" s="21" t="s">
        <v>24</v>
      </c>
      <c r="H135" s="38" t="s">
        <v>587</v>
      </c>
      <c r="I135" s="39">
        <v>43690</v>
      </c>
      <c r="J135" s="39">
        <v>43697</v>
      </c>
      <c r="K135" s="24" t="s">
        <v>35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>SUM(O135:Q135)</f>
        <v>14</v>
      </c>
      <c r="S135" s="24">
        <v>12</v>
      </c>
      <c r="T135" s="21" t="s">
        <v>571</v>
      </c>
    </row>
    <row r="136" spans="1:20" ht="23.25" hidden="1" customHeight="1" x14ac:dyDescent="0.25">
      <c r="A136" s="20" t="s">
        <v>588</v>
      </c>
      <c r="B136" s="22">
        <v>2019</v>
      </c>
      <c r="C136" s="90" t="s">
        <v>21</v>
      </c>
      <c r="D136" s="22" t="s">
        <v>589</v>
      </c>
      <c r="E136" s="27" t="s">
        <v>590</v>
      </c>
      <c r="F136" s="29" t="s">
        <v>62</v>
      </c>
      <c r="G136" s="20" t="s">
        <v>72</v>
      </c>
      <c r="H136" s="36" t="s">
        <v>591</v>
      </c>
      <c r="I136" s="37">
        <v>43696</v>
      </c>
      <c r="J136" s="37">
        <v>43698</v>
      </c>
      <c r="K136" s="22" t="s">
        <v>35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>SUM(O136:Q136)</f>
        <v>182</v>
      </c>
      <c r="S136" s="22">
        <v>8</v>
      </c>
      <c r="T136" s="20" t="s">
        <v>592</v>
      </c>
    </row>
    <row r="137" spans="1:20" ht="23.25" hidden="1" customHeight="1" x14ac:dyDescent="0.25">
      <c r="A137" s="21" t="s">
        <v>593</v>
      </c>
      <c r="B137" s="24">
        <v>2019</v>
      </c>
      <c r="C137" s="90" t="s">
        <v>21</v>
      </c>
      <c r="D137" s="24" t="s">
        <v>573</v>
      </c>
      <c r="E137" s="30" t="s">
        <v>594</v>
      </c>
      <c r="F137" s="31" t="s">
        <v>62</v>
      </c>
      <c r="G137" s="21" t="s">
        <v>68</v>
      </c>
      <c r="H137" s="38" t="s">
        <v>595</v>
      </c>
      <c r="I137" s="39">
        <v>43703</v>
      </c>
      <c r="J137" s="39">
        <v>43706</v>
      </c>
      <c r="K137" s="24" t="s">
        <v>35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>SUM(O137:Q137)</f>
        <v>34</v>
      </c>
      <c r="S137" s="24">
        <v>16</v>
      </c>
      <c r="T137" s="21" t="s">
        <v>464</v>
      </c>
    </row>
    <row r="138" spans="1:20" ht="23.25" hidden="1" customHeight="1" x14ac:dyDescent="0.25">
      <c r="A138" s="20" t="s">
        <v>596</v>
      </c>
      <c r="B138" s="22">
        <v>2019</v>
      </c>
      <c r="C138" s="90" t="s">
        <v>21</v>
      </c>
      <c r="D138" s="22" t="s">
        <v>597</v>
      </c>
      <c r="E138" s="27" t="s">
        <v>598</v>
      </c>
      <c r="F138" s="29" t="s">
        <v>23</v>
      </c>
      <c r="G138" s="20" t="s">
        <v>199</v>
      </c>
      <c r="H138" s="36" t="s">
        <v>599</v>
      </c>
      <c r="I138" s="37">
        <v>43703</v>
      </c>
      <c r="J138" s="37">
        <v>43737</v>
      </c>
      <c r="K138" s="22" t="s">
        <v>26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>SUM(O138:Q138)</f>
        <v>17</v>
      </c>
      <c r="S138" s="22">
        <v>16</v>
      </c>
      <c r="T138" s="20" t="s">
        <v>600</v>
      </c>
    </row>
    <row r="139" spans="1:20" ht="23.25" hidden="1" customHeight="1" x14ac:dyDescent="0.25">
      <c r="A139" s="21" t="s">
        <v>601</v>
      </c>
      <c r="B139" s="24">
        <v>2019</v>
      </c>
      <c r="C139" s="90" t="s">
        <v>21</v>
      </c>
      <c r="D139" s="24" t="s">
        <v>506</v>
      </c>
      <c r="E139" s="30" t="s">
        <v>602</v>
      </c>
      <c r="F139" s="31" t="s">
        <v>23</v>
      </c>
      <c r="G139" s="21" t="s">
        <v>364</v>
      </c>
      <c r="H139" s="38" t="s">
        <v>603</v>
      </c>
      <c r="I139" s="39">
        <v>43710</v>
      </c>
      <c r="J139" s="39">
        <v>43717</v>
      </c>
      <c r="K139" s="24" t="s">
        <v>35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>SUM(O139:Q139)</f>
        <v>20</v>
      </c>
      <c r="S139" s="24">
        <v>20</v>
      </c>
      <c r="T139" s="21" t="s">
        <v>509</v>
      </c>
    </row>
    <row r="140" spans="1:20" ht="23.25" hidden="1" customHeight="1" x14ac:dyDescent="0.25">
      <c r="A140" s="20" t="s">
        <v>604</v>
      </c>
      <c r="B140" s="22">
        <v>2019</v>
      </c>
      <c r="C140" s="90" t="s">
        <v>21</v>
      </c>
      <c r="D140" s="22" t="s">
        <v>516</v>
      </c>
      <c r="E140" s="27" t="s">
        <v>605</v>
      </c>
      <c r="F140" s="29" t="s">
        <v>23</v>
      </c>
      <c r="G140" s="20" t="s">
        <v>364</v>
      </c>
      <c r="H140" s="36" t="s">
        <v>606</v>
      </c>
      <c r="I140" s="37">
        <v>43719</v>
      </c>
      <c r="J140" s="37">
        <v>43728</v>
      </c>
      <c r="K140" s="22" t="s">
        <v>35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>SUM(O140:Q140)</f>
        <v>40</v>
      </c>
      <c r="S140" s="22">
        <v>20</v>
      </c>
      <c r="T140" s="20" t="s">
        <v>607</v>
      </c>
    </row>
    <row r="141" spans="1:20" ht="23.25" hidden="1" customHeight="1" x14ac:dyDescent="0.25">
      <c r="A141" s="21" t="s">
        <v>608</v>
      </c>
      <c r="B141" s="24">
        <v>2019</v>
      </c>
      <c r="C141" s="90" t="s">
        <v>21</v>
      </c>
      <c r="D141" s="24" t="s">
        <v>609</v>
      </c>
      <c r="E141" s="30" t="s">
        <v>610</v>
      </c>
      <c r="F141" s="31" t="s">
        <v>23</v>
      </c>
      <c r="G141" s="21" t="s">
        <v>199</v>
      </c>
      <c r="H141" s="38" t="s">
        <v>611</v>
      </c>
      <c r="I141" s="39">
        <v>43719</v>
      </c>
      <c r="J141" s="39">
        <v>43747</v>
      </c>
      <c r="K141" s="24" t="s">
        <v>35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>SUM(O141:Q141)</f>
        <v>12</v>
      </c>
      <c r="S141" s="24">
        <v>12</v>
      </c>
      <c r="T141" s="21" t="s">
        <v>612</v>
      </c>
    </row>
    <row r="142" spans="1:20" ht="23.25" hidden="1" customHeight="1" x14ac:dyDescent="0.25">
      <c r="A142" s="20" t="s">
        <v>613</v>
      </c>
      <c r="B142" s="22">
        <v>2019</v>
      </c>
      <c r="C142" s="90" t="s">
        <v>21</v>
      </c>
      <c r="D142" s="22" t="s">
        <v>614</v>
      </c>
      <c r="E142" s="27" t="s">
        <v>615</v>
      </c>
      <c r="F142" s="29" t="s">
        <v>23</v>
      </c>
      <c r="G142" s="20" t="s">
        <v>82</v>
      </c>
      <c r="H142" s="36" t="s">
        <v>616</v>
      </c>
      <c r="I142" s="37">
        <v>43724</v>
      </c>
      <c r="J142" s="37">
        <v>43728</v>
      </c>
      <c r="K142" s="22" t="s">
        <v>26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>SUM(O142:Q142)</f>
        <v>12</v>
      </c>
      <c r="S142" s="22">
        <v>16</v>
      </c>
      <c r="T142" s="20" t="s">
        <v>617</v>
      </c>
    </row>
    <row r="143" spans="1:20" ht="23.25" hidden="1" customHeight="1" x14ac:dyDescent="0.25">
      <c r="A143" s="21" t="s">
        <v>618</v>
      </c>
      <c r="B143" s="24">
        <v>2019</v>
      </c>
      <c r="C143" s="90" t="s">
        <v>21</v>
      </c>
      <c r="D143" s="24" t="s">
        <v>546</v>
      </c>
      <c r="E143" s="30" t="s">
        <v>619</v>
      </c>
      <c r="F143" s="31" t="s">
        <v>23</v>
      </c>
      <c r="G143" s="21" t="s">
        <v>68</v>
      </c>
      <c r="H143" s="38" t="s">
        <v>620</v>
      </c>
      <c r="I143" s="39">
        <v>43726</v>
      </c>
      <c r="J143" s="39">
        <v>43731</v>
      </c>
      <c r="K143" s="24" t="s">
        <v>35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>SUM(O143:Q143)</f>
        <v>19</v>
      </c>
      <c r="S143" s="24">
        <v>12</v>
      </c>
      <c r="T143" s="21" t="s">
        <v>549</v>
      </c>
    </row>
    <row r="144" spans="1:20" ht="23.25" hidden="1" customHeight="1" x14ac:dyDescent="0.25">
      <c r="A144" s="20" t="s">
        <v>621</v>
      </c>
      <c r="B144" s="22">
        <v>2019</v>
      </c>
      <c r="C144" s="90" t="s">
        <v>21</v>
      </c>
      <c r="D144" s="22" t="s">
        <v>622</v>
      </c>
      <c r="E144" s="27" t="s">
        <v>623</v>
      </c>
      <c r="F144" s="29" t="s">
        <v>23</v>
      </c>
      <c r="G144" s="20" t="s">
        <v>68</v>
      </c>
      <c r="H144" s="36" t="s">
        <v>624</v>
      </c>
      <c r="I144" s="37">
        <v>43731</v>
      </c>
      <c r="J144" s="37">
        <v>43735</v>
      </c>
      <c r="K144" s="22" t="s">
        <v>35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>SUM(O144:Q144)</f>
        <v>12</v>
      </c>
      <c r="S144" s="22">
        <v>20</v>
      </c>
      <c r="T144" s="20" t="s">
        <v>74</v>
      </c>
    </row>
    <row r="145" spans="1:20" ht="23.25" hidden="1" customHeight="1" x14ac:dyDescent="0.25">
      <c r="A145" s="21" t="s">
        <v>625</v>
      </c>
      <c r="B145" s="24">
        <v>2019</v>
      </c>
      <c r="C145" s="90" t="s">
        <v>21</v>
      </c>
      <c r="D145" s="24" t="s">
        <v>626</v>
      </c>
      <c r="E145" s="30" t="s">
        <v>627</v>
      </c>
      <c r="F145" s="31" t="s">
        <v>23</v>
      </c>
      <c r="G145" s="21" t="s">
        <v>199</v>
      </c>
      <c r="H145" s="38" t="s">
        <v>628</v>
      </c>
      <c r="I145" s="39">
        <v>43739</v>
      </c>
      <c r="J145" s="39">
        <v>43741</v>
      </c>
      <c r="K145" s="24" t="s">
        <v>26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>SUM(O145:Q145)</f>
        <v>31</v>
      </c>
      <c r="S145" s="24">
        <v>12</v>
      </c>
      <c r="T145" s="21" t="s">
        <v>629</v>
      </c>
    </row>
    <row r="146" spans="1:20" ht="23.25" hidden="1" customHeight="1" x14ac:dyDescent="0.25">
      <c r="A146" s="20" t="s">
        <v>630</v>
      </c>
      <c r="B146" s="22">
        <v>2019</v>
      </c>
      <c r="C146" s="90" t="s">
        <v>21</v>
      </c>
      <c r="D146" s="22" t="s">
        <v>573</v>
      </c>
      <c r="E146" s="27" t="s">
        <v>631</v>
      </c>
      <c r="F146" s="29" t="s">
        <v>62</v>
      </c>
      <c r="G146" s="20" t="s">
        <v>68</v>
      </c>
      <c r="H146" s="36" t="s">
        <v>632</v>
      </c>
      <c r="I146" s="37">
        <v>43745</v>
      </c>
      <c r="J146" s="37">
        <v>43748</v>
      </c>
      <c r="K146" s="22" t="s">
        <v>35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>SUM(O146:Q146)</f>
        <v>27</v>
      </c>
      <c r="S146" s="22">
        <v>16</v>
      </c>
      <c r="T146" s="20" t="s">
        <v>464</v>
      </c>
    </row>
    <row r="147" spans="1:20" ht="23.25" hidden="1" customHeight="1" x14ac:dyDescent="0.25">
      <c r="A147" s="21" t="s">
        <v>633</v>
      </c>
      <c r="B147" s="24">
        <v>2019</v>
      </c>
      <c r="C147" s="90" t="s">
        <v>21</v>
      </c>
      <c r="D147" s="24"/>
      <c r="E147" s="30" t="s">
        <v>634</v>
      </c>
      <c r="F147" s="31" t="s">
        <v>23</v>
      </c>
      <c r="G147" s="21" t="s">
        <v>68</v>
      </c>
      <c r="H147" s="38" t="s">
        <v>635</v>
      </c>
      <c r="I147" s="39">
        <v>43749</v>
      </c>
      <c r="J147" s="39">
        <v>43749</v>
      </c>
      <c r="K147" s="24" t="s">
        <v>26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>SUM(O147:Q147)</f>
        <v>54</v>
      </c>
      <c r="S147" s="24">
        <v>1.5</v>
      </c>
      <c r="T147" s="21" t="s">
        <v>636</v>
      </c>
    </row>
    <row r="148" spans="1:20" ht="23.25" hidden="1" customHeight="1" x14ac:dyDescent="0.25">
      <c r="A148" s="20" t="s">
        <v>637</v>
      </c>
      <c r="B148" s="22">
        <v>2019</v>
      </c>
      <c r="C148" s="90" t="s">
        <v>21</v>
      </c>
      <c r="D148" s="22" t="s">
        <v>638</v>
      </c>
      <c r="E148" s="27" t="s">
        <v>639</v>
      </c>
      <c r="F148" s="29" t="s">
        <v>23</v>
      </c>
      <c r="G148" s="20" t="s">
        <v>33</v>
      </c>
      <c r="H148" s="36" t="s">
        <v>640</v>
      </c>
      <c r="I148" s="37">
        <v>43752</v>
      </c>
      <c r="J148" s="37">
        <v>43756</v>
      </c>
      <c r="K148" s="22" t="s">
        <v>35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>SUM(O148:Q148)</f>
        <v>9</v>
      </c>
      <c r="S148" s="22">
        <v>12</v>
      </c>
      <c r="T148" s="20" t="s">
        <v>641</v>
      </c>
    </row>
    <row r="149" spans="1:20" ht="23.25" hidden="1" customHeight="1" x14ac:dyDescent="0.25">
      <c r="A149" s="21" t="s">
        <v>642</v>
      </c>
      <c r="B149" s="24">
        <v>2019</v>
      </c>
      <c r="C149" s="90" t="s">
        <v>21</v>
      </c>
      <c r="D149" s="24" t="s">
        <v>526</v>
      </c>
      <c r="E149" s="30" t="s">
        <v>643</v>
      </c>
      <c r="F149" s="31" t="s">
        <v>62</v>
      </c>
      <c r="G149" s="21" t="s">
        <v>72</v>
      </c>
      <c r="H149" s="38" t="s">
        <v>644</v>
      </c>
      <c r="I149" s="39">
        <v>43767</v>
      </c>
      <c r="J149" s="39">
        <v>43767</v>
      </c>
      <c r="K149" s="24" t="s">
        <v>35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>SUM(O149:Q149)</f>
        <v>38</v>
      </c>
      <c r="S149" s="24">
        <v>4</v>
      </c>
      <c r="T149" s="21" t="s">
        <v>645</v>
      </c>
    </row>
    <row r="150" spans="1:20" ht="23.25" hidden="1" customHeight="1" x14ac:dyDescent="0.25">
      <c r="A150" s="20" t="s">
        <v>646</v>
      </c>
      <c r="B150" s="22">
        <v>2019</v>
      </c>
      <c r="C150" s="90" t="s">
        <v>21</v>
      </c>
      <c r="D150" s="22" t="s">
        <v>526</v>
      </c>
      <c r="E150" s="27" t="s">
        <v>647</v>
      </c>
      <c r="F150" s="29" t="s">
        <v>62</v>
      </c>
      <c r="G150" s="20" t="s">
        <v>72</v>
      </c>
      <c r="H150" s="36" t="s">
        <v>648</v>
      </c>
      <c r="I150" s="37">
        <v>43774</v>
      </c>
      <c r="J150" s="37">
        <v>43774</v>
      </c>
      <c r="K150" s="22" t="s">
        <v>35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>SUM(O150:Q150)</f>
        <v>62</v>
      </c>
      <c r="S150" s="22">
        <v>4</v>
      </c>
      <c r="T150" s="20" t="s">
        <v>645</v>
      </c>
    </row>
    <row r="151" spans="1:20" ht="23.25" hidden="1" customHeight="1" x14ac:dyDescent="0.25">
      <c r="A151" s="21" t="s">
        <v>649</v>
      </c>
      <c r="B151" s="24">
        <v>2019</v>
      </c>
      <c r="C151" s="90" t="s">
        <v>21</v>
      </c>
      <c r="D151" s="24" t="s">
        <v>568</v>
      </c>
      <c r="E151" s="30" t="s">
        <v>650</v>
      </c>
      <c r="F151" s="31" t="s">
        <v>62</v>
      </c>
      <c r="G151" s="21" t="s">
        <v>24</v>
      </c>
      <c r="H151" s="38" t="s">
        <v>651</v>
      </c>
      <c r="I151" s="39">
        <v>43774</v>
      </c>
      <c r="J151" s="39">
        <v>43788</v>
      </c>
      <c r="K151" s="24" t="s">
        <v>35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>SUM(O151:Q151)</f>
        <v>13</v>
      </c>
      <c r="S151" s="24">
        <v>16</v>
      </c>
      <c r="T151" s="21" t="s">
        <v>571</v>
      </c>
    </row>
    <row r="152" spans="1:20" ht="23.25" hidden="1" customHeight="1" x14ac:dyDescent="0.25">
      <c r="A152" s="20" t="s">
        <v>652</v>
      </c>
      <c r="B152" s="22">
        <v>2019</v>
      </c>
      <c r="C152" s="90" t="s">
        <v>21</v>
      </c>
      <c r="D152" s="22" t="s">
        <v>638</v>
      </c>
      <c r="E152" s="27" t="s">
        <v>653</v>
      </c>
      <c r="F152" s="29" t="s">
        <v>23</v>
      </c>
      <c r="G152" s="20" t="s">
        <v>33</v>
      </c>
      <c r="H152" s="36" t="s">
        <v>654</v>
      </c>
      <c r="I152" s="37">
        <v>43787</v>
      </c>
      <c r="J152" s="37">
        <v>43791</v>
      </c>
      <c r="K152" s="22" t="s">
        <v>35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>SUM(O152:Q152)</f>
        <v>8</v>
      </c>
      <c r="S152" s="22">
        <v>12</v>
      </c>
      <c r="T152" s="20" t="s">
        <v>641</v>
      </c>
    </row>
    <row r="153" spans="1:20" ht="23.25" hidden="1" customHeight="1" x14ac:dyDescent="0.25">
      <c r="A153" s="21" t="s">
        <v>655</v>
      </c>
      <c r="B153" s="24">
        <v>2019</v>
      </c>
      <c r="C153" s="90" t="s">
        <v>21</v>
      </c>
      <c r="D153" s="24" t="s">
        <v>656</v>
      </c>
      <c r="E153" s="30" t="s">
        <v>657</v>
      </c>
      <c r="F153" s="31" t="s">
        <v>23</v>
      </c>
      <c r="G153" s="21" t="s">
        <v>68</v>
      </c>
      <c r="H153" s="38" t="s">
        <v>658</v>
      </c>
      <c r="I153" s="39">
        <v>43788</v>
      </c>
      <c r="J153" s="39">
        <v>43798</v>
      </c>
      <c r="K153" s="24" t="s">
        <v>35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>SUM(O153:Q153)</f>
        <v>20</v>
      </c>
      <c r="S153" s="24">
        <v>20</v>
      </c>
      <c r="T153" s="21" t="s">
        <v>659</v>
      </c>
    </row>
    <row r="154" spans="1:20" ht="23.25" hidden="1" customHeight="1" x14ac:dyDescent="0.25">
      <c r="A154" s="20" t="s">
        <v>660</v>
      </c>
      <c r="B154" s="22">
        <v>2019</v>
      </c>
      <c r="C154" s="90" t="s">
        <v>21</v>
      </c>
      <c r="D154" s="22" t="s">
        <v>661</v>
      </c>
      <c r="E154" s="27" t="s">
        <v>662</v>
      </c>
      <c r="F154" s="29" t="s">
        <v>23</v>
      </c>
      <c r="G154" s="20" t="s">
        <v>199</v>
      </c>
      <c r="H154" s="36" t="s">
        <v>663</v>
      </c>
      <c r="I154" s="37">
        <v>43795</v>
      </c>
      <c r="J154" s="37">
        <v>43795</v>
      </c>
      <c r="K154" s="22" t="s">
        <v>35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>SUM(O154:Q154)</f>
        <v>74</v>
      </c>
      <c r="S154" s="22">
        <v>1.5</v>
      </c>
      <c r="T154" s="20" t="s">
        <v>664</v>
      </c>
    </row>
    <row r="155" spans="1:20" ht="23.25" hidden="1" customHeight="1" x14ac:dyDescent="0.25">
      <c r="A155" s="21" t="s">
        <v>665</v>
      </c>
      <c r="B155" s="24">
        <v>2019</v>
      </c>
      <c r="C155" s="90" t="s">
        <v>21</v>
      </c>
      <c r="D155" s="24" t="s">
        <v>656</v>
      </c>
      <c r="E155" s="30" t="s">
        <v>666</v>
      </c>
      <c r="F155" s="31" t="s">
        <v>23</v>
      </c>
      <c r="G155" s="21" t="s">
        <v>68</v>
      </c>
      <c r="H155" s="38" t="s">
        <v>667</v>
      </c>
      <c r="I155" s="39">
        <v>43801</v>
      </c>
      <c r="J155" s="39">
        <v>43811</v>
      </c>
      <c r="K155" s="24" t="s">
        <v>35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>SUM(O155:Q155)</f>
        <v>24</v>
      </c>
      <c r="S155" s="24">
        <v>20</v>
      </c>
      <c r="T155" s="21" t="s">
        <v>659</v>
      </c>
    </row>
    <row r="156" spans="1:20" ht="23.25" hidden="1" customHeight="1" x14ac:dyDescent="0.25">
      <c r="A156" s="20" t="s">
        <v>668</v>
      </c>
      <c r="B156" s="22">
        <v>2020</v>
      </c>
      <c r="C156" s="90" t="s">
        <v>21</v>
      </c>
      <c r="D156" s="22" t="s">
        <v>669</v>
      </c>
      <c r="E156" s="27" t="s">
        <v>670</v>
      </c>
      <c r="F156" s="29" t="s">
        <v>23</v>
      </c>
      <c r="G156" s="20" t="s">
        <v>38</v>
      </c>
      <c r="H156" s="36" t="s">
        <v>671</v>
      </c>
      <c r="I156" s="37">
        <v>43854</v>
      </c>
      <c r="J156" s="37">
        <v>43854</v>
      </c>
      <c r="K156" s="22" t="s">
        <v>26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>SUM(O156:Q156)</f>
        <v>21</v>
      </c>
      <c r="S156" s="22">
        <v>2</v>
      </c>
      <c r="T156" s="20" t="s">
        <v>672</v>
      </c>
    </row>
    <row r="157" spans="1:20" ht="23.25" hidden="1" customHeight="1" x14ac:dyDescent="0.25">
      <c r="A157" s="21" t="s">
        <v>673</v>
      </c>
      <c r="B157" s="24">
        <v>2020</v>
      </c>
      <c r="C157" s="90" t="s">
        <v>21</v>
      </c>
      <c r="D157" s="24" t="s">
        <v>674</v>
      </c>
      <c r="E157" s="30" t="s">
        <v>675</v>
      </c>
      <c r="F157" s="31" t="s">
        <v>23</v>
      </c>
      <c r="G157" s="21" t="s">
        <v>33</v>
      </c>
      <c r="H157" s="38" t="s">
        <v>676</v>
      </c>
      <c r="I157" s="39">
        <v>43857</v>
      </c>
      <c r="J157" s="39">
        <v>43861</v>
      </c>
      <c r="K157" s="24" t="s">
        <v>26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>SUM(O157:Q157)</f>
        <v>21</v>
      </c>
      <c r="S157" s="24">
        <v>20</v>
      </c>
      <c r="T157" s="21" t="s">
        <v>677</v>
      </c>
    </row>
    <row r="158" spans="1:20" ht="23.25" hidden="1" customHeight="1" x14ac:dyDescent="0.25">
      <c r="A158" s="20" t="s">
        <v>678</v>
      </c>
      <c r="B158" s="22">
        <v>2020</v>
      </c>
      <c r="C158" s="90" t="s">
        <v>21</v>
      </c>
      <c r="D158" s="22" t="s">
        <v>679</v>
      </c>
      <c r="E158" s="27" t="s">
        <v>680</v>
      </c>
      <c r="F158" s="29" t="s">
        <v>23</v>
      </c>
      <c r="G158" s="20" t="s">
        <v>38</v>
      </c>
      <c r="H158" s="36" t="s">
        <v>681</v>
      </c>
      <c r="I158" s="37">
        <v>43859</v>
      </c>
      <c r="J158" s="37">
        <v>43859</v>
      </c>
      <c r="K158" s="22" t="s">
        <v>26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>SUM(O158:Q158)</f>
        <v>13</v>
      </c>
      <c r="S158" s="22">
        <v>2</v>
      </c>
      <c r="T158" s="20" t="s">
        <v>682</v>
      </c>
    </row>
    <row r="159" spans="1:20" ht="23.25" hidden="1" customHeight="1" x14ac:dyDescent="0.25">
      <c r="A159" s="21" t="s">
        <v>683</v>
      </c>
      <c r="B159" s="24">
        <v>2020</v>
      </c>
      <c r="C159" s="90" t="s">
        <v>21</v>
      </c>
      <c r="D159" s="24" t="s">
        <v>684</v>
      </c>
      <c r="E159" s="30" t="s">
        <v>685</v>
      </c>
      <c r="F159" s="31" t="s">
        <v>23</v>
      </c>
      <c r="G159" s="21" t="s">
        <v>24</v>
      </c>
      <c r="H159" s="38" t="s">
        <v>686</v>
      </c>
      <c r="I159" s="39">
        <v>43894</v>
      </c>
      <c r="J159" s="39">
        <v>43895</v>
      </c>
      <c r="K159" s="24" t="s">
        <v>35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>SUM(O159:Q159)</f>
        <v>117</v>
      </c>
      <c r="S159" s="24">
        <v>14</v>
      </c>
      <c r="T159" s="21" t="s">
        <v>472</v>
      </c>
    </row>
    <row r="160" spans="1:20" ht="23.25" hidden="1" customHeight="1" x14ac:dyDescent="0.25">
      <c r="A160" s="20" t="s">
        <v>687</v>
      </c>
      <c r="B160" s="22">
        <v>2020</v>
      </c>
      <c r="C160" s="90" t="s">
        <v>21</v>
      </c>
      <c r="D160" s="22" t="s">
        <v>674</v>
      </c>
      <c r="E160" s="27" t="s">
        <v>688</v>
      </c>
      <c r="F160" s="29" t="s">
        <v>23</v>
      </c>
      <c r="G160" s="20" t="s">
        <v>33</v>
      </c>
      <c r="H160" s="36" t="s">
        <v>689</v>
      </c>
      <c r="I160" s="37">
        <v>43899</v>
      </c>
      <c r="J160" s="37">
        <v>43951</v>
      </c>
      <c r="K160" s="22" t="s">
        <v>26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>SUM(O160:Q160)</f>
        <v>20</v>
      </c>
      <c r="S160" s="22">
        <v>20</v>
      </c>
      <c r="T160" s="20" t="s">
        <v>677</v>
      </c>
    </row>
    <row r="161" spans="1:20" ht="23.25" hidden="1" customHeight="1" x14ac:dyDescent="0.25">
      <c r="A161" s="21" t="s">
        <v>690</v>
      </c>
      <c r="B161" s="24">
        <v>2020</v>
      </c>
      <c r="C161" s="90" t="s">
        <v>21</v>
      </c>
      <c r="D161" s="24" t="s">
        <v>691</v>
      </c>
      <c r="E161" s="30" t="s">
        <v>692</v>
      </c>
      <c r="F161" s="31" t="s">
        <v>23</v>
      </c>
      <c r="G161" s="21" t="s">
        <v>68</v>
      </c>
      <c r="H161" s="38" t="s">
        <v>693</v>
      </c>
      <c r="I161" s="39">
        <v>43927</v>
      </c>
      <c r="J161" s="39">
        <v>43943</v>
      </c>
      <c r="K161" s="24" t="s">
        <v>35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>SUM(O161:Q161)</f>
        <v>22</v>
      </c>
      <c r="S161" s="24">
        <v>24</v>
      </c>
      <c r="T161" s="21" t="s">
        <v>694</v>
      </c>
    </row>
    <row r="162" spans="1:20" ht="23.25" hidden="1" customHeight="1" x14ac:dyDescent="0.25">
      <c r="A162" s="20" t="s">
        <v>695</v>
      </c>
      <c r="B162" s="22">
        <v>2020</v>
      </c>
      <c r="C162" s="90" t="s">
        <v>21</v>
      </c>
      <c r="D162" s="22" t="s">
        <v>696</v>
      </c>
      <c r="E162" s="27" t="s">
        <v>697</v>
      </c>
      <c r="F162" s="29" t="s">
        <v>23</v>
      </c>
      <c r="G162" s="20" t="s">
        <v>33</v>
      </c>
      <c r="H162" s="36" t="s">
        <v>698</v>
      </c>
      <c r="I162" s="37">
        <v>43941</v>
      </c>
      <c r="J162" s="37">
        <v>43945</v>
      </c>
      <c r="K162" s="22" t="s">
        <v>35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>SUM(O162:Q162)</f>
        <v>21</v>
      </c>
      <c r="S162" s="22">
        <v>12</v>
      </c>
      <c r="T162" s="33" t="s">
        <v>211</v>
      </c>
    </row>
    <row r="163" spans="1:20" ht="23.25" hidden="1" customHeight="1" x14ac:dyDescent="0.25">
      <c r="A163" s="21" t="s">
        <v>699</v>
      </c>
      <c r="B163" s="24">
        <v>2020</v>
      </c>
      <c r="C163" s="90" t="s">
        <v>21</v>
      </c>
      <c r="D163" s="24" t="s">
        <v>700</v>
      </c>
      <c r="E163" s="30" t="s">
        <v>701</v>
      </c>
      <c r="F163" s="31" t="s">
        <v>23</v>
      </c>
      <c r="G163" s="21" t="s">
        <v>199</v>
      </c>
      <c r="H163" s="38" t="s">
        <v>702</v>
      </c>
      <c r="I163" s="39">
        <v>43966</v>
      </c>
      <c r="J163" s="39">
        <v>43966</v>
      </c>
      <c r="K163" s="24" t="s">
        <v>35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>SUM(O163:Q163)</f>
        <v>59</v>
      </c>
      <c r="S163" s="24">
        <v>1.5</v>
      </c>
      <c r="T163" s="21" t="s">
        <v>612</v>
      </c>
    </row>
    <row r="164" spans="1:20" ht="23.25" hidden="1" customHeight="1" x14ac:dyDescent="0.25">
      <c r="A164" s="20" t="s">
        <v>703</v>
      </c>
      <c r="B164" s="22">
        <v>2020</v>
      </c>
      <c r="C164" s="90" t="s">
        <v>21</v>
      </c>
      <c r="D164" s="22" t="s">
        <v>704</v>
      </c>
      <c r="E164" s="27" t="s">
        <v>705</v>
      </c>
      <c r="F164" s="29" t="s">
        <v>23</v>
      </c>
      <c r="G164" s="20" t="s">
        <v>33</v>
      </c>
      <c r="H164" s="36" t="s">
        <v>706</v>
      </c>
      <c r="I164" s="37">
        <v>43969</v>
      </c>
      <c r="J164" s="37">
        <v>43977</v>
      </c>
      <c r="K164" s="22" t="s">
        <v>26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>SUM(O164:Q164)</f>
        <v>24</v>
      </c>
      <c r="S164" s="22">
        <v>20</v>
      </c>
      <c r="T164" s="20" t="s">
        <v>677</v>
      </c>
    </row>
    <row r="165" spans="1:20" ht="23.25" hidden="1" customHeight="1" x14ac:dyDescent="0.25">
      <c r="A165" s="21" t="s">
        <v>707</v>
      </c>
      <c r="B165" s="24">
        <v>2020</v>
      </c>
      <c r="C165" s="90" t="s">
        <v>21</v>
      </c>
      <c r="D165" s="24" t="s">
        <v>700</v>
      </c>
      <c r="E165" s="30" t="s">
        <v>708</v>
      </c>
      <c r="F165" s="31" t="s">
        <v>23</v>
      </c>
      <c r="G165" s="21" t="s">
        <v>199</v>
      </c>
      <c r="H165" s="38" t="s">
        <v>709</v>
      </c>
      <c r="I165" s="39">
        <v>43980</v>
      </c>
      <c r="J165" s="39">
        <v>43980</v>
      </c>
      <c r="K165" s="24" t="s">
        <v>35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>SUM(O165:Q165)</f>
        <v>41</v>
      </c>
      <c r="S165" s="24">
        <v>1.5</v>
      </c>
      <c r="T165" s="21" t="s">
        <v>710</v>
      </c>
    </row>
    <row r="166" spans="1:20" ht="23.25" hidden="1" customHeight="1" x14ac:dyDescent="0.25">
      <c r="A166" s="20" t="s">
        <v>711</v>
      </c>
      <c r="B166" s="22">
        <v>2020</v>
      </c>
      <c r="C166" s="90" t="s">
        <v>21</v>
      </c>
      <c r="D166" s="22" t="s">
        <v>669</v>
      </c>
      <c r="E166" s="27" t="s">
        <v>712</v>
      </c>
      <c r="F166" s="29" t="s">
        <v>23</v>
      </c>
      <c r="G166" s="20" t="s">
        <v>457</v>
      </c>
      <c r="H166" s="36" t="s">
        <v>713</v>
      </c>
      <c r="I166" s="37">
        <v>43987</v>
      </c>
      <c r="J166" s="37">
        <v>43987</v>
      </c>
      <c r="K166" s="22" t="s">
        <v>26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>SUM(O166:Q166)</f>
        <v>35</v>
      </c>
      <c r="S166" s="22">
        <v>1.5</v>
      </c>
      <c r="T166" s="20" t="s">
        <v>672</v>
      </c>
    </row>
    <row r="167" spans="1:20" ht="23.25" hidden="1" customHeight="1" x14ac:dyDescent="0.25">
      <c r="A167" s="21" t="s">
        <v>714</v>
      </c>
      <c r="B167" s="24">
        <v>2020</v>
      </c>
      <c r="C167" s="90" t="s">
        <v>21</v>
      </c>
      <c r="D167" s="24" t="s">
        <v>715</v>
      </c>
      <c r="E167" s="30" t="s">
        <v>716</v>
      </c>
      <c r="F167" s="31" t="s">
        <v>23</v>
      </c>
      <c r="G167" s="21" t="s">
        <v>24</v>
      </c>
      <c r="H167" s="38" t="s">
        <v>717</v>
      </c>
      <c r="I167" s="39">
        <v>43990</v>
      </c>
      <c r="J167" s="39">
        <v>43994</v>
      </c>
      <c r="K167" s="24" t="s">
        <v>35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>SUM(O167:Q167)</f>
        <v>15</v>
      </c>
      <c r="S167" s="24">
        <v>16</v>
      </c>
      <c r="T167" s="21" t="s">
        <v>571</v>
      </c>
    </row>
    <row r="168" spans="1:20" ht="23.25" hidden="1" customHeight="1" x14ac:dyDescent="0.25">
      <c r="A168" s="20" t="s">
        <v>718</v>
      </c>
      <c r="B168" s="22">
        <v>2020</v>
      </c>
      <c r="C168" s="90" t="s">
        <v>21</v>
      </c>
      <c r="D168" s="22" t="s">
        <v>719</v>
      </c>
      <c r="E168" s="27" t="s">
        <v>720</v>
      </c>
      <c r="F168" s="29" t="s">
        <v>23</v>
      </c>
      <c r="G168" s="20" t="s">
        <v>33</v>
      </c>
      <c r="H168" s="36" t="s">
        <v>721</v>
      </c>
      <c r="I168" s="37">
        <v>43997</v>
      </c>
      <c r="J168" s="37">
        <v>44006</v>
      </c>
      <c r="K168" s="22" t="s">
        <v>35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>SUM(O168:Q168)</f>
        <v>23</v>
      </c>
      <c r="S168" s="22">
        <v>16</v>
      </c>
      <c r="T168" s="33" t="s">
        <v>211</v>
      </c>
    </row>
    <row r="169" spans="1:20" ht="23.25" hidden="1" customHeight="1" x14ac:dyDescent="0.25">
      <c r="A169" s="21" t="s">
        <v>722</v>
      </c>
      <c r="B169" s="24">
        <v>2020</v>
      </c>
      <c r="C169" s="90" t="s">
        <v>21</v>
      </c>
      <c r="D169" s="24" t="s">
        <v>723</v>
      </c>
      <c r="E169" s="30" t="s">
        <v>724</v>
      </c>
      <c r="F169" s="31" t="s">
        <v>23</v>
      </c>
      <c r="G169" s="21" t="s">
        <v>68</v>
      </c>
      <c r="H169" s="38" t="s">
        <v>725</v>
      </c>
      <c r="I169" s="39">
        <v>43998</v>
      </c>
      <c r="J169" s="39">
        <v>43998</v>
      </c>
      <c r="K169" s="24" t="s">
        <v>26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>SUM(O169:Q169)</f>
        <v>36</v>
      </c>
      <c r="S169" s="24">
        <v>1.5</v>
      </c>
      <c r="T169" s="21" t="s">
        <v>726</v>
      </c>
    </row>
    <row r="170" spans="1:20" ht="23.25" hidden="1" customHeight="1" x14ac:dyDescent="0.25">
      <c r="A170" s="20" t="s">
        <v>727</v>
      </c>
      <c r="B170" s="22">
        <v>2020</v>
      </c>
      <c r="C170" s="90" t="s">
        <v>21</v>
      </c>
      <c r="D170" s="22" t="s">
        <v>723</v>
      </c>
      <c r="E170" s="27" t="s">
        <v>728</v>
      </c>
      <c r="F170" s="29" t="s">
        <v>23</v>
      </c>
      <c r="G170" s="20" t="s">
        <v>68</v>
      </c>
      <c r="H170" s="36" t="s">
        <v>729</v>
      </c>
      <c r="I170" s="37">
        <v>44012</v>
      </c>
      <c r="J170" s="37">
        <v>44012</v>
      </c>
      <c r="K170" s="22" t="s">
        <v>26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>SUM(O170:Q170)</f>
        <v>84</v>
      </c>
      <c r="S170" s="22">
        <v>1.5</v>
      </c>
      <c r="T170" s="20" t="s">
        <v>726</v>
      </c>
    </row>
    <row r="171" spans="1:20" ht="23.25" hidden="1" customHeight="1" x14ac:dyDescent="0.25">
      <c r="A171" s="21" t="s">
        <v>730</v>
      </c>
      <c r="B171" s="24">
        <v>2020</v>
      </c>
      <c r="C171" s="90" t="s">
        <v>21</v>
      </c>
      <c r="D171" s="24" t="s">
        <v>723</v>
      </c>
      <c r="E171" s="30" t="s">
        <v>731</v>
      </c>
      <c r="F171" s="31" t="s">
        <v>23</v>
      </c>
      <c r="G171" s="21" t="s">
        <v>68</v>
      </c>
      <c r="H171" s="38" t="s">
        <v>732</v>
      </c>
      <c r="I171" s="39">
        <v>44019</v>
      </c>
      <c r="J171" s="39">
        <v>44019</v>
      </c>
      <c r="K171" s="24" t="s">
        <v>26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>SUM(O171:Q171)</f>
        <v>40</v>
      </c>
      <c r="S171" s="24">
        <v>1.5</v>
      </c>
      <c r="T171" s="21" t="s">
        <v>733</v>
      </c>
    </row>
    <row r="172" spans="1:20" ht="23.25" hidden="1" customHeight="1" x14ac:dyDescent="0.25">
      <c r="A172" s="20" t="s">
        <v>734</v>
      </c>
      <c r="B172" s="22">
        <v>2020</v>
      </c>
      <c r="C172" s="90" t="s">
        <v>21</v>
      </c>
      <c r="D172" s="22" t="s">
        <v>723</v>
      </c>
      <c r="E172" s="27" t="s">
        <v>735</v>
      </c>
      <c r="F172" s="29" t="s">
        <v>23</v>
      </c>
      <c r="G172" s="20" t="s">
        <v>68</v>
      </c>
      <c r="H172" s="36" t="s">
        <v>736</v>
      </c>
      <c r="I172" s="37">
        <v>44047</v>
      </c>
      <c r="J172" s="37">
        <v>44047</v>
      </c>
      <c r="K172" s="22" t="s">
        <v>26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>SUM(O172:Q172)</f>
        <v>40</v>
      </c>
      <c r="S172" s="22">
        <v>1.5</v>
      </c>
      <c r="T172" s="20" t="s">
        <v>737</v>
      </c>
    </row>
    <row r="173" spans="1:20" ht="23.25" hidden="1" customHeight="1" x14ac:dyDescent="0.25">
      <c r="A173" s="21" t="s">
        <v>738</v>
      </c>
      <c r="B173" s="24">
        <v>2020</v>
      </c>
      <c r="C173" s="90" t="s">
        <v>21</v>
      </c>
      <c r="D173" s="24" t="s">
        <v>723</v>
      </c>
      <c r="E173" s="30" t="s">
        <v>739</v>
      </c>
      <c r="F173" s="31" t="s">
        <v>23</v>
      </c>
      <c r="G173" s="21" t="s">
        <v>68</v>
      </c>
      <c r="H173" s="38" t="s">
        <v>740</v>
      </c>
      <c r="I173" s="39">
        <v>44054</v>
      </c>
      <c r="J173" s="39">
        <v>44054</v>
      </c>
      <c r="K173" s="24" t="s">
        <v>26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>SUM(O173:Q173)</f>
        <v>44</v>
      </c>
      <c r="S173" s="24">
        <v>1.5</v>
      </c>
      <c r="T173" s="21" t="s">
        <v>741</v>
      </c>
    </row>
    <row r="174" spans="1:20" ht="23.25" hidden="1" customHeight="1" x14ac:dyDescent="0.25">
      <c r="A174" s="20" t="s">
        <v>742</v>
      </c>
      <c r="B174" s="22">
        <v>2020</v>
      </c>
      <c r="C174" s="90" t="s">
        <v>21</v>
      </c>
      <c r="D174" s="22" t="s">
        <v>743</v>
      </c>
      <c r="E174" s="27" t="s">
        <v>744</v>
      </c>
      <c r="F174" s="29" t="s">
        <v>23</v>
      </c>
      <c r="G174" s="20" t="s">
        <v>68</v>
      </c>
      <c r="H174" s="36" t="s">
        <v>745</v>
      </c>
      <c r="I174" s="37">
        <v>44063</v>
      </c>
      <c r="J174" s="37">
        <v>44078</v>
      </c>
      <c r="K174" s="22" t="s">
        <v>26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>SUM(O174:Q174)</f>
        <v>31</v>
      </c>
      <c r="S174" s="22">
        <v>24</v>
      </c>
      <c r="T174" s="20" t="s">
        <v>746</v>
      </c>
    </row>
    <row r="175" spans="1:20" ht="23.25" hidden="1" customHeight="1" x14ac:dyDescent="0.25">
      <c r="A175" s="21" t="s">
        <v>747</v>
      </c>
      <c r="B175" s="24">
        <v>2020</v>
      </c>
      <c r="C175" s="90" t="s">
        <v>21</v>
      </c>
      <c r="D175" s="24" t="s">
        <v>748</v>
      </c>
      <c r="E175" s="30" t="s">
        <v>749</v>
      </c>
      <c r="F175" s="31" t="s">
        <v>23</v>
      </c>
      <c r="G175" s="21" t="s">
        <v>38</v>
      </c>
      <c r="H175" s="38" t="s">
        <v>750</v>
      </c>
      <c r="I175" s="39">
        <v>44102</v>
      </c>
      <c r="J175" s="39">
        <v>44112</v>
      </c>
      <c r="K175" s="24" t="s">
        <v>35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>SUM(O175:Q175)</f>
        <v>29</v>
      </c>
      <c r="S175" s="24">
        <v>15</v>
      </c>
      <c r="T175" s="21" t="s">
        <v>74</v>
      </c>
    </row>
    <row r="176" spans="1:20" ht="23.25" hidden="1" customHeight="1" x14ac:dyDescent="0.25">
      <c r="A176" s="20" t="s">
        <v>751</v>
      </c>
      <c r="B176" s="22">
        <v>2020</v>
      </c>
      <c r="C176" s="90" t="s">
        <v>21</v>
      </c>
      <c r="D176" s="22" t="s">
        <v>752</v>
      </c>
      <c r="E176" s="27" t="s">
        <v>753</v>
      </c>
      <c r="F176" s="29" t="s">
        <v>81</v>
      </c>
      <c r="G176" s="20" t="s">
        <v>68</v>
      </c>
      <c r="H176" s="36" t="s">
        <v>754</v>
      </c>
      <c r="I176" s="37">
        <v>44158</v>
      </c>
      <c r="J176" s="37">
        <v>44162</v>
      </c>
      <c r="K176" s="22" t="s">
        <v>26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>SUM(O176:Q176)</f>
        <v>119</v>
      </c>
      <c r="S176" s="22">
        <v>10</v>
      </c>
      <c r="T176" s="20" t="s">
        <v>472</v>
      </c>
    </row>
    <row r="177" spans="1:20" ht="23.25" hidden="1" customHeight="1" x14ac:dyDescent="0.25">
      <c r="A177" s="21" t="s">
        <v>755</v>
      </c>
      <c r="B177" s="24">
        <v>2021</v>
      </c>
      <c r="C177" s="90" t="s">
        <v>21</v>
      </c>
      <c r="D177" s="24" t="s">
        <v>756</v>
      </c>
      <c r="E177" s="30" t="s">
        <v>757</v>
      </c>
      <c r="F177" s="31" t="s">
        <v>225</v>
      </c>
      <c r="G177" s="21" t="s">
        <v>24</v>
      </c>
      <c r="H177" s="38" t="s">
        <v>758</v>
      </c>
      <c r="I177" s="39">
        <v>44229</v>
      </c>
      <c r="J177" s="39">
        <v>44229</v>
      </c>
      <c r="K177" s="24" t="s">
        <v>35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>SUM(O177:Q177)</f>
        <v>122</v>
      </c>
      <c r="S177" s="24">
        <v>1</v>
      </c>
      <c r="T177" s="21" t="s">
        <v>759</v>
      </c>
    </row>
    <row r="178" spans="1:20" ht="23.25" hidden="1" customHeight="1" x14ac:dyDescent="0.25">
      <c r="A178" s="20" t="s">
        <v>760</v>
      </c>
      <c r="B178" s="22">
        <v>2021</v>
      </c>
      <c r="C178" s="90" t="s">
        <v>21</v>
      </c>
      <c r="D178" s="22" t="s">
        <v>756</v>
      </c>
      <c r="E178" s="27" t="s">
        <v>761</v>
      </c>
      <c r="F178" s="29" t="s">
        <v>225</v>
      </c>
      <c r="G178" s="20" t="s">
        <v>24</v>
      </c>
      <c r="H178" s="36" t="s">
        <v>762</v>
      </c>
      <c r="I178" s="37">
        <v>44236</v>
      </c>
      <c r="J178" s="37">
        <v>44236</v>
      </c>
      <c r="K178" s="22" t="s">
        <v>35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>SUM(O178:Q178)</f>
        <v>116</v>
      </c>
      <c r="S178" s="22">
        <v>1</v>
      </c>
      <c r="T178" s="20" t="s">
        <v>759</v>
      </c>
    </row>
    <row r="179" spans="1:20" ht="23.25" hidden="1" customHeight="1" x14ac:dyDescent="0.25">
      <c r="A179" s="21" t="s">
        <v>763</v>
      </c>
      <c r="B179" s="24">
        <v>2021</v>
      </c>
      <c r="C179" s="90" t="s">
        <v>21</v>
      </c>
      <c r="D179" s="24" t="s">
        <v>756</v>
      </c>
      <c r="E179" s="30" t="s">
        <v>764</v>
      </c>
      <c r="F179" s="31" t="s">
        <v>225</v>
      </c>
      <c r="G179" s="21" t="s">
        <v>24</v>
      </c>
      <c r="H179" s="38" t="s">
        <v>765</v>
      </c>
      <c r="I179" s="39">
        <v>44250</v>
      </c>
      <c r="J179" s="39">
        <v>44250</v>
      </c>
      <c r="K179" s="24" t="s">
        <v>35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>SUM(O179:Q179)</f>
        <v>83</v>
      </c>
      <c r="S179" s="24">
        <v>1</v>
      </c>
      <c r="T179" s="21" t="s">
        <v>766</v>
      </c>
    </row>
    <row r="180" spans="1:20" ht="23.25" hidden="1" customHeight="1" x14ac:dyDescent="0.25">
      <c r="A180" s="20" t="s">
        <v>767</v>
      </c>
      <c r="B180" s="22">
        <v>2021</v>
      </c>
      <c r="C180" s="90" t="s">
        <v>21</v>
      </c>
      <c r="D180" s="22" t="s">
        <v>756</v>
      </c>
      <c r="E180" s="27" t="s">
        <v>768</v>
      </c>
      <c r="F180" s="29" t="s">
        <v>225</v>
      </c>
      <c r="G180" s="20" t="s">
        <v>24</v>
      </c>
      <c r="H180" s="36" t="s">
        <v>769</v>
      </c>
      <c r="I180" s="37">
        <v>44257</v>
      </c>
      <c r="J180" s="37">
        <v>44257</v>
      </c>
      <c r="K180" s="22" t="s">
        <v>35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>SUM(O180:Q180)</f>
        <v>69</v>
      </c>
      <c r="S180" s="22">
        <v>1</v>
      </c>
      <c r="T180" s="20" t="s">
        <v>759</v>
      </c>
    </row>
    <row r="181" spans="1:20" ht="23.25" hidden="1" customHeight="1" x14ac:dyDescent="0.25">
      <c r="A181" s="21" t="s">
        <v>770</v>
      </c>
      <c r="B181" s="24">
        <v>2021</v>
      </c>
      <c r="C181" s="90" t="s">
        <v>21</v>
      </c>
      <c r="D181" s="24" t="s">
        <v>771</v>
      </c>
      <c r="E181" s="30" t="s">
        <v>772</v>
      </c>
      <c r="F181" s="31" t="s">
        <v>23</v>
      </c>
      <c r="G181" s="21" t="s">
        <v>68</v>
      </c>
      <c r="H181" s="38" t="s">
        <v>773</v>
      </c>
      <c r="I181" s="39">
        <v>44259</v>
      </c>
      <c r="J181" s="39">
        <v>44260</v>
      </c>
      <c r="K181" s="24" t="s">
        <v>35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>SUM(O181:Q181)</f>
        <v>48</v>
      </c>
      <c r="S181" s="24">
        <v>2.5</v>
      </c>
      <c r="T181" s="21" t="s">
        <v>774</v>
      </c>
    </row>
    <row r="182" spans="1:20" ht="23.25" hidden="1" customHeight="1" x14ac:dyDescent="0.25">
      <c r="A182" s="20" t="s">
        <v>775</v>
      </c>
      <c r="B182" s="22">
        <v>2021</v>
      </c>
      <c r="C182" s="90" t="s">
        <v>21</v>
      </c>
      <c r="D182" s="22" t="s">
        <v>669</v>
      </c>
      <c r="E182" s="27" t="s">
        <v>776</v>
      </c>
      <c r="F182" s="29" t="s">
        <v>23</v>
      </c>
      <c r="G182" s="20" t="s">
        <v>33</v>
      </c>
      <c r="H182" s="36" t="s">
        <v>777</v>
      </c>
      <c r="I182" s="37">
        <v>44265</v>
      </c>
      <c r="J182" s="37">
        <v>44265</v>
      </c>
      <c r="K182" s="22" t="s">
        <v>26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>SUM(O182:Q182)</f>
        <v>19</v>
      </c>
      <c r="S182" s="22">
        <v>1.5</v>
      </c>
      <c r="T182" s="33" t="s">
        <v>778</v>
      </c>
    </row>
    <row r="183" spans="1:20" ht="23.25" hidden="1" customHeight="1" x14ac:dyDescent="0.25">
      <c r="A183" s="21" t="s">
        <v>779</v>
      </c>
      <c r="B183" s="24">
        <v>2021</v>
      </c>
      <c r="C183" s="90" t="s">
        <v>21</v>
      </c>
      <c r="D183" s="24" t="s">
        <v>780</v>
      </c>
      <c r="E183" s="30" t="s">
        <v>781</v>
      </c>
      <c r="F183" s="31" t="s">
        <v>81</v>
      </c>
      <c r="G183" s="21" t="s">
        <v>72</v>
      </c>
      <c r="H183" s="38" t="s">
        <v>782</v>
      </c>
      <c r="I183" s="39">
        <v>44280</v>
      </c>
      <c r="J183" s="39">
        <v>44280</v>
      </c>
      <c r="K183" s="24" t="s">
        <v>35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>SUM(O183:Q183)</f>
        <v>73</v>
      </c>
      <c r="S183" s="24">
        <v>1.5</v>
      </c>
      <c r="T183" s="21" t="s">
        <v>93</v>
      </c>
    </row>
    <row r="184" spans="1:20" ht="23.25" hidden="1" customHeight="1" x14ac:dyDescent="0.25">
      <c r="A184" s="20" t="s">
        <v>783</v>
      </c>
      <c r="B184" s="22">
        <v>2021</v>
      </c>
      <c r="C184" s="90" t="s">
        <v>21</v>
      </c>
      <c r="D184" s="22" t="s">
        <v>784</v>
      </c>
      <c r="E184" s="27" t="s">
        <v>785</v>
      </c>
      <c r="F184" s="29" t="s">
        <v>23</v>
      </c>
      <c r="G184" s="20" t="s">
        <v>457</v>
      </c>
      <c r="H184" s="36" t="s">
        <v>786</v>
      </c>
      <c r="I184" s="37">
        <v>44285</v>
      </c>
      <c r="J184" s="37">
        <v>44286</v>
      </c>
      <c r="K184" s="22" t="s">
        <v>35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>SUM(O184:Q184)</f>
        <v>94</v>
      </c>
      <c r="S184" s="22">
        <v>1</v>
      </c>
      <c r="T184" s="20" t="s">
        <v>787</v>
      </c>
    </row>
    <row r="185" spans="1:20" ht="23.25" hidden="1" customHeight="1" x14ac:dyDescent="0.25">
      <c r="A185" s="21" t="s">
        <v>788</v>
      </c>
      <c r="B185" s="24">
        <v>2021</v>
      </c>
      <c r="C185" s="90" t="s">
        <v>21</v>
      </c>
      <c r="D185" s="24" t="s">
        <v>789</v>
      </c>
      <c r="E185" s="30" t="s">
        <v>363</v>
      </c>
      <c r="F185" s="31" t="s">
        <v>23</v>
      </c>
      <c r="G185" s="21" t="s">
        <v>364</v>
      </c>
      <c r="H185" s="38" t="s">
        <v>790</v>
      </c>
      <c r="I185" s="39">
        <v>44298</v>
      </c>
      <c r="J185" s="39">
        <v>44308</v>
      </c>
      <c r="K185" s="24" t="s">
        <v>35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>SUM(O185:Q185)</f>
        <v>42</v>
      </c>
      <c r="S185" s="24">
        <v>20</v>
      </c>
      <c r="T185" s="21" t="s">
        <v>791</v>
      </c>
    </row>
    <row r="186" spans="1:20" ht="23.25" hidden="1" customHeight="1" x14ac:dyDescent="0.25">
      <c r="A186" s="20" t="s">
        <v>792</v>
      </c>
      <c r="B186" s="22">
        <v>2021</v>
      </c>
      <c r="C186" s="90" t="s">
        <v>21</v>
      </c>
      <c r="D186" s="22" t="s">
        <v>793</v>
      </c>
      <c r="E186" s="27" t="s">
        <v>794</v>
      </c>
      <c r="F186" s="29" t="s">
        <v>23</v>
      </c>
      <c r="G186" s="20" t="s">
        <v>199</v>
      </c>
      <c r="H186" s="36" t="s">
        <v>795</v>
      </c>
      <c r="I186" s="37">
        <v>44298</v>
      </c>
      <c r="J186" s="37">
        <v>44302</v>
      </c>
      <c r="K186" s="22" t="s">
        <v>26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>SUM(O186:Q186)</f>
        <v>32</v>
      </c>
      <c r="S186" s="22">
        <v>15</v>
      </c>
      <c r="T186" s="20" t="s">
        <v>796</v>
      </c>
    </row>
    <row r="187" spans="1:20" ht="23.25" hidden="1" customHeight="1" x14ac:dyDescent="0.25">
      <c r="A187" s="21" t="s">
        <v>797</v>
      </c>
      <c r="B187" s="24">
        <v>2021</v>
      </c>
      <c r="C187" s="90" t="s">
        <v>21</v>
      </c>
      <c r="D187" s="24" t="s">
        <v>798</v>
      </c>
      <c r="E187" s="30" t="s">
        <v>799</v>
      </c>
      <c r="F187" s="31" t="s">
        <v>23</v>
      </c>
      <c r="G187" s="21" t="s">
        <v>68</v>
      </c>
      <c r="H187" s="38" t="s">
        <v>800</v>
      </c>
      <c r="I187" s="39">
        <v>44312</v>
      </c>
      <c r="J187" s="39">
        <v>44316</v>
      </c>
      <c r="K187" s="24" t="s">
        <v>35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>SUM(O187:Q187)</f>
        <v>22</v>
      </c>
      <c r="S187" s="24">
        <v>12</v>
      </c>
      <c r="T187" s="21" t="s">
        <v>549</v>
      </c>
    </row>
    <row r="188" spans="1:20" ht="23.25" hidden="1" customHeight="1" x14ac:dyDescent="0.25">
      <c r="A188" s="20" t="s">
        <v>801</v>
      </c>
      <c r="B188" s="22">
        <v>2021</v>
      </c>
      <c r="C188" s="90" t="s">
        <v>21</v>
      </c>
      <c r="D188" s="22" t="s">
        <v>802</v>
      </c>
      <c r="E188" s="27" t="s">
        <v>803</v>
      </c>
      <c r="F188" s="29" t="s">
        <v>62</v>
      </c>
      <c r="G188" s="20" t="s">
        <v>72</v>
      </c>
      <c r="H188" s="36" t="s">
        <v>804</v>
      </c>
      <c r="I188" s="37">
        <v>44313</v>
      </c>
      <c r="J188" s="37">
        <v>44322</v>
      </c>
      <c r="K188" s="22" t="s">
        <v>35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>SUM(O188:Q188)</f>
        <v>590</v>
      </c>
      <c r="S188" s="22">
        <v>20</v>
      </c>
      <c r="T188" s="20" t="s">
        <v>805</v>
      </c>
    </row>
    <row r="189" spans="1:20" ht="23.25" hidden="1" customHeight="1" x14ac:dyDescent="0.25">
      <c r="A189" s="21" t="s">
        <v>806</v>
      </c>
      <c r="B189" s="24">
        <v>2021</v>
      </c>
      <c r="C189" s="90" t="s">
        <v>21</v>
      </c>
      <c r="D189" s="24" t="s">
        <v>807</v>
      </c>
      <c r="E189" s="30" t="s">
        <v>657</v>
      </c>
      <c r="F189" s="31" t="s">
        <v>23</v>
      </c>
      <c r="G189" s="21" t="s">
        <v>68</v>
      </c>
      <c r="H189" s="38" t="s">
        <v>808</v>
      </c>
      <c r="I189" s="39">
        <v>44319</v>
      </c>
      <c r="J189" s="39">
        <v>44344</v>
      </c>
      <c r="K189" s="24" t="s">
        <v>35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>SUM(O189:Q189)</f>
        <v>41</v>
      </c>
      <c r="S189" s="24">
        <v>20</v>
      </c>
      <c r="T189" s="21" t="s">
        <v>809</v>
      </c>
    </row>
    <row r="190" spans="1:20" ht="23.25" hidden="1" customHeight="1" x14ac:dyDescent="0.25">
      <c r="A190" s="20" t="s">
        <v>810</v>
      </c>
      <c r="B190" s="22">
        <v>2021</v>
      </c>
      <c r="C190" s="90" t="s">
        <v>21</v>
      </c>
      <c r="D190" s="22" t="s">
        <v>811</v>
      </c>
      <c r="E190" s="27" t="s">
        <v>812</v>
      </c>
      <c r="F190" s="29" t="s">
        <v>23</v>
      </c>
      <c r="G190" s="20" t="s">
        <v>457</v>
      </c>
      <c r="H190" s="50">
        <v>44382</v>
      </c>
      <c r="I190" s="37">
        <v>44323</v>
      </c>
      <c r="J190" s="37">
        <v>44323</v>
      </c>
      <c r="K190" s="22" t="s">
        <v>26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>SUM(O190:Q190)</f>
        <v>80</v>
      </c>
      <c r="S190" s="22">
        <v>1.5</v>
      </c>
      <c r="T190" s="20" t="s">
        <v>813</v>
      </c>
    </row>
    <row r="191" spans="1:20" ht="23.25" hidden="1" customHeight="1" x14ac:dyDescent="0.25">
      <c r="A191" s="21" t="s">
        <v>814</v>
      </c>
      <c r="B191" s="24">
        <v>2021</v>
      </c>
      <c r="C191" s="90" t="s">
        <v>21</v>
      </c>
      <c r="D191" s="24" t="s">
        <v>815</v>
      </c>
      <c r="E191" s="30" t="s">
        <v>816</v>
      </c>
      <c r="F191" s="31" t="s">
        <v>81</v>
      </c>
      <c r="G191" s="21" t="s">
        <v>72</v>
      </c>
      <c r="H191" s="38" t="s">
        <v>817</v>
      </c>
      <c r="I191" s="39">
        <v>44325</v>
      </c>
      <c r="J191" s="39">
        <v>44325</v>
      </c>
      <c r="K191" s="24" t="s">
        <v>35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>SUM(O191:Q191)</f>
        <v>36</v>
      </c>
      <c r="S191" s="24">
        <v>2</v>
      </c>
      <c r="T191" s="21" t="s">
        <v>818</v>
      </c>
    </row>
    <row r="192" spans="1:20" ht="23.25" hidden="1" customHeight="1" x14ac:dyDescent="0.25">
      <c r="A192" s="20" t="s">
        <v>819</v>
      </c>
      <c r="B192" s="22">
        <v>2021</v>
      </c>
      <c r="C192" s="90" t="s">
        <v>21</v>
      </c>
      <c r="D192" s="22" t="s">
        <v>820</v>
      </c>
      <c r="E192" s="27" t="s">
        <v>821</v>
      </c>
      <c r="F192" s="29" t="s">
        <v>23</v>
      </c>
      <c r="G192" s="20" t="s">
        <v>38</v>
      </c>
      <c r="H192" s="36" t="s">
        <v>822</v>
      </c>
      <c r="I192" s="37">
        <v>44326</v>
      </c>
      <c r="J192" s="37">
        <v>44330</v>
      </c>
      <c r="K192" s="22" t="s">
        <v>26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>SUM(O192:Q192)</f>
        <v>70</v>
      </c>
      <c r="S192" s="22">
        <v>8</v>
      </c>
      <c r="T192" s="20" t="s">
        <v>823</v>
      </c>
    </row>
    <row r="193" spans="1:20" ht="23.25" hidden="1" customHeight="1" x14ac:dyDescent="0.25">
      <c r="A193" s="21" t="s">
        <v>824</v>
      </c>
      <c r="B193" s="24">
        <v>2021</v>
      </c>
      <c r="C193" s="90" t="s">
        <v>21</v>
      </c>
      <c r="D193" s="24" t="s">
        <v>825</v>
      </c>
      <c r="E193" s="30" t="s">
        <v>826</v>
      </c>
      <c r="F193" s="31" t="s">
        <v>23</v>
      </c>
      <c r="G193" s="21" t="s">
        <v>199</v>
      </c>
      <c r="H193" s="38" t="s">
        <v>827</v>
      </c>
      <c r="I193" s="39">
        <v>44327</v>
      </c>
      <c r="J193" s="39">
        <v>44336</v>
      </c>
      <c r="K193" s="24" t="s">
        <v>26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>SUM(O193:Q193)</f>
        <v>21</v>
      </c>
      <c r="S193" s="24">
        <v>15</v>
      </c>
      <c r="T193" s="21" t="s">
        <v>828</v>
      </c>
    </row>
    <row r="194" spans="1:20" ht="23.25" hidden="1" customHeight="1" x14ac:dyDescent="0.25">
      <c r="A194" s="20" t="s">
        <v>829</v>
      </c>
      <c r="B194" s="22">
        <v>2021</v>
      </c>
      <c r="C194" s="90" t="s">
        <v>21</v>
      </c>
      <c r="D194" s="22" t="s">
        <v>811</v>
      </c>
      <c r="E194" s="27" t="s">
        <v>830</v>
      </c>
      <c r="F194" s="29" t="s">
        <v>23</v>
      </c>
      <c r="G194" s="20" t="s">
        <v>38</v>
      </c>
      <c r="H194" s="36" t="s">
        <v>831</v>
      </c>
      <c r="I194" s="37">
        <v>44330</v>
      </c>
      <c r="J194" s="37">
        <v>44337</v>
      </c>
      <c r="K194" s="22" t="s">
        <v>26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>SUM(O194:Q194)</f>
        <v>20</v>
      </c>
      <c r="S194" s="22">
        <v>14</v>
      </c>
      <c r="T194" s="20" t="s">
        <v>813</v>
      </c>
    </row>
    <row r="195" spans="1:20" ht="23.25" hidden="1" customHeight="1" x14ac:dyDescent="0.25">
      <c r="A195" s="21" t="s">
        <v>832</v>
      </c>
      <c r="B195" s="24">
        <v>2021</v>
      </c>
      <c r="C195" s="90" t="s">
        <v>21</v>
      </c>
      <c r="D195" s="24" t="s">
        <v>807</v>
      </c>
      <c r="E195" s="30" t="s">
        <v>666</v>
      </c>
      <c r="F195" s="31" t="s">
        <v>23</v>
      </c>
      <c r="G195" s="21" t="s">
        <v>68</v>
      </c>
      <c r="H195" s="38" t="s">
        <v>833</v>
      </c>
      <c r="I195" s="39">
        <v>44340</v>
      </c>
      <c r="J195" s="39">
        <v>44344</v>
      </c>
      <c r="K195" s="24" t="s">
        <v>35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>SUM(O195:Q195)</f>
        <v>28</v>
      </c>
      <c r="S195" s="24">
        <v>20</v>
      </c>
      <c r="T195" s="21" t="s">
        <v>809</v>
      </c>
    </row>
    <row r="196" spans="1:20" ht="23.25" hidden="1" customHeight="1" x14ac:dyDescent="0.25">
      <c r="A196" s="20" t="s">
        <v>834</v>
      </c>
      <c r="B196" s="22">
        <v>2021</v>
      </c>
      <c r="C196" s="90" t="s">
        <v>21</v>
      </c>
      <c r="D196" s="22" t="s">
        <v>835</v>
      </c>
      <c r="E196" s="27" t="s">
        <v>692</v>
      </c>
      <c r="F196" s="29" t="s">
        <v>23</v>
      </c>
      <c r="G196" s="20" t="s">
        <v>68</v>
      </c>
      <c r="H196" s="36" t="s">
        <v>836</v>
      </c>
      <c r="I196" s="37">
        <v>44341</v>
      </c>
      <c r="J196" s="37">
        <v>44357</v>
      </c>
      <c r="K196" s="22" t="s">
        <v>35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>SUM(O196:Q196)</f>
        <v>25</v>
      </c>
      <c r="S196" s="22">
        <v>24</v>
      </c>
      <c r="T196" s="20" t="s">
        <v>837</v>
      </c>
    </row>
    <row r="197" spans="1:20" ht="23.25" hidden="1" customHeight="1" x14ac:dyDescent="0.25">
      <c r="A197" s="21" t="s">
        <v>838</v>
      </c>
      <c r="B197" s="24">
        <v>2021</v>
      </c>
      <c r="C197" s="90" t="s">
        <v>21</v>
      </c>
      <c r="D197" s="24" t="s">
        <v>839</v>
      </c>
      <c r="E197" s="30" t="s">
        <v>840</v>
      </c>
      <c r="F197" s="31" t="s">
        <v>23</v>
      </c>
      <c r="G197" s="21" t="s">
        <v>38</v>
      </c>
      <c r="H197" s="38" t="s">
        <v>841</v>
      </c>
      <c r="I197" s="39">
        <v>44347</v>
      </c>
      <c r="J197" s="39">
        <v>44375</v>
      </c>
      <c r="K197" s="24" t="s">
        <v>26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>SUM(O197:Q197)</f>
        <v>14</v>
      </c>
      <c r="S197" s="24">
        <v>12</v>
      </c>
      <c r="T197" s="21" t="s">
        <v>842</v>
      </c>
    </row>
    <row r="198" spans="1:20" ht="23.25" hidden="1" customHeight="1" x14ac:dyDescent="0.25">
      <c r="A198" s="20" t="s">
        <v>843</v>
      </c>
      <c r="B198" s="22">
        <v>2021</v>
      </c>
      <c r="C198" s="90" t="s">
        <v>21</v>
      </c>
      <c r="D198" s="22" t="s">
        <v>844</v>
      </c>
      <c r="E198" s="27" t="s">
        <v>845</v>
      </c>
      <c r="F198" s="29" t="s">
        <v>23</v>
      </c>
      <c r="G198" s="20" t="s">
        <v>24</v>
      </c>
      <c r="H198" s="50">
        <v>44233</v>
      </c>
      <c r="I198" s="37">
        <v>44349</v>
      </c>
      <c r="J198" s="37">
        <v>44349</v>
      </c>
      <c r="K198" s="22" t="s">
        <v>35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>SUM(O198:Q198)</f>
        <v>46</v>
      </c>
      <c r="S198" s="22">
        <v>2</v>
      </c>
      <c r="T198" s="20" t="s">
        <v>584</v>
      </c>
    </row>
    <row r="199" spans="1:20" ht="23.25" hidden="1" customHeight="1" x14ac:dyDescent="0.25">
      <c r="A199" s="21" t="s">
        <v>846</v>
      </c>
      <c r="B199" s="24">
        <v>2021</v>
      </c>
      <c r="C199" s="90" t="s">
        <v>21</v>
      </c>
      <c r="D199" s="24" t="s">
        <v>847</v>
      </c>
      <c r="E199" s="30" t="s">
        <v>848</v>
      </c>
      <c r="F199" s="31" t="s">
        <v>23</v>
      </c>
      <c r="G199" s="21" t="s">
        <v>199</v>
      </c>
      <c r="H199" s="38" t="s">
        <v>849</v>
      </c>
      <c r="I199" s="39">
        <v>44358</v>
      </c>
      <c r="J199" s="39">
        <v>44358</v>
      </c>
      <c r="K199" s="24" t="s">
        <v>35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>SUM(O199:Q199)</f>
        <v>98</v>
      </c>
      <c r="S199" s="24">
        <v>2</v>
      </c>
      <c r="T199" s="21" t="s">
        <v>850</v>
      </c>
    </row>
    <row r="200" spans="1:20" ht="23.25" hidden="1" customHeight="1" x14ac:dyDescent="0.25">
      <c r="A200" s="20" t="s">
        <v>851</v>
      </c>
      <c r="B200" s="22">
        <v>2021</v>
      </c>
      <c r="C200" s="90" t="s">
        <v>21</v>
      </c>
      <c r="D200" s="22" t="s">
        <v>852</v>
      </c>
      <c r="E200" s="27" t="s">
        <v>853</v>
      </c>
      <c r="F200" s="29" t="s">
        <v>81</v>
      </c>
      <c r="G200" s="20" t="s">
        <v>72</v>
      </c>
      <c r="H200" s="36" t="s">
        <v>854</v>
      </c>
      <c r="I200" s="37">
        <v>44361</v>
      </c>
      <c r="J200" s="37">
        <v>44365</v>
      </c>
      <c r="K200" s="22" t="s">
        <v>35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>SUM(O200:Q200)</f>
        <v>50</v>
      </c>
      <c r="S200" s="22">
        <v>9</v>
      </c>
      <c r="T200" s="20" t="s">
        <v>855</v>
      </c>
    </row>
    <row r="201" spans="1:20" ht="23.25" hidden="1" customHeight="1" x14ac:dyDescent="0.25">
      <c r="A201" s="21" t="s">
        <v>856</v>
      </c>
      <c r="B201" s="24">
        <v>2021</v>
      </c>
      <c r="C201" s="90" t="s">
        <v>21</v>
      </c>
      <c r="D201" s="24" t="s">
        <v>793</v>
      </c>
      <c r="E201" s="30" t="s">
        <v>857</v>
      </c>
      <c r="F201" s="31" t="s">
        <v>23</v>
      </c>
      <c r="G201" s="21" t="s">
        <v>199</v>
      </c>
      <c r="H201" s="38" t="s">
        <v>858</v>
      </c>
      <c r="I201" s="39">
        <v>44361</v>
      </c>
      <c r="J201" s="39">
        <v>44365</v>
      </c>
      <c r="K201" s="24" t="s">
        <v>26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>SUM(O201:Q201)</f>
        <v>17</v>
      </c>
      <c r="S201" s="24">
        <v>15</v>
      </c>
      <c r="T201" s="21" t="s">
        <v>796</v>
      </c>
    </row>
    <row r="202" spans="1:20" ht="23.25" hidden="1" customHeight="1" x14ac:dyDescent="0.25">
      <c r="A202" s="20" t="s">
        <v>859</v>
      </c>
      <c r="B202" s="22">
        <v>2021</v>
      </c>
      <c r="C202" s="90" t="s">
        <v>21</v>
      </c>
      <c r="D202" s="22" t="s">
        <v>860</v>
      </c>
      <c r="E202" s="27" t="s">
        <v>861</v>
      </c>
      <c r="F202" s="29" t="s">
        <v>23</v>
      </c>
      <c r="G202" s="20" t="s">
        <v>38</v>
      </c>
      <c r="H202" s="36" t="s">
        <v>862</v>
      </c>
      <c r="I202" s="37">
        <v>44385</v>
      </c>
      <c r="J202" s="37">
        <v>44396</v>
      </c>
      <c r="K202" s="22" t="s">
        <v>26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>SUM(O202:Q202)</f>
        <v>53</v>
      </c>
      <c r="S202" s="22">
        <v>8</v>
      </c>
      <c r="T202" s="20" t="s">
        <v>863</v>
      </c>
    </row>
    <row r="203" spans="1:20" ht="23.25" hidden="1" customHeight="1" x14ac:dyDescent="0.25">
      <c r="A203" s="21" t="s">
        <v>864</v>
      </c>
      <c r="B203" s="24">
        <v>2021</v>
      </c>
      <c r="C203" s="90" t="s">
        <v>21</v>
      </c>
      <c r="D203" s="24" t="s">
        <v>825</v>
      </c>
      <c r="E203" s="30" t="s">
        <v>865</v>
      </c>
      <c r="F203" s="31" t="s">
        <v>23</v>
      </c>
      <c r="G203" s="21" t="s">
        <v>199</v>
      </c>
      <c r="H203" s="38" t="s">
        <v>866</v>
      </c>
      <c r="I203" s="39">
        <v>44389</v>
      </c>
      <c r="J203" s="39">
        <v>44393</v>
      </c>
      <c r="K203" s="24" t="s">
        <v>26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>SUM(O203:Q203)</f>
        <v>16</v>
      </c>
      <c r="S203" s="24">
        <v>15</v>
      </c>
      <c r="T203" s="21" t="s">
        <v>828</v>
      </c>
    </row>
    <row r="204" spans="1:20" ht="23.25" hidden="1" customHeight="1" x14ac:dyDescent="0.25">
      <c r="A204" s="20" t="s">
        <v>867</v>
      </c>
      <c r="B204" s="22">
        <v>2021</v>
      </c>
      <c r="C204" s="90" t="s">
        <v>21</v>
      </c>
      <c r="D204" s="22" t="s">
        <v>868</v>
      </c>
      <c r="E204" s="27" t="s">
        <v>869</v>
      </c>
      <c r="F204" s="29" t="s">
        <v>81</v>
      </c>
      <c r="G204" s="20" t="s">
        <v>72</v>
      </c>
      <c r="H204" s="36" t="s">
        <v>870</v>
      </c>
      <c r="I204" s="37">
        <v>44397</v>
      </c>
      <c r="J204" s="37">
        <v>44399</v>
      </c>
      <c r="K204" s="22" t="s">
        <v>26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>SUM(O204:Q204)</f>
        <v>59</v>
      </c>
      <c r="S204" s="22">
        <v>12</v>
      </c>
      <c r="T204" s="20" t="s">
        <v>335</v>
      </c>
    </row>
    <row r="205" spans="1:20" ht="23.25" hidden="1" customHeight="1" x14ac:dyDescent="0.25">
      <c r="A205" s="21" t="s">
        <v>871</v>
      </c>
      <c r="B205" s="24">
        <v>2021</v>
      </c>
      <c r="C205" s="90" t="s">
        <v>21</v>
      </c>
      <c r="D205" s="24" t="s">
        <v>847</v>
      </c>
      <c r="E205" s="30" t="s">
        <v>872</v>
      </c>
      <c r="F205" s="31" t="s">
        <v>23</v>
      </c>
      <c r="G205" s="21" t="s">
        <v>199</v>
      </c>
      <c r="H205" s="38" t="s">
        <v>873</v>
      </c>
      <c r="I205" s="39">
        <v>44400</v>
      </c>
      <c r="J205" s="39">
        <v>44400</v>
      </c>
      <c r="K205" s="24" t="s">
        <v>35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>SUM(O205:Q205)</f>
        <v>76</v>
      </c>
      <c r="S205" s="24">
        <v>2</v>
      </c>
      <c r="T205" s="21" t="s">
        <v>850</v>
      </c>
    </row>
    <row r="206" spans="1:20" ht="23.25" hidden="1" customHeight="1" x14ac:dyDescent="0.25">
      <c r="A206" s="20" t="s">
        <v>874</v>
      </c>
      <c r="B206" s="22">
        <v>2021</v>
      </c>
      <c r="C206" s="90" t="s">
        <v>21</v>
      </c>
      <c r="D206" s="22" t="s">
        <v>875</v>
      </c>
      <c r="E206" s="27" t="s">
        <v>876</v>
      </c>
      <c r="F206" s="29" t="s">
        <v>23</v>
      </c>
      <c r="G206" s="20" t="s">
        <v>24</v>
      </c>
      <c r="H206" s="50" t="s">
        <v>877</v>
      </c>
      <c r="I206" s="37">
        <v>44407</v>
      </c>
      <c r="J206" s="37">
        <v>44407</v>
      </c>
      <c r="K206" s="22" t="s">
        <v>35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>SUM(O206:Q206)</f>
        <v>33</v>
      </c>
      <c r="S206" s="22">
        <v>2</v>
      </c>
      <c r="T206" s="33" t="s">
        <v>211</v>
      </c>
    </row>
    <row r="207" spans="1:20" ht="23.25" hidden="1" customHeight="1" x14ac:dyDescent="0.25">
      <c r="A207" s="21" t="s">
        <v>878</v>
      </c>
      <c r="B207" s="24">
        <v>2021</v>
      </c>
      <c r="C207" s="90" t="s">
        <v>21</v>
      </c>
      <c r="D207" s="24" t="s">
        <v>879</v>
      </c>
      <c r="E207" s="30" t="s">
        <v>880</v>
      </c>
      <c r="F207" s="31" t="s">
        <v>23</v>
      </c>
      <c r="G207" s="21" t="s">
        <v>38</v>
      </c>
      <c r="H207" s="38" t="s">
        <v>881</v>
      </c>
      <c r="I207" s="39">
        <v>44413</v>
      </c>
      <c r="J207" s="39">
        <v>44414</v>
      </c>
      <c r="K207" s="24" t="s">
        <v>26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>SUM(O207:Q207)</f>
        <v>58</v>
      </c>
      <c r="S207" s="24">
        <v>8</v>
      </c>
      <c r="T207" s="21" t="s">
        <v>882</v>
      </c>
    </row>
    <row r="208" spans="1:20" ht="23.25" hidden="1" customHeight="1" x14ac:dyDescent="0.25">
      <c r="A208" s="20" t="s">
        <v>883</v>
      </c>
      <c r="B208" s="22">
        <v>2021</v>
      </c>
      <c r="C208" s="90" t="s">
        <v>21</v>
      </c>
      <c r="D208" s="22" t="s">
        <v>852</v>
      </c>
      <c r="E208" s="27" t="s">
        <v>884</v>
      </c>
      <c r="F208" s="29" t="s">
        <v>81</v>
      </c>
      <c r="G208" s="20" t="s">
        <v>72</v>
      </c>
      <c r="H208" s="36" t="s">
        <v>885</v>
      </c>
      <c r="I208" s="37">
        <v>44417</v>
      </c>
      <c r="J208" s="37">
        <v>44421</v>
      </c>
      <c r="K208" s="22" t="s">
        <v>35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>SUM(O208:Q208)</f>
        <v>60</v>
      </c>
      <c r="S208" s="22">
        <v>9</v>
      </c>
      <c r="T208" s="20" t="s">
        <v>855</v>
      </c>
    </row>
    <row r="209" spans="1:20" ht="23.25" hidden="1" customHeight="1" x14ac:dyDescent="0.25">
      <c r="A209" s="21" t="s">
        <v>886</v>
      </c>
      <c r="B209" s="24">
        <v>2021</v>
      </c>
      <c r="C209" s="90" t="s">
        <v>21</v>
      </c>
      <c r="D209" s="24" t="s">
        <v>887</v>
      </c>
      <c r="E209" s="30" t="s">
        <v>888</v>
      </c>
      <c r="F209" s="31" t="s">
        <v>23</v>
      </c>
      <c r="G209" s="21" t="s">
        <v>33</v>
      </c>
      <c r="H209" s="38" t="s">
        <v>889</v>
      </c>
      <c r="I209" s="39">
        <v>44417</v>
      </c>
      <c r="J209" s="39">
        <v>44421</v>
      </c>
      <c r="K209" s="24" t="s">
        <v>26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>SUM(O209:Q209)</f>
        <v>13</v>
      </c>
      <c r="S209" s="24">
        <v>20</v>
      </c>
      <c r="T209" s="21" t="s">
        <v>677</v>
      </c>
    </row>
    <row r="210" spans="1:20" ht="23.25" hidden="1" customHeight="1" x14ac:dyDescent="0.25">
      <c r="A210" s="20" t="s">
        <v>890</v>
      </c>
      <c r="B210" s="22">
        <v>2021</v>
      </c>
      <c r="C210" s="90" t="s">
        <v>21</v>
      </c>
      <c r="D210" s="22" t="s">
        <v>891</v>
      </c>
      <c r="E210" s="27" t="s">
        <v>892</v>
      </c>
      <c r="F210" s="29" t="s">
        <v>23</v>
      </c>
      <c r="G210" s="20" t="s">
        <v>33</v>
      </c>
      <c r="H210" s="36" t="s">
        <v>893</v>
      </c>
      <c r="I210" s="37">
        <v>44421</v>
      </c>
      <c r="J210" s="37">
        <v>44442</v>
      </c>
      <c r="K210" s="22" t="s">
        <v>26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>SUM(O210:Q210)</f>
        <v>14</v>
      </c>
      <c r="S210" s="22">
        <v>8</v>
      </c>
      <c r="T210" s="20" t="s">
        <v>894</v>
      </c>
    </row>
    <row r="211" spans="1:20" ht="23.25" hidden="1" customHeight="1" x14ac:dyDescent="0.25">
      <c r="A211" s="21" t="s">
        <v>895</v>
      </c>
      <c r="B211" s="24">
        <v>2021</v>
      </c>
      <c r="C211" s="90" t="s">
        <v>21</v>
      </c>
      <c r="D211" s="24" t="s">
        <v>896</v>
      </c>
      <c r="E211" s="30" t="s">
        <v>897</v>
      </c>
      <c r="F211" s="31" t="s">
        <v>62</v>
      </c>
      <c r="G211" s="21" t="s">
        <v>72</v>
      </c>
      <c r="H211" s="38" t="s">
        <v>898</v>
      </c>
      <c r="I211" s="39">
        <v>44424</v>
      </c>
      <c r="J211" s="39">
        <v>44427</v>
      </c>
      <c r="K211" s="24" t="s">
        <v>35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>SUM(O211:Q211)</f>
        <v>53</v>
      </c>
      <c r="S211" s="24">
        <v>16</v>
      </c>
      <c r="T211" s="21" t="s">
        <v>414</v>
      </c>
    </row>
    <row r="212" spans="1:20" ht="23.25" hidden="1" customHeight="1" x14ac:dyDescent="0.25">
      <c r="A212" s="20" t="s">
        <v>899</v>
      </c>
      <c r="B212" s="22">
        <v>2021</v>
      </c>
      <c r="C212" s="90" t="s">
        <v>21</v>
      </c>
      <c r="D212" s="22" t="s">
        <v>900</v>
      </c>
      <c r="E212" s="27" t="s">
        <v>901</v>
      </c>
      <c r="F212" s="29" t="s">
        <v>23</v>
      </c>
      <c r="G212" s="20" t="s">
        <v>38</v>
      </c>
      <c r="H212" s="36" t="s">
        <v>902</v>
      </c>
      <c r="I212" s="37">
        <v>44431</v>
      </c>
      <c r="J212" s="37">
        <v>44431</v>
      </c>
      <c r="K212" s="22" t="s">
        <v>26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>SUM(O212:Q212)</f>
        <v>105</v>
      </c>
      <c r="S212" s="22">
        <v>1.5</v>
      </c>
      <c r="T212" s="20" t="s">
        <v>903</v>
      </c>
    </row>
    <row r="213" spans="1:20" ht="23.25" hidden="1" customHeight="1" x14ac:dyDescent="0.25">
      <c r="A213" s="21" t="s">
        <v>904</v>
      </c>
      <c r="B213" s="24">
        <v>2021</v>
      </c>
      <c r="C213" s="90" t="s">
        <v>21</v>
      </c>
      <c r="D213" s="24" t="s">
        <v>905</v>
      </c>
      <c r="E213" s="30" t="s">
        <v>906</v>
      </c>
      <c r="F213" s="31" t="s">
        <v>62</v>
      </c>
      <c r="G213" s="21" t="s">
        <v>72</v>
      </c>
      <c r="H213" s="38" t="s">
        <v>907</v>
      </c>
      <c r="I213" s="39">
        <v>44438</v>
      </c>
      <c r="J213" s="39">
        <v>44439</v>
      </c>
      <c r="K213" s="24" t="s">
        <v>26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>SUM(O213:Q213)</f>
        <v>635</v>
      </c>
      <c r="S213" s="24">
        <v>4</v>
      </c>
      <c r="T213" s="21" t="s">
        <v>908</v>
      </c>
    </row>
    <row r="214" spans="1:20" ht="23.25" hidden="1" customHeight="1" x14ac:dyDescent="0.25">
      <c r="A214" s="20" t="s">
        <v>909</v>
      </c>
      <c r="B214" s="22">
        <v>2021</v>
      </c>
      <c r="C214" s="90" t="s">
        <v>21</v>
      </c>
      <c r="D214" s="22" t="s">
        <v>910</v>
      </c>
      <c r="E214" s="27" t="s">
        <v>911</v>
      </c>
      <c r="F214" s="29" t="s">
        <v>62</v>
      </c>
      <c r="G214" s="20" t="s">
        <v>72</v>
      </c>
      <c r="H214" s="36" t="s">
        <v>912</v>
      </c>
      <c r="I214" s="37">
        <v>44440</v>
      </c>
      <c r="J214" s="37">
        <v>44440</v>
      </c>
      <c r="K214" s="22" t="s">
        <v>35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>SUM(O214:Q214)</f>
        <v>34</v>
      </c>
      <c r="S214" s="22">
        <v>2</v>
      </c>
      <c r="T214" s="20" t="s">
        <v>913</v>
      </c>
    </row>
    <row r="215" spans="1:20" ht="23.25" hidden="1" customHeight="1" x14ac:dyDescent="0.25">
      <c r="A215" s="21" t="s">
        <v>914</v>
      </c>
      <c r="B215" s="24">
        <v>2021</v>
      </c>
      <c r="C215" s="90" t="s">
        <v>21</v>
      </c>
      <c r="D215" s="24" t="s">
        <v>915</v>
      </c>
      <c r="E215" s="30" t="s">
        <v>916</v>
      </c>
      <c r="F215" s="31" t="s">
        <v>62</v>
      </c>
      <c r="G215" s="21" t="s">
        <v>72</v>
      </c>
      <c r="H215" s="38" t="s">
        <v>912</v>
      </c>
      <c r="I215" s="39">
        <v>44440</v>
      </c>
      <c r="J215" s="39">
        <v>44440</v>
      </c>
      <c r="K215" s="24" t="s">
        <v>35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>SUM(O215:Q215)</f>
        <v>32</v>
      </c>
      <c r="S215" s="24">
        <v>4</v>
      </c>
      <c r="T215" s="21" t="s">
        <v>917</v>
      </c>
    </row>
    <row r="216" spans="1:20" ht="23.25" hidden="1" customHeight="1" x14ac:dyDescent="0.25">
      <c r="A216" s="20" t="s">
        <v>918</v>
      </c>
      <c r="B216" s="22">
        <v>2021</v>
      </c>
      <c r="C216" s="90" t="s">
        <v>21</v>
      </c>
      <c r="D216" s="22" t="s">
        <v>919</v>
      </c>
      <c r="E216" s="27" t="s">
        <v>920</v>
      </c>
      <c r="F216" s="29" t="s">
        <v>23</v>
      </c>
      <c r="G216" s="20" t="s">
        <v>364</v>
      </c>
      <c r="H216" s="36" t="s">
        <v>921</v>
      </c>
      <c r="I216" s="37">
        <v>44449</v>
      </c>
      <c r="J216" s="37">
        <v>44453</v>
      </c>
      <c r="K216" s="22" t="s">
        <v>35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>SUM(O216:Q216)</f>
        <v>10</v>
      </c>
      <c r="S216" s="22">
        <v>10.5</v>
      </c>
      <c r="T216" s="20" t="s">
        <v>922</v>
      </c>
    </row>
    <row r="217" spans="1:20" ht="23.25" hidden="1" customHeight="1" x14ac:dyDescent="0.25">
      <c r="A217" s="21" t="s">
        <v>923</v>
      </c>
      <c r="B217" s="24">
        <v>2021</v>
      </c>
      <c r="C217" s="90" t="s">
        <v>21</v>
      </c>
      <c r="D217" s="24" t="s">
        <v>887</v>
      </c>
      <c r="E217" s="30" t="s">
        <v>924</v>
      </c>
      <c r="F217" s="31" t="s">
        <v>23</v>
      </c>
      <c r="G217" s="21" t="s">
        <v>33</v>
      </c>
      <c r="H217" s="38" t="s">
        <v>925</v>
      </c>
      <c r="I217" s="39">
        <v>44459</v>
      </c>
      <c r="J217" s="39">
        <v>44463</v>
      </c>
      <c r="K217" s="24" t="s">
        <v>26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>SUM(O217:Q217)</f>
        <v>16</v>
      </c>
      <c r="S217" s="24">
        <v>20</v>
      </c>
      <c r="T217" s="21" t="s">
        <v>677</v>
      </c>
    </row>
    <row r="218" spans="1:20" ht="23.25" hidden="1" customHeight="1" x14ac:dyDescent="0.25">
      <c r="A218" s="20" t="s">
        <v>926</v>
      </c>
      <c r="B218" s="22">
        <v>2021</v>
      </c>
      <c r="C218" s="90" t="s">
        <v>21</v>
      </c>
      <c r="D218" s="22" t="s">
        <v>927</v>
      </c>
      <c r="E218" s="27" t="s">
        <v>928</v>
      </c>
      <c r="F218" s="29" t="s">
        <v>23</v>
      </c>
      <c r="G218" s="20" t="s">
        <v>457</v>
      </c>
      <c r="H218" s="36" t="s">
        <v>929</v>
      </c>
      <c r="I218" s="37">
        <v>44460</v>
      </c>
      <c r="J218" s="37">
        <v>44473</v>
      </c>
      <c r="K218" s="22" t="s">
        <v>26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>SUM(O218:Q218)</f>
        <v>20</v>
      </c>
      <c r="S218" s="22">
        <v>8</v>
      </c>
      <c r="T218" s="20" t="s">
        <v>930</v>
      </c>
    </row>
    <row r="219" spans="1:20" ht="23.25" hidden="1" customHeight="1" x14ac:dyDescent="0.25">
      <c r="A219" s="21" t="s">
        <v>931</v>
      </c>
      <c r="B219" s="24">
        <v>2021</v>
      </c>
      <c r="C219" s="90" t="s">
        <v>21</v>
      </c>
      <c r="D219" s="24" t="s">
        <v>932</v>
      </c>
      <c r="E219" s="30" t="s">
        <v>933</v>
      </c>
      <c r="F219" s="31" t="s">
        <v>81</v>
      </c>
      <c r="G219" s="21" t="s">
        <v>72</v>
      </c>
      <c r="H219" s="38" t="s">
        <v>934</v>
      </c>
      <c r="I219" s="39">
        <v>44461</v>
      </c>
      <c r="J219" s="39">
        <v>44461</v>
      </c>
      <c r="K219" s="24" t="s">
        <v>35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>SUM(O219:Q219)</f>
        <v>59</v>
      </c>
      <c r="S219" s="24">
        <v>1</v>
      </c>
      <c r="T219" s="21" t="s">
        <v>935</v>
      </c>
    </row>
    <row r="220" spans="1:20" ht="23.25" hidden="1" customHeight="1" x14ac:dyDescent="0.25">
      <c r="A220" s="20" t="s">
        <v>936</v>
      </c>
      <c r="B220" s="22">
        <v>2021</v>
      </c>
      <c r="C220" s="90" t="s">
        <v>21</v>
      </c>
      <c r="D220" s="22" t="s">
        <v>847</v>
      </c>
      <c r="E220" s="27" t="s">
        <v>937</v>
      </c>
      <c r="F220" s="29" t="s">
        <v>23</v>
      </c>
      <c r="G220" s="20" t="s">
        <v>199</v>
      </c>
      <c r="H220" s="36" t="s">
        <v>938</v>
      </c>
      <c r="I220" s="37">
        <v>44463</v>
      </c>
      <c r="J220" s="37">
        <v>44463</v>
      </c>
      <c r="K220" s="22" t="s">
        <v>35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>SUM(O220:Q220)</f>
        <v>70</v>
      </c>
      <c r="S220" s="22">
        <v>2</v>
      </c>
      <c r="T220" s="20" t="s">
        <v>850</v>
      </c>
    </row>
    <row r="221" spans="1:20" ht="23.25" hidden="1" customHeight="1" x14ac:dyDescent="0.25">
      <c r="A221" s="21" t="s">
        <v>939</v>
      </c>
      <c r="B221" s="24">
        <v>2021</v>
      </c>
      <c r="C221" s="90" t="s">
        <v>21</v>
      </c>
      <c r="D221" s="24" t="s">
        <v>932</v>
      </c>
      <c r="E221" s="30" t="s">
        <v>940</v>
      </c>
      <c r="F221" s="31" t="s">
        <v>81</v>
      </c>
      <c r="G221" s="21" t="s">
        <v>72</v>
      </c>
      <c r="H221" s="38" t="s">
        <v>941</v>
      </c>
      <c r="I221" s="39">
        <v>44473</v>
      </c>
      <c r="J221" s="39">
        <v>44473</v>
      </c>
      <c r="K221" s="24" t="s">
        <v>35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>SUM(O221:Q221)</f>
        <v>30</v>
      </c>
      <c r="S221" s="24">
        <v>1</v>
      </c>
      <c r="T221" s="21" t="s">
        <v>935</v>
      </c>
    </row>
    <row r="222" spans="1:20" ht="23.25" hidden="1" customHeight="1" x14ac:dyDescent="0.25">
      <c r="A222" s="20" t="s">
        <v>942</v>
      </c>
      <c r="B222" s="22">
        <v>2021</v>
      </c>
      <c r="C222" s="90" t="s">
        <v>21</v>
      </c>
      <c r="D222" s="22" t="s">
        <v>943</v>
      </c>
      <c r="E222" s="27" t="s">
        <v>944</v>
      </c>
      <c r="F222" s="29" t="s">
        <v>23</v>
      </c>
      <c r="G222" s="20" t="s">
        <v>38</v>
      </c>
      <c r="H222" s="36" t="s">
        <v>945</v>
      </c>
      <c r="I222" s="37">
        <v>44483</v>
      </c>
      <c r="J222" s="37">
        <v>44483</v>
      </c>
      <c r="K222" s="22" t="s">
        <v>26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>SUM(O222:Q222)</f>
        <v>14</v>
      </c>
      <c r="S222" s="22">
        <v>2</v>
      </c>
      <c r="T222" s="20" t="s">
        <v>946</v>
      </c>
    </row>
    <row r="223" spans="1:20" ht="23.25" hidden="1" customHeight="1" x14ac:dyDescent="0.25">
      <c r="A223" s="21" t="s">
        <v>947</v>
      </c>
      <c r="B223" s="24">
        <v>2021</v>
      </c>
      <c r="C223" s="90" t="s">
        <v>21</v>
      </c>
      <c r="D223" s="24" t="s">
        <v>948</v>
      </c>
      <c r="E223" s="30" t="s">
        <v>949</v>
      </c>
      <c r="F223" s="31" t="s">
        <v>225</v>
      </c>
      <c r="G223" s="21" t="s">
        <v>72</v>
      </c>
      <c r="H223" s="38" t="s">
        <v>950</v>
      </c>
      <c r="I223" s="39">
        <v>44487</v>
      </c>
      <c r="J223" s="39">
        <v>44491</v>
      </c>
      <c r="K223" s="24" t="s">
        <v>35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>SUM(O223:Q223)</f>
        <v>29</v>
      </c>
      <c r="S223" s="24">
        <v>12</v>
      </c>
      <c r="T223" s="21" t="s">
        <v>951</v>
      </c>
    </row>
    <row r="224" spans="1:20" ht="23.25" hidden="1" customHeight="1" x14ac:dyDescent="0.25">
      <c r="A224" s="20" t="s">
        <v>952</v>
      </c>
      <c r="B224" s="22">
        <v>2021</v>
      </c>
      <c r="C224" s="90" t="s">
        <v>21</v>
      </c>
      <c r="D224" s="22" t="s">
        <v>953</v>
      </c>
      <c r="E224" s="27" t="s">
        <v>954</v>
      </c>
      <c r="F224" s="29" t="s">
        <v>23</v>
      </c>
      <c r="G224" s="20" t="s">
        <v>199</v>
      </c>
      <c r="H224" s="36" t="s">
        <v>955</v>
      </c>
      <c r="I224" s="37">
        <v>44491</v>
      </c>
      <c r="J224" s="37">
        <v>44491</v>
      </c>
      <c r="K224" s="22" t="s">
        <v>26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>SUM(O224:Q224)</f>
        <v>37</v>
      </c>
      <c r="S224" s="22">
        <v>2</v>
      </c>
      <c r="T224" s="20" t="s">
        <v>956</v>
      </c>
    </row>
    <row r="225" spans="1:20" ht="23.25" hidden="1" customHeight="1" x14ac:dyDescent="0.25">
      <c r="A225" s="21" t="s">
        <v>957</v>
      </c>
      <c r="B225" s="24">
        <v>2021</v>
      </c>
      <c r="C225" s="90" t="s">
        <v>21</v>
      </c>
      <c r="D225" s="24" t="s">
        <v>958</v>
      </c>
      <c r="E225" s="30" t="s">
        <v>959</v>
      </c>
      <c r="F225" s="31" t="s">
        <v>62</v>
      </c>
      <c r="G225" s="21" t="s">
        <v>72</v>
      </c>
      <c r="H225" s="38" t="s">
        <v>960</v>
      </c>
      <c r="I225" s="39">
        <v>44503</v>
      </c>
      <c r="J225" s="39">
        <v>44512</v>
      </c>
      <c r="K225" s="24" t="s">
        <v>35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>SUM(O225:Q225)</f>
        <v>24</v>
      </c>
      <c r="S225" s="24">
        <v>24</v>
      </c>
      <c r="T225" s="21" t="s">
        <v>961</v>
      </c>
    </row>
    <row r="226" spans="1:20" ht="23.25" hidden="1" customHeight="1" x14ac:dyDescent="0.25">
      <c r="A226" s="20" t="s">
        <v>962</v>
      </c>
      <c r="B226" s="22">
        <v>2021</v>
      </c>
      <c r="C226" s="90" t="s">
        <v>21</v>
      </c>
      <c r="D226" s="22" t="s">
        <v>963</v>
      </c>
      <c r="E226" s="27" t="s">
        <v>964</v>
      </c>
      <c r="F226" s="29" t="s">
        <v>23</v>
      </c>
      <c r="G226" s="20" t="s">
        <v>457</v>
      </c>
      <c r="H226" s="36" t="s">
        <v>965</v>
      </c>
      <c r="I226" s="37">
        <v>44505</v>
      </c>
      <c r="J226" s="37">
        <v>44505</v>
      </c>
      <c r="K226" s="22" t="s">
        <v>26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>SUM(O226:Q226)</f>
        <v>32</v>
      </c>
      <c r="S226" s="22">
        <v>1.5</v>
      </c>
      <c r="T226" s="20" t="s">
        <v>966</v>
      </c>
    </row>
    <row r="227" spans="1:20" ht="23.25" hidden="1" customHeight="1" x14ac:dyDescent="0.25">
      <c r="A227" s="21" t="s">
        <v>967</v>
      </c>
      <c r="B227" s="24">
        <v>2021</v>
      </c>
      <c r="C227" s="90" t="s">
        <v>21</v>
      </c>
      <c r="D227" s="24" t="s">
        <v>943</v>
      </c>
      <c r="E227" s="30" t="s">
        <v>968</v>
      </c>
      <c r="F227" s="31" t="s">
        <v>23</v>
      </c>
      <c r="G227" s="21" t="s">
        <v>38</v>
      </c>
      <c r="H227" s="38" t="s">
        <v>969</v>
      </c>
      <c r="I227" s="39">
        <v>44508</v>
      </c>
      <c r="J227" s="39">
        <v>44508</v>
      </c>
      <c r="K227" s="24" t="s">
        <v>26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>SUM(O227:Q227)</f>
        <v>14</v>
      </c>
      <c r="S227" s="24">
        <v>1</v>
      </c>
      <c r="T227" s="21" t="s">
        <v>970</v>
      </c>
    </row>
    <row r="228" spans="1:20" ht="23.25" hidden="1" customHeight="1" x14ac:dyDescent="0.25">
      <c r="A228" s="20" t="s">
        <v>971</v>
      </c>
      <c r="B228" s="22">
        <v>2021</v>
      </c>
      <c r="C228" s="90" t="s">
        <v>21</v>
      </c>
      <c r="D228" s="22" t="s">
        <v>963</v>
      </c>
      <c r="E228" s="27" t="s">
        <v>972</v>
      </c>
      <c r="F228" s="29" t="s">
        <v>23</v>
      </c>
      <c r="G228" s="20" t="s">
        <v>457</v>
      </c>
      <c r="H228" s="36" t="s">
        <v>973</v>
      </c>
      <c r="I228" s="37">
        <v>44516</v>
      </c>
      <c r="J228" s="37">
        <v>44525</v>
      </c>
      <c r="K228" s="22" t="s">
        <v>26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>SUM(O228:Q228)</f>
        <v>31</v>
      </c>
      <c r="S228" s="22">
        <v>10</v>
      </c>
      <c r="T228" s="20" t="s">
        <v>966</v>
      </c>
    </row>
    <row r="229" spans="1:20" ht="23.25" hidden="1" customHeight="1" x14ac:dyDescent="0.25">
      <c r="A229" s="21" t="s">
        <v>974</v>
      </c>
      <c r="B229" s="24">
        <v>2021</v>
      </c>
      <c r="C229" s="90" t="s">
        <v>21</v>
      </c>
      <c r="D229" s="24" t="s">
        <v>975</v>
      </c>
      <c r="E229" s="30" t="s">
        <v>976</v>
      </c>
      <c r="F229" s="31" t="s">
        <v>62</v>
      </c>
      <c r="G229" s="21" t="s">
        <v>72</v>
      </c>
      <c r="H229" s="38" t="s">
        <v>977</v>
      </c>
      <c r="I229" s="39">
        <v>44518</v>
      </c>
      <c r="J229" s="39">
        <v>44518</v>
      </c>
      <c r="K229" s="24" t="s">
        <v>35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>SUM(O229:Q229)</f>
        <v>30</v>
      </c>
      <c r="S229" s="24">
        <v>4</v>
      </c>
      <c r="T229" s="21" t="s">
        <v>549</v>
      </c>
    </row>
    <row r="230" spans="1:20" ht="23.25" hidden="1" customHeight="1" x14ac:dyDescent="0.25">
      <c r="A230" s="20" t="s">
        <v>978</v>
      </c>
      <c r="B230" s="22">
        <v>2021</v>
      </c>
      <c r="C230" s="90" t="s">
        <v>21</v>
      </c>
      <c r="D230" s="22" t="s">
        <v>896</v>
      </c>
      <c r="E230" s="27" t="s">
        <v>979</v>
      </c>
      <c r="F230" s="29" t="s">
        <v>62</v>
      </c>
      <c r="G230" s="20" t="s">
        <v>72</v>
      </c>
      <c r="H230" s="36" t="s">
        <v>980</v>
      </c>
      <c r="I230" s="37">
        <v>44522</v>
      </c>
      <c r="J230" s="37">
        <v>44525</v>
      </c>
      <c r="K230" s="22" t="s">
        <v>35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>SUM(O230:Q230)</f>
        <v>52</v>
      </c>
      <c r="S230" s="22">
        <v>16</v>
      </c>
      <c r="T230" s="20" t="s">
        <v>414</v>
      </c>
    </row>
    <row r="231" spans="1:20" ht="23.25" hidden="1" customHeight="1" x14ac:dyDescent="0.25">
      <c r="A231" s="21" t="s">
        <v>981</v>
      </c>
      <c r="B231" s="24">
        <v>2021</v>
      </c>
      <c r="C231" s="90" t="s">
        <v>21</v>
      </c>
      <c r="D231" s="24" t="s">
        <v>847</v>
      </c>
      <c r="E231" s="30" t="s">
        <v>982</v>
      </c>
      <c r="F231" s="31" t="s">
        <v>23</v>
      </c>
      <c r="G231" s="21" t="s">
        <v>199</v>
      </c>
      <c r="H231" s="38" t="s">
        <v>983</v>
      </c>
      <c r="I231" s="39">
        <v>44540</v>
      </c>
      <c r="J231" s="39">
        <v>44540</v>
      </c>
      <c r="K231" s="24" t="s">
        <v>35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>SUM(O231:Q231)</f>
        <v>89</v>
      </c>
      <c r="S231" s="24">
        <v>2</v>
      </c>
      <c r="T231" s="21" t="s">
        <v>850</v>
      </c>
    </row>
    <row r="232" spans="1:20" ht="23.25" hidden="1" customHeight="1" x14ac:dyDescent="0.25">
      <c r="A232" s="20" t="s">
        <v>984</v>
      </c>
      <c r="B232" s="22">
        <v>2022</v>
      </c>
      <c r="C232" s="90" t="s">
        <v>21</v>
      </c>
      <c r="D232" s="22" t="s">
        <v>985</v>
      </c>
      <c r="E232" s="27" t="s">
        <v>986</v>
      </c>
      <c r="F232" s="29" t="s">
        <v>23</v>
      </c>
      <c r="G232" s="20" t="s">
        <v>38</v>
      </c>
      <c r="H232" s="36" t="s">
        <v>987</v>
      </c>
      <c r="I232" s="37">
        <v>44592</v>
      </c>
      <c r="J232" s="37">
        <v>44594</v>
      </c>
      <c r="K232" s="22" t="s">
        <v>26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>SUM(O232:Q232)</f>
        <v>13</v>
      </c>
      <c r="S232" s="22">
        <v>24</v>
      </c>
      <c r="T232" s="20" t="s">
        <v>988</v>
      </c>
    </row>
    <row r="233" spans="1:20" ht="23.25" hidden="1" customHeight="1" x14ac:dyDescent="0.25">
      <c r="A233" s="21" t="s">
        <v>989</v>
      </c>
      <c r="B233" s="24">
        <v>2022</v>
      </c>
      <c r="C233" s="90" t="s">
        <v>21</v>
      </c>
      <c r="D233" s="24" t="s">
        <v>990</v>
      </c>
      <c r="E233" s="30" t="s">
        <v>991</v>
      </c>
      <c r="F233" s="31" t="s">
        <v>23</v>
      </c>
      <c r="G233" s="21" t="s">
        <v>24</v>
      </c>
      <c r="H233" s="38" t="s">
        <v>992</v>
      </c>
      <c r="I233" s="39">
        <v>44600</v>
      </c>
      <c r="J233" s="39">
        <v>44600</v>
      </c>
      <c r="K233" s="24" t="s">
        <v>35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>SUM(O233:Q233)</f>
        <v>38</v>
      </c>
      <c r="S233" s="24">
        <v>2</v>
      </c>
      <c r="T233" s="21" t="s">
        <v>584</v>
      </c>
    </row>
    <row r="234" spans="1:20" ht="23.25" hidden="1" customHeight="1" x14ac:dyDescent="0.25">
      <c r="A234" s="20" t="s">
        <v>993</v>
      </c>
      <c r="B234" s="22">
        <v>2022</v>
      </c>
      <c r="C234" s="90" t="s">
        <v>21</v>
      </c>
      <c r="D234" s="22" t="s">
        <v>994</v>
      </c>
      <c r="E234" s="27" t="s">
        <v>995</v>
      </c>
      <c r="F234" s="29" t="s">
        <v>23</v>
      </c>
      <c r="G234" s="20" t="s">
        <v>199</v>
      </c>
      <c r="H234" s="36" t="s">
        <v>996</v>
      </c>
      <c r="I234" s="37">
        <v>44609</v>
      </c>
      <c r="J234" s="37">
        <v>44609</v>
      </c>
      <c r="K234" s="22" t="s">
        <v>26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>SUM(O234:Q234)</f>
        <v>44</v>
      </c>
      <c r="S234" s="22">
        <v>2</v>
      </c>
      <c r="T234" s="20" t="s">
        <v>997</v>
      </c>
    </row>
    <row r="235" spans="1:20" ht="23.25" hidden="1" customHeight="1" x14ac:dyDescent="0.25">
      <c r="A235" s="21" t="s">
        <v>998</v>
      </c>
      <c r="B235" s="24">
        <v>2022</v>
      </c>
      <c r="C235" s="90" t="s">
        <v>21</v>
      </c>
      <c r="D235" s="24" t="s">
        <v>999</v>
      </c>
      <c r="E235" s="30" t="s">
        <v>976</v>
      </c>
      <c r="F235" s="31" t="s">
        <v>62</v>
      </c>
      <c r="G235" s="21" t="s">
        <v>72</v>
      </c>
      <c r="H235" s="38" t="s">
        <v>1000</v>
      </c>
      <c r="I235" s="39">
        <v>44614</v>
      </c>
      <c r="J235" s="39">
        <v>44614</v>
      </c>
      <c r="K235" s="24" t="s">
        <v>35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>SUM(O235:Q235)</f>
        <v>21</v>
      </c>
      <c r="S235" s="24">
        <v>4</v>
      </c>
      <c r="T235" s="21" t="s">
        <v>549</v>
      </c>
    </row>
    <row r="236" spans="1:20" ht="23.25" hidden="1" customHeight="1" x14ac:dyDescent="0.25">
      <c r="A236" s="20" t="s">
        <v>1001</v>
      </c>
      <c r="B236" s="22">
        <v>2022</v>
      </c>
      <c r="C236" s="90" t="s">
        <v>21</v>
      </c>
      <c r="D236" s="22" t="s">
        <v>1002</v>
      </c>
      <c r="E236" s="27" t="s">
        <v>1003</v>
      </c>
      <c r="F236" s="29" t="s">
        <v>81</v>
      </c>
      <c r="G236" s="20" t="s">
        <v>72</v>
      </c>
      <c r="H236" s="36" t="s">
        <v>1004</v>
      </c>
      <c r="I236" s="37">
        <v>44615</v>
      </c>
      <c r="J236" s="37">
        <v>44615</v>
      </c>
      <c r="K236" s="22" t="s">
        <v>26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>SUM(O236:Q236)</f>
        <v>45</v>
      </c>
      <c r="S236" s="22">
        <v>2</v>
      </c>
      <c r="T236" s="20" t="s">
        <v>1005</v>
      </c>
    </row>
    <row r="237" spans="1:20" ht="23.25" hidden="1" customHeight="1" x14ac:dyDescent="0.25">
      <c r="A237" s="21" t="s">
        <v>1006</v>
      </c>
      <c r="B237" s="24">
        <v>2022</v>
      </c>
      <c r="C237" s="90" t="s">
        <v>21</v>
      </c>
      <c r="D237" s="24" t="s">
        <v>847</v>
      </c>
      <c r="E237" s="30" t="s">
        <v>1007</v>
      </c>
      <c r="F237" s="31" t="s">
        <v>23</v>
      </c>
      <c r="G237" s="21" t="s">
        <v>199</v>
      </c>
      <c r="H237" s="38" t="s">
        <v>1008</v>
      </c>
      <c r="I237" s="39">
        <v>44631</v>
      </c>
      <c r="J237" s="39">
        <v>44631</v>
      </c>
      <c r="K237" s="24" t="s">
        <v>35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>SUM(O237:Q237)</f>
        <v>70</v>
      </c>
      <c r="S237" s="24">
        <v>2</v>
      </c>
      <c r="T237" s="21" t="s">
        <v>710</v>
      </c>
    </row>
    <row r="238" spans="1:20" ht="23.25" hidden="1" customHeight="1" x14ac:dyDescent="0.25">
      <c r="A238" s="20" t="s">
        <v>1009</v>
      </c>
      <c r="B238" s="22">
        <v>2022</v>
      </c>
      <c r="C238" s="90" t="s">
        <v>21</v>
      </c>
      <c r="D238" s="22" t="s">
        <v>1010</v>
      </c>
      <c r="E238" s="27" t="s">
        <v>1011</v>
      </c>
      <c r="F238" s="29" t="s">
        <v>23</v>
      </c>
      <c r="G238" s="20" t="s">
        <v>38</v>
      </c>
      <c r="H238" s="36" t="s">
        <v>1012</v>
      </c>
      <c r="I238" s="37">
        <v>44633</v>
      </c>
      <c r="J238" s="37">
        <v>44645</v>
      </c>
      <c r="K238" s="22" t="s">
        <v>26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>SUM(O238:Q238)</f>
        <v>15</v>
      </c>
      <c r="S238" s="22">
        <v>20</v>
      </c>
      <c r="T238" s="20" t="s">
        <v>1013</v>
      </c>
    </row>
    <row r="239" spans="1:20" ht="23.25" hidden="1" customHeight="1" x14ac:dyDescent="0.25">
      <c r="A239" s="21" t="s">
        <v>1014</v>
      </c>
      <c r="B239" s="24">
        <v>2022</v>
      </c>
      <c r="C239" s="90" t="s">
        <v>21</v>
      </c>
      <c r="D239" s="24" t="s">
        <v>1015</v>
      </c>
      <c r="E239" s="30" t="s">
        <v>1016</v>
      </c>
      <c r="F239" s="31" t="s">
        <v>81</v>
      </c>
      <c r="G239" s="21" t="s">
        <v>72</v>
      </c>
      <c r="H239" s="38" t="s">
        <v>1017</v>
      </c>
      <c r="I239" s="39">
        <v>44642</v>
      </c>
      <c r="J239" s="39">
        <v>44642</v>
      </c>
      <c r="K239" s="24" t="s">
        <v>26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>SUM(O239:Q239)</f>
        <v>51</v>
      </c>
      <c r="S239" s="24">
        <v>2</v>
      </c>
      <c r="T239" s="21" t="s">
        <v>1018</v>
      </c>
    </row>
    <row r="240" spans="1:20" ht="23.25" hidden="1" customHeight="1" x14ac:dyDescent="0.25">
      <c r="A240" s="20" t="s">
        <v>1019</v>
      </c>
      <c r="B240" s="22">
        <v>2022</v>
      </c>
      <c r="C240" s="90" t="s">
        <v>21</v>
      </c>
      <c r="D240" s="22" t="s">
        <v>1020</v>
      </c>
      <c r="E240" s="27" t="s">
        <v>1021</v>
      </c>
      <c r="F240" s="29" t="s">
        <v>81</v>
      </c>
      <c r="G240" s="20" t="s">
        <v>72</v>
      </c>
      <c r="H240" s="36" t="s">
        <v>1022</v>
      </c>
      <c r="I240" s="37">
        <v>44655</v>
      </c>
      <c r="J240" s="37">
        <v>44655</v>
      </c>
      <c r="K240" s="22" t="s">
        <v>35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>SUM(O240:Q240)</f>
        <v>31</v>
      </c>
      <c r="S240" s="22">
        <v>1</v>
      </c>
      <c r="T240" s="20" t="s">
        <v>1023</v>
      </c>
    </row>
    <row r="241" spans="1:20" ht="23.25" hidden="1" customHeight="1" x14ac:dyDescent="0.25">
      <c r="A241" s="21" t="s">
        <v>1024</v>
      </c>
      <c r="B241" s="24">
        <v>2022</v>
      </c>
      <c r="C241" s="90" t="s">
        <v>21</v>
      </c>
      <c r="D241" s="24" t="s">
        <v>1025</v>
      </c>
      <c r="E241" s="30" t="s">
        <v>1026</v>
      </c>
      <c r="F241" s="31" t="s">
        <v>23</v>
      </c>
      <c r="G241" s="21" t="s">
        <v>38</v>
      </c>
      <c r="H241" s="38" t="s">
        <v>1027</v>
      </c>
      <c r="I241" s="39">
        <v>44655</v>
      </c>
      <c r="J241" s="39">
        <v>44664</v>
      </c>
      <c r="K241" s="24" t="s">
        <v>26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>SUM(O241:Q241)</f>
        <v>140</v>
      </c>
      <c r="S241" s="24">
        <v>20</v>
      </c>
      <c r="T241" s="21" t="s">
        <v>1028</v>
      </c>
    </row>
    <row r="242" spans="1:20" ht="23.25" hidden="1" customHeight="1" x14ac:dyDescent="0.25">
      <c r="A242" s="20" t="s">
        <v>1029</v>
      </c>
      <c r="B242" s="22">
        <v>2022</v>
      </c>
      <c r="C242" s="90" t="s">
        <v>21</v>
      </c>
      <c r="D242" s="22" t="s">
        <v>1030</v>
      </c>
      <c r="E242" s="27" t="s">
        <v>1031</v>
      </c>
      <c r="F242" s="29" t="s">
        <v>23</v>
      </c>
      <c r="G242" s="20" t="s">
        <v>199</v>
      </c>
      <c r="H242" s="36" t="s">
        <v>1032</v>
      </c>
      <c r="I242" s="37">
        <v>44676</v>
      </c>
      <c r="J242" s="37">
        <v>44686</v>
      </c>
      <c r="K242" s="22" t="s">
        <v>26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>SUM(O242:Q242)</f>
        <v>15</v>
      </c>
      <c r="S242" s="22">
        <v>21</v>
      </c>
      <c r="T242" s="20" t="s">
        <v>828</v>
      </c>
    </row>
    <row r="243" spans="1:20" ht="23.25" hidden="1" customHeight="1" x14ac:dyDescent="0.25">
      <c r="A243" s="21" t="s">
        <v>1033</v>
      </c>
      <c r="B243" s="24">
        <v>2022</v>
      </c>
      <c r="C243" s="90" t="s">
        <v>21</v>
      </c>
      <c r="D243" s="24" t="s">
        <v>1034</v>
      </c>
      <c r="E243" s="30" t="s">
        <v>1035</v>
      </c>
      <c r="F243" s="31" t="s">
        <v>23</v>
      </c>
      <c r="G243" s="21" t="s">
        <v>199</v>
      </c>
      <c r="H243" s="38" t="s">
        <v>1036</v>
      </c>
      <c r="I243" s="39">
        <v>44691</v>
      </c>
      <c r="J243" s="39">
        <v>44700</v>
      </c>
      <c r="K243" s="24" t="s">
        <v>26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>SUM(O243:Q243)</f>
        <v>18</v>
      </c>
      <c r="S243" s="24">
        <v>12</v>
      </c>
      <c r="T243" s="21" t="s">
        <v>930</v>
      </c>
    </row>
    <row r="244" spans="1:20" ht="23.25" hidden="1" customHeight="1" x14ac:dyDescent="0.25">
      <c r="A244" s="20" t="s">
        <v>1037</v>
      </c>
      <c r="B244" s="22">
        <v>2022</v>
      </c>
      <c r="C244" s="90" t="s">
        <v>21</v>
      </c>
      <c r="D244" s="22" t="s">
        <v>847</v>
      </c>
      <c r="E244" s="27" t="s">
        <v>1007</v>
      </c>
      <c r="F244" s="29" t="s">
        <v>23</v>
      </c>
      <c r="G244" s="20" t="s">
        <v>199</v>
      </c>
      <c r="H244" s="36" t="s">
        <v>1038</v>
      </c>
      <c r="I244" s="37">
        <v>44694</v>
      </c>
      <c r="J244" s="37">
        <v>44694</v>
      </c>
      <c r="K244" s="22" t="s">
        <v>35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>SUM(O244:Q244)</f>
        <v>55</v>
      </c>
      <c r="S244" s="22">
        <v>2</v>
      </c>
      <c r="T244" s="20" t="s">
        <v>710</v>
      </c>
    </row>
    <row r="245" spans="1:20" ht="23.25" hidden="1" customHeight="1" x14ac:dyDescent="0.25">
      <c r="A245" s="21" t="s">
        <v>1039</v>
      </c>
      <c r="B245" s="24">
        <v>2022</v>
      </c>
      <c r="C245" s="90" t="s">
        <v>21</v>
      </c>
      <c r="D245" s="24" t="s">
        <v>1020</v>
      </c>
      <c r="E245" s="30" t="s">
        <v>1040</v>
      </c>
      <c r="F245" s="31" t="s">
        <v>81</v>
      </c>
      <c r="G245" s="21" t="s">
        <v>72</v>
      </c>
      <c r="H245" s="38" t="s">
        <v>1041</v>
      </c>
      <c r="I245" s="39">
        <v>44697</v>
      </c>
      <c r="J245" s="39">
        <v>44697</v>
      </c>
      <c r="K245" s="24" t="s">
        <v>35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>SUM(O245:Q245)</f>
        <v>120</v>
      </c>
      <c r="S245" s="24">
        <v>1</v>
      </c>
      <c r="T245" s="21" t="s">
        <v>1042</v>
      </c>
    </row>
    <row r="246" spans="1:20" ht="23.25" hidden="1" customHeight="1" x14ac:dyDescent="0.25">
      <c r="A246" s="20" t="s">
        <v>1043</v>
      </c>
      <c r="B246" s="22">
        <v>2022</v>
      </c>
      <c r="C246" s="90" t="s">
        <v>21</v>
      </c>
      <c r="D246" s="22" t="s">
        <v>1044</v>
      </c>
      <c r="E246" s="27" t="s">
        <v>959</v>
      </c>
      <c r="F246" s="29" t="s">
        <v>81</v>
      </c>
      <c r="G246" s="20" t="s">
        <v>72</v>
      </c>
      <c r="H246" s="36" t="s">
        <v>1045</v>
      </c>
      <c r="I246" s="37">
        <v>44697</v>
      </c>
      <c r="J246" s="37">
        <v>44713</v>
      </c>
      <c r="K246" s="22" t="s">
        <v>35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>SUM(O246:Q246)</f>
        <v>34</v>
      </c>
      <c r="S246" s="22">
        <v>24</v>
      </c>
      <c r="T246" s="20" t="s">
        <v>1046</v>
      </c>
    </row>
    <row r="247" spans="1:20" ht="23.25" hidden="1" customHeight="1" x14ac:dyDescent="0.25">
      <c r="A247" s="21" t="s">
        <v>1047</v>
      </c>
      <c r="B247" s="24">
        <v>2022</v>
      </c>
      <c r="C247" s="90" t="s">
        <v>21</v>
      </c>
      <c r="D247" s="24" t="s">
        <v>1048</v>
      </c>
      <c r="E247" s="30" t="s">
        <v>1049</v>
      </c>
      <c r="F247" s="31" t="s">
        <v>62</v>
      </c>
      <c r="G247" s="21" t="s">
        <v>72</v>
      </c>
      <c r="H247" s="38" t="s">
        <v>1050</v>
      </c>
      <c r="I247" s="39">
        <v>44698</v>
      </c>
      <c r="J247" s="39">
        <v>44698</v>
      </c>
      <c r="K247" s="24" t="s">
        <v>35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>SUM(O247:Q247)</f>
        <v>37</v>
      </c>
      <c r="S247" s="24">
        <v>4</v>
      </c>
      <c r="T247" s="21" t="s">
        <v>549</v>
      </c>
    </row>
    <row r="248" spans="1:20" ht="23.25" hidden="1" customHeight="1" x14ac:dyDescent="0.25">
      <c r="A248" s="20" t="s">
        <v>1051</v>
      </c>
      <c r="B248" s="22">
        <v>2022</v>
      </c>
      <c r="C248" s="90" t="s">
        <v>21</v>
      </c>
      <c r="D248" s="22" t="s">
        <v>1052</v>
      </c>
      <c r="E248" s="27" t="s">
        <v>1053</v>
      </c>
      <c r="F248" s="29" t="s">
        <v>62</v>
      </c>
      <c r="G248" s="20" t="s">
        <v>72</v>
      </c>
      <c r="H248" s="36" t="s">
        <v>1054</v>
      </c>
      <c r="I248" s="37">
        <v>44700</v>
      </c>
      <c r="J248" s="37">
        <v>44700</v>
      </c>
      <c r="K248" s="22" t="s">
        <v>35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>SUM(O248:Q248)</f>
        <v>6</v>
      </c>
      <c r="S248" s="22">
        <v>2</v>
      </c>
      <c r="T248" s="20" t="s">
        <v>1055</v>
      </c>
    </row>
    <row r="249" spans="1:20" ht="23.25" hidden="1" customHeight="1" x14ac:dyDescent="0.25">
      <c r="A249" s="21" t="s">
        <v>1056</v>
      </c>
      <c r="B249" s="24">
        <v>2022</v>
      </c>
      <c r="C249" s="90" t="s">
        <v>21</v>
      </c>
      <c r="D249" s="24" t="s">
        <v>1057</v>
      </c>
      <c r="E249" s="30" t="s">
        <v>1058</v>
      </c>
      <c r="F249" s="31" t="s">
        <v>23</v>
      </c>
      <c r="G249" s="21" t="s">
        <v>199</v>
      </c>
      <c r="H249" s="38" t="s">
        <v>1059</v>
      </c>
      <c r="I249" s="39">
        <v>44707</v>
      </c>
      <c r="J249" s="39">
        <v>44721</v>
      </c>
      <c r="K249" s="24" t="s">
        <v>26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>SUM(O249:Q249)</f>
        <v>25</v>
      </c>
      <c r="S249" s="24">
        <v>8</v>
      </c>
      <c r="T249" s="21" t="s">
        <v>1060</v>
      </c>
    </row>
    <row r="250" spans="1:20" ht="23.25" hidden="1" customHeight="1" x14ac:dyDescent="0.25">
      <c r="A250" s="20" t="s">
        <v>1061</v>
      </c>
      <c r="B250" s="22">
        <v>2022</v>
      </c>
      <c r="C250" s="90" t="s">
        <v>21</v>
      </c>
      <c r="D250" s="22" t="s">
        <v>1062</v>
      </c>
      <c r="E250" s="27" t="s">
        <v>1063</v>
      </c>
      <c r="F250" s="29" t="s">
        <v>23</v>
      </c>
      <c r="G250" s="20" t="s">
        <v>364</v>
      </c>
      <c r="H250" s="36" t="s">
        <v>1064</v>
      </c>
      <c r="I250" s="37">
        <v>44708</v>
      </c>
      <c r="J250" s="37">
        <v>44714</v>
      </c>
      <c r="K250" s="22" t="s">
        <v>35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>SUM(O250:Q250)</f>
        <v>26</v>
      </c>
      <c r="S250" s="22">
        <v>20</v>
      </c>
      <c r="T250" s="20" t="s">
        <v>1065</v>
      </c>
    </row>
    <row r="251" spans="1:20" ht="23.25" hidden="1" customHeight="1" x14ac:dyDescent="0.25">
      <c r="A251" s="21" t="s">
        <v>1066</v>
      </c>
      <c r="B251" s="24">
        <v>2022</v>
      </c>
      <c r="C251" s="90" t="s">
        <v>21</v>
      </c>
      <c r="D251" s="24" t="s">
        <v>1067</v>
      </c>
      <c r="E251" s="30" t="s">
        <v>1068</v>
      </c>
      <c r="F251" s="31" t="s">
        <v>81</v>
      </c>
      <c r="G251" s="21" t="s">
        <v>72</v>
      </c>
      <c r="H251" s="38" t="s">
        <v>1069</v>
      </c>
      <c r="I251" s="39">
        <v>44712</v>
      </c>
      <c r="J251" s="39">
        <v>44712</v>
      </c>
      <c r="K251" s="24" t="s">
        <v>35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>SUM(O251:Q251)</f>
        <v>56</v>
      </c>
      <c r="S251" s="24">
        <v>2</v>
      </c>
      <c r="T251" s="21" t="s">
        <v>549</v>
      </c>
    </row>
    <row r="252" spans="1:20" ht="23.25" hidden="1" customHeight="1" x14ac:dyDescent="0.25">
      <c r="A252" s="20" t="s">
        <v>1070</v>
      </c>
      <c r="B252" s="22">
        <v>2022</v>
      </c>
      <c r="C252" s="90" t="s">
        <v>21</v>
      </c>
      <c r="D252" s="22" t="s">
        <v>1071</v>
      </c>
      <c r="E252" s="27" t="s">
        <v>1072</v>
      </c>
      <c r="F252" s="29" t="s">
        <v>23</v>
      </c>
      <c r="G252" s="20" t="s">
        <v>364</v>
      </c>
      <c r="H252" s="36" t="s">
        <v>1073</v>
      </c>
      <c r="I252" s="37">
        <v>44715</v>
      </c>
      <c r="J252" s="37">
        <v>44715</v>
      </c>
      <c r="K252" s="22" t="s">
        <v>35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>SUM(O252:Q252)</f>
        <v>26</v>
      </c>
      <c r="S252" s="22">
        <v>4.5</v>
      </c>
      <c r="T252" s="20" t="s">
        <v>1074</v>
      </c>
    </row>
    <row r="253" spans="1:20" ht="23.25" hidden="1" customHeight="1" x14ac:dyDescent="0.25">
      <c r="A253" s="21" t="s">
        <v>1075</v>
      </c>
      <c r="B253" s="24">
        <v>2022</v>
      </c>
      <c r="C253" s="90" t="s">
        <v>21</v>
      </c>
      <c r="D253" s="24" t="s">
        <v>1076</v>
      </c>
      <c r="E253" s="30" t="s">
        <v>1077</v>
      </c>
      <c r="F253" s="31" t="s">
        <v>23</v>
      </c>
      <c r="G253" s="21" t="s">
        <v>24</v>
      </c>
      <c r="H253" s="38" t="s">
        <v>1078</v>
      </c>
      <c r="I253" s="39">
        <v>44718</v>
      </c>
      <c r="J253" s="39">
        <v>44718</v>
      </c>
      <c r="K253" s="24" t="s">
        <v>35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>SUM(O253:Q253)</f>
        <v>26</v>
      </c>
      <c r="S253" s="24">
        <v>1</v>
      </c>
      <c r="T253" s="21" t="s">
        <v>584</v>
      </c>
    </row>
    <row r="254" spans="1:20" ht="23.25" hidden="1" customHeight="1" x14ac:dyDescent="0.25">
      <c r="A254" s="20" t="s">
        <v>1079</v>
      </c>
      <c r="B254" s="22">
        <v>2022</v>
      </c>
      <c r="C254" s="90" t="s">
        <v>21</v>
      </c>
      <c r="D254" s="22" t="s">
        <v>1080</v>
      </c>
      <c r="E254" s="27" t="s">
        <v>1081</v>
      </c>
      <c r="F254" s="29" t="s">
        <v>23</v>
      </c>
      <c r="G254" s="20" t="s">
        <v>38</v>
      </c>
      <c r="H254" s="36" t="s">
        <v>1082</v>
      </c>
      <c r="I254" s="37">
        <v>44733</v>
      </c>
      <c r="J254" s="37">
        <v>44825</v>
      </c>
      <c r="K254" s="22" t="s">
        <v>26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>SUM(O254:Q254)</f>
        <v>11</v>
      </c>
      <c r="S254" s="22">
        <v>66</v>
      </c>
      <c r="T254" s="20" t="s">
        <v>1083</v>
      </c>
    </row>
    <row r="255" spans="1:20" ht="23.25" hidden="1" customHeight="1" x14ac:dyDescent="0.25">
      <c r="A255" s="21" t="s">
        <v>1084</v>
      </c>
      <c r="B255" s="24">
        <v>2022</v>
      </c>
      <c r="C255" s="90" t="s">
        <v>21</v>
      </c>
      <c r="D255" s="24" t="s">
        <v>1085</v>
      </c>
      <c r="E255" s="30" t="s">
        <v>1086</v>
      </c>
      <c r="F255" s="31" t="s">
        <v>23</v>
      </c>
      <c r="G255" s="21" t="s">
        <v>38</v>
      </c>
      <c r="H255" s="38" t="s">
        <v>817</v>
      </c>
      <c r="I255" s="39">
        <v>44741</v>
      </c>
      <c r="J255" s="39"/>
      <c r="K255" s="24" t="s">
        <v>26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>SUM(O255:Q255)</f>
        <v>14</v>
      </c>
      <c r="S255" s="24">
        <v>7</v>
      </c>
      <c r="T255" s="21" t="s">
        <v>1087</v>
      </c>
    </row>
    <row r="256" spans="1:20" ht="23.25" hidden="1" customHeight="1" x14ac:dyDescent="0.25">
      <c r="A256" s="20" t="s">
        <v>1088</v>
      </c>
      <c r="B256" s="22">
        <v>2022</v>
      </c>
      <c r="C256" s="90" t="s">
        <v>21</v>
      </c>
      <c r="D256" s="22" t="s">
        <v>1089</v>
      </c>
      <c r="E256" s="27" t="s">
        <v>1090</v>
      </c>
      <c r="F256" s="29" t="s">
        <v>81</v>
      </c>
      <c r="G256" s="20" t="s">
        <v>72</v>
      </c>
      <c r="H256" s="36" t="s">
        <v>1091</v>
      </c>
      <c r="I256" s="37">
        <v>44753</v>
      </c>
      <c r="J256" s="37">
        <v>44757</v>
      </c>
      <c r="K256" s="22" t="s">
        <v>35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>SUM(O256:Q256)</f>
        <v>49</v>
      </c>
      <c r="S256" s="22">
        <v>10.5</v>
      </c>
      <c r="T256" s="20" t="s">
        <v>855</v>
      </c>
    </row>
    <row r="257" spans="1:20" ht="23.25" hidden="1" customHeight="1" x14ac:dyDescent="0.25">
      <c r="A257" s="21" t="s">
        <v>1092</v>
      </c>
      <c r="B257" s="24">
        <v>2022</v>
      </c>
      <c r="C257" s="90" t="s">
        <v>21</v>
      </c>
      <c r="D257" s="24" t="s">
        <v>1093</v>
      </c>
      <c r="E257" s="30" t="s">
        <v>1094</v>
      </c>
      <c r="F257" s="31" t="s">
        <v>23</v>
      </c>
      <c r="G257" s="21" t="s">
        <v>24</v>
      </c>
      <c r="H257" s="38" t="s">
        <v>1095</v>
      </c>
      <c r="I257" s="39">
        <v>44762</v>
      </c>
      <c r="J257" s="39">
        <v>44764</v>
      </c>
      <c r="K257" s="24" t="s">
        <v>35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>SUM(O257:Q257)</f>
        <v>27</v>
      </c>
      <c r="S257" s="24">
        <v>6</v>
      </c>
      <c r="T257" s="21" t="s">
        <v>1096</v>
      </c>
    </row>
    <row r="258" spans="1:20" ht="23.25" hidden="1" customHeight="1" x14ac:dyDescent="0.25">
      <c r="A258" s="20" t="s">
        <v>1097</v>
      </c>
      <c r="B258" s="22">
        <v>2022</v>
      </c>
      <c r="C258" s="90" t="s">
        <v>21</v>
      </c>
      <c r="D258" s="22" t="s">
        <v>1098</v>
      </c>
      <c r="E258" s="27" t="s">
        <v>1099</v>
      </c>
      <c r="F258" s="29" t="s">
        <v>23</v>
      </c>
      <c r="G258" s="20" t="s">
        <v>33</v>
      </c>
      <c r="H258" s="36" t="s">
        <v>1100</v>
      </c>
      <c r="I258" s="37">
        <v>44771</v>
      </c>
      <c r="J258" s="37">
        <v>44771</v>
      </c>
      <c r="K258" s="22" t="s">
        <v>26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>SUM(O258:Q258)</f>
        <v>22</v>
      </c>
      <c r="S258" s="22">
        <v>2</v>
      </c>
      <c r="T258" s="20" t="s">
        <v>894</v>
      </c>
    </row>
    <row r="259" spans="1:20" ht="23.25" hidden="1" customHeight="1" x14ac:dyDescent="0.25">
      <c r="A259" s="21" t="s">
        <v>1101</v>
      </c>
      <c r="B259" s="24">
        <v>2022</v>
      </c>
      <c r="C259" s="90" t="s">
        <v>21</v>
      </c>
      <c r="D259" s="24" t="s">
        <v>1102</v>
      </c>
      <c r="E259" s="30" t="s">
        <v>1103</v>
      </c>
      <c r="F259" s="31" t="s">
        <v>23</v>
      </c>
      <c r="G259" s="21" t="s">
        <v>24</v>
      </c>
      <c r="H259" s="38" t="s">
        <v>1104</v>
      </c>
      <c r="I259" s="39">
        <v>44775</v>
      </c>
      <c r="J259" s="39">
        <v>44777</v>
      </c>
      <c r="K259" s="24" t="s">
        <v>35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>SUM(O259:Q259)</f>
        <v>18</v>
      </c>
      <c r="S259" s="24">
        <v>6</v>
      </c>
      <c r="T259" s="21" t="s">
        <v>1105</v>
      </c>
    </row>
    <row r="260" spans="1:20" ht="23.25" hidden="1" customHeight="1" x14ac:dyDescent="0.25">
      <c r="A260" s="20" t="s">
        <v>1106</v>
      </c>
      <c r="B260" s="22">
        <v>2022</v>
      </c>
      <c r="C260" s="90" t="s">
        <v>21</v>
      </c>
      <c r="D260" s="22" t="s">
        <v>1107</v>
      </c>
      <c r="E260" s="27" t="s">
        <v>1108</v>
      </c>
      <c r="F260" s="29" t="s">
        <v>81</v>
      </c>
      <c r="G260" s="20" t="s">
        <v>72</v>
      </c>
      <c r="H260" s="36" t="s">
        <v>1109</v>
      </c>
      <c r="I260" s="37">
        <v>44778</v>
      </c>
      <c r="J260" s="37">
        <v>44778</v>
      </c>
      <c r="K260" s="22" t="s">
        <v>26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>SUM(O260:Q260)</f>
        <v>31</v>
      </c>
      <c r="S260" s="22">
        <v>2</v>
      </c>
      <c r="T260" s="20" t="s">
        <v>1110</v>
      </c>
    </row>
    <row r="261" spans="1:20" ht="23.25" hidden="1" customHeight="1" x14ac:dyDescent="0.25">
      <c r="A261" s="21" t="s">
        <v>1111</v>
      </c>
      <c r="B261" s="24">
        <v>2022</v>
      </c>
      <c r="C261" s="90" t="s">
        <v>21</v>
      </c>
      <c r="D261" s="24" t="s">
        <v>1112</v>
      </c>
      <c r="E261" s="30" t="s">
        <v>1113</v>
      </c>
      <c r="F261" s="31" t="s">
        <v>23</v>
      </c>
      <c r="G261" s="21" t="s">
        <v>68</v>
      </c>
      <c r="H261" s="38" t="s">
        <v>1114</v>
      </c>
      <c r="I261" s="39">
        <v>44781</v>
      </c>
      <c r="J261" s="39">
        <v>44785</v>
      </c>
      <c r="K261" s="24" t="s">
        <v>26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>SUM(O261:Q261)</f>
        <v>25</v>
      </c>
      <c r="S261" s="24">
        <v>20</v>
      </c>
      <c r="T261" s="21" t="s">
        <v>726</v>
      </c>
    </row>
    <row r="262" spans="1:20" ht="23.25" hidden="1" customHeight="1" x14ac:dyDescent="0.25">
      <c r="A262" s="20" t="s">
        <v>1115</v>
      </c>
      <c r="B262" s="22">
        <v>2022</v>
      </c>
      <c r="C262" s="90" t="s">
        <v>21</v>
      </c>
      <c r="D262" s="22" t="s">
        <v>1116</v>
      </c>
      <c r="E262" s="27" t="s">
        <v>675</v>
      </c>
      <c r="F262" s="29" t="s">
        <v>23</v>
      </c>
      <c r="G262" s="20" t="s">
        <v>33</v>
      </c>
      <c r="H262" s="53">
        <v>44903.333333333299</v>
      </c>
      <c r="I262" s="37">
        <v>44781</v>
      </c>
      <c r="J262" s="37">
        <v>44785</v>
      </c>
      <c r="K262" s="22" t="s">
        <v>26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>SUM(O262:Q262)</f>
        <v>9</v>
      </c>
      <c r="S262" s="22">
        <v>20</v>
      </c>
      <c r="T262" s="20" t="s">
        <v>677</v>
      </c>
    </row>
    <row r="263" spans="1:20" ht="23.25" hidden="1" customHeight="1" x14ac:dyDescent="0.25">
      <c r="A263" s="21" t="s">
        <v>1117</v>
      </c>
      <c r="B263" s="24">
        <v>2022</v>
      </c>
      <c r="C263" s="90" t="s">
        <v>21</v>
      </c>
      <c r="D263" s="24" t="s">
        <v>1102</v>
      </c>
      <c r="E263" s="30" t="s">
        <v>1118</v>
      </c>
      <c r="F263" s="31" t="s">
        <v>23</v>
      </c>
      <c r="G263" s="21" t="s">
        <v>24</v>
      </c>
      <c r="H263" s="38" t="s">
        <v>1119</v>
      </c>
      <c r="I263" s="39">
        <v>44789</v>
      </c>
      <c r="J263" s="39">
        <v>44791</v>
      </c>
      <c r="K263" s="24" t="s">
        <v>35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>SUM(O263:Q263)</f>
        <v>8</v>
      </c>
      <c r="S263" s="24">
        <v>6</v>
      </c>
      <c r="T263" s="21" t="s">
        <v>1120</v>
      </c>
    </row>
    <row r="264" spans="1:20" ht="23.25" hidden="1" customHeight="1" x14ac:dyDescent="0.25">
      <c r="A264" s="20" t="s">
        <v>1121</v>
      </c>
      <c r="B264" s="22">
        <v>2022</v>
      </c>
      <c r="C264" s="90" t="s">
        <v>21</v>
      </c>
      <c r="D264" s="22" t="s">
        <v>1122</v>
      </c>
      <c r="E264" s="27" t="s">
        <v>1123</v>
      </c>
      <c r="F264" s="29" t="s">
        <v>81</v>
      </c>
      <c r="G264" s="20" t="s">
        <v>72</v>
      </c>
      <c r="H264" s="36" t="s">
        <v>1124</v>
      </c>
      <c r="I264" s="37">
        <v>44795</v>
      </c>
      <c r="J264" s="37">
        <v>44795</v>
      </c>
      <c r="K264" s="22" t="s">
        <v>35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>SUM(O264:Q264)</f>
        <v>29</v>
      </c>
      <c r="S264" s="22">
        <v>1</v>
      </c>
      <c r="T264" s="20" t="s">
        <v>1023</v>
      </c>
    </row>
    <row r="265" spans="1:20" ht="23.25" hidden="1" customHeight="1" x14ac:dyDescent="0.25">
      <c r="A265" s="21" t="s">
        <v>1125</v>
      </c>
      <c r="B265" s="24">
        <v>2022</v>
      </c>
      <c r="C265" s="90" t="s">
        <v>21</v>
      </c>
      <c r="D265" s="24" t="s">
        <v>1126</v>
      </c>
      <c r="E265" s="30" t="s">
        <v>1127</v>
      </c>
      <c r="F265" s="31" t="s">
        <v>81</v>
      </c>
      <c r="G265" s="21" t="s">
        <v>72</v>
      </c>
      <c r="H265" s="38" t="s">
        <v>1128</v>
      </c>
      <c r="I265" s="39">
        <v>44799</v>
      </c>
      <c r="J265" s="39">
        <v>44799</v>
      </c>
      <c r="K265" s="24" t="s">
        <v>26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>SUM(O265:Q265)</f>
        <v>24</v>
      </c>
      <c r="S265" s="24">
        <v>4</v>
      </c>
      <c r="T265" s="21" t="s">
        <v>472</v>
      </c>
    </row>
    <row r="266" spans="1:20" ht="23.25" hidden="1" customHeight="1" x14ac:dyDescent="0.25">
      <c r="A266" s="20" t="s">
        <v>1129</v>
      </c>
      <c r="B266" s="22">
        <v>2022</v>
      </c>
      <c r="C266" s="90" t="s">
        <v>21</v>
      </c>
      <c r="D266" s="22" t="s">
        <v>1130</v>
      </c>
      <c r="E266" s="27" t="s">
        <v>1131</v>
      </c>
      <c r="F266" s="29" t="s">
        <v>23</v>
      </c>
      <c r="G266" s="20" t="s">
        <v>38</v>
      </c>
      <c r="H266" s="36" t="s">
        <v>1132</v>
      </c>
      <c r="I266" s="37">
        <v>44806</v>
      </c>
      <c r="J266" s="37">
        <v>44806</v>
      </c>
      <c r="K266" s="22" t="s">
        <v>35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>SUM(O266:Q266)</f>
        <v>66</v>
      </c>
      <c r="S266" s="22">
        <v>1.5</v>
      </c>
      <c r="T266" s="33" t="s">
        <v>211</v>
      </c>
    </row>
    <row r="267" spans="1:20" ht="23.25" hidden="1" customHeight="1" x14ac:dyDescent="0.25">
      <c r="A267" s="21" t="s">
        <v>1133</v>
      </c>
      <c r="B267" s="24">
        <v>2022</v>
      </c>
      <c r="C267" s="90" t="s">
        <v>21</v>
      </c>
      <c r="D267" s="24" t="s">
        <v>1134</v>
      </c>
      <c r="E267" s="30" t="s">
        <v>1135</v>
      </c>
      <c r="F267" s="31" t="s">
        <v>81</v>
      </c>
      <c r="G267" s="21" t="s">
        <v>72</v>
      </c>
      <c r="H267" s="38" t="s">
        <v>1136</v>
      </c>
      <c r="I267" s="39">
        <v>44813</v>
      </c>
      <c r="J267" s="39">
        <v>44813</v>
      </c>
      <c r="K267" s="24" t="s">
        <v>35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>SUM(O267:Q267)</f>
        <v>20</v>
      </c>
      <c r="S267" s="24">
        <v>3</v>
      </c>
      <c r="T267" s="21" t="s">
        <v>1042</v>
      </c>
    </row>
    <row r="268" spans="1:20" ht="23.25" hidden="1" customHeight="1" x14ac:dyDescent="0.25">
      <c r="A268" s="20" t="s">
        <v>1137</v>
      </c>
      <c r="B268" s="22">
        <v>2022</v>
      </c>
      <c r="C268" s="90" t="s">
        <v>21</v>
      </c>
      <c r="D268" s="22" t="s">
        <v>1138</v>
      </c>
      <c r="E268" s="27" t="s">
        <v>688</v>
      </c>
      <c r="F268" s="29" t="s">
        <v>23</v>
      </c>
      <c r="G268" s="20" t="s">
        <v>33</v>
      </c>
      <c r="H268" s="36" t="s">
        <v>1139</v>
      </c>
      <c r="I268" s="37">
        <v>44816</v>
      </c>
      <c r="J268" s="37">
        <v>44820</v>
      </c>
      <c r="K268" s="22" t="s">
        <v>26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>SUM(O268:Q268)</f>
        <v>13</v>
      </c>
      <c r="S268" s="22">
        <v>20</v>
      </c>
      <c r="T268" s="20" t="s">
        <v>677</v>
      </c>
    </row>
    <row r="269" spans="1:20" ht="23.25" hidden="1" customHeight="1" x14ac:dyDescent="0.25">
      <c r="A269" s="21" t="s">
        <v>1140</v>
      </c>
      <c r="B269" s="24">
        <v>2022</v>
      </c>
      <c r="C269" s="90" t="s">
        <v>21</v>
      </c>
      <c r="D269" s="24" t="s">
        <v>1141</v>
      </c>
      <c r="E269" s="30" t="s">
        <v>1142</v>
      </c>
      <c r="F269" s="31" t="s">
        <v>23</v>
      </c>
      <c r="G269" s="21" t="s">
        <v>199</v>
      </c>
      <c r="H269" s="38" t="s">
        <v>1143</v>
      </c>
      <c r="I269" s="39">
        <v>44817</v>
      </c>
      <c r="J269" s="39">
        <v>44826</v>
      </c>
      <c r="K269" s="24" t="s">
        <v>26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>SUM(O269:Q269)</f>
        <v>15</v>
      </c>
      <c r="S269" s="24">
        <v>8</v>
      </c>
      <c r="T269" s="21" t="s">
        <v>1060</v>
      </c>
    </row>
    <row r="270" spans="1:20" ht="23.25" hidden="1" customHeight="1" x14ac:dyDescent="0.25">
      <c r="A270" s="20" t="s">
        <v>1144</v>
      </c>
      <c r="B270" s="22">
        <v>2022</v>
      </c>
      <c r="C270" s="90" t="s">
        <v>21</v>
      </c>
      <c r="D270" s="22" t="s">
        <v>1145</v>
      </c>
      <c r="E270" s="27" t="s">
        <v>1146</v>
      </c>
      <c r="F270" s="29" t="s">
        <v>23</v>
      </c>
      <c r="G270" s="20" t="s">
        <v>457</v>
      </c>
      <c r="H270" s="36" t="s">
        <v>1147</v>
      </c>
      <c r="I270" s="37">
        <v>44817</v>
      </c>
      <c r="J270" s="37">
        <v>44909</v>
      </c>
      <c r="K270" s="22" t="s">
        <v>26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>SUM(O270:Q270)</f>
        <v>5</v>
      </c>
      <c r="S270" s="22">
        <v>30</v>
      </c>
      <c r="T270" s="20" t="s">
        <v>966</v>
      </c>
    </row>
    <row r="271" spans="1:20" ht="23.25" hidden="1" customHeight="1" x14ac:dyDescent="0.25">
      <c r="A271" s="21" t="s">
        <v>1148</v>
      </c>
      <c r="B271" s="24">
        <v>2022</v>
      </c>
      <c r="C271" s="90" t="s">
        <v>21</v>
      </c>
      <c r="D271" s="24" t="s">
        <v>1149</v>
      </c>
      <c r="E271" s="30" t="s">
        <v>1150</v>
      </c>
      <c r="F271" s="31" t="s">
        <v>23</v>
      </c>
      <c r="G271" s="21" t="s">
        <v>24</v>
      </c>
      <c r="H271" s="38" t="s">
        <v>1151</v>
      </c>
      <c r="I271" s="39">
        <v>44823</v>
      </c>
      <c r="J271" s="39">
        <v>44831</v>
      </c>
      <c r="K271" s="24" t="s">
        <v>35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>SUM(O271:Q271)</f>
        <v>18</v>
      </c>
      <c r="S271" s="24">
        <v>12</v>
      </c>
      <c r="T271" s="21" t="s">
        <v>544</v>
      </c>
    </row>
    <row r="272" spans="1:20" ht="23.25" hidden="1" customHeight="1" x14ac:dyDescent="0.25">
      <c r="A272" s="20" t="s">
        <v>1152</v>
      </c>
      <c r="B272" s="22">
        <v>2022</v>
      </c>
      <c r="C272" s="90" t="s">
        <v>21</v>
      </c>
      <c r="D272" s="22" t="s">
        <v>1149</v>
      </c>
      <c r="E272" s="27" t="s">
        <v>1153</v>
      </c>
      <c r="F272" s="29" t="s">
        <v>23</v>
      </c>
      <c r="G272" s="20" t="s">
        <v>24</v>
      </c>
      <c r="H272" s="36" t="s">
        <v>1154</v>
      </c>
      <c r="I272" s="37">
        <v>44823</v>
      </c>
      <c r="J272" s="37">
        <v>44833</v>
      </c>
      <c r="K272" s="22" t="s">
        <v>35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>SUM(O272:Q272)</f>
        <v>8</v>
      </c>
      <c r="S272" s="22">
        <v>12</v>
      </c>
      <c r="T272" s="20" t="s">
        <v>544</v>
      </c>
    </row>
    <row r="273" spans="1:20" ht="23.25" hidden="1" customHeight="1" x14ac:dyDescent="0.25">
      <c r="A273" s="21" t="s">
        <v>1155</v>
      </c>
      <c r="B273" s="24">
        <v>2022</v>
      </c>
      <c r="C273" s="90" t="s">
        <v>21</v>
      </c>
      <c r="D273" s="24" t="s">
        <v>1156</v>
      </c>
      <c r="E273" s="30" t="s">
        <v>1157</v>
      </c>
      <c r="F273" s="31" t="s">
        <v>225</v>
      </c>
      <c r="G273" s="21" t="s">
        <v>72</v>
      </c>
      <c r="H273" s="38" t="s">
        <v>1158</v>
      </c>
      <c r="I273" s="39">
        <v>44830</v>
      </c>
      <c r="J273" s="39">
        <v>44833</v>
      </c>
      <c r="K273" s="24" t="s">
        <v>26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>SUM(O273:Q273)</f>
        <v>83</v>
      </c>
      <c r="S273" s="24">
        <v>16</v>
      </c>
      <c r="T273" s="21" t="s">
        <v>1159</v>
      </c>
    </row>
    <row r="274" spans="1:20" ht="23.25" hidden="1" customHeight="1" x14ac:dyDescent="0.25">
      <c r="A274" s="20" t="s">
        <v>1160</v>
      </c>
      <c r="B274" s="22">
        <v>2022</v>
      </c>
      <c r="C274" s="90" t="s">
        <v>21</v>
      </c>
      <c r="D274" s="22" t="s">
        <v>1161</v>
      </c>
      <c r="E274" s="27" t="s">
        <v>1162</v>
      </c>
      <c r="F274" s="29" t="s">
        <v>23</v>
      </c>
      <c r="G274" s="20" t="s">
        <v>199</v>
      </c>
      <c r="H274" s="36" t="s">
        <v>1163</v>
      </c>
      <c r="I274" s="37">
        <v>44834</v>
      </c>
      <c r="J274" s="37">
        <v>44834</v>
      </c>
      <c r="K274" s="22" t="s">
        <v>26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>SUM(O274:Q274)</f>
        <v>24</v>
      </c>
      <c r="S274" s="22">
        <v>2</v>
      </c>
      <c r="T274" s="20" t="s">
        <v>1164</v>
      </c>
    </row>
    <row r="275" spans="1:20" ht="23.25" hidden="1" customHeight="1" x14ac:dyDescent="0.25">
      <c r="A275" s="21" t="s">
        <v>1165</v>
      </c>
      <c r="B275" s="24">
        <v>2022</v>
      </c>
      <c r="C275" s="90" t="s">
        <v>21</v>
      </c>
      <c r="D275" s="24" t="s">
        <v>1166</v>
      </c>
      <c r="E275" s="30" t="s">
        <v>720</v>
      </c>
      <c r="F275" s="31" t="s">
        <v>23</v>
      </c>
      <c r="G275" s="21" t="s">
        <v>33</v>
      </c>
      <c r="H275" s="38" t="s">
        <v>1167</v>
      </c>
      <c r="I275" s="39">
        <v>44837</v>
      </c>
      <c r="J275" s="39">
        <v>44841</v>
      </c>
      <c r="K275" s="24" t="s">
        <v>26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>SUM(O275:Q275)</f>
        <v>20</v>
      </c>
      <c r="S275" s="24">
        <v>20</v>
      </c>
      <c r="T275" s="21" t="s">
        <v>677</v>
      </c>
    </row>
    <row r="276" spans="1:20" ht="23.25" hidden="1" customHeight="1" x14ac:dyDescent="0.25">
      <c r="A276" s="20" t="s">
        <v>1168</v>
      </c>
      <c r="B276" s="22">
        <v>2022</v>
      </c>
      <c r="C276" s="90" t="s">
        <v>21</v>
      </c>
      <c r="D276" s="22" t="s">
        <v>1169</v>
      </c>
      <c r="E276" s="27" t="s">
        <v>1170</v>
      </c>
      <c r="F276" s="29" t="s">
        <v>81</v>
      </c>
      <c r="G276" s="20" t="s">
        <v>72</v>
      </c>
      <c r="H276" s="36" t="s">
        <v>1171</v>
      </c>
      <c r="I276" s="37">
        <v>44837</v>
      </c>
      <c r="J276" s="37">
        <v>44841</v>
      </c>
      <c r="K276" s="22" t="s">
        <v>26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>SUM(O276:Q276)</f>
        <v>39</v>
      </c>
      <c r="S276" s="22">
        <v>12</v>
      </c>
      <c r="T276" s="20" t="s">
        <v>1172</v>
      </c>
    </row>
    <row r="277" spans="1:20" ht="23.25" hidden="1" customHeight="1" x14ac:dyDescent="0.25">
      <c r="A277" s="21" t="s">
        <v>1173</v>
      </c>
      <c r="B277" s="24">
        <v>2022</v>
      </c>
      <c r="C277" s="90" t="s">
        <v>21</v>
      </c>
      <c r="D277" s="24" t="s">
        <v>1174</v>
      </c>
      <c r="E277" s="30" t="s">
        <v>1175</v>
      </c>
      <c r="F277" s="31" t="s">
        <v>23</v>
      </c>
      <c r="G277" s="21" t="s">
        <v>199</v>
      </c>
      <c r="H277" s="38" t="s">
        <v>1176</v>
      </c>
      <c r="I277" s="39">
        <v>44841</v>
      </c>
      <c r="J277" s="39">
        <v>44841</v>
      </c>
      <c r="K277" s="24" t="s">
        <v>26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>SUM(O277:Q277)</f>
        <v>39</v>
      </c>
      <c r="S277" s="24">
        <v>1</v>
      </c>
      <c r="T277" s="21" t="s">
        <v>1177</v>
      </c>
    </row>
    <row r="278" spans="1:20" ht="23.25" hidden="1" customHeight="1" x14ac:dyDescent="0.25">
      <c r="A278" s="20" t="s">
        <v>1178</v>
      </c>
      <c r="B278" s="22">
        <v>2022</v>
      </c>
      <c r="C278" s="90" t="s">
        <v>21</v>
      </c>
      <c r="D278" s="22" t="s">
        <v>1179</v>
      </c>
      <c r="E278" s="27" t="s">
        <v>1180</v>
      </c>
      <c r="F278" s="29" t="s">
        <v>225</v>
      </c>
      <c r="G278" s="20" t="s">
        <v>72</v>
      </c>
      <c r="H278" s="36" t="s">
        <v>1181</v>
      </c>
      <c r="I278" s="37">
        <v>44844</v>
      </c>
      <c r="J278" s="37">
        <v>44845</v>
      </c>
      <c r="K278" s="22" t="s">
        <v>26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>SUM(O278:Q278)</f>
        <v>277</v>
      </c>
      <c r="S278" s="22">
        <v>6</v>
      </c>
      <c r="T278" s="54" t="s">
        <v>1182</v>
      </c>
    </row>
    <row r="279" spans="1:20" ht="23.25" hidden="1" customHeight="1" x14ac:dyDescent="0.25">
      <c r="A279" s="21" t="s">
        <v>1183</v>
      </c>
      <c r="B279" s="24">
        <v>2022</v>
      </c>
      <c r="C279" s="90" t="s">
        <v>21</v>
      </c>
      <c r="D279" s="24" t="s">
        <v>1184</v>
      </c>
      <c r="E279" s="30" t="s">
        <v>1185</v>
      </c>
      <c r="F279" s="31" t="s">
        <v>225</v>
      </c>
      <c r="G279" s="21" t="s">
        <v>72</v>
      </c>
      <c r="H279" s="38" t="s">
        <v>1186</v>
      </c>
      <c r="I279" s="39">
        <v>44847</v>
      </c>
      <c r="J279" s="39">
        <v>44848</v>
      </c>
      <c r="K279" s="24" t="s">
        <v>35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>SUM(O279:Q279)</f>
        <v>43</v>
      </c>
      <c r="S279" s="24">
        <v>8</v>
      </c>
      <c r="T279" s="21" t="s">
        <v>1187</v>
      </c>
    </row>
    <row r="280" spans="1:20" ht="23.25" hidden="1" customHeight="1" x14ac:dyDescent="0.25">
      <c r="A280" s="20" t="s">
        <v>1188</v>
      </c>
      <c r="B280" s="22">
        <v>2022</v>
      </c>
      <c r="C280" s="90" t="s">
        <v>21</v>
      </c>
      <c r="D280" s="22" t="s">
        <v>1189</v>
      </c>
      <c r="E280" s="27" t="s">
        <v>1190</v>
      </c>
      <c r="F280" s="29" t="s">
        <v>225</v>
      </c>
      <c r="G280" s="20" t="s">
        <v>72</v>
      </c>
      <c r="H280" s="36" t="s">
        <v>1191</v>
      </c>
      <c r="I280" s="37">
        <v>44847</v>
      </c>
      <c r="J280" s="37">
        <v>44847</v>
      </c>
      <c r="K280" s="22" t="s">
        <v>35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>SUM(O280:Q280)</f>
        <v>21</v>
      </c>
      <c r="S280" s="22">
        <v>2</v>
      </c>
      <c r="T280" s="20" t="s">
        <v>1055</v>
      </c>
    </row>
    <row r="281" spans="1:20" ht="23.25" hidden="1" customHeight="1" x14ac:dyDescent="0.25">
      <c r="A281" s="21" t="s">
        <v>1192</v>
      </c>
      <c r="B281" s="24">
        <v>2022</v>
      </c>
      <c r="C281" s="90" t="s">
        <v>21</v>
      </c>
      <c r="D281" s="24" t="s">
        <v>1193</v>
      </c>
      <c r="E281" s="55" t="s">
        <v>1194</v>
      </c>
      <c r="F281" s="31" t="s">
        <v>23</v>
      </c>
      <c r="G281" s="21" t="s">
        <v>199</v>
      </c>
      <c r="H281" s="38" t="s">
        <v>1195</v>
      </c>
      <c r="I281" s="39">
        <v>44848</v>
      </c>
      <c r="J281" s="39">
        <v>44848</v>
      </c>
      <c r="K281" s="24" t="s">
        <v>35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>SUM(O281:Q281)</f>
        <v>144</v>
      </c>
      <c r="S281" s="24">
        <v>2</v>
      </c>
      <c r="T281" s="21" t="s">
        <v>82</v>
      </c>
    </row>
    <row r="282" spans="1:20" ht="23.25" hidden="1" customHeight="1" x14ac:dyDescent="0.25">
      <c r="A282" s="20" t="s">
        <v>1196</v>
      </c>
      <c r="B282" s="22">
        <v>2022</v>
      </c>
      <c r="C282" s="90" t="s">
        <v>21</v>
      </c>
      <c r="D282" s="22" t="s">
        <v>1145</v>
      </c>
      <c r="E282" s="27" t="s">
        <v>1197</v>
      </c>
      <c r="F282" s="29" t="s">
        <v>23</v>
      </c>
      <c r="G282" s="20" t="s">
        <v>457</v>
      </c>
      <c r="H282" s="36" t="s">
        <v>1198</v>
      </c>
      <c r="I282" s="37">
        <v>44851</v>
      </c>
      <c r="J282" s="37">
        <v>44876</v>
      </c>
      <c r="K282" s="22" t="s">
        <v>26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>SUM(O282:Q282)</f>
        <v>19</v>
      </c>
      <c r="S282" s="22">
        <v>30</v>
      </c>
      <c r="T282" s="20" t="s">
        <v>966</v>
      </c>
    </row>
    <row r="283" spans="1:20" ht="23.25" hidden="1" customHeight="1" x14ac:dyDescent="0.25">
      <c r="A283" s="21" t="s">
        <v>1199</v>
      </c>
      <c r="B283" s="24">
        <v>2022</v>
      </c>
      <c r="C283" s="90" t="s">
        <v>21</v>
      </c>
      <c r="D283" s="24" t="s">
        <v>1200</v>
      </c>
      <c r="E283" s="30" t="s">
        <v>1201</v>
      </c>
      <c r="F283" s="31" t="s">
        <v>81</v>
      </c>
      <c r="G283" s="21" t="s">
        <v>72</v>
      </c>
      <c r="H283" s="38" t="s">
        <v>1202</v>
      </c>
      <c r="I283" s="39">
        <v>44852</v>
      </c>
      <c r="J283" s="39">
        <v>44855</v>
      </c>
      <c r="K283" s="24" t="s">
        <v>35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>SUM(O283:Q283)</f>
        <v>65</v>
      </c>
      <c r="S283" s="24">
        <v>16</v>
      </c>
      <c r="T283" s="21" t="s">
        <v>418</v>
      </c>
    </row>
    <row r="284" spans="1:20" ht="23.25" hidden="1" customHeight="1" x14ac:dyDescent="0.25">
      <c r="A284" s="20" t="s">
        <v>1203</v>
      </c>
      <c r="B284" s="22">
        <v>2022</v>
      </c>
      <c r="C284" s="90" t="s">
        <v>21</v>
      </c>
      <c r="D284" s="22" t="s">
        <v>1204</v>
      </c>
      <c r="E284" s="27" t="s">
        <v>1205</v>
      </c>
      <c r="F284" s="29" t="s">
        <v>23</v>
      </c>
      <c r="G284" s="20" t="s">
        <v>24</v>
      </c>
      <c r="H284" s="36" t="s">
        <v>1206</v>
      </c>
      <c r="I284" s="37">
        <v>44854</v>
      </c>
      <c r="J284" s="37">
        <v>44854</v>
      </c>
      <c r="K284" s="22" t="s">
        <v>35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>SUM(O284:Q284)</f>
        <v>72</v>
      </c>
      <c r="S284" s="22">
        <v>2</v>
      </c>
      <c r="T284" s="20" t="s">
        <v>1207</v>
      </c>
    </row>
    <row r="285" spans="1:20" ht="23.25" hidden="1" customHeight="1" x14ac:dyDescent="0.25">
      <c r="A285" s="21" t="s">
        <v>1208</v>
      </c>
      <c r="B285" s="24">
        <v>2022</v>
      </c>
      <c r="C285" s="90" t="s">
        <v>21</v>
      </c>
      <c r="D285" s="24" t="s">
        <v>1209</v>
      </c>
      <c r="E285" s="30" t="s">
        <v>1210</v>
      </c>
      <c r="F285" s="31" t="s">
        <v>81</v>
      </c>
      <c r="G285" s="21" t="s">
        <v>72</v>
      </c>
      <c r="H285" s="38" t="s">
        <v>1211</v>
      </c>
      <c r="I285" s="39">
        <v>44858</v>
      </c>
      <c r="J285" s="39">
        <v>44860</v>
      </c>
      <c r="K285" s="24" t="s">
        <v>26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>SUM(O285:Q285)</f>
        <v>193</v>
      </c>
      <c r="S285" s="24">
        <v>20</v>
      </c>
      <c r="T285" s="21" t="s">
        <v>82</v>
      </c>
    </row>
    <row r="286" spans="1:20" ht="23.25" hidden="1" customHeight="1" x14ac:dyDescent="0.25">
      <c r="A286" s="20" t="s">
        <v>1212</v>
      </c>
      <c r="B286" s="22">
        <v>2022</v>
      </c>
      <c r="C286" s="90" t="s">
        <v>21</v>
      </c>
      <c r="D286" s="22" t="s">
        <v>1213</v>
      </c>
      <c r="E286" s="27" t="s">
        <v>1214</v>
      </c>
      <c r="F286" s="29" t="s">
        <v>23</v>
      </c>
      <c r="G286" s="20" t="s">
        <v>38</v>
      </c>
      <c r="H286" s="36" t="s">
        <v>1215</v>
      </c>
      <c r="I286" s="37">
        <v>44861</v>
      </c>
      <c r="J286" s="37">
        <v>44861</v>
      </c>
      <c r="K286" s="22" t="s">
        <v>26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>SUM(O286:Q286)</f>
        <v>46</v>
      </c>
      <c r="S286" s="22">
        <v>2</v>
      </c>
      <c r="T286" s="20" t="s">
        <v>1216</v>
      </c>
    </row>
    <row r="287" spans="1:20" ht="23.25" hidden="1" customHeight="1" x14ac:dyDescent="0.25">
      <c r="A287" s="21" t="s">
        <v>1217</v>
      </c>
      <c r="B287" s="24">
        <v>2022</v>
      </c>
      <c r="C287" s="90" t="s">
        <v>21</v>
      </c>
      <c r="D287" s="24" t="s">
        <v>1218</v>
      </c>
      <c r="E287" s="30" t="s">
        <v>1219</v>
      </c>
      <c r="F287" s="31" t="s">
        <v>81</v>
      </c>
      <c r="G287" s="21" t="s">
        <v>72</v>
      </c>
      <c r="H287" s="38" t="s">
        <v>1220</v>
      </c>
      <c r="I287" s="39">
        <v>44869</v>
      </c>
      <c r="J287" s="39">
        <v>44869</v>
      </c>
      <c r="K287" s="24" t="s">
        <v>35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>SUM(O287:Q287)</f>
        <v>20</v>
      </c>
      <c r="S287" s="24">
        <v>4</v>
      </c>
      <c r="T287" s="21" t="s">
        <v>1042</v>
      </c>
    </row>
    <row r="288" spans="1:20" ht="23.25" hidden="1" customHeight="1" x14ac:dyDescent="0.25">
      <c r="A288" s="20" t="s">
        <v>1221</v>
      </c>
      <c r="B288" s="22">
        <v>2022</v>
      </c>
      <c r="C288" s="90" t="s">
        <v>21</v>
      </c>
      <c r="D288" s="22"/>
      <c r="E288" s="27" t="s">
        <v>1222</v>
      </c>
      <c r="F288" s="29" t="s">
        <v>23</v>
      </c>
      <c r="G288" s="20" t="s">
        <v>199</v>
      </c>
      <c r="H288" s="36" t="s">
        <v>1220</v>
      </c>
      <c r="I288" s="37">
        <v>44869</v>
      </c>
      <c r="J288" s="37">
        <v>44869</v>
      </c>
      <c r="K288" s="22" t="s">
        <v>26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>SUM(O288:Q288)</f>
        <v>23</v>
      </c>
      <c r="S288" s="22">
        <v>2</v>
      </c>
      <c r="T288" s="20"/>
    </row>
    <row r="289" spans="1:20" ht="23.25" hidden="1" customHeight="1" x14ac:dyDescent="0.25">
      <c r="A289" s="21" t="s">
        <v>1223</v>
      </c>
      <c r="B289" s="24">
        <v>2022</v>
      </c>
      <c r="C289" s="90" t="s">
        <v>21</v>
      </c>
      <c r="D289" s="24" t="s">
        <v>1224</v>
      </c>
      <c r="E289" s="30" t="s">
        <v>1225</v>
      </c>
      <c r="F289" s="31" t="s">
        <v>225</v>
      </c>
      <c r="G289" s="21" t="s">
        <v>72</v>
      </c>
      <c r="H289" s="38" t="s">
        <v>1226</v>
      </c>
      <c r="I289" s="39">
        <v>44872</v>
      </c>
      <c r="J289" s="39">
        <v>44881</v>
      </c>
      <c r="K289" s="24" t="s">
        <v>26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>SUM(O289:Q289)</f>
        <v>80</v>
      </c>
      <c r="S289" s="24">
        <v>16</v>
      </c>
      <c r="T289" s="21" t="s">
        <v>1227</v>
      </c>
    </row>
    <row r="290" spans="1:20" ht="23.25" hidden="1" customHeight="1" x14ac:dyDescent="0.25">
      <c r="A290" s="20" t="s">
        <v>1228</v>
      </c>
      <c r="B290" s="22">
        <v>2022</v>
      </c>
      <c r="C290" s="90" t="s">
        <v>21</v>
      </c>
      <c r="D290" s="22" t="s">
        <v>1229</v>
      </c>
      <c r="E290" s="27" t="s">
        <v>1230</v>
      </c>
      <c r="F290" s="29" t="s">
        <v>23</v>
      </c>
      <c r="G290" s="20" t="s">
        <v>199</v>
      </c>
      <c r="H290" s="36" t="s">
        <v>1231</v>
      </c>
      <c r="I290" s="37">
        <v>44873</v>
      </c>
      <c r="J290" s="37">
        <v>44901</v>
      </c>
      <c r="K290" s="22" t="s">
        <v>26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>SUM(O290:Q290)</f>
        <v>21</v>
      </c>
      <c r="S290" s="22">
        <v>21</v>
      </c>
      <c r="T290" s="20" t="s">
        <v>1232</v>
      </c>
    </row>
    <row r="291" spans="1:20" ht="23.25" hidden="1" customHeight="1" x14ac:dyDescent="0.25">
      <c r="A291" s="21" t="s">
        <v>1233</v>
      </c>
      <c r="B291" s="24">
        <v>2022</v>
      </c>
      <c r="C291" s="90" t="s">
        <v>21</v>
      </c>
      <c r="D291" s="24" t="s">
        <v>1234</v>
      </c>
      <c r="E291" s="30" t="s">
        <v>1235</v>
      </c>
      <c r="F291" s="31" t="s">
        <v>225</v>
      </c>
      <c r="G291" s="21" t="s">
        <v>68</v>
      </c>
      <c r="H291" s="38" t="s">
        <v>1236</v>
      </c>
      <c r="I291" s="39">
        <v>44873</v>
      </c>
      <c r="J291" s="39">
        <v>44883</v>
      </c>
      <c r="K291" s="24" t="s">
        <v>35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>SUM(O291:Q291)</f>
        <v>28</v>
      </c>
      <c r="S291" s="24">
        <v>20</v>
      </c>
      <c r="T291" s="21" t="s">
        <v>418</v>
      </c>
    </row>
    <row r="292" spans="1:20" ht="23.25" hidden="1" customHeight="1" x14ac:dyDescent="0.25">
      <c r="A292" s="20" t="s">
        <v>1237</v>
      </c>
      <c r="B292" s="22">
        <v>2022</v>
      </c>
      <c r="C292" s="90" t="s">
        <v>21</v>
      </c>
      <c r="D292" s="22" t="s">
        <v>1089</v>
      </c>
      <c r="E292" s="27" t="s">
        <v>884</v>
      </c>
      <c r="F292" s="29" t="s">
        <v>81</v>
      </c>
      <c r="G292" s="20" t="s">
        <v>72</v>
      </c>
      <c r="H292" s="36" t="s">
        <v>1238</v>
      </c>
      <c r="I292" s="37">
        <v>44886</v>
      </c>
      <c r="J292" s="37">
        <v>44890</v>
      </c>
      <c r="K292" s="22" t="s">
        <v>35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>SUM(O292:Q292)</f>
        <v>35</v>
      </c>
      <c r="S292" s="22">
        <v>10.5</v>
      </c>
      <c r="T292" s="20" t="s">
        <v>1239</v>
      </c>
    </row>
    <row r="293" spans="1:20" ht="23.25" hidden="1" customHeight="1" x14ac:dyDescent="0.25">
      <c r="A293" s="21" t="s">
        <v>1240</v>
      </c>
      <c r="B293" s="24">
        <v>2022</v>
      </c>
      <c r="C293" s="90" t="s">
        <v>21</v>
      </c>
      <c r="D293" s="24" t="s">
        <v>1241</v>
      </c>
      <c r="E293" s="30" t="s">
        <v>1242</v>
      </c>
      <c r="F293" s="31" t="s">
        <v>23</v>
      </c>
      <c r="G293" s="21" t="s">
        <v>68</v>
      </c>
      <c r="H293" s="38" t="s">
        <v>1243</v>
      </c>
      <c r="I293" s="39">
        <v>44887</v>
      </c>
      <c r="J293" s="39">
        <v>44890</v>
      </c>
      <c r="K293" s="24" t="s">
        <v>35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>SUM(O293:Q293)</f>
        <v>20</v>
      </c>
      <c r="S293" s="24">
        <v>12</v>
      </c>
      <c r="T293" s="21" t="s">
        <v>549</v>
      </c>
    </row>
    <row r="294" spans="1:20" ht="23.25" hidden="1" customHeight="1" x14ac:dyDescent="0.25">
      <c r="A294" s="20" t="s">
        <v>1244</v>
      </c>
      <c r="B294" s="22">
        <v>2022</v>
      </c>
      <c r="C294" s="90" t="s">
        <v>21</v>
      </c>
      <c r="D294" s="22" t="s">
        <v>1245</v>
      </c>
      <c r="E294" s="27" t="s">
        <v>1246</v>
      </c>
      <c r="F294" s="29" t="s">
        <v>62</v>
      </c>
      <c r="G294" s="20" t="s">
        <v>72</v>
      </c>
      <c r="H294" s="36" t="s">
        <v>1247</v>
      </c>
      <c r="I294" s="37">
        <v>44909</v>
      </c>
      <c r="J294" s="37">
        <v>44909</v>
      </c>
      <c r="K294" s="22" t="s">
        <v>35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>SUM(O294:Q294)</f>
        <v>188</v>
      </c>
      <c r="S294" s="22">
        <v>2</v>
      </c>
      <c r="T294" s="20" t="s">
        <v>1248</v>
      </c>
    </row>
    <row r="295" spans="1:20" ht="23.25" hidden="1" customHeight="1" x14ac:dyDescent="0.25">
      <c r="A295" s="21" t="s">
        <v>1249</v>
      </c>
      <c r="B295" s="24">
        <v>2023</v>
      </c>
      <c r="C295" s="90" t="s">
        <v>21</v>
      </c>
      <c r="D295" s="24" t="s">
        <v>1250</v>
      </c>
      <c r="E295" s="30" t="s">
        <v>1251</v>
      </c>
      <c r="F295" s="31" t="s">
        <v>23</v>
      </c>
      <c r="G295" s="21" t="s">
        <v>38</v>
      </c>
      <c r="H295" s="38" t="s">
        <v>1252</v>
      </c>
      <c r="I295" s="39">
        <v>44952</v>
      </c>
      <c r="J295" s="39">
        <v>44952</v>
      </c>
      <c r="K295" s="24" t="s">
        <v>35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>SUM(O295:Q295)</f>
        <v>42</v>
      </c>
      <c r="S295" s="24">
        <v>2</v>
      </c>
      <c r="T295" s="21" t="s">
        <v>1253</v>
      </c>
    </row>
    <row r="296" spans="1:20" ht="23.25" hidden="1" customHeight="1" x14ac:dyDescent="0.25">
      <c r="A296" s="20" t="s">
        <v>1254</v>
      </c>
      <c r="B296" s="22">
        <v>2023</v>
      </c>
      <c r="C296" s="90" t="s">
        <v>21</v>
      </c>
      <c r="D296" s="22" t="s">
        <v>1255</v>
      </c>
      <c r="E296" s="27" t="s">
        <v>1256</v>
      </c>
      <c r="F296" s="29" t="s">
        <v>23</v>
      </c>
      <c r="G296" s="20" t="s">
        <v>199</v>
      </c>
      <c r="H296" s="36" t="s">
        <v>1257</v>
      </c>
      <c r="I296" s="37">
        <v>44964</v>
      </c>
      <c r="J296" s="37">
        <v>45013</v>
      </c>
      <c r="K296" s="22" t="s">
        <v>26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>SUM(O296:Q296)</f>
        <v>31</v>
      </c>
      <c r="S296" s="22">
        <v>26</v>
      </c>
      <c r="T296" s="20" t="s">
        <v>1258</v>
      </c>
    </row>
    <row r="297" spans="1:20" ht="23.25" hidden="1" customHeight="1" x14ac:dyDescent="0.25">
      <c r="A297" s="21" t="s">
        <v>1259</v>
      </c>
      <c r="B297" s="24">
        <v>2023</v>
      </c>
      <c r="C297" s="90" t="s">
        <v>21</v>
      </c>
      <c r="D297" s="24" t="s">
        <v>1260</v>
      </c>
      <c r="E297" s="30" t="s">
        <v>1261</v>
      </c>
      <c r="F297" s="31" t="s">
        <v>62</v>
      </c>
      <c r="G297" s="21" t="s">
        <v>72</v>
      </c>
      <c r="H297" s="38" t="s">
        <v>1262</v>
      </c>
      <c r="I297" s="39">
        <v>44984</v>
      </c>
      <c r="J297" s="39">
        <v>44988</v>
      </c>
      <c r="K297" s="24" t="s">
        <v>35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>SUM(O297:Q297)</f>
        <v>20</v>
      </c>
      <c r="S297" s="24">
        <v>20</v>
      </c>
      <c r="T297" s="21" t="s">
        <v>74</v>
      </c>
    </row>
    <row r="298" spans="1:20" ht="23.25" hidden="1" customHeight="1" x14ac:dyDescent="0.25">
      <c r="A298" s="20" t="s">
        <v>1263</v>
      </c>
      <c r="B298" s="22">
        <v>2023</v>
      </c>
      <c r="C298" s="90" t="s">
        <v>21</v>
      </c>
      <c r="D298" s="22"/>
      <c r="E298" s="27" t="s">
        <v>1264</v>
      </c>
      <c r="F298" s="29" t="s">
        <v>23</v>
      </c>
      <c r="G298" s="20" t="s">
        <v>199</v>
      </c>
      <c r="H298" s="36" t="s">
        <v>1265</v>
      </c>
      <c r="I298" s="37">
        <v>44985</v>
      </c>
      <c r="J298" s="37">
        <v>44985</v>
      </c>
      <c r="K298" s="22" t="s">
        <v>35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>SUM(O298:Q298)</f>
        <v>70</v>
      </c>
      <c r="S298" s="22">
        <v>1.5</v>
      </c>
      <c r="T298" s="20" t="s">
        <v>1266</v>
      </c>
    </row>
    <row r="299" spans="1:20" ht="23.25" hidden="1" customHeight="1" x14ac:dyDescent="0.25">
      <c r="A299" s="21" t="s">
        <v>1267</v>
      </c>
      <c r="B299" s="24">
        <v>2023</v>
      </c>
      <c r="C299" s="90" t="s">
        <v>21</v>
      </c>
      <c r="D299" s="24" t="s">
        <v>1268</v>
      </c>
      <c r="E299" s="30" t="s">
        <v>1269</v>
      </c>
      <c r="F299" s="31" t="s">
        <v>23</v>
      </c>
      <c r="G299" s="21" t="s">
        <v>68</v>
      </c>
      <c r="H299" s="38" t="s">
        <v>1265</v>
      </c>
      <c r="I299" s="39">
        <v>44985</v>
      </c>
      <c r="J299" s="39">
        <v>44985</v>
      </c>
      <c r="K299" s="24" t="s">
        <v>26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>SUM(O299:Q299)</f>
        <v>85</v>
      </c>
      <c r="S299" s="24">
        <v>8</v>
      </c>
      <c r="T299" s="21" t="s">
        <v>1270</v>
      </c>
    </row>
    <row r="300" spans="1:20" ht="23.25" hidden="1" customHeight="1" x14ac:dyDescent="0.25">
      <c r="A300" s="20" t="s">
        <v>1271</v>
      </c>
      <c r="B300" s="22">
        <v>2023</v>
      </c>
      <c r="C300" s="90" t="s">
        <v>21</v>
      </c>
      <c r="D300" s="22" t="s">
        <v>1272</v>
      </c>
      <c r="E300" s="27" t="s">
        <v>1273</v>
      </c>
      <c r="F300" s="29" t="s">
        <v>81</v>
      </c>
      <c r="G300" s="20" t="s">
        <v>72</v>
      </c>
      <c r="H300" s="36" t="s">
        <v>1274</v>
      </c>
      <c r="I300" s="37">
        <v>44988</v>
      </c>
      <c r="J300" s="37">
        <v>44988</v>
      </c>
      <c r="K300" s="22" t="s">
        <v>26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>SUM(O300:Q300)</f>
        <v>54</v>
      </c>
      <c r="S300" s="22">
        <v>2</v>
      </c>
      <c r="T300" s="20" t="s">
        <v>1275</v>
      </c>
    </row>
    <row r="301" spans="1:20" ht="23.25" hidden="1" customHeight="1" x14ac:dyDescent="0.25">
      <c r="A301" s="21" t="s">
        <v>1276</v>
      </c>
      <c r="B301" s="24">
        <v>2023</v>
      </c>
      <c r="C301" s="90" t="s">
        <v>21</v>
      </c>
      <c r="D301" s="24" t="s">
        <v>1277</v>
      </c>
      <c r="E301" s="30" t="s">
        <v>1278</v>
      </c>
      <c r="F301" s="31" t="s">
        <v>81</v>
      </c>
      <c r="G301" s="21" t="s">
        <v>199</v>
      </c>
      <c r="H301" s="38" t="s">
        <v>1279</v>
      </c>
      <c r="I301" s="39">
        <v>44991</v>
      </c>
      <c r="J301" s="39">
        <v>44991</v>
      </c>
      <c r="K301" s="24" t="s">
        <v>26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>SUM(O301:Q301)</f>
        <v>153</v>
      </c>
      <c r="S301" s="24">
        <v>2</v>
      </c>
      <c r="T301" s="21" t="s">
        <v>1280</v>
      </c>
    </row>
    <row r="302" spans="1:20" ht="23.25" hidden="1" customHeight="1" x14ac:dyDescent="0.25">
      <c r="A302" s="20" t="s">
        <v>1281</v>
      </c>
      <c r="B302" s="22">
        <v>2023</v>
      </c>
      <c r="C302" s="90" t="s">
        <v>21</v>
      </c>
      <c r="D302" s="22" t="s">
        <v>1282</v>
      </c>
      <c r="E302" s="27" t="s">
        <v>1283</v>
      </c>
      <c r="F302" s="29" t="s">
        <v>23</v>
      </c>
      <c r="G302" s="20" t="s">
        <v>24</v>
      </c>
      <c r="H302" s="36" t="s">
        <v>1284</v>
      </c>
      <c r="I302" s="37">
        <v>44992</v>
      </c>
      <c r="J302" s="37">
        <v>45001</v>
      </c>
      <c r="K302" s="22" t="s">
        <v>35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>SUM(O302:Q302)</f>
        <v>19</v>
      </c>
      <c r="S302" s="22">
        <v>16</v>
      </c>
      <c r="T302" s="20" t="s">
        <v>549</v>
      </c>
    </row>
    <row r="303" spans="1:20" ht="23.25" hidden="1" customHeight="1" x14ac:dyDescent="0.25">
      <c r="A303" s="21" t="s">
        <v>1285</v>
      </c>
      <c r="B303" s="24">
        <v>2023</v>
      </c>
      <c r="C303" s="90" t="s">
        <v>21</v>
      </c>
      <c r="D303" s="24" t="s">
        <v>1286</v>
      </c>
      <c r="E303" s="30" t="s">
        <v>1287</v>
      </c>
      <c r="F303" s="31" t="s">
        <v>23</v>
      </c>
      <c r="G303" s="21" t="s">
        <v>199</v>
      </c>
      <c r="H303" s="38" t="s">
        <v>1288</v>
      </c>
      <c r="I303" s="39">
        <v>44992</v>
      </c>
      <c r="J303" s="39">
        <v>44992</v>
      </c>
      <c r="K303" s="24" t="s">
        <v>26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>SUM(O303:Q303)</f>
        <v>20</v>
      </c>
      <c r="S303" s="24">
        <v>2</v>
      </c>
      <c r="T303" s="21" t="s">
        <v>1289</v>
      </c>
    </row>
    <row r="304" spans="1:20" ht="23.25" hidden="1" customHeight="1" x14ac:dyDescent="0.25">
      <c r="A304" s="20" t="s">
        <v>1290</v>
      </c>
      <c r="B304" s="22">
        <v>2023</v>
      </c>
      <c r="C304" s="90" t="s">
        <v>21</v>
      </c>
      <c r="D304" s="22" t="s">
        <v>1277</v>
      </c>
      <c r="E304" s="27" t="s">
        <v>1291</v>
      </c>
      <c r="F304" s="29" t="s">
        <v>23</v>
      </c>
      <c r="G304" s="20" t="s">
        <v>199</v>
      </c>
      <c r="H304" s="36" t="s">
        <v>1292</v>
      </c>
      <c r="I304" s="37">
        <v>44994</v>
      </c>
      <c r="J304" s="37">
        <v>44994</v>
      </c>
      <c r="K304" s="22" t="s">
        <v>26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>SUM(O304:Q304)</f>
        <v>25</v>
      </c>
      <c r="S304" s="22">
        <v>2</v>
      </c>
      <c r="T304" s="20" t="s">
        <v>1293</v>
      </c>
    </row>
    <row r="305" spans="1:20" ht="23.25" hidden="1" customHeight="1" x14ac:dyDescent="0.25">
      <c r="A305" s="21" t="s">
        <v>1294</v>
      </c>
      <c r="B305" s="24">
        <v>2023</v>
      </c>
      <c r="C305" s="90" t="s">
        <v>21</v>
      </c>
      <c r="D305" s="24" t="s">
        <v>1295</v>
      </c>
      <c r="E305" s="30" t="s">
        <v>1296</v>
      </c>
      <c r="F305" s="31" t="s">
        <v>23</v>
      </c>
      <c r="G305" s="21" t="s">
        <v>199</v>
      </c>
      <c r="H305" s="38" t="s">
        <v>1297</v>
      </c>
      <c r="I305" s="39">
        <v>44995</v>
      </c>
      <c r="J305" s="39">
        <v>44995</v>
      </c>
      <c r="K305" s="24" t="s">
        <v>26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>SUM(O305:Q305)</f>
        <v>70</v>
      </c>
      <c r="S305" s="24">
        <v>2</v>
      </c>
      <c r="T305" s="21" t="s">
        <v>1298</v>
      </c>
    </row>
    <row r="306" spans="1:20" ht="23.25" hidden="1" customHeight="1" x14ac:dyDescent="0.25">
      <c r="A306" s="20" t="s">
        <v>1299</v>
      </c>
      <c r="B306" s="22">
        <v>2023</v>
      </c>
      <c r="C306" s="90" t="s">
        <v>21</v>
      </c>
      <c r="D306" s="22" t="s">
        <v>1300</v>
      </c>
      <c r="E306" s="27" t="s">
        <v>1301</v>
      </c>
      <c r="F306" s="29" t="s">
        <v>23</v>
      </c>
      <c r="G306" s="20" t="s">
        <v>364</v>
      </c>
      <c r="H306" s="36" t="s">
        <v>1302</v>
      </c>
      <c r="I306" s="37">
        <v>45000</v>
      </c>
      <c r="J306" s="37">
        <v>45006</v>
      </c>
      <c r="K306" s="22" t="s">
        <v>35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>SUM(O306:Q306)</f>
        <v>17</v>
      </c>
      <c r="S306" s="22">
        <v>20</v>
      </c>
      <c r="T306" s="20"/>
    </row>
    <row r="307" spans="1:20" ht="23.25" hidden="1" customHeight="1" x14ac:dyDescent="0.25">
      <c r="A307" s="21" t="s">
        <v>1303</v>
      </c>
      <c r="B307" s="24">
        <v>2023</v>
      </c>
      <c r="C307" s="90" t="s">
        <v>21</v>
      </c>
      <c r="D307" s="24" t="s">
        <v>1304</v>
      </c>
      <c r="E307" s="30" t="s">
        <v>1305</v>
      </c>
      <c r="F307" s="31" t="s">
        <v>23</v>
      </c>
      <c r="G307" s="21" t="s">
        <v>68</v>
      </c>
      <c r="H307" s="38" t="s">
        <v>1306</v>
      </c>
      <c r="I307" s="39">
        <v>45005</v>
      </c>
      <c r="J307" s="39">
        <v>45009</v>
      </c>
      <c r="K307" s="24" t="s">
        <v>26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>SUM(O307:Q307)</f>
        <v>24</v>
      </c>
      <c r="S307" s="24">
        <v>20</v>
      </c>
      <c r="T307" s="21" t="s">
        <v>726</v>
      </c>
    </row>
    <row r="308" spans="1:20" ht="23.25" hidden="1" customHeight="1" x14ac:dyDescent="0.25">
      <c r="A308" s="20" t="s">
        <v>1307</v>
      </c>
      <c r="B308" s="22">
        <v>2023</v>
      </c>
      <c r="C308" s="90" t="s">
        <v>21</v>
      </c>
      <c r="D308" s="22" t="s">
        <v>1308</v>
      </c>
      <c r="E308" s="27" t="s">
        <v>1072</v>
      </c>
      <c r="F308" s="29" t="s">
        <v>23</v>
      </c>
      <c r="G308" s="20" t="s">
        <v>364</v>
      </c>
      <c r="H308" s="36" t="s">
        <v>1309</v>
      </c>
      <c r="I308" s="37">
        <v>45005</v>
      </c>
      <c r="J308" s="37">
        <v>45006</v>
      </c>
      <c r="K308" s="22" t="s">
        <v>35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>SUM(O308:Q308)</f>
        <v>17</v>
      </c>
      <c r="S308" s="22">
        <v>6.5</v>
      </c>
      <c r="T308" s="20" t="s">
        <v>1310</v>
      </c>
    </row>
    <row r="309" spans="1:20" ht="23.25" hidden="1" customHeight="1" x14ac:dyDescent="0.25">
      <c r="A309" s="21" t="s">
        <v>1311</v>
      </c>
      <c r="B309" s="24">
        <v>2023</v>
      </c>
      <c r="C309" s="90" t="s">
        <v>21</v>
      </c>
      <c r="D309" s="24" t="s">
        <v>1312</v>
      </c>
      <c r="E309" s="30" t="s">
        <v>1313</v>
      </c>
      <c r="F309" s="31" t="s">
        <v>23</v>
      </c>
      <c r="G309" s="21" t="s">
        <v>364</v>
      </c>
      <c r="H309" s="38" t="s">
        <v>1314</v>
      </c>
      <c r="I309" s="39">
        <v>45007</v>
      </c>
      <c r="J309" s="39">
        <v>45008</v>
      </c>
      <c r="K309" s="24" t="s">
        <v>35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>SUM(O309:Q309)</f>
        <v>17</v>
      </c>
      <c r="S309" s="24">
        <v>16</v>
      </c>
      <c r="T309" s="21" t="s">
        <v>549</v>
      </c>
    </row>
    <row r="310" spans="1:20" ht="23.25" hidden="1" customHeight="1" x14ac:dyDescent="0.25">
      <c r="A310" s="20" t="s">
        <v>1315</v>
      </c>
      <c r="B310" s="22">
        <v>2023</v>
      </c>
      <c r="C310" s="90" t="s">
        <v>21</v>
      </c>
      <c r="D310" s="22" t="s">
        <v>1316</v>
      </c>
      <c r="E310" s="35" t="s">
        <v>1317</v>
      </c>
      <c r="F310" s="29" t="s">
        <v>81</v>
      </c>
      <c r="G310" s="20" t="s">
        <v>72</v>
      </c>
      <c r="H310" s="36" t="s">
        <v>1318</v>
      </c>
      <c r="I310" s="37">
        <v>45008</v>
      </c>
      <c r="J310" s="37">
        <v>45008</v>
      </c>
      <c r="K310" s="22" t="s">
        <v>35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>SUM(O310:Q310)</f>
        <v>45</v>
      </c>
      <c r="S310" s="22">
        <v>1</v>
      </c>
      <c r="T310" s="33" t="s">
        <v>145</v>
      </c>
    </row>
    <row r="311" spans="1:20" ht="23.25" hidden="1" customHeight="1" x14ac:dyDescent="0.25">
      <c r="A311" s="21" t="s">
        <v>1319</v>
      </c>
      <c r="B311" s="24">
        <v>2023</v>
      </c>
      <c r="C311" s="90" t="s">
        <v>21</v>
      </c>
      <c r="D311" s="24" t="s">
        <v>1320</v>
      </c>
      <c r="E311" s="34" t="s">
        <v>1321</v>
      </c>
      <c r="F311" s="31" t="s">
        <v>23</v>
      </c>
      <c r="G311" s="21" t="s">
        <v>199</v>
      </c>
      <c r="H311" s="38" t="s">
        <v>1322</v>
      </c>
      <c r="I311" s="39">
        <v>45009</v>
      </c>
      <c r="J311" s="39">
        <v>45009</v>
      </c>
      <c r="K311" s="24" t="s">
        <v>26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>SUM(O311:Q311)</f>
        <v>26</v>
      </c>
      <c r="S311" s="24">
        <v>2</v>
      </c>
      <c r="T311" s="21" t="s">
        <v>1323</v>
      </c>
    </row>
    <row r="312" spans="1:20" ht="23.25" hidden="1" customHeight="1" x14ac:dyDescent="0.25">
      <c r="A312" s="20" t="s">
        <v>1324</v>
      </c>
      <c r="B312" s="22">
        <v>2023</v>
      </c>
      <c r="C312" s="90" t="s">
        <v>21</v>
      </c>
      <c r="D312" s="22" t="s">
        <v>1325</v>
      </c>
      <c r="E312" s="27" t="s">
        <v>1326</v>
      </c>
      <c r="F312" s="29" t="s">
        <v>23</v>
      </c>
      <c r="G312" s="20" t="s">
        <v>68</v>
      </c>
      <c r="H312" s="36" t="s">
        <v>1322</v>
      </c>
      <c r="I312" s="37">
        <v>45009</v>
      </c>
      <c r="J312" s="37">
        <v>45009</v>
      </c>
      <c r="K312" s="22" t="s">
        <v>35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>SUM(O312:Q312)</f>
        <v>17</v>
      </c>
      <c r="S312" s="22">
        <v>75</v>
      </c>
      <c r="T312" s="54" t="s">
        <v>1327</v>
      </c>
    </row>
    <row r="313" spans="1:20" ht="23.25" hidden="1" customHeight="1" x14ac:dyDescent="0.25">
      <c r="A313" s="21" t="s">
        <v>1328</v>
      </c>
      <c r="B313" s="24">
        <v>2023</v>
      </c>
      <c r="C313" s="90" t="s">
        <v>21</v>
      </c>
      <c r="D313" s="24" t="s">
        <v>1329</v>
      </c>
      <c r="E313" s="30" t="s">
        <v>1330</v>
      </c>
      <c r="F313" s="31" t="s">
        <v>23</v>
      </c>
      <c r="G313" s="21" t="s">
        <v>33</v>
      </c>
      <c r="H313" s="38" t="s">
        <v>1322</v>
      </c>
      <c r="I313" s="39">
        <v>45009</v>
      </c>
      <c r="J313" s="39">
        <v>45009</v>
      </c>
      <c r="K313" s="24" t="s">
        <v>26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>SUM(O313:Q313)</f>
        <v>30</v>
      </c>
      <c r="S313" s="24">
        <v>2</v>
      </c>
      <c r="T313" s="21" t="s">
        <v>894</v>
      </c>
    </row>
    <row r="314" spans="1:20" ht="23.25" hidden="1" customHeight="1" x14ac:dyDescent="0.25">
      <c r="A314" s="20" t="s">
        <v>1331</v>
      </c>
      <c r="B314" s="22">
        <v>2023</v>
      </c>
      <c r="C314" s="90" t="s">
        <v>21</v>
      </c>
      <c r="D314" s="22" t="s">
        <v>1260</v>
      </c>
      <c r="E314" s="27" t="s">
        <v>1332</v>
      </c>
      <c r="F314" s="29" t="s">
        <v>62</v>
      </c>
      <c r="G314" s="20" t="s">
        <v>72</v>
      </c>
      <c r="H314" s="36" t="s">
        <v>1333</v>
      </c>
      <c r="I314" s="37">
        <v>45012</v>
      </c>
      <c r="J314" s="37">
        <v>45016</v>
      </c>
      <c r="K314" s="22" t="s">
        <v>35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>SUM(O314:Q314)</f>
        <v>20</v>
      </c>
      <c r="S314" s="22">
        <v>20</v>
      </c>
      <c r="T314" s="20" t="s">
        <v>74</v>
      </c>
    </row>
    <row r="315" spans="1:20" ht="23.25" hidden="1" customHeight="1" x14ac:dyDescent="0.25">
      <c r="A315" s="21" t="s">
        <v>1334</v>
      </c>
      <c r="B315" s="24">
        <v>2023</v>
      </c>
      <c r="C315" s="90" t="s">
        <v>21</v>
      </c>
      <c r="D315" s="24" t="s">
        <v>1335</v>
      </c>
      <c r="E315" s="30" t="s">
        <v>1336</v>
      </c>
      <c r="F315" s="31" t="s">
        <v>81</v>
      </c>
      <c r="G315" s="21" t="s">
        <v>72</v>
      </c>
      <c r="H315" s="38" t="s">
        <v>1337</v>
      </c>
      <c r="I315" s="39">
        <v>45015</v>
      </c>
      <c r="J315" s="39">
        <v>45015</v>
      </c>
      <c r="K315" s="24" t="s">
        <v>35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>SUM(O315:Q315)</f>
        <v>33</v>
      </c>
      <c r="S315" s="24">
        <v>2</v>
      </c>
      <c r="T315" s="21" t="s">
        <v>1338</v>
      </c>
    </row>
    <row r="316" spans="1:20" ht="23.25" hidden="1" customHeight="1" x14ac:dyDescent="0.25">
      <c r="A316" s="20" t="s">
        <v>1339</v>
      </c>
      <c r="B316" s="22">
        <v>2023</v>
      </c>
      <c r="C316" s="90" t="s">
        <v>21</v>
      </c>
      <c r="D316" s="22" t="s">
        <v>1340</v>
      </c>
      <c r="E316" s="27" t="s">
        <v>1341</v>
      </c>
      <c r="F316" s="29" t="s">
        <v>23</v>
      </c>
      <c r="G316" s="20" t="s">
        <v>24</v>
      </c>
      <c r="H316" s="36" t="s">
        <v>1342</v>
      </c>
      <c r="I316" s="37">
        <v>45026</v>
      </c>
      <c r="J316" s="37">
        <v>45026</v>
      </c>
      <c r="K316" s="22" t="s">
        <v>26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>SUM(O316:Q316)</f>
        <v>17</v>
      </c>
      <c r="S316" s="22">
        <v>5</v>
      </c>
      <c r="T316" s="33" t="s">
        <v>1343</v>
      </c>
    </row>
    <row r="317" spans="1:20" ht="23.25" hidden="1" customHeight="1" x14ac:dyDescent="0.25">
      <c r="A317" s="21" t="s">
        <v>1344</v>
      </c>
      <c r="B317" s="24">
        <v>2023</v>
      </c>
      <c r="C317" s="90" t="s">
        <v>21</v>
      </c>
      <c r="D317" s="24" t="s">
        <v>1345</v>
      </c>
      <c r="E317" s="30" t="s">
        <v>1346</v>
      </c>
      <c r="F317" s="31" t="s">
        <v>23</v>
      </c>
      <c r="G317" s="21" t="s">
        <v>38</v>
      </c>
      <c r="H317" s="38" t="s">
        <v>1347</v>
      </c>
      <c r="I317" s="39">
        <v>45027</v>
      </c>
      <c r="J317" s="39">
        <v>45029</v>
      </c>
      <c r="K317" s="24" t="s">
        <v>26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>SUM(O317:Q317)</f>
        <v>15</v>
      </c>
      <c r="S317" s="24">
        <v>24</v>
      </c>
      <c r="T317" s="21" t="s">
        <v>1348</v>
      </c>
    </row>
    <row r="318" spans="1:20" ht="23.25" hidden="1" customHeight="1" x14ac:dyDescent="0.25">
      <c r="A318" s="20" t="s">
        <v>1349</v>
      </c>
      <c r="B318" s="22">
        <v>2023</v>
      </c>
      <c r="C318" s="90" t="s">
        <v>21</v>
      </c>
      <c r="D318" s="22" t="s">
        <v>1350</v>
      </c>
      <c r="E318" s="27" t="s">
        <v>1351</v>
      </c>
      <c r="F318" s="29" t="s">
        <v>81</v>
      </c>
      <c r="G318" s="20" t="s">
        <v>72</v>
      </c>
      <c r="H318" s="36" t="s">
        <v>1352</v>
      </c>
      <c r="I318" s="37">
        <v>45030</v>
      </c>
      <c r="J318" s="37">
        <v>45030</v>
      </c>
      <c r="K318" s="22" t="s">
        <v>35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>SUM(O318:Q318)</f>
        <v>19</v>
      </c>
      <c r="S318" s="22">
        <v>4</v>
      </c>
      <c r="T318" s="20" t="s">
        <v>418</v>
      </c>
    </row>
    <row r="319" spans="1:20" ht="23.25" hidden="1" customHeight="1" x14ac:dyDescent="0.25">
      <c r="A319" s="21" t="s">
        <v>1353</v>
      </c>
      <c r="B319" s="24">
        <v>2023</v>
      </c>
      <c r="C319" s="90" t="s">
        <v>21</v>
      </c>
      <c r="D319" s="24" t="s">
        <v>1354</v>
      </c>
      <c r="E319" s="30" t="s">
        <v>1355</v>
      </c>
      <c r="F319" s="31" t="s">
        <v>23</v>
      </c>
      <c r="G319" s="21" t="s">
        <v>1356</v>
      </c>
      <c r="H319" s="38" t="s">
        <v>1357</v>
      </c>
      <c r="I319" s="39">
        <v>45033</v>
      </c>
      <c r="J319" s="39">
        <v>45033</v>
      </c>
      <c r="K319" s="24" t="s">
        <v>26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>SUM(O319:Q319)</f>
        <v>16</v>
      </c>
      <c r="S319" s="24">
        <v>2</v>
      </c>
      <c r="T319" s="21" t="s">
        <v>1358</v>
      </c>
    </row>
    <row r="320" spans="1:20" ht="23.25" hidden="1" customHeight="1" x14ac:dyDescent="0.25">
      <c r="A320" s="20" t="s">
        <v>1359</v>
      </c>
      <c r="B320" s="22">
        <v>2023</v>
      </c>
      <c r="C320" s="90" t="s">
        <v>21</v>
      </c>
      <c r="D320" s="22" t="s">
        <v>1354</v>
      </c>
      <c r="E320" s="27" t="s">
        <v>1360</v>
      </c>
      <c r="F320" s="29" t="s">
        <v>23</v>
      </c>
      <c r="G320" s="20" t="s">
        <v>1356</v>
      </c>
      <c r="H320" s="36" t="s">
        <v>1361</v>
      </c>
      <c r="I320" s="37">
        <v>45034</v>
      </c>
      <c r="J320" s="37">
        <v>45034</v>
      </c>
      <c r="K320" s="22" t="s">
        <v>26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>SUM(O320:Q320)</f>
        <v>49</v>
      </c>
      <c r="S320" s="22">
        <v>2</v>
      </c>
      <c r="T320" s="20" t="s">
        <v>1358</v>
      </c>
    </row>
    <row r="321" spans="1:20" ht="23.25" hidden="1" customHeight="1" x14ac:dyDescent="0.25">
      <c r="A321" s="21" t="s">
        <v>1362</v>
      </c>
      <c r="B321" s="24">
        <v>2023</v>
      </c>
      <c r="C321" s="90" t="s">
        <v>21</v>
      </c>
      <c r="D321" s="24" t="s">
        <v>1354</v>
      </c>
      <c r="E321" s="30" t="s">
        <v>1363</v>
      </c>
      <c r="F321" s="31" t="s">
        <v>23</v>
      </c>
      <c r="G321" s="21" t="s">
        <v>1356</v>
      </c>
      <c r="H321" s="38" t="s">
        <v>1361</v>
      </c>
      <c r="I321" s="39">
        <v>45034</v>
      </c>
      <c r="J321" s="39">
        <v>45034</v>
      </c>
      <c r="K321" s="24" t="s">
        <v>26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>SUM(O321:Q321)</f>
        <v>126</v>
      </c>
      <c r="S321" s="24">
        <v>2</v>
      </c>
      <c r="T321" s="21" t="s">
        <v>1358</v>
      </c>
    </row>
    <row r="322" spans="1:20" ht="23.25" hidden="1" customHeight="1" x14ac:dyDescent="0.25">
      <c r="A322" s="20" t="s">
        <v>1364</v>
      </c>
      <c r="B322" s="22">
        <v>2023</v>
      </c>
      <c r="C322" s="90" t="s">
        <v>21</v>
      </c>
      <c r="D322" s="22" t="s">
        <v>1365</v>
      </c>
      <c r="E322" s="27" t="s">
        <v>1366</v>
      </c>
      <c r="F322" s="29" t="s">
        <v>81</v>
      </c>
      <c r="G322" s="20" t="s">
        <v>72</v>
      </c>
      <c r="H322" s="36" t="s">
        <v>1361</v>
      </c>
      <c r="I322" s="37">
        <v>45034</v>
      </c>
      <c r="J322" s="37">
        <v>45034</v>
      </c>
      <c r="K322" s="22" t="s">
        <v>35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>SUM(O322:Q322)</f>
        <v>40</v>
      </c>
      <c r="S322" s="22">
        <v>1</v>
      </c>
      <c r="T322" s="20" t="s">
        <v>1367</v>
      </c>
    </row>
    <row r="323" spans="1:20" ht="23.25" hidden="1" customHeight="1" x14ac:dyDescent="0.25">
      <c r="A323" s="21" t="s">
        <v>1368</v>
      </c>
      <c r="B323" s="24">
        <v>2023</v>
      </c>
      <c r="C323" s="90" t="s">
        <v>21</v>
      </c>
      <c r="D323" s="24" t="s">
        <v>1365</v>
      </c>
      <c r="E323" s="30" t="s">
        <v>1369</v>
      </c>
      <c r="F323" s="31" t="s">
        <v>81</v>
      </c>
      <c r="G323" s="21" t="s">
        <v>72</v>
      </c>
      <c r="H323" s="38" t="s">
        <v>1361</v>
      </c>
      <c r="I323" s="39">
        <v>45034</v>
      </c>
      <c r="J323" s="39">
        <v>45034</v>
      </c>
      <c r="K323" s="24" t="s">
        <v>35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>SUM(O323:Q323)</f>
        <v>40</v>
      </c>
      <c r="S323" s="24">
        <v>1</v>
      </c>
      <c r="T323" s="21" t="s">
        <v>1367</v>
      </c>
    </row>
    <row r="324" spans="1:20" ht="23.25" hidden="1" customHeight="1" x14ac:dyDescent="0.25">
      <c r="A324" s="20" t="s">
        <v>1370</v>
      </c>
      <c r="B324" s="22">
        <v>2023</v>
      </c>
      <c r="C324" s="90" t="s">
        <v>21</v>
      </c>
      <c r="D324" s="22" t="s">
        <v>1365</v>
      </c>
      <c r="E324" s="27" t="s">
        <v>1371</v>
      </c>
      <c r="F324" s="29" t="s">
        <v>81</v>
      </c>
      <c r="G324" s="20" t="s">
        <v>72</v>
      </c>
      <c r="H324" s="36" t="s">
        <v>1372</v>
      </c>
      <c r="I324" s="37">
        <v>45035</v>
      </c>
      <c r="J324" s="37">
        <v>45035</v>
      </c>
      <c r="K324" s="22" t="s">
        <v>35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>SUM(O324:Q324)</f>
        <v>60</v>
      </c>
      <c r="S324" s="22">
        <v>1</v>
      </c>
      <c r="T324" s="20" t="s">
        <v>1367</v>
      </c>
    </row>
    <row r="325" spans="1:20" ht="23.25" hidden="1" customHeight="1" x14ac:dyDescent="0.25">
      <c r="A325" s="21" t="s">
        <v>1373</v>
      </c>
      <c r="B325" s="24">
        <v>2023</v>
      </c>
      <c r="C325" s="90" t="s">
        <v>21</v>
      </c>
      <c r="D325" s="24" t="s">
        <v>1365</v>
      </c>
      <c r="E325" s="30" t="s">
        <v>1374</v>
      </c>
      <c r="F325" s="31" t="s">
        <v>81</v>
      </c>
      <c r="G325" s="21" t="s">
        <v>72</v>
      </c>
      <c r="H325" s="38" t="s">
        <v>1372</v>
      </c>
      <c r="I325" s="39">
        <v>45035</v>
      </c>
      <c r="J325" s="39">
        <v>45035</v>
      </c>
      <c r="K325" s="24" t="s">
        <v>35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>SUM(O325:Q325)</f>
        <v>30</v>
      </c>
      <c r="S325" s="24">
        <v>1</v>
      </c>
      <c r="T325" s="21" t="s">
        <v>1367</v>
      </c>
    </row>
    <row r="326" spans="1:20" ht="23.25" hidden="1" customHeight="1" x14ac:dyDescent="0.25">
      <c r="A326" s="20" t="s">
        <v>1375</v>
      </c>
      <c r="B326" s="22">
        <v>2023</v>
      </c>
      <c r="C326" s="90" t="s">
        <v>21</v>
      </c>
      <c r="D326" s="22" t="s">
        <v>1376</v>
      </c>
      <c r="E326" s="27" t="s">
        <v>1377</v>
      </c>
      <c r="F326" s="29" t="s">
        <v>23</v>
      </c>
      <c r="G326" s="20" t="s">
        <v>457</v>
      </c>
      <c r="H326" s="36" t="s">
        <v>1378</v>
      </c>
      <c r="I326" s="37">
        <v>45036</v>
      </c>
      <c r="J326" s="37">
        <v>45058</v>
      </c>
      <c r="K326" s="22" t="s">
        <v>26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>SUM(O326:Q326)</f>
        <v>21</v>
      </c>
      <c r="S326" s="22">
        <v>30</v>
      </c>
      <c r="T326" s="20" t="s">
        <v>966</v>
      </c>
    </row>
    <row r="327" spans="1:20" ht="23.25" hidden="1" customHeight="1" x14ac:dyDescent="0.25">
      <c r="A327" s="21" t="s">
        <v>1379</v>
      </c>
      <c r="B327" s="24">
        <v>2023</v>
      </c>
      <c r="C327" s="90" t="s">
        <v>21</v>
      </c>
      <c r="D327" s="24" t="s">
        <v>1260</v>
      </c>
      <c r="E327" s="30" t="s">
        <v>1380</v>
      </c>
      <c r="F327" s="31" t="s">
        <v>62</v>
      </c>
      <c r="G327" s="21" t="s">
        <v>72</v>
      </c>
      <c r="H327" s="38" t="s">
        <v>1381</v>
      </c>
      <c r="I327" s="39">
        <v>45040</v>
      </c>
      <c r="J327" s="39">
        <v>45044</v>
      </c>
      <c r="K327" s="24" t="s">
        <v>35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>SUM(O327:Q327)</f>
        <v>20</v>
      </c>
      <c r="S327" s="24">
        <v>20</v>
      </c>
      <c r="T327" s="21" t="s">
        <v>74</v>
      </c>
    </row>
    <row r="328" spans="1:20" ht="23.25" hidden="1" customHeight="1" x14ac:dyDescent="0.25">
      <c r="A328" s="20" t="s">
        <v>1382</v>
      </c>
      <c r="B328" s="22">
        <v>2023</v>
      </c>
      <c r="C328" s="90" t="s">
        <v>21</v>
      </c>
      <c r="D328" s="22" t="s">
        <v>1383</v>
      </c>
      <c r="E328" s="27" t="s">
        <v>1384</v>
      </c>
      <c r="F328" s="29" t="s">
        <v>81</v>
      </c>
      <c r="G328" s="20" t="s">
        <v>72</v>
      </c>
      <c r="H328" s="36" t="s">
        <v>1385</v>
      </c>
      <c r="I328" s="37">
        <v>45041</v>
      </c>
      <c r="J328" s="37">
        <v>45043</v>
      </c>
      <c r="K328" s="22" t="s">
        <v>35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>SUM(O328:Q328)</f>
        <v>40</v>
      </c>
      <c r="S328" s="22">
        <v>9</v>
      </c>
      <c r="T328" s="54" t="s">
        <v>1386</v>
      </c>
    </row>
    <row r="329" spans="1:20" ht="23.25" hidden="1" customHeight="1" x14ac:dyDescent="0.25">
      <c r="A329" s="21" t="s">
        <v>1387</v>
      </c>
      <c r="B329" s="24">
        <v>2023</v>
      </c>
      <c r="C329" s="90" t="s">
        <v>21</v>
      </c>
      <c r="D329" s="24" t="s">
        <v>1388</v>
      </c>
      <c r="E329" s="30" t="s">
        <v>1389</v>
      </c>
      <c r="F329" s="31" t="s">
        <v>62</v>
      </c>
      <c r="G329" s="21" t="s">
        <v>72</v>
      </c>
      <c r="H329" s="38" t="s">
        <v>1390</v>
      </c>
      <c r="I329" s="39">
        <v>45042</v>
      </c>
      <c r="J329" s="39">
        <v>45043</v>
      </c>
      <c r="K329" s="24" t="s">
        <v>26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>SUM(O329:Q329)</f>
        <v>80</v>
      </c>
      <c r="S329" s="24">
        <v>8</v>
      </c>
      <c r="T329" s="21" t="s">
        <v>1391</v>
      </c>
    </row>
    <row r="330" spans="1:20" ht="23.25" hidden="1" customHeight="1" x14ac:dyDescent="0.25">
      <c r="A330" s="20" t="s">
        <v>1392</v>
      </c>
      <c r="B330" s="22">
        <v>2023</v>
      </c>
      <c r="C330" s="90" t="s">
        <v>21</v>
      </c>
      <c r="D330" s="22" t="s">
        <v>1393</v>
      </c>
      <c r="E330" s="27" t="s">
        <v>1394</v>
      </c>
      <c r="F330" s="29" t="s">
        <v>23</v>
      </c>
      <c r="G330" s="20" t="s">
        <v>24</v>
      </c>
      <c r="H330" s="36" t="s">
        <v>1395</v>
      </c>
      <c r="I330" s="37">
        <v>45048</v>
      </c>
      <c r="J330" s="37">
        <v>45057</v>
      </c>
      <c r="K330" s="22" t="s">
        <v>35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>SUM(O330:Q330)</f>
        <v>26</v>
      </c>
      <c r="S330" s="22">
        <v>16</v>
      </c>
      <c r="T330" s="20" t="s">
        <v>549</v>
      </c>
    </row>
    <row r="331" spans="1:20" ht="23.25" hidden="1" customHeight="1" x14ac:dyDescent="0.25">
      <c r="A331" s="21" t="s">
        <v>1396</v>
      </c>
      <c r="B331" s="24">
        <v>2023</v>
      </c>
      <c r="C331" s="90" t="s">
        <v>21</v>
      </c>
      <c r="D331" s="24" t="s">
        <v>1397</v>
      </c>
      <c r="E331" s="30" t="s">
        <v>1398</v>
      </c>
      <c r="F331" s="31" t="s">
        <v>23</v>
      </c>
      <c r="G331" s="21" t="s">
        <v>33</v>
      </c>
      <c r="H331" s="38" t="s">
        <v>1399</v>
      </c>
      <c r="I331" s="39">
        <v>45057</v>
      </c>
      <c r="J331" s="39">
        <v>45091</v>
      </c>
      <c r="K331" s="24" t="s">
        <v>26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>SUM(O331:Q331)</f>
        <v>15</v>
      </c>
      <c r="S331" s="24">
        <v>16</v>
      </c>
      <c r="T331" s="21" t="s">
        <v>1400</v>
      </c>
    </row>
    <row r="332" spans="1:20" ht="23.25" hidden="1" customHeight="1" x14ac:dyDescent="0.25">
      <c r="A332" s="20" t="s">
        <v>1401</v>
      </c>
      <c r="B332" s="22">
        <v>2023</v>
      </c>
      <c r="C332" s="90" t="s">
        <v>21</v>
      </c>
      <c r="D332" s="22" t="s">
        <v>1354</v>
      </c>
      <c r="E332" s="27" t="s">
        <v>1402</v>
      </c>
      <c r="F332" s="29" t="s">
        <v>23</v>
      </c>
      <c r="G332" s="20" t="s">
        <v>1356</v>
      </c>
      <c r="H332" s="36" t="s">
        <v>1403</v>
      </c>
      <c r="I332" s="37">
        <v>45061</v>
      </c>
      <c r="J332" s="37">
        <v>45121</v>
      </c>
      <c r="K332" s="22" t="s">
        <v>26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>SUM(O332:Q332)</f>
        <v>23</v>
      </c>
      <c r="S332" s="22">
        <v>46</v>
      </c>
      <c r="T332" s="20" t="s">
        <v>1404</v>
      </c>
    </row>
    <row r="333" spans="1:20" ht="23.25" hidden="1" customHeight="1" x14ac:dyDescent="0.25">
      <c r="A333" s="21" t="s">
        <v>1405</v>
      </c>
      <c r="B333" s="24">
        <v>2023</v>
      </c>
      <c r="C333" s="90" t="s">
        <v>21</v>
      </c>
      <c r="D333" s="24" t="s">
        <v>1406</v>
      </c>
      <c r="E333" s="30" t="s">
        <v>1407</v>
      </c>
      <c r="F333" s="31" t="s">
        <v>23</v>
      </c>
      <c r="G333" s="21" t="s">
        <v>38</v>
      </c>
      <c r="H333" s="38" t="s">
        <v>1408</v>
      </c>
      <c r="I333" s="39">
        <v>45071</v>
      </c>
      <c r="J333" s="39">
        <v>45071</v>
      </c>
      <c r="K333" s="24" t="s">
        <v>35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>SUM(O333:Q333)</f>
        <v>207</v>
      </c>
      <c r="S333" s="24">
        <v>1.5</v>
      </c>
      <c r="T333" s="21" t="s">
        <v>1409</v>
      </c>
    </row>
    <row r="334" spans="1:20" ht="23.25" hidden="1" customHeight="1" x14ac:dyDescent="0.25">
      <c r="A334" s="20" t="s">
        <v>1410</v>
      </c>
      <c r="B334" s="22">
        <v>2023</v>
      </c>
      <c r="C334" s="90" t="s">
        <v>21</v>
      </c>
      <c r="D334" s="22" t="s">
        <v>1376</v>
      </c>
      <c r="E334" s="27" t="s">
        <v>1411</v>
      </c>
      <c r="F334" s="29" t="s">
        <v>23</v>
      </c>
      <c r="G334" s="20" t="s">
        <v>457</v>
      </c>
      <c r="H334" s="36" t="s">
        <v>1412</v>
      </c>
      <c r="I334" s="37">
        <v>45089</v>
      </c>
      <c r="J334" s="37">
        <v>45107</v>
      </c>
      <c r="K334" s="22" t="s">
        <v>26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>SUM(O334:Q334)</f>
        <v>13</v>
      </c>
      <c r="S334" s="22">
        <v>30</v>
      </c>
      <c r="T334" s="20" t="s">
        <v>966</v>
      </c>
    </row>
    <row r="335" spans="1:20" ht="23.25" hidden="1" customHeight="1" x14ac:dyDescent="0.25">
      <c r="A335" s="21" t="s">
        <v>1413</v>
      </c>
      <c r="B335" s="24">
        <v>2023</v>
      </c>
      <c r="C335" s="90" t="s">
        <v>21</v>
      </c>
      <c r="D335" s="24" t="s">
        <v>1414</v>
      </c>
      <c r="E335" s="30" t="s">
        <v>1415</v>
      </c>
      <c r="F335" s="31" t="s">
        <v>23</v>
      </c>
      <c r="G335" s="21" t="s">
        <v>68</v>
      </c>
      <c r="H335" s="38" t="s">
        <v>1416</v>
      </c>
      <c r="I335" s="39">
        <v>45092</v>
      </c>
      <c r="J335" s="39">
        <v>45093</v>
      </c>
      <c r="K335" s="24" t="s">
        <v>26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>SUM(O335:Q335)</f>
        <v>184</v>
      </c>
      <c r="S335" s="24">
        <v>10</v>
      </c>
      <c r="T335" s="21" t="s">
        <v>1417</v>
      </c>
    </row>
    <row r="336" spans="1:20" ht="23.25" hidden="1" customHeight="1" x14ac:dyDescent="0.25">
      <c r="A336" s="20" t="s">
        <v>1418</v>
      </c>
      <c r="B336" s="22">
        <v>2023</v>
      </c>
      <c r="C336" s="90" t="s">
        <v>21</v>
      </c>
      <c r="D336" s="22" t="s">
        <v>1419</v>
      </c>
      <c r="E336" s="35" t="s">
        <v>1420</v>
      </c>
      <c r="F336" s="29" t="s">
        <v>62</v>
      </c>
      <c r="G336" s="20" t="s">
        <v>72</v>
      </c>
      <c r="H336" s="36" t="s">
        <v>1421</v>
      </c>
      <c r="I336" s="37">
        <v>45096</v>
      </c>
      <c r="J336" s="37">
        <v>45100</v>
      </c>
      <c r="K336" s="22" t="s">
        <v>35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>SUM(O336:Q336)</f>
        <v>46</v>
      </c>
      <c r="S336" s="22">
        <v>20</v>
      </c>
      <c r="T336" s="20" t="s">
        <v>1422</v>
      </c>
    </row>
    <row r="337" spans="1:20" ht="23.25" hidden="1" customHeight="1" x14ac:dyDescent="0.25">
      <c r="A337" s="21" t="s">
        <v>1423</v>
      </c>
      <c r="B337" s="24">
        <v>2023</v>
      </c>
      <c r="C337" s="90" t="s">
        <v>21</v>
      </c>
      <c r="D337" s="24" t="s">
        <v>1414</v>
      </c>
      <c r="E337" s="30" t="s">
        <v>1424</v>
      </c>
      <c r="F337" s="31" t="s">
        <v>23</v>
      </c>
      <c r="G337" s="21" t="s">
        <v>68</v>
      </c>
      <c r="H337" s="38" t="s">
        <v>1425</v>
      </c>
      <c r="I337" s="39">
        <v>45097</v>
      </c>
      <c r="J337" s="39">
        <v>45097</v>
      </c>
      <c r="K337" s="24" t="s">
        <v>26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>SUM(O337:Q337)</f>
        <v>60</v>
      </c>
      <c r="S337" s="24">
        <v>2</v>
      </c>
      <c r="T337" s="21" t="s">
        <v>1426</v>
      </c>
    </row>
    <row r="338" spans="1:20" ht="23.25" hidden="1" customHeight="1" x14ac:dyDescent="0.25">
      <c r="A338" s="20" t="s">
        <v>1427</v>
      </c>
      <c r="B338" s="22">
        <v>2023</v>
      </c>
      <c r="C338" s="90" t="s">
        <v>21</v>
      </c>
      <c r="D338" s="22" t="s">
        <v>1428</v>
      </c>
      <c r="E338" s="27" t="s">
        <v>1429</v>
      </c>
      <c r="F338" s="29" t="s">
        <v>81</v>
      </c>
      <c r="G338" s="20" t="s">
        <v>72</v>
      </c>
      <c r="H338" s="36" t="s">
        <v>1430</v>
      </c>
      <c r="I338" s="37">
        <v>45103</v>
      </c>
      <c r="J338" s="37">
        <v>45107</v>
      </c>
      <c r="K338" s="22" t="s">
        <v>35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>SUM(O338:Q338)</f>
        <v>48</v>
      </c>
      <c r="S338" s="22">
        <v>20</v>
      </c>
      <c r="T338" s="20" t="s">
        <v>418</v>
      </c>
    </row>
    <row r="339" spans="1:20" ht="23.25" hidden="1" customHeight="1" x14ac:dyDescent="0.25">
      <c r="A339" s="21" t="s">
        <v>1431</v>
      </c>
      <c r="B339" s="24">
        <v>2023</v>
      </c>
      <c r="C339" s="90" t="s">
        <v>21</v>
      </c>
      <c r="D339" s="24" t="s">
        <v>1432</v>
      </c>
      <c r="E339" s="30" t="s">
        <v>1433</v>
      </c>
      <c r="F339" s="31" t="s">
        <v>81</v>
      </c>
      <c r="G339" s="21" t="s">
        <v>72</v>
      </c>
      <c r="H339" s="38" t="s">
        <v>1434</v>
      </c>
      <c r="I339" s="39">
        <v>45103</v>
      </c>
      <c r="J339" s="39">
        <v>45103</v>
      </c>
      <c r="K339" s="24" t="s">
        <v>35</v>
      </c>
      <c r="L339" s="26">
        <v>0</v>
      </c>
      <c r="M339" s="87"/>
      <c r="N339" s="40"/>
      <c r="O339" s="25"/>
      <c r="P339" s="25"/>
      <c r="Q339" s="25">
        <v>40</v>
      </c>
      <c r="R339" s="25">
        <f>SUM(O339:Q339)</f>
        <v>40</v>
      </c>
      <c r="S339" s="24">
        <v>2</v>
      </c>
      <c r="T339" s="21" t="s">
        <v>1023</v>
      </c>
    </row>
    <row r="340" spans="1:20" ht="23.25" hidden="1" customHeight="1" x14ac:dyDescent="0.25">
      <c r="A340" s="20" t="s">
        <v>1435</v>
      </c>
      <c r="B340" s="22">
        <v>2023</v>
      </c>
      <c r="C340" s="90" t="s">
        <v>21</v>
      </c>
      <c r="D340" s="22" t="s">
        <v>1436</v>
      </c>
      <c r="E340" s="27" t="s">
        <v>1437</v>
      </c>
      <c r="F340" s="29" t="s">
        <v>23</v>
      </c>
      <c r="G340" s="20" t="s">
        <v>38</v>
      </c>
      <c r="H340" s="36" t="s">
        <v>1438</v>
      </c>
      <c r="I340" s="37">
        <v>45104</v>
      </c>
      <c r="J340" s="37">
        <v>45104</v>
      </c>
      <c r="K340" s="22" t="s">
        <v>26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>SUM(O340:Q340)</f>
        <v>150</v>
      </c>
      <c r="S340" s="22">
        <v>2</v>
      </c>
      <c r="T340" s="20" t="s">
        <v>1439</v>
      </c>
    </row>
    <row r="341" spans="1:20" ht="23.25" hidden="1" customHeight="1" x14ac:dyDescent="0.25">
      <c r="A341" s="21" t="s">
        <v>1440</v>
      </c>
      <c r="B341" s="24">
        <v>2023</v>
      </c>
      <c r="C341" s="90" t="s">
        <v>21</v>
      </c>
      <c r="D341" s="24" t="s">
        <v>1441</v>
      </c>
      <c r="E341" s="34" t="s">
        <v>1442</v>
      </c>
      <c r="F341" s="31" t="s">
        <v>23</v>
      </c>
      <c r="G341" s="21" t="s">
        <v>38</v>
      </c>
      <c r="H341" s="24" t="s">
        <v>1443</v>
      </c>
      <c r="I341" s="39">
        <v>45110</v>
      </c>
      <c r="J341" s="39">
        <v>45111</v>
      </c>
      <c r="K341" s="24" t="s">
        <v>35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>SUM(O341:Q341)</f>
        <v>20</v>
      </c>
      <c r="S341" s="24">
        <v>7</v>
      </c>
      <c r="T341" s="21" t="s">
        <v>1055</v>
      </c>
    </row>
    <row r="342" spans="1:20" ht="23.25" hidden="1" customHeight="1" x14ac:dyDescent="0.25">
      <c r="A342" s="20" t="s">
        <v>1444</v>
      </c>
      <c r="B342" s="22">
        <v>2023</v>
      </c>
      <c r="C342" s="90" t="s">
        <v>21</v>
      </c>
      <c r="D342" s="22" t="s">
        <v>1445</v>
      </c>
      <c r="E342" s="27" t="s">
        <v>1446</v>
      </c>
      <c r="F342" s="29" t="s">
        <v>81</v>
      </c>
      <c r="G342" s="20" t="s">
        <v>72</v>
      </c>
      <c r="H342" s="36" t="s">
        <v>1447</v>
      </c>
      <c r="I342" s="37">
        <v>45114</v>
      </c>
      <c r="J342" s="37">
        <v>45114</v>
      </c>
      <c r="K342" s="22" t="s">
        <v>35</v>
      </c>
      <c r="L342" s="28">
        <v>0</v>
      </c>
      <c r="M342" s="86"/>
      <c r="N342" s="41"/>
      <c r="O342" s="23"/>
      <c r="P342" s="23"/>
      <c r="Q342" s="23">
        <v>30</v>
      </c>
      <c r="R342" s="23">
        <f>SUM(O342:Q342)</f>
        <v>30</v>
      </c>
      <c r="S342" s="22">
        <v>2</v>
      </c>
      <c r="T342" s="20" t="s">
        <v>1023</v>
      </c>
    </row>
    <row r="343" spans="1:20" ht="23.25" hidden="1" customHeight="1" x14ac:dyDescent="0.25">
      <c r="A343" s="21" t="s">
        <v>1448</v>
      </c>
      <c r="B343" s="24">
        <v>2023</v>
      </c>
      <c r="C343" s="90" t="s">
        <v>21</v>
      </c>
      <c r="D343" s="24" t="s">
        <v>1449</v>
      </c>
      <c r="E343" s="30" t="s">
        <v>1450</v>
      </c>
      <c r="F343" s="31" t="s">
        <v>23</v>
      </c>
      <c r="G343" s="21" t="s">
        <v>364</v>
      </c>
      <c r="H343" s="38" t="s">
        <v>1451</v>
      </c>
      <c r="I343" s="39">
        <v>45131</v>
      </c>
      <c r="J343" s="39">
        <v>45135</v>
      </c>
      <c r="K343" s="24" t="s">
        <v>35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>SUM(O343:Q343)</f>
        <v>67</v>
      </c>
      <c r="S343" s="24">
        <v>18</v>
      </c>
      <c r="T343" s="21" t="s">
        <v>1452</v>
      </c>
    </row>
    <row r="344" spans="1:20" ht="23.25" hidden="1" customHeight="1" x14ac:dyDescent="0.25">
      <c r="A344" s="20" t="s">
        <v>1453</v>
      </c>
      <c r="B344" s="22">
        <v>2023</v>
      </c>
      <c r="C344" s="90" t="s">
        <v>21</v>
      </c>
      <c r="D344" s="22" t="s">
        <v>1454</v>
      </c>
      <c r="E344" s="27" t="s">
        <v>1455</v>
      </c>
      <c r="F344" s="29" t="s">
        <v>23</v>
      </c>
      <c r="G344" s="20" t="s">
        <v>364</v>
      </c>
      <c r="H344" s="36" t="s">
        <v>1451</v>
      </c>
      <c r="I344" s="37">
        <v>45131</v>
      </c>
      <c r="J344" s="37">
        <v>45135</v>
      </c>
      <c r="K344" s="22" t="s">
        <v>35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>SUM(O344:Q344)</f>
        <v>67</v>
      </c>
      <c r="S344" s="22">
        <v>2</v>
      </c>
      <c r="T344" s="20" t="s">
        <v>1456</v>
      </c>
    </row>
    <row r="345" spans="1:20" ht="23.25" hidden="1" customHeight="1" x14ac:dyDescent="0.25">
      <c r="A345" s="21" t="s">
        <v>1457</v>
      </c>
      <c r="B345" s="24">
        <v>2023</v>
      </c>
      <c r="C345" s="90" t="s">
        <v>21</v>
      </c>
      <c r="D345" s="24" t="s">
        <v>1454</v>
      </c>
      <c r="E345" s="30" t="s">
        <v>1458</v>
      </c>
      <c r="F345" s="31" t="s">
        <v>23</v>
      </c>
      <c r="G345" s="21" t="s">
        <v>364</v>
      </c>
      <c r="H345" s="38" t="s">
        <v>1451</v>
      </c>
      <c r="I345" s="39">
        <v>45131</v>
      </c>
      <c r="J345" s="39">
        <v>45135</v>
      </c>
      <c r="K345" s="24" t="s">
        <v>35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>SUM(O345:Q345)</f>
        <v>57</v>
      </c>
      <c r="S345" s="24">
        <v>2</v>
      </c>
      <c r="T345" s="21" t="s">
        <v>1456</v>
      </c>
    </row>
    <row r="346" spans="1:20" ht="23.25" hidden="1" customHeight="1" x14ac:dyDescent="0.25">
      <c r="A346" s="20" t="s">
        <v>1459</v>
      </c>
      <c r="B346" s="22">
        <v>2023</v>
      </c>
      <c r="C346" s="90" t="s">
        <v>21</v>
      </c>
      <c r="D346" s="22" t="s">
        <v>1354</v>
      </c>
      <c r="E346" s="27" t="s">
        <v>1460</v>
      </c>
      <c r="F346" s="29" t="s">
        <v>23</v>
      </c>
      <c r="G346" s="20" t="s">
        <v>1356</v>
      </c>
      <c r="H346" s="36" t="s">
        <v>1461</v>
      </c>
      <c r="I346" s="37">
        <v>45138</v>
      </c>
      <c r="J346" s="37">
        <v>45166</v>
      </c>
      <c r="K346" s="22" t="s">
        <v>26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>SUM(O346:Q346)</f>
        <v>20</v>
      </c>
      <c r="S346" s="22">
        <v>26</v>
      </c>
      <c r="T346" s="20" t="s">
        <v>1462</v>
      </c>
    </row>
    <row r="347" spans="1:20" ht="23.25" hidden="1" customHeight="1" x14ac:dyDescent="0.25">
      <c r="A347" s="21" t="s">
        <v>1463</v>
      </c>
      <c r="B347" s="24">
        <v>2023</v>
      </c>
      <c r="C347" s="90" t="s">
        <v>21</v>
      </c>
      <c r="D347" s="24" t="s">
        <v>1464</v>
      </c>
      <c r="E347" s="30" t="s">
        <v>1465</v>
      </c>
      <c r="F347" s="31" t="s">
        <v>62</v>
      </c>
      <c r="G347" s="21" t="s">
        <v>72</v>
      </c>
      <c r="H347" s="38" t="s">
        <v>1466</v>
      </c>
      <c r="I347" s="39">
        <v>45141</v>
      </c>
      <c r="J347" s="39">
        <v>45142</v>
      </c>
      <c r="K347" s="24" t="s">
        <v>35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>SUM(O347:Q347)</f>
        <v>315</v>
      </c>
      <c r="S347" s="24">
        <v>8</v>
      </c>
      <c r="T347" s="21" t="s">
        <v>1467</v>
      </c>
    </row>
    <row r="348" spans="1:20" ht="23.25" hidden="1" customHeight="1" x14ac:dyDescent="0.25">
      <c r="A348" s="20" t="s">
        <v>1468</v>
      </c>
      <c r="B348" s="22">
        <v>2023</v>
      </c>
      <c r="C348" s="90" t="s">
        <v>21</v>
      </c>
      <c r="D348" s="22" t="s">
        <v>1469</v>
      </c>
      <c r="E348" s="27" t="s">
        <v>1470</v>
      </c>
      <c r="F348" s="29" t="s">
        <v>62</v>
      </c>
      <c r="G348" s="20" t="s">
        <v>72</v>
      </c>
      <c r="H348" s="36" t="s">
        <v>1471</v>
      </c>
      <c r="I348" s="37">
        <v>45145</v>
      </c>
      <c r="J348" s="37">
        <v>45146</v>
      </c>
      <c r="K348" s="22" t="s">
        <v>35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>SUM(O348:Q348)</f>
        <v>35</v>
      </c>
      <c r="S348" s="22">
        <v>8</v>
      </c>
      <c r="T348" s="20" t="s">
        <v>1472</v>
      </c>
    </row>
    <row r="349" spans="1:20" ht="23.25" hidden="1" customHeight="1" x14ac:dyDescent="0.25">
      <c r="A349" s="21" t="s">
        <v>1473</v>
      </c>
      <c r="B349" s="24">
        <v>2023</v>
      </c>
      <c r="C349" s="90" t="s">
        <v>21</v>
      </c>
      <c r="D349" s="24" t="s">
        <v>1474</v>
      </c>
      <c r="E349" s="30" t="s">
        <v>1475</v>
      </c>
      <c r="F349" s="31" t="s">
        <v>23</v>
      </c>
      <c r="G349" s="21" t="s">
        <v>457</v>
      </c>
      <c r="H349" s="38" t="s">
        <v>1476</v>
      </c>
      <c r="I349" s="39">
        <v>45145</v>
      </c>
      <c r="J349" s="39">
        <v>45265</v>
      </c>
      <c r="K349" s="24" t="s">
        <v>26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>SUM(O349:Q349)</f>
        <v>17</v>
      </c>
      <c r="S349" s="24">
        <f>5*17</f>
        <v>85</v>
      </c>
      <c r="T349" s="21" t="s">
        <v>966</v>
      </c>
    </row>
    <row r="350" spans="1:20" ht="23.25" hidden="1" customHeight="1" x14ac:dyDescent="0.25">
      <c r="A350" s="20" t="s">
        <v>1477</v>
      </c>
      <c r="B350" s="22">
        <v>2023</v>
      </c>
      <c r="C350" s="90" t="s">
        <v>21</v>
      </c>
      <c r="D350" s="22" t="s">
        <v>1478</v>
      </c>
      <c r="E350" s="27" t="s">
        <v>1479</v>
      </c>
      <c r="F350" s="29" t="s">
        <v>62</v>
      </c>
      <c r="G350" s="20" t="s">
        <v>72</v>
      </c>
      <c r="H350" s="36" t="s">
        <v>1480</v>
      </c>
      <c r="I350" s="37">
        <v>45145</v>
      </c>
      <c r="J350" s="37">
        <v>45146</v>
      </c>
      <c r="K350" s="22" t="s">
        <v>35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>SUM(O350:Q350)</f>
        <v>27</v>
      </c>
      <c r="S350" s="22">
        <v>8</v>
      </c>
      <c r="T350" s="20" t="s">
        <v>935</v>
      </c>
    </row>
    <row r="351" spans="1:20" ht="23.25" hidden="1" customHeight="1" x14ac:dyDescent="0.25">
      <c r="A351" s="21" t="s">
        <v>1481</v>
      </c>
      <c r="B351" s="24">
        <v>2023</v>
      </c>
      <c r="C351" s="90" t="s">
        <v>21</v>
      </c>
      <c r="D351" s="24" t="s">
        <v>1482</v>
      </c>
      <c r="E351" s="30" t="s">
        <v>1483</v>
      </c>
      <c r="F351" s="31" t="s">
        <v>62</v>
      </c>
      <c r="G351" s="21" t="s">
        <v>72</v>
      </c>
      <c r="H351" s="38" t="s">
        <v>1484</v>
      </c>
      <c r="I351" s="39">
        <v>45145</v>
      </c>
      <c r="J351" s="39">
        <v>45145</v>
      </c>
      <c r="K351" s="24" t="s">
        <v>35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>SUM(O351:Q351)</f>
        <v>45</v>
      </c>
      <c r="S351" s="24">
        <v>4</v>
      </c>
      <c r="T351" s="21" t="s">
        <v>1485</v>
      </c>
    </row>
    <row r="352" spans="1:20" ht="23.25" hidden="1" customHeight="1" x14ac:dyDescent="0.25">
      <c r="A352" s="20" t="s">
        <v>1486</v>
      </c>
      <c r="B352" s="22">
        <v>2023</v>
      </c>
      <c r="C352" s="90" t="s">
        <v>21</v>
      </c>
      <c r="D352" s="22" t="s">
        <v>1487</v>
      </c>
      <c r="E352" s="27" t="s">
        <v>1488</v>
      </c>
      <c r="F352" s="29" t="s">
        <v>62</v>
      </c>
      <c r="G352" s="20" t="s">
        <v>72</v>
      </c>
      <c r="H352" s="36" t="s">
        <v>1489</v>
      </c>
      <c r="I352" s="37">
        <v>45146</v>
      </c>
      <c r="J352" s="37">
        <v>45146</v>
      </c>
      <c r="K352" s="22" t="s">
        <v>35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>SUM(O352:Q352)</f>
        <v>51</v>
      </c>
      <c r="S352" s="22">
        <v>4</v>
      </c>
      <c r="T352" s="20" t="s">
        <v>1490</v>
      </c>
    </row>
    <row r="353" spans="1:20" ht="23.25" hidden="1" customHeight="1" x14ac:dyDescent="0.25">
      <c r="A353" s="21" t="s">
        <v>1491</v>
      </c>
      <c r="B353" s="24">
        <v>2023</v>
      </c>
      <c r="C353" s="90" t="s">
        <v>21</v>
      </c>
      <c r="D353" s="24" t="s">
        <v>1354</v>
      </c>
      <c r="E353" s="30" t="s">
        <v>1492</v>
      </c>
      <c r="F353" s="31" t="s">
        <v>23</v>
      </c>
      <c r="G353" s="21" t="s">
        <v>1356</v>
      </c>
      <c r="H353" s="38" t="s">
        <v>1493</v>
      </c>
      <c r="I353" s="39">
        <v>45147</v>
      </c>
      <c r="J353" s="39">
        <v>45187</v>
      </c>
      <c r="K353" s="24" t="s">
        <v>26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>SUM(O353:Q353)</f>
        <v>5</v>
      </c>
      <c r="S353" s="24">
        <v>28</v>
      </c>
      <c r="T353" s="21" t="s">
        <v>1404</v>
      </c>
    </row>
    <row r="354" spans="1:20" ht="23.25" hidden="1" customHeight="1" x14ac:dyDescent="0.25">
      <c r="A354" s="20" t="s">
        <v>1494</v>
      </c>
      <c r="B354" s="22">
        <v>2023</v>
      </c>
      <c r="C354" s="90" t="s">
        <v>21</v>
      </c>
      <c r="D354" s="22" t="s">
        <v>1345</v>
      </c>
      <c r="E354" s="27" t="s">
        <v>1495</v>
      </c>
      <c r="F354" s="29" t="s">
        <v>23</v>
      </c>
      <c r="G354" s="20" t="s">
        <v>38</v>
      </c>
      <c r="H354" s="36" t="s">
        <v>1496</v>
      </c>
      <c r="I354" s="37">
        <v>45147</v>
      </c>
      <c r="J354" s="37">
        <v>45149</v>
      </c>
      <c r="K354" s="22" t="s">
        <v>26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>SUM(O354:Q354)</f>
        <v>16</v>
      </c>
      <c r="S354" s="22">
        <v>24</v>
      </c>
      <c r="T354" s="20" t="s">
        <v>1348</v>
      </c>
    </row>
    <row r="355" spans="1:20" ht="23.25" hidden="1" customHeight="1" x14ac:dyDescent="0.25">
      <c r="A355" s="21" t="s">
        <v>1497</v>
      </c>
      <c r="B355" s="24">
        <v>2023</v>
      </c>
      <c r="C355" s="90" t="s">
        <v>21</v>
      </c>
      <c r="D355" s="24" t="s">
        <v>1498</v>
      </c>
      <c r="E355" s="30" t="s">
        <v>1499</v>
      </c>
      <c r="F355" s="31" t="s">
        <v>23</v>
      </c>
      <c r="G355" s="21" t="s">
        <v>38</v>
      </c>
      <c r="H355" s="38" t="s">
        <v>1500</v>
      </c>
      <c r="I355" s="39">
        <v>45148</v>
      </c>
      <c r="J355" s="39">
        <v>45155</v>
      </c>
      <c r="K355" s="24" t="s">
        <v>26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>SUM(O355:Q355)</f>
        <v>30</v>
      </c>
      <c r="S355" s="24">
        <v>12</v>
      </c>
      <c r="T355" s="21" t="s">
        <v>1501</v>
      </c>
    </row>
    <row r="356" spans="1:20" ht="23.25" hidden="1" customHeight="1" x14ac:dyDescent="0.25">
      <c r="A356" s="20" t="s">
        <v>1502</v>
      </c>
      <c r="B356" s="22">
        <v>2023</v>
      </c>
      <c r="C356" s="90" t="s">
        <v>21</v>
      </c>
      <c r="D356" s="22" t="s">
        <v>1503</v>
      </c>
      <c r="E356" s="27" t="s">
        <v>1504</v>
      </c>
      <c r="F356" s="29" t="s">
        <v>23</v>
      </c>
      <c r="G356" s="20" t="s">
        <v>68</v>
      </c>
      <c r="H356" s="36" t="s">
        <v>1505</v>
      </c>
      <c r="I356" s="37">
        <v>45154</v>
      </c>
      <c r="J356" s="37">
        <v>45156</v>
      </c>
      <c r="K356" s="22" t="s">
        <v>26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>SUM(O356:Q356)</f>
        <v>64</v>
      </c>
      <c r="S356" s="22">
        <v>12</v>
      </c>
      <c r="T356" s="20"/>
    </row>
    <row r="357" spans="1:20" ht="23.25" hidden="1" customHeight="1" x14ac:dyDescent="0.25">
      <c r="A357" s="21" t="s">
        <v>1506</v>
      </c>
      <c r="B357" s="24">
        <v>2023</v>
      </c>
      <c r="C357" s="90" t="s">
        <v>21</v>
      </c>
      <c r="D357" s="24" t="s">
        <v>1449</v>
      </c>
      <c r="E357" s="30" t="s">
        <v>1507</v>
      </c>
      <c r="F357" s="31" t="s">
        <v>23</v>
      </c>
      <c r="G357" s="21" t="s">
        <v>364</v>
      </c>
      <c r="H357" s="38" t="s">
        <v>1508</v>
      </c>
      <c r="I357" s="39">
        <v>45159</v>
      </c>
      <c r="J357" s="39">
        <v>45163</v>
      </c>
      <c r="K357" s="24" t="s">
        <v>35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>SUM(O357:Q357)</f>
        <v>57</v>
      </c>
      <c r="S357" s="24">
        <v>20</v>
      </c>
      <c r="T357" s="21" t="s">
        <v>1452</v>
      </c>
    </row>
    <row r="358" spans="1:20" ht="23.25" hidden="1" customHeight="1" x14ac:dyDescent="0.25">
      <c r="A358" s="20" t="s">
        <v>1509</v>
      </c>
      <c r="B358" s="22">
        <v>2023</v>
      </c>
      <c r="C358" s="90" t="s">
        <v>21</v>
      </c>
      <c r="D358" s="22" t="s">
        <v>1510</v>
      </c>
      <c r="E358" s="27" t="s">
        <v>1511</v>
      </c>
      <c r="F358" s="29" t="s">
        <v>23</v>
      </c>
      <c r="G358" s="20" t="s">
        <v>68</v>
      </c>
      <c r="H358" s="36" t="s">
        <v>1512</v>
      </c>
      <c r="I358" s="37">
        <v>45166</v>
      </c>
      <c r="J358" s="37">
        <v>45173</v>
      </c>
      <c r="K358" s="22" t="s">
        <v>26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>SUM(O358:Q358)</f>
        <v>39</v>
      </c>
      <c r="S358" s="22">
        <v>25</v>
      </c>
      <c r="T358" s="20" t="s">
        <v>1513</v>
      </c>
    </row>
    <row r="359" spans="1:20" ht="23.25" hidden="1" customHeight="1" x14ac:dyDescent="0.25">
      <c r="A359" s="21" t="s">
        <v>1514</v>
      </c>
      <c r="B359" s="24">
        <v>2023</v>
      </c>
      <c r="C359" s="90" t="s">
        <v>21</v>
      </c>
      <c r="D359" s="24" t="s">
        <v>1515</v>
      </c>
      <c r="E359" s="30" t="s">
        <v>1516</v>
      </c>
      <c r="F359" s="31" t="s">
        <v>23</v>
      </c>
      <c r="G359" s="21" t="s">
        <v>24</v>
      </c>
      <c r="H359" s="38" t="s">
        <v>1517</v>
      </c>
      <c r="I359" s="39">
        <v>45174</v>
      </c>
      <c r="J359" s="39">
        <v>45196</v>
      </c>
      <c r="K359" s="24" t="s">
        <v>35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>SUM(O359:Q359)</f>
        <v>16</v>
      </c>
      <c r="S359" s="24">
        <v>24</v>
      </c>
      <c r="T359" s="21" t="s">
        <v>571</v>
      </c>
    </row>
    <row r="360" spans="1:20" ht="23.25" hidden="1" customHeight="1" x14ac:dyDescent="0.25">
      <c r="A360" s="20" t="s">
        <v>1518</v>
      </c>
      <c r="B360" s="22">
        <v>2023</v>
      </c>
      <c r="C360" s="90" t="s">
        <v>21</v>
      </c>
      <c r="D360" s="22" t="s">
        <v>1519</v>
      </c>
      <c r="E360" s="35" t="s">
        <v>1520</v>
      </c>
      <c r="F360" s="29" t="s">
        <v>62</v>
      </c>
      <c r="G360" s="20" t="s">
        <v>72</v>
      </c>
      <c r="H360" s="36" t="s">
        <v>1521</v>
      </c>
      <c r="I360" s="37">
        <v>45180</v>
      </c>
      <c r="J360" s="37">
        <v>45184</v>
      </c>
      <c r="K360" s="22" t="s">
        <v>35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>SUM(O360:Q360)</f>
        <v>47</v>
      </c>
      <c r="S360" s="22">
        <v>20</v>
      </c>
      <c r="T360" s="20" t="s">
        <v>1422</v>
      </c>
    </row>
    <row r="361" spans="1:20" ht="23.25" hidden="1" customHeight="1" x14ac:dyDescent="0.25">
      <c r="A361" s="21" t="s">
        <v>1522</v>
      </c>
      <c r="B361" s="24">
        <v>2023</v>
      </c>
      <c r="C361" s="90" t="s">
        <v>21</v>
      </c>
      <c r="D361" s="24" t="s">
        <v>1523</v>
      </c>
      <c r="E361" s="30" t="s">
        <v>1524</v>
      </c>
      <c r="F361" s="31" t="s">
        <v>62</v>
      </c>
      <c r="G361" s="21" t="s">
        <v>72</v>
      </c>
      <c r="H361" s="38" t="s">
        <v>1525</v>
      </c>
      <c r="I361" s="39">
        <v>45181</v>
      </c>
      <c r="J361" s="39">
        <v>45190</v>
      </c>
      <c r="K361" s="24" t="s">
        <v>35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>SUM(O361:Q361)</f>
        <v>13</v>
      </c>
      <c r="S361" s="24">
        <v>16</v>
      </c>
      <c r="T361" s="21" t="s">
        <v>1526</v>
      </c>
    </row>
    <row r="362" spans="1:20" ht="23.25" hidden="1" customHeight="1" x14ac:dyDescent="0.25">
      <c r="A362" s="20" t="s">
        <v>1527</v>
      </c>
      <c r="B362" s="22">
        <v>2023</v>
      </c>
      <c r="C362" s="90" t="s">
        <v>21</v>
      </c>
      <c r="D362" s="22" t="s">
        <v>1376</v>
      </c>
      <c r="E362" s="27" t="s">
        <v>1528</v>
      </c>
      <c r="F362" s="29" t="s">
        <v>23</v>
      </c>
      <c r="G362" s="20" t="s">
        <v>457</v>
      </c>
      <c r="H362" s="36" t="s">
        <v>1529</v>
      </c>
      <c r="I362" s="37">
        <v>45182</v>
      </c>
      <c r="J362" s="37">
        <v>45201</v>
      </c>
      <c r="K362" s="22" t="s">
        <v>26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>SUM(O362:Q362)</f>
        <v>26</v>
      </c>
      <c r="S362" s="22">
        <v>30</v>
      </c>
      <c r="T362" s="20" t="s">
        <v>966</v>
      </c>
    </row>
    <row r="363" spans="1:20" ht="23.25" hidden="1" customHeight="1" x14ac:dyDescent="0.25">
      <c r="A363" s="21" t="s">
        <v>1530</v>
      </c>
      <c r="B363" s="24">
        <v>2023</v>
      </c>
      <c r="C363" s="90" t="s">
        <v>21</v>
      </c>
      <c r="D363" s="24" t="s">
        <v>1531</v>
      </c>
      <c r="E363" s="30" t="s">
        <v>1170</v>
      </c>
      <c r="F363" s="31" t="s">
        <v>81</v>
      </c>
      <c r="G363" s="21" t="s">
        <v>72</v>
      </c>
      <c r="H363" s="38" t="s">
        <v>1532</v>
      </c>
      <c r="I363" s="39">
        <v>45187</v>
      </c>
      <c r="J363" s="39">
        <v>45191</v>
      </c>
      <c r="K363" s="24" t="s">
        <v>26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>SUM(O363:Q363)</f>
        <v>43</v>
      </c>
      <c r="S363" s="24">
        <v>12</v>
      </c>
      <c r="T363" s="21" t="s">
        <v>1172</v>
      </c>
    </row>
    <row r="364" spans="1:20" ht="23.25" hidden="1" customHeight="1" x14ac:dyDescent="0.25">
      <c r="A364" s="20" t="s">
        <v>1533</v>
      </c>
      <c r="B364" s="22">
        <v>2023</v>
      </c>
      <c r="C364" s="90" t="s">
        <v>21</v>
      </c>
      <c r="D364" s="22" t="s">
        <v>1534</v>
      </c>
      <c r="E364" s="35" t="s">
        <v>1535</v>
      </c>
      <c r="F364" s="29" t="s">
        <v>23</v>
      </c>
      <c r="G364" s="20" t="s">
        <v>38</v>
      </c>
      <c r="H364" s="36" t="s">
        <v>1536</v>
      </c>
      <c r="I364" s="37">
        <v>45195</v>
      </c>
      <c r="J364" s="37">
        <v>45197</v>
      </c>
      <c r="K364" s="22" t="s">
        <v>26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>SUM(O364:Q364)</f>
        <v>11</v>
      </c>
      <c r="S364" s="22">
        <v>24</v>
      </c>
      <c r="T364" s="20" t="s">
        <v>1348</v>
      </c>
    </row>
    <row r="365" spans="1:20" ht="23.25" hidden="1" customHeight="1" x14ac:dyDescent="0.25">
      <c r="A365" s="21" t="s">
        <v>1537</v>
      </c>
      <c r="B365" s="24">
        <v>2023</v>
      </c>
      <c r="C365" s="90" t="s">
        <v>21</v>
      </c>
      <c r="D365" s="24" t="s">
        <v>1345</v>
      </c>
      <c r="E365" s="30" t="s">
        <v>1538</v>
      </c>
      <c r="F365" s="31" t="s">
        <v>23</v>
      </c>
      <c r="G365" s="21" t="s">
        <v>38</v>
      </c>
      <c r="H365" s="38" t="s">
        <v>1539</v>
      </c>
      <c r="I365" s="39">
        <v>45201</v>
      </c>
      <c r="J365" s="39">
        <v>45203</v>
      </c>
      <c r="K365" s="24" t="s">
        <v>26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>SUM(O365:Q365)</f>
        <v>11</v>
      </c>
      <c r="S365" s="24">
        <v>24</v>
      </c>
      <c r="T365" s="21" t="s">
        <v>1540</v>
      </c>
    </row>
    <row r="366" spans="1:20" ht="23.25" hidden="1" customHeight="1" x14ac:dyDescent="0.25">
      <c r="A366" s="20" t="s">
        <v>1541</v>
      </c>
      <c r="B366" s="22">
        <v>2023</v>
      </c>
      <c r="C366" s="90" t="s">
        <v>21</v>
      </c>
      <c r="D366" s="22" t="s">
        <v>1542</v>
      </c>
      <c r="E366" s="27" t="s">
        <v>1543</v>
      </c>
      <c r="F366" s="29" t="s">
        <v>81</v>
      </c>
      <c r="G366" s="20" t="s">
        <v>72</v>
      </c>
      <c r="H366" s="36" t="s">
        <v>1544</v>
      </c>
      <c r="I366" s="37">
        <v>45202</v>
      </c>
      <c r="J366" s="37">
        <v>45203</v>
      </c>
      <c r="K366" s="22" t="s">
        <v>35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>SUM(O366:Q366)</f>
        <v>57</v>
      </c>
      <c r="S366" s="22">
        <v>16</v>
      </c>
      <c r="T366" s="33" t="s">
        <v>418</v>
      </c>
    </row>
    <row r="367" spans="1:20" ht="23.25" hidden="1" customHeight="1" x14ac:dyDescent="0.25">
      <c r="A367" s="21" t="s">
        <v>1545</v>
      </c>
      <c r="B367" s="24">
        <v>2023</v>
      </c>
      <c r="C367" s="90" t="s">
        <v>21</v>
      </c>
      <c r="D367" s="24" t="s">
        <v>1354</v>
      </c>
      <c r="E367" s="30" t="s">
        <v>1546</v>
      </c>
      <c r="F367" s="31" t="s">
        <v>23</v>
      </c>
      <c r="G367" s="21" t="s">
        <v>1356</v>
      </c>
      <c r="H367" s="38" t="s">
        <v>1547</v>
      </c>
      <c r="I367" s="39">
        <v>45204</v>
      </c>
      <c r="J367" s="39">
        <v>45204</v>
      </c>
      <c r="K367" s="24" t="s">
        <v>26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>SUM(O367:Q367)</f>
        <v>22</v>
      </c>
      <c r="S367" s="24">
        <v>20</v>
      </c>
      <c r="T367" s="21" t="s">
        <v>1548</v>
      </c>
    </row>
    <row r="368" spans="1:20" ht="23.25" hidden="1" customHeight="1" x14ac:dyDescent="0.25">
      <c r="A368" s="20" t="s">
        <v>1549</v>
      </c>
      <c r="B368" s="22">
        <v>2023</v>
      </c>
      <c r="C368" s="90" t="s">
        <v>21</v>
      </c>
      <c r="D368" s="22" t="s">
        <v>1550</v>
      </c>
      <c r="E368" s="27" t="s">
        <v>1551</v>
      </c>
      <c r="F368" s="29" t="s">
        <v>23</v>
      </c>
      <c r="G368" s="20" t="s">
        <v>199</v>
      </c>
      <c r="H368" s="36" t="s">
        <v>1547</v>
      </c>
      <c r="I368" s="37">
        <v>45204</v>
      </c>
      <c r="J368" s="37">
        <v>45204</v>
      </c>
      <c r="K368" s="22" t="s">
        <v>26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>SUM(O368:Q368)</f>
        <v>176</v>
      </c>
      <c r="S368" s="22">
        <v>2</v>
      </c>
      <c r="T368" s="20"/>
    </row>
    <row r="369" spans="1:20" ht="23.25" hidden="1" customHeight="1" x14ac:dyDescent="0.25">
      <c r="A369" s="21" t="s">
        <v>1552</v>
      </c>
      <c r="B369" s="24">
        <v>2023</v>
      </c>
      <c r="C369" s="90" t="s">
        <v>21</v>
      </c>
      <c r="D369" s="21" t="s">
        <v>1553</v>
      </c>
      <c r="E369" s="30" t="s">
        <v>1554</v>
      </c>
      <c r="F369" s="31" t="s">
        <v>23</v>
      </c>
      <c r="G369" s="21" t="s">
        <v>199</v>
      </c>
      <c r="H369" s="38" t="s">
        <v>1555</v>
      </c>
      <c r="I369" s="39">
        <v>45205</v>
      </c>
      <c r="J369" s="39">
        <v>45205</v>
      </c>
      <c r="K369" s="24" t="s">
        <v>26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>SUM(O369:Q369)</f>
        <v>56</v>
      </c>
      <c r="S369" s="24">
        <v>4</v>
      </c>
      <c r="T369" s="21" t="s">
        <v>1556</v>
      </c>
    </row>
    <row r="370" spans="1:20" ht="23.25" hidden="1" customHeight="1" x14ac:dyDescent="0.25">
      <c r="A370" s="20" t="s">
        <v>1557</v>
      </c>
      <c r="B370" s="22">
        <v>2023</v>
      </c>
      <c r="C370" s="90" t="s">
        <v>21</v>
      </c>
      <c r="D370" s="22" t="s">
        <v>1558</v>
      </c>
      <c r="E370" s="42" t="s">
        <v>1559</v>
      </c>
      <c r="F370" s="29" t="s">
        <v>62</v>
      </c>
      <c r="G370" s="20" t="s">
        <v>72</v>
      </c>
      <c r="H370" s="36" t="s">
        <v>1560</v>
      </c>
      <c r="I370" s="37">
        <v>45207</v>
      </c>
      <c r="J370" s="37">
        <v>45208</v>
      </c>
      <c r="K370" s="22" t="s">
        <v>35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>SUM(O370:Q370)</f>
        <v>23</v>
      </c>
      <c r="S370" s="22">
        <v>8</v>
      </c>
      <c r="T370" s="20" t="s">
        <v>1561</v>
      </c>
    </row>
    <row r="371" spans="1:20" ht="23.25" hidden="1" customHeight="1" x14ac:dyDescent="0.25">
      <c r="A371" s="21" t="s">
        <v>1562</v>
      </c>
      <c r="B371" s="24">
        <v>2023</v>
      </c>
      <c r="C371" s="90" t="s">
        <v>21</v>
      </c>
      <c r="D371" s="24" t="s">
        <v>1563</v>
      </c>
      <c r="E371" s="30" t="s">
        <v>1564</v>
      </c>
      <c r="F371" s="31" t="s">
        <v>81</v>
      </c>
      <c r="G371" s="21" t="s">
        <v>72</v>
      </c>
      <c r="H371" s="38" t="s">
        <v>1565</v>
      </c>
      <c r="I371" s="39">
        <v>45209</v>
      </c>
      <c r="J371" s="39">
        <v>45209</v>
      </c>
      <c r="K371" s="24" t="s">
        <v>35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>SUM(O371:Q371)</f>
        <v>39</v>
      </c>
      <c r="S371" s="24">
        <v>1</v>
      </c>
      <c r="T371" s="21" t="s">
        <v>664</v>
      </c>
    </row>
    <row r="372" spans="1:20" ht="23.25" hidden="1" customHeight="1" x14ac:dyDescent="0.25">
      <c r="A372" s="20" t="s">
        <v>1566</v>
      </c>
      <c r="B372" s="22">
        <v>2023</v>
      </c>
      <c r="C372" s="90" t="s">
        <v>21</v>
      </c>
      <c r="D372" s="22" t="s">
        <v>1567</v>
      </c>
      <c r="E372" s="27" t="s">
        <v>1568</v>
      </c>
      <c r="F372" s="29" t="s">
        <v>23</v>
      </c>
      <c r="G372" s="20" t="s">
        <v>33</v>
      </c>
      <c r="H372" s="50">
        <v>45209</v>
      </c>
      <c r="I372" s="37">
        <v>45209</v>
      </c>
      <c r="J372" s="37">
        <v>45209</v>
      </c>
      <c r="K372" s="22" t="s">
        <v>35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>SUM(O372:Q372)</f>
        <v>47</v>
      </c>
      <c r="S372" s="22">
        <v>2</v>
      </c>
      <c r="T372" s="20"/>
    </row>
    <row r="373" spans="1:20" ht="23.25" hidden="1" customHeight="1" x14ac:dyDescent="0.25">
      <c r="A373" s="21" t="s">
        <v>1569</v>
      </c>
      <c r="B373" s="24">
        <v>2023</v>
      </c>
      <c r="C373" s="90" t="s">
        <v>21</v>
      </c>
      <c r="D373" s="24" t="s">
        <v>1542</v>
      </c>
      <c r="E373" s="30" t="s">
        <v>1570</v>
      </c>
      <c r="F373" s="31" t="s">
        <v>81</v>
      </c>
      <c r="G373" s="21" t="s">
        <v>72</v>
      </c>
      <c r="H373" s="38" t="s">
        <v>1571</v>
      </c>
      <c r="I373" s="39">
        <v>45216</v>
      </c>
      <c r="J373" s="39">
        <v>45217</v>
      </c>
      <c r="K373" s="24" t="s">
        <v>35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>SUM(O373:Q373)</f>
        <v>53</v>
      </c>
      <c r="S373" s="24">
        <v>16</v>
      </c>
      <c r="T373" s="32" t="s">
        <v>418</v>
      </c>
    </row>
    <row r="374" spans="1:20" ht="23.25" hidden="1" customHeight="1" x14ac:dyDescent="0.25">
      <c r="A374" s="20" t="s">
        <v>1572</v>
      </c>
      <c r="B374" s="22">
        <v>2023</v>
      </c>
      <c r="C374" s="90" t="s">
        <v>21</v>
      </c>
      <c r="D374" s="22" t="s">
        <v>1567</v>
      </c>
      <c r="E374" s="27" t="s">
        <v>1573</v>
      </c>
      <c r="F374" s="29" t="s">
        <v>23</v>
      </c>
      <c r="G374" s="20" t="s">
        <v>33</v>
      </c>
      <c r="H374" s="50" t="s">
        <v>1574</v>
      </c>
      <c r="I374" s="37">
        <v>45216</v>
      </c>
      <c r="J374" s="37">
        <v>45216</v>
      </c>
      <c r="K374" s="22" t="s">
        <v>35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>SUM(O374:Q374)</f>
        <v>28</v>
      </c>
      <c r="S374" s="22">
        <v>2</v>
      </c>
      <c r="T374" s="20" t="s">
        <v>1540</v>
      </c>
    </row>
    <row r="375" spans="1:20" ht="23.25" hidden="1" customHeight="1" x14ac:dyDescent="0.25">
      <c r="A375" s="21" t="s">
        <v>1575</v>
      </c>
      <c r="B375" s="24">
        <v>2023</v>
      </c>
      <c r="C375" s="90" t="s">
        <v>21</v>
      </c>
      <c r="D375" s="24" t="s">
        <v>1354</v>
      </c>
      <c r="E375" s="30" t="s">
        <v>1576</v>
      </c>
      <c r="F375" s="31" t="s">
        <v>23</v>
      </c>
      <c r="G375" s="21" t="s">
        <v>1356</v>
      </c>
      <c r="H375" s="38" t="s">
        <v>1577</v>
      </c>
      <c r="I375" s="39">
        <v>45217</v>
      </c>
      <c r="J375" s="39">
        <v>45217</v>
      </c>
      <c r="K375" s="24" t="s">
        <v>26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>SUM(O375:Q375)</f>
        <v>18</v>
      </c>
      <c r="S375" s="24">
        <v>3</v>
      </c>
      <c r="T375" s="21" t="s">
        <v>1548</v>
      </c>
    </row>
    <row r="376" spans="1:20" ht="23.25" hidden="1" customHeight="1" x14ac:dyDescent="0.25">
      <c r="A376" s="20" t="s">
        <v>1578</v>
      </c>
      <c r="B376" s="22">
        <v>2023</v>
      </c>
      <c r="C376" s="90" t="s">
        <v>21</v>
      </c>
      <c r="D376" s="22" t="s">
        <v>1542</v>
      </c>
      <c r="E376" s="27" t="s">
        <v>1579</v>
      </c>
      <c r="F376" s="29" t="s">
        <v>81</v>
      </c>
      <c r="G376" s="20" t="s">
        <v>72</v>
      </c>
      <c r="H376" s="36" t="s">
        <v>1580</v>
      </c>
      <c r="I376" s="37">
        <v>45218</v>
      </c>
      <c r="J376" s="37">
        <v>45219</v>
      </c>
      <c r="K376" s="22" t="s">
        <v>35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>SUM(O376:Q376)</f>
        <v>53</v>
      </c>
      <c r="S376" s="22">
        <v>16</v>
      </c>
      <c r="T376" s="33" t="s">
        <v>418</v>
      </c>
    </row>
    <row r="377" spans="1:20" ht="23.25" hidden="1" customHeight="1" x14ac:dyDescent="0.25">
      <c r="A377" s="21" t="s">
        <v>1581</v>
      </c>
      <c r="B377" s="24">
        <v>2023</v>
      </c>
      <c r="C377" s="90" t="s">
        <v>21</v>
      </c>
      <c r="D377" s="24" t="s">
        <v>1354</v>
      </c>
      <c r="E377" s="30" t="s">
        <v>1582</v>
      </c>
      <c r="F377" s="31" t="s">
        <v>23</v>
      </c>
      <c r="G377" s="21" t="s">
        <v>1356</v>
      </c>
      <c r="H377" s="38" t="s">
        <v>1583</v>
      </c>
      <c r="I377" s="39">
        <v>45218</v>
      </c>
      <c r="J377" s="39">
        <v>45218</v>
      </c>
      <c r="K377" s="24" t="s">
        <v>26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>SUM(O377:Q377)</f>
        <v>10</v>
      </c>
      <c r="S377" s="24">
        <v>3</v>
      </c>
      <c r="T377" s="21" t="s">
        <v>1548</v>
      </c>
    </row>
    <row r="378" spans="1:20" ht="23.25" hidden="1" customHeight="1" x14ac:dyDescent="0.25">
      <c r="A378" s="20" t="s">
        <v>1584</v>
      </c>
      <c r="B378" s="22">
        <v>2023</v>
      </c>
      <c r="C378" s="90" t="s">
        <v>21</v>
      </c>
      <c r="D378" s="22" t="s">
        <v>1354</v>
      </c>
      <c r="E378" s="27" t="s">
        <v>1585</v>
      </c>
      <c r="F378" s="29" t="s">
        <v>23</v>
      </c>
      <c r="G378" s="20" t="s">
        <v>1356</v>
      </c>
      <c r="H378" s="36" t="s">
        <v>1586</v>
      </c>
      <c r="I378" s="37">
        <v>45219</v>
      </c>
      <c r="J378" s="37">
        <v>45219</v>
      </c>
      <c r="K378" s="22" t="s">
        <v>26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>SUM(O378:Q378)</f>
        <v>34</v>
      </c>
      <c r="S378" s="22">
        <v>3</v>
      </c>
      <c r="T378" s="20" t="s">
        <v>1548</v>
      </c>
    </row>
    <row r="379" spans="1:20" ht="23.25" hidden="1" customHeight="1" x14ac:dyDescent="0.25">
      <c r="A379" s="21" t="s">
        <v>1587</v>
      </c>
      <c r="B379" s="24">
        <v>2023</v>
      </c>
      <c r="C379" s="90" t="s">
        <v>21</v>
      </c>
      <c r="D379" s="24" t="s">
        <v>1588</v>
      </c>
      <c r="E379" s="30" t="s">
        <v>1589</v>
      </c>
      <c r="F379" s="31" t="s">
        <v>23</v>
      </c>
      <c r="G379" s="21" t="s">
        <v>199</v>
      </c>
      <c r="H379" s="38" t="s">
        <v>1590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>SUM(O379:Q379)</f>
        <v>0</v>
      </c>
      <c r="S379" s="24"/>
      <c r="T379" s="21"/>
    </row>
    <row r="380" spans="1:20" ht="23.25" hidden="1" customHeight="1" x14ac:dyDescent="0.25">
      <c r="A380" s="20" t="s">
        <v>1591</v>
      </c>
      <c r="B380" s="22">
        <v>2023</v>
      </c>
      <c r="C380" s="90" t="s">
        <v>21</v>
      </c>
      <c r="D380" s="22" t="s">
        <v>1592</v>
      </c>
      <c r="E380" s="27" t="s">
        <v>1593</v>
      </c>
      <c r="F380" s="29" t="s">
        <v>23</v>
      </c>
      <c r="G380" s="20" t="s">
        <v>24</v>
      </c>
      <c r="H380" s="36" t="s">
        <v>1594</v>
      </c>
      <c r="I380" s="37">
        <v>45223</v>
      </c>
      <c r="J380" s="37">
        <v>45223</v>
      </c>
      <c r="K380" s="22" t="s">
        <v>26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>SUM(O380:Q380)</f>
        <v>15</v>
      </c>
      <c r="S380" s="22">
        <v>2</v>
      </c>
      <c r="T380" s="20" t="s">
        <v>1595</v>
      </c>
    </row>
    <row r="381" spans="1:20" ht="23.25" hidden="1" customHeight="1" x14ac:dyDescent="0.25">
      <c r="A381" s="21" t="s">
        <v>1596</v>
      </c>
      <c r="B381" s="24">
        <v>2023</v>
      </c>
      <c r="C381" s="90" t="s">
        <v>21</v>
      </c>
      <c r="D381" s="24" t="s">
        <v>1597</v>
      </c>
      <c r="E381" s="30" t="s">
        <v>1598</v>
      </c>
      <c r="F381" s="31" t="s">
        <v>23</v>
      </c>
      <c r="G381" s="21" t="s">
        <v>199</v>
      </c>
      <c r="H381" s="38" t="s">
        <v>1599</v>
      </c>
      <c r="I381" s="39">
        <v>45224</v>
      </c>
      <c r="J381" s="39">
        <v>45224</v>
      </c>
      <c r="K381" s="24" t="s">
        <v>35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>SUM(O381:Q381)</f>
        <v>21</v>
      </c>
      <c r="S381" s="24">
        <v>3</v>
      </c>
      <c r="T381" s="21"/>
    </row>
    <row r="382" spans="1:20" ht="23.25" hidden="1" customHeight="1" x14ac:dyDescent="0.25">
      <c r="A382" s="20" t="s">
        <v>1600</v>
      </c>
      <c r="B382" s="22">
        <v>2023</v>
      </c>
      <c r="C382" s="90" t="s">
        <v>21</v>
      </c>
      <c r="D382" s="22" t="s">
        <v>1542</v>
      </c>
      <c r="E382" s="27" t="s">
        <v>1601</v>
      </c>
      <c r="F382" s="29" t="s">
        <v>81</v>
      </c>
      <c r="G382" s="20" t="s">
        <v>72</v>
      </c>
      <c r="H382" s="36" t="s">
        <v>1602</v>
      </c>
      <c r="I382" s="37">
        <v>45225</v>
      </c>
      <c r="J382" s="37">
        <v>45226</v>
      </c>
      <c r="K382" s="22" t="s">
        <v>35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>SUM(O382:Q382)</f>
        <v>17</v>
      </c>
      <c r="S382" s="22">
        <v>16</v>
      </c>
      <c r="T382" s="33" t="s">
        <v>418</v>
      </c>
    </row>
    <row r="383" spans="1:20" ht="23.25" hidden="1" customHeight="1" x14ac:dyDescent="0.25">
      <c r="A383" s="21" t="s">
        <v>1603</v>
      </c>
      <c r="B383" s="24">
        <v>2023</v>
      </c>
      <c r="C383" s="90" t="s">
        <v>21</v>
      </c>
      <c r="D383" s="24" t="s">
        <v>1354</v>
      </c>
      <c r="E383" s="30" t="s">
        <v>1604</v>
      </c>
      <c r="F383" s="31" t="s">
        <v>23</v>
      </c>
      <c r="G383" s="21" t="s">
        <v>1356</v>
      </c>
      <c r="H383" s="38" t="s">
        <v>1602</v>
      </c>
      <c r="I383" s="39">
        <v>45225</v>
      </c>
      <c r="J383" s="39">
        <v>45226</v>
      </c>
      <c r="K383" s="24" t="s">
        <v>26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>SUM(O383:Q383)</f>
        <v>13</v>
      </c>
      <c r="S383" s="24">
        <v>3</v>
      </c>
      <c r="T383" s="21" t="s">
        <v>1548</v>
      </c>
    </row>
    <row r="384" spans="1:20" ht="23.25" hidden="1" customHeight="1" x14ac:dyDescent="0.25">
      <c r="A384" s="20" t="s">
        <v>1605</v>
      </c>
      <c r="B384" s="22">
        <v>2023</v>
      </c>
      <c r="C384" s="90" t="s">
        <v>21</v>
      </c>
      <c r="D384" s="22" t="s">
        <v>1606</v>
      </c>
      <c r="E384" s="27" t="s">
        <v>1607</v>
      </c>
      <c r="F384" s="29" t="s">
        <v>23</v>
      </c>
      <c r="G384" s="20" t="s">
        <v>199</v>
      </c>
      <c r="H384" s="36" t="s">
        <v>1608</v>
      </c>
      <c r="I384" s="37">
        <v>45226</v>
      </c>
      <c r="J384" s="37">
        <v>45226</v>
      </c>
      <c r="K384" s="22" t="s">
        <v>35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>SUM(O384:Q384)</f>
        <v>114</v>
      </c>
      <c r="S384" s="22">
        <v>2</v>
      </c>
      <c r="T384" s="20"/>
    </row>
    <row r="385" spans="1:20" ht="23.25" hidden="1" customHeight="1" x14ac:dyDescent="0.25">
      <c r="A385" s="21" t="s">
        <v>1609</v>
      </c>
      <c r="B385" s="24">
        <v>2023</v>
      </c>
      <c r="C385" s="90" t="s">
        <v>21</v>
      </c>
      <c r="D385" s="24" t="s">
        <v>1397</v>
      </c>
      <c r="E385" s="30" t="s">
        <v>1610</v>
      </c>
      <c r="F385" s="31" t="s">
        <v>23</v>
      </c>
      <c r="G385" s="21" t="s">
        <v>33</v>
      </c>
      <c r="H385" s="38" t="s">
        <v>1611</v>
      </c>
      <c r="I385" s="39">
        <v>45230</v>
      </c>
      <c r="J385" s="39">
        <v>45247</v>
      </c>
      <c r="K385" s="24" t="s">
        <v>26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>SUM(O385:Q385)</f>
        <v>5</v>
      </c>
      <c r="S385" s="24">
        <v>16</v>
      </c>
      <c r="T385" s="21" t="s">
        <v>1400</v>
      </c>
    </row>
    <row r="386" spans="1:20" ht="23.25" hidden="1" customHeight="1" x14ac:dyDescent="0.25">
      <c r="A386" s="20" t="s">
        <v>1612</v>
      </c>
      <c r="B386" s="22">
        <v>2023</v>
      </c>
      <c r="C386" s="90" t="s">
        <v>21</v>
      </c>
      <c r="D386" s="22" t="s">
        <v>1567</v>
      </c>
      <c r="E386" s="27" t="s">
        <v>1613</v>
      </c>
      <c r="F386" s="29" t="s">
        <v>23</v>
      </c>
      <c r="G386" s="20" t="s">
        <v>33</v>
      </c>
      <c r="H386" s="50" t="s">
        <v>1614</v>
      </c>
      <c r="I386" s="37">
        <v>45230</v>
      </c>
      <c r="J386" s="37">
        <v>45230</v>
      </c>
      <c r="K386" s="22" t="s">
        <v>35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>SUM(O386:Q386)</f>
        <v>49</v>
      </c>
      <c r="S386" s="22">
        <v>2</v>
      </c>
      <c r="T386" s="20" t="s">
        <v>1615</v>
      </c>
    </row>
    <row r="387" spans="1:20" ht="23.25" hidden="1" customHeight="1" x14ac:dyDescent="0.25">
      <c r="A387" s="21" t="s">
        <v>1616</v>
      </c>
      <c r="B387" s="24">
        <v>2023</v>
      </c>
      <c r="C387" s="90" t="s">
        <v>21</v>
      </c>
      <c r="D387" s="24" t="s">
        <v>1567</v>
      </c>
      <c r="E387" s="30" t="s">
        <v>1617</v>
      </c>
      <c r="F387" s="31" t="s">
        <v>23</v>
      </c>
      <c r="G387" s="21" t="s">
        <v>33</v>
      </c>
      <c r="H387" s="38" t="s">
        <v>1618</v>
      </c>
      <c r="I387" s="39">
        <v>45237</v>
      </c>
      <c r="J387" s="39">
        <v>45237</v>
      </c>
      <c r="K387" s="24" t="s">
        <v>35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>SUM(O387:Q387)</f>
        <v>22</v>
      </c>
      <c r="S387" s="24">
        <v>2</v>
      </c>
      <c r="T387" s="21" t="s">
        <v>472</v>
      </c>
    </row>
    <row r="388" spans="1:20" ht="23.25" hidden="1" customHeight="1" x14ac:dyDescent="0.25">
      <c r="A388" s="20" t="s">
        <v>1619</v>
      </c>
      <c r="B388" s="22">
        <v>2023</v>
      </c>
      <c r="C388" s="90" t="s">
        <v>21</v>
      </c>
      <c r="D388" s="22" t="s">
        <v>1620</v>
      </c>
      <c r="E388" s="27" t="s">
        <v>1621</v>
      </c>
      <c r="F388" s="29" t="s">
        <v>81</v>
      </c>
      <c r="G388" s="20" t="s">
        <v>68</v>
      </c>
      <c r="H388" s="36" t="s">
        <v>1622</v>
      </c>
      <c r="I388" s="37">
        <v>45239</v>
      </c>
      <c r="J388" s="37">
        <v>45240</v>
      </c>
      <c r="K388" s="22" t="s">
        <v>26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>SUM(O388:Q388)</f>
        <v>91</v>
      </c>
      <c r="S388" s="22">
        <v>8</v>
      </c>
      <c r="T388" s="20" t="s">
        <v>472</v>
      </c>
    </row>
    <row r="389" spans="1:20" ht="23.25" hidden="1" customHeight="1" x14ac:dyDescent="0.25">
      <c r="A389" s="21" t="s">
        <v>1623</v>
      </c>
      <c r="B389" s="24">
        <v>2023</v>
      </c>
      <c r="C389" s="90" t="s">
        <v>21</v>
      </c>
      <c r="D389" s="24" t="s">
        <v>1542</v>
      </c>
      <c r="E389" s="30" t="s">
        <v>1624</v>
      </c>
      <c r="F389" s="31" t="s">
        <v>81</v>
      </c>
      <c r="G389" s="21" t="s">
        <v>72</v>
      </c>
      <c r="H389" s="38" t="s">
        <v>1625</v>
      </c>
      <c r="I389" s="39">
        <v>45243</v>
      </c>
      <c r="J389" s="39">
        <v>45244</v>
      </c>
      <c r="K389" s="24" t="s">
        <v>35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>SUM(O389:Q389)</f>
        <v>5</v>
      </c>
      <c r="S389" s="24">
        <v>16</v>
      </c>
      <c r="T389" s="32" t="s">
        <v>418</v>
      </c>
    </row>
    <row r="390" spans="1:20" ht="23.25" hidden="1" customHeight="1" x14ac:dyDescent="0.25">
      <c r="A390" s="20" t="s">
        <v>1626</v>
      </c>
      <c r="B390" s="22">
        <v>2023</v>
      </c>
      <c r="C390" s="90" t="s">
        <v>21</v>
      </c>
      <c r="D390" s="22" t="s">
        <v>1627</v>
      </c>
      <c r="E390" s="27" t="s">
        <v>1628</v>
      </c>
      <c r="F390" s="29" t="s">
        <v>62</v>
      </c>
      <c r="G390" s="20" t="s">
        <v>72</v>
      </c>
      <c r="H390" s="36" t="s">
        <v>1629</v>
      </c>
      <c r="I390" s="37">
        <v>45243</v>
      </c>
      <c r="J390" s="37">
        <v>45243</v>
      </c>
      <c r="K390" s="22" t="s">
        <v>35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>SUM(O390:Q390)</f>
        <v>181</v>
      </c>
      <c r="S390" s="22">
        <v>1</v>
      </c>
      <c r="T390" s="20" t="s">
        <v>74</v>
      </c>
    </row>
    <row r="391" spans="1:20" ht="23.25" hidden="1" customHeight="1" x14ac:dyDescent="0.25">
      <c r="A391" s="21" t="s">
        <v>1630</v>
      </c>
      <c r="B391" s="24">
        <v>2023</v>
      </c>
      <c r="C391" s="90" t="s">
        <v>21</v>
      </c>
      <c r="D391" s="24" t="s">
        <v>1542</v>
      </c>
      <c r="E391" s="30" t="s">
        <v>1631</v>
      </c>
      <c r="F391" s="31" t="s">
        <v>81</v>
      </c>
      <c r="G391" s="21" t="s">
        <v>72</v>
      </c>
      <c r="H391" s="38" t="s">
        <v>1632</v>
      </c>
      <c r="I391" s="39">
        <v>45246</v>
      </c>
      <c r="J391" s="39">
        <v>45247</v>
      </c>
      <c r="K391" s="24" t="s">
        <v>35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>SUM(O391:Q391)</f>
        <v>7</v>
      </c>
      <c r="S391" s="24">
        <v>16</v>
      </c>
      <c r="T391" s="32" t="s">
        <v>418</v>
      </c>
    </row>
    <row r="392" spans="1:20" ht="23.25" hidden="1" customHeight="1" x14ac:dyDescent="0.25">
      <c r="A392" s="20" t="s">
        <v>1633</v>
      </c>
      <c r="B392" s="22">
        <v>2023</v>
      </c>
      <c r="C392" s="90" t="s">
        <v>21</v>
      </c>
      <c r="D392" s="22" t="s">
        <v>1634</v>
      </c>
      <c r="E392" s="27" t="s">
        <v>1635</v>
      </c>
      <c r="F392" s="29" t="s">
        <v>23</v>
      </c>
      <c r="G392" s="20" t="s">
        <v>38</v>
      </c>
      <c r="H392" s="36" t="s">
        <v>1636</v>
      </c>
      <c r="I392" s="37">
        <v>45247</v>
      </c>
      <c r="J392" s="37">
        <v>45268</v>
      </c>
      <c r="K392" s="22" t="s">
        <v>35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>SUM(O392:Q392)</f>
        <v>9</v>
      </c>
      <c r="S392" s="22">
        <v>16</v>
      </c>
      <c r="T392" s="20" t="s">
        <v>1637</v>
      </c>
    </row>
    <row r="393" spans="1:20" ht="23.25" hidden="1" customHeight="1" x14ac:dyDescent="0.25">
      <c r="A393" s="21" t="s">
        <v>1638</v>
      </c>
      <c r="B393" s="24">
        <v>2023</v>
      </c>
      <c r="C393" s="90" t="s">
        <v>21</v>
      </c>
      <c r="D393" s="24" t="s">
        <v>1639</v>
      </c>
      <c r="E393" s="30" t="s">
        <v>1635</v>
      </c>
      <c r="F393" s="31" t="s">
        <v>23</v>
      </c>
      <c r="G393" s="21" t="s">
        <v>38</v>
      </c>
      <c r="H393" s="38" t="s">
        <v>1636</v>
      </c>
      <c r="I393" s="39">
        <v>45247</v>
      </c>
      <c r="J393" s="39">
        <v>45268</v>
      </c>
      <c r="K393" s="24" t="s">
        <v>35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1637</v>
      </c>
    </row>
    <row r="394" spans="1:20" ht="23.25" hidden="1" customHeight="1" x14ac:dyDescent="0.25">
      <c r="A394" s="20" t="s">
        <v>1640</v>
      </c>
      <c r="B394" s="22">
        <v>2023</v>
      </c>
      <c r="C394" s="90" t="s">
        <v>21</v>
      </c>
      <c r="D394" s="22" t="s">
        <v>1542</v>
      </c>
      <c r="E394" s="27" t="s">
        <v>1641</v>
      </c>
      <c r="F394" s="29" t="s">
        <v>81</v>
      </c>
      <c r="G394" s="20" t="s">
        <v>72</v>
      </c>
      <c r="H394" s="36" t="s">
        <v>1642</v>
      </c>
      <c r="I394" s="37">
        <v>45251</v>
      </c>
      <c r="J394" s="37">
        <v>45252</v>
      </c>
      <c r="K394" s="22" t="s">
        <v>35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>SUM(O394:Q394)</f>
        <v>31</v>
      </c>
      <c r="S394" s="22">
        <v>16</v>
      </c>
      <c r="T394" s="33" t="s">
        <v>418</v>
      </c>
    </row>
    <row r="395" spans="1:20" ht="23.25" hidden="1" customHeight="1" x14ac:dyDescent="0.25">
      <c r="A395" s="21" t="s">
        <v>1643</v>
      </c>
      <c r="B395" s="24">
        <v>2023</v>
      </c>
      <c r="C395" s="90" t="s">
        <v>21</v>
      </c>
      <c r="D395" s="24" t="s">
        <v>1644</v>
      </c>
      <c r="E395" s="30" t="s">
        <v>1645</v>
      </c>
      <c r="F395" s="31" t="s">
        <v>23</v>
      </c>
      <c r="G395" s="21" t="s">
        <v>457</v>
      </c>
      <c r="H395" s="38" t="s">
        <v>1646</v>
      </c>
      <c r="I395" s="39">
        <v>45254</v>
      </c>
      <c r="J395" s="39">
        <v>45254</v>
      </c>
      <c r="K395" s="24" t="s">
        <v>26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>SUM(O395:Q395)</f>
        <v>19</v>
      </c>
      <c r="S395" s="24">
        <v>2</v>
      </c>
      <c r="T395" s="21" t="s">
        <v>966</v>
      </c>
    </row>
    <row r="396" spans="1:20" ht="23.25" hidden="1" customHeight="1" x14ac:dyDescent="0.25">
      <c r="A396" s="20" t="s">
        <v>1647</v>
      </c>
      <c r="B396" s="22">
        <v>2023</v>
      </c>
      <c r="C396" s="90" t="s">
        <v>21</v>
      </c>
      <c r="D396" s="22" t="s">
        <v>1648</v>
      </c>
      <c r="E396" s="27" t="s">
        <v>1649</v>
      </c>
      <c r="F396" s="29" t="s">
        <v>62</v>
      </c>
      <c r="G396" s="20" t="s">
        <v>72</v>
      </c>
      <c r="H396" s="36" t="s">
        <v>1650</v>
      </c>
      <c r="I396" s="37">
        <v>45257</v>
      </c>
      <c r="J396" s="37">
        <v>45258</v>
      </c>
      <c r="K396" s="22" t="s">
        <v>35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>SUM(O396:Q396)</f>
        <v>45</v>
      </c>
      <c r="S396" s="22">
        <v>8</v>
      </c>
      <c r="T396" s="20" t="s">
        <v>1472</v>
      </c>
    </row>
    <row r="397" spans="1:20" ht="23.25" hidden="1" customHeight="1" x14ac:dyDescent="0.25">
      <c r="A397" s="21" t="s">
        <v>1651</v>
      </c>
      <c r="B397" s="24">
        <v>2023</v>
      </c>
      <c r="C397" s="90" t="s">
        <v>21</v>
      </c>
      <c r="D397" s="24" t="s">
        <v>1652</v>
      </c>
      <c r="E397" s="30" t="s">
        <v>1653</v>
      </c>
      <c r="F397" s="31" t="s">
        <v>23</v>
      </c>
      <c r="G397" s="21" t="s">
        <v>199</v>
      </c>
      <c r="H397" s="38" t="s">
        <v>1654</v>
      </c>
      <c r="I397" s="39">
        <v>45257</v>
      </c>
      <c r="J397" s="39">
        <v>45257</v>
      </c>
      <c r="K397" s="24" t="s">
        <v>26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>SUM(O397:Q397)</f>
        <v>0</v>
      </c>
      <c r="S397" s="24">
        <v>2</v>
      </c>
      <c r="T397" s="21" t="s">
        <v>472</v>
      </c>
    </row>
    <row r="398" spans="1:20" ht="23.25" hidden="1" customHeight="1" x14ac:dyDescent="0.25">
      <c r="A398" s="20" t="s">
        <v>1655</v>
      </c>
      <c r="B398" s="22">
        <v>2023</v>
      </c>
      <c r="C398" s="90" t="s">
        <v>21</v>
      </c>
      <c r="D398" s="22" t="s">
        <v>1656</v>
      </c>
      <c r="E398" s="27" t="s">
        <v>1657</v>
      </c>
      <c r="F398" s="29" t="s">
        <v>23</v>
      </c>
      <c r="G398" s="20" t="s">
        <v>72</v>
      </c>
      <c r="H398" s="36" t="s">
        <v>1658</v>
      </c>
      <c r="I398" s="37">
        <v>45264</v>
      </c>
      <c r="J398" s="37">
        <v>45265</v>
      </c>
      <c r="K398" s="22" t="s">
        <v>26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>SUM(O398:Q398)</f>
        <v>85</v>
      </c>
      <c r="S398" s="22">
        <v>8</v>
      </c>
      <c r="T398" s="20" t="s">
        <v>472</v>
      </c>
    </row>
    <row r="399" spans="1:20" ht="23.25" hidden="1" customHeight="1" x14ac:dyDescent="0.25">
      <c r="A399" s="21" t="s">
        <v>1659</v>
      </c>
      <c r="B399" s="24">
        <v>2023</v>
      </c>
      <c r="C399" s="90" t="s">
        <v>21</v>
      </c>
      <c r="D399" s="24" t="s">
        <v>1660</v>
      </c>
      <c r="E399" s="30" t="s">
        <v>1661</v>
      </c>
      <c r="F399" s="31" t="s">
        <v>23</v>
      </c>
      <c r="G399" s="21" t="s">
        <v>24</v>
      </c>
      <c r="H399" s="38" t="s">
        <v>1662</v>
      </c>
      <c r="I399" s="39">
        <v>45264</v>
      </c>
      <c r="J399" s="39">
        <v>45264</v>
      </c>
      <c r="K399" s="24" t="s">
        <v>26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>SUM(O399:Q399)</f>
        <v>7</v>
      </c>
      <c r="S399" s="24">
        <v>1</v>
      </c>
      <c r="T399" s="21" t="s">
        <v>1663</v>
      </c>
    </row>
    <row r="400" spans="1:20" ht="23.25" hidden="1" customHeight="1" x14ac:dyDescent="0.25">
      <c r="A400" s="20" t="s">
        <v>1664</v>
      </c>
      <c r="B400" s="22">
        <v>2023</v>
      </c>
      <c r="C400" s="90" t="s">
        <v>21</v>
      </c>
      <c r="D400" s="22" t="s">
        <v>1665</v>
      </c>
      <c r="E400" s="27" t="s">
        <v>1666</v>
      </c>
      <c r="F400" s="29" t="s">
        <v>23</v>
      </c>
      <c r="G400" s="20"/>
      <c r="H400" s="50">
        <v>45089</v>
      </c>
      <c r="I400" s="37">
        <v>45266</v>
      </c>
      <c r="J400" s="37">
        <v>45266</v>
      </c>
      <c r="K400" s="22" t="s">
        <v>35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>SUM(O400:Q400)</f>
        <v>30</v>
      </c>
      <c r="S400" s="22">
        <v>4</v>
      </c>
      <c r="T400" s="20"/>
    </row>
    <row r="401" spans="1:20" ht="23.25" hidden="1" customHeight="1" x14ac:dyDescent="0.25">
      <c r="A401" s="21" t="s">
        <v>1667</v>
      </c>
      <c r="B401" s="24">
        <v>2023</v>
      </c>
      <c r="C401" s="90" t="s">
        <v>21</v>
      </c>
      <c r="D401" s="24" t="s">
        <v>1668</v>
      </c>
      <c r="E401" s="30" t="s">
        <v>1669</v>
      </c>
      <c r="F401" s="31" t="s">
        <v>23</v>
      </c>
      <c r="G401" s="21" t="s">
        <v>38</v>
      </c>
      <c r="H401" s="38" t="s">
        <v>1670</v>
      </c>
      <c r="I401" s="39">
        <v>45267</v>
      </c>
      <c r="J401" s="39">
        <v>45267</v>
      </c>
      <c r="K401" s="24" t="s">
        <v>26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>SUM(O401:Q401)</f>
        <v>62</v>
      </c>
      <c r="S401" s="24">
        <v>1.5</v>
      </c>
      <c r="T401" s="21" t="s">
        <v>1671</v>
      </c>
    </row>
    <row r="402" spans="1:20" ht="23.25" hidden="1" customHeight="1" x14ac:dyDescent="0.25">
      <c r="A402" s="20" t="s">
        <v>1672</v>
      </c>
      <c r="B402" s="22">
        <v>2023</v>
      </c>
      <c r="C402" s="90" t="s">
        <v>21</v>
      </c>
      <c r="D402" s="22" t="s">
        <v>1673</v>
      </c>
      <c r="E402" s="27" t="s">
        <v>1674</v>
      </c>
      <c r="F402" s="29" t="s">
        <v>81</v>
      </c>
      <c r="G402" s="20" t="s">
        <v>72</v>
      </c>
      <c r="H402" s="36" t="s">
        <v>1675</v>
      </c>
      <c r="I402" s="37">
        <v>45268</v>
      </c>
      <c r="J402" s="37">
        <v>45268</v>
      </c>
      <c r="K402" s="22" t="s">
        <v>35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>SUM(O402:Q402)</f>
        <v>68</v>
      </c>
      <c r="S402" s="22">
        <v>4</v>
      </c>
      <c r="T402" s="20" t="s">
        <v>1676</v>
      </c>
    </row>
    <row r="403" spans="1:20" ht="23.25" hidden="1" customHeight="1" x14ac:dyDescent="0.25">
      <c r="A403" s="21" t="s">
        <v>1677</v>
      </c>
      <c r="B403" s="24">
        <v>2023</v>
      </c>
      <c r="C403" s="90" t="s">
        <v>21</v>
      </c>
      <c r="D403" s="24" t="s">
        <v>1678</v>
      </c>
      <c r="E403" s="34" t="s">
        <v>1679</v>
      </c>
      <c r="F403" s="31" t="s">
        <v>23</v>
      </c>
      <c r="G403" s="21" t="s">
        <v>33</v>
      </c>
      <c r="H403" s="38" t="s">
        <v>1680</v>
      </c>
      <c r="I403" s="39">
        <v>45275</v>
      </c>
      <c r="J403" s="39">
        <v>45275</v>
      </c>
      <c r="K403" s="24" t="s">
        <v>35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>SUM(O403:Q403)</f>
        <v>2</v>
      </c>
      <c r="S403" s="24">
        <v>48</v>
      </c>
      <c r="T403" s="21" t="s">
        <v>211</v>
      </c>
    </row>
    <row r="404" spans="1:20" ht="23.25" hidden="1" customHeight="1" x14ac:dyDescent="0.25">
      <c r="A404" s="20" t="s">
        <v>1681</v>
      </c>
      <c r="B404" s="22">
        <v>2024</v>
      </c>
      <c r="C404" s="90" t="s">
        <v>21</v>
      </c>
      <c r="D404" s="22" t="s">
        <v>1682</v>
      </c>
      <c r="E404" s="27" t="s">
        <v>1683</v>
      </c>
      <c r="F404" s="29" t="s">
        <v>62</v>
      </c>
      <c r="G404" s="20" t="s">
        <v>72</v>
      </c>
      <c r="H404" s="36" t="s">
        <v>1684</v>
      </c>
      <c r="I404" s="37">
        <v>45342</v>
      </c>
      <c r="J404" s="37">
        <v>45351</v>
      </c>
      <c r="K404" s="22" t="s">
        <v>35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>SUM(O404:Q404)</f>
        <v>36</v>
      </c>
      <c r="S404" s="22">
        <v>16</v>
      </c>
      <c r="T404" s="20" t="s">
        <v>1685</v>
      </c>
    </row>
    <row r="405" spans="1:20" ht="23.25" hidden="1" customHeight="1" x14ac:dyDescent="0.25">
      <c r="A405" s="21" t="s">
        <v>1686</v>
      </c>
      <c r="B405" s="24">
        <v>2024</v>
      </c>
      <c r="C405" s="90" t="s">
        <v>21</v>
      </c>
      <c r="D405" s="24" t="s">
        <v>1687</v>
      </c>
      <c r="E405" s="30" t="s">
        <v>1688</v>
      </c>
      <c r="F405" s="31" t="s">
        <v>23</v>
      </c>
      <c r="G405" s="21" t="s">
        <v>38</v>
      </c>
      <c r="H405" s="38" t="s">
        <v>1689</v>
      </c>
      <c r="I405" s="39">
        <v>45344</v>
      </c>
      <c r="J405" s="39">
        <v>45359</v>
      </c>
      <c r="K405" s="24" t="s">
        <v>26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>SUM(O405:Q405)</f>
        <v>14</v>
      </c>
      <c r="S405" s="24">
        <v>16</v>
      </c>
      <c r="T405" s="21" t="s">
        <v>1456</v>
      </c>
    </row>
    <row r="406" spans="1:20" ht="23.25" hidden="1" customHeight="1" x14ac:dyDescent="0.25">
      <c r="A406" s="20" t="s">
        <v>1690</v>
      </c>
      <c r="B406" s="22">
        <v>2024</v>
      </c>
      <c r="C406" s="90" t="s">
        <v>21</v>
      </c>
      <c r="D406" s="22" t="s">
        <v>1691</v>
      </c>
      <c r="E406" s="27" t="s">
        <v>1692</v>
      </c>
      <c r="F406" s="29" t="s">
        <v>81</v>
      </c>
      <c r="G406" s="20" t="s">
        <v>72</v>
      </c>
      <c r="H406" s="36" t="s">
        <v>1693</v>
      </c>
      <c r="I406" s="37">
        <v>45352</v>
      </c>
      <c r="J406" s="37">
        <v>45629</v>
      </c>
      <c r="K406" s="22" t="s">
        <v>35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>SUM(O406:Q406)</f>
        <v>44</v>
      </c>
      <c r="S406" s="22">
        <v>5</v>
      </c>
      <c r="T406" s="54" t="s">
        <v>1694</v>
      </c>
    </row>
    <row r="407" spans="1:20" ht="23.25" hidden="1" customHeight="1" x14ac:dyDescent="0.25">
      <c r="A407" s="21" t="s">
        <v>1695</v>
      </c>
      <c r="B407" s="24">
        <v>2024</v>
      </c>
      <c r="C407" s="90" t="s">
        <v>21</v>
      </c>
      <c r="D407" s="24" t="s">
        <v>1696</v>
      </c>
      <c r="E407" s="30" t="s">
        <v>1697</v>
      </c>
      <c r="F407" s="31" t="s">
        <v>62</v>
      </c>
      <c r="G407" s="21" t="s">
        <v>72</v>
      </c>
      <c r="H407" s="38" t="s">
        <v>1698</v>
      </c>
      <c r="I407" s="39">
        <v>45355</v>
      </c>
      <c r="J407" s="39">
        <v>45359</v>
      </c>
      <c r="K407" s="24" t="s">
        <v>35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>SUM(O407:Q407)</f>
        <v>26</v>
      </c>
      <c r="S407" s="24">
        <v>20</v>
      </c>
      <c r="T407" s="21" t="s">
        <v>74</v>
      </c>
    </row>
    <row r="408" spans="1:20" ht="23.25" hidden="1" customHeight="1" x14ac:dyDescent="0.25">
      <c r="A408" s="20" t="s">
        <v>1699</v>
      </c>
      <c r="B408" s="22">
        <v>2024</v>
      </c>
      <c r="C408" s="90" t="s">
        <v>21</v>
      </c>
      <c r="D408" s="22" t="s">
        <v>1700</v>
      </c>
      <c r="E408" s="27" t="s">
        <v>1701</v>
      </c>
      <c r="F408" s="29" t="s">
        <v>23</v>
      </c>
      <c r="G408" s="20" t="s">
        <v>38</v>
      </c>
      <c r="H408" s="36" t="s">
        <v>1702</v>
      </c>
      <c r="I408" s="37">
        <v>45356</v>
      </c>
      <c r="J408" s="37">
        <v>45365</v>
      </c>
      <c r="K408" s="22" t="s">
        <v>35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>SUM(O408:Q408)</f>
        <v>23</v>
      </c>
      <c r="S408" s="22">
        <v>16</v>
      </c>
      <c r="T408" s="20" t="s">
        <v>1703</v>
      </c>
    </row>
    <row r="409" spans="1:20" ht="23.25" hidden="1" customHeight="1" x14ac:dyDescent="0.25">
      <c r="A409" s="21" t="s">
        <v>1704</v>
      </c>
      <c r="B409" s="24">
        <v>2024</v>
      </c>
      <c r="C409" s="90" t="s">
        <v>21</v>
      </c>
      <c r="D409" s="24" t="s">
        <v>1705</v>
      </c>
      <c r="E409" s="30" t="s">
        <v>1706</v>
      </c>
      <c r="F409" s="31" t="s">
        <v>23</v>
      </c>
      <c r="G409" s="21" t="s">
        <v>199</v>
      </c>
      <c r="H409" s="38" t="s">
        <v>1707</v>
      </c>
      <c r="I409" s="39">
        <v>45359</v>
      </c>
      <c r="J409" s="39">
        <v>45359</v>
      </c>
      <c r="K409" s="24" t="s">
        <v>26</v>
      </c>
      <c r="L409" s="26">
        <v>18000</v>
      </c>
      <c r="M409" s="87"/>
      <c r="N409" s="40"/>
      <c r="O409" s="25"/>
      <c r="P409" s="25"/>
      <c r="Q409" s="25">
        <v>20</v>
      </c>
      <c r="R409" s="25">
        <f>SUM(O409:Q409)</f>
        <v>20</v>
      </c>
      <c r="S409" s="24">
        <v>2</v>
      </c>
      <c r="T409" s="21" t="s">
        <v>1708</v>
      </c>
    </row>
    <row r="410" spans="1:20" ht="23.25" hidden="1" customHeight="1" x14ac:dyDescent="0.25">
      <c r="A410" s="20" t="s">
        <v>1709</v>
      </c>
      <c r="B410" s="22">
        <v>2024</v>
      </c>
      <c r="C410" s="90" t="s">
        <v>21</v>
      </c>
      <c r="D410" s="22" t="s">
        <v>1710</v>
      </c>
      <c r="E410" s="27" t="s">
        <v>1711</v>
      </c>
      <c r="F410" s="29" t="s">
        <v>23</v>
      </c>
      <c r="G410" s="20" t="s">
        <v>199</v>
      </c>
      <c r="H410" s="36" t="s">
        <v>1707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>SUM(O410:Q410)</f>
        <v>0</v>
      </c>
      <c r="S410" s="22"/>
      <c r="T410" s="20"/>
    </row>
    <row r="411" spans="1:20" ht="23.25" hidden="1" customHeight="1" x14ac:dyDescent="0.25">
      <c r="A411" s="21" t="s">
        <v>1712</v>
      </c>
      <c r="B411" s="24">
        <v>2024</v>
      </c>
      <c r="C411" s="90" t="s">
        <v>21</v>
      </c>
      <c r="D411" s="24" t="s">
        <v>1713</v>
      </c>
      <c r="E411" s="30" t="s">
        <v>1714</v>
      </c>
      <c r="F411" s="31" t="s">
        <v>23</v>
      </c>
      <c r="G411" s="21" t="s">
        <v>199</v>
      </c>
      <c r="H411" s="38" t="s">
        <v>1715</v>
      </c>
      <c r="I411" s="39">
        <v>45363</v>
      </c>
      <c r="J411" s="39">
        <v>45372</v>
      </c>
      <c r="K411" s="24" t="s">
        <v>35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>SUM(O411:Q411)</f>
        <v>16</v>
      </c>
      <c r="S411" s="24">
        <v>16</v>
      </c>
      <c r="T411" s="21" t="s">
        <v>1716</v>
      </c>
    </row>
    <row r="412" spans="1:20" ht="23.25" hidden="1" customHeight="1" x14ac:dyDescent="0.25">
      <c r="A412" s="20" t="s">
        <v>1717</v>
      </c>
      <c r="B412" s="22">
        <v>2024</v>
      </c>
      <c r="C412" s="90" t="s">
        <v>21</v>
      </c>
      <c r="D412" s="22" t="s">
        <v>1718</v>
      </c>
      <c r="E412" s="27" t="s">
        <v>1719</v>
      </c>
      <c r="F412" s="29" t="s">
        <v>81</v>
      </c>
      <c r="G412" s="20" t="s">
        <v>72</v>
      </c>
      <c r="H412" s="36" t="s">
        <v>1720</v>
      </c>
      <c r="I412" s="37">
        <v>45369</v>
      </c>
      <c r="J412" s="37">
        <v>45373</v>
      </c>
      <c r="K412" s="22" t="s">
        <v>35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>SUM(O412:Q412)</f>
        <v>44</v>
      </c>
      <c r="S412" s="22">
        <v>20</v>
      </c>
      <c r="T412" s="20" t="s">
        <v>418</v>
      </c>
    </row>
    <row r="413" spans="1:20" ht="23.25" hidden="1" customHeight="1" x14ac:dyDescent="0.25">
      <c r="A413" s="21" t="s">
        <v>1721</v>
      </c>
      <c r="B413" s="24">
        <v>2024</v>
      </c>
      <c r="C413" s="90" t="s">
        <v>21</v>
      </c>
      <c r="D413" s="24" t="s">
        <v>1722</v>
      </c>
      <c r="E413" s="30" t="s">
        <v>1723</v>
      </c>
      <c r="F413" s="31" t="s">
        <v>62</v>
      </c>
      <c r="G413" s="21" t="s">
        <v>72</v>
      </c>
      <c r="H413" s="38" t="s">
        <v>1724</v>
      </c>
      <c r="I413" s="39">
        <v>45370</v>
      </c>
      <c r="J413" s="39">
        <v>45370</v>
      </c>
      <c r="K413" s="24" t="s">
        <v>35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>SUM(O413:Q413)</f>
        <v>105</v>
      </c>
      <c r="S413" s="24">
        <v>4</v>
      </c>
      <c r="T413" s="21" t="s">
        <v>1725</v>
      </c>
    </row>
    <row r="414" spans="1:20" ht="23.25" hidden="1" customHeight="1" x14ac:dyDescent="0.25">
      <c r="A414" s="20" t="s">
        <v>1726</v>
      </c>
      <c r="B414" s="22">
        <v>2024</v>
      </c>
      <c r="C414" s="90" t="s">
        <v>21</v>
      </c>
      <c r="D414" s="22" t="s">
        <v>1727</v>
      </c>
      <c r="E414" s="27" t="s">
        <v>1728</v>
      </c>
      <c r="F414" s="29" t="s">
        <v>23</v>
      </c>
      <c r="G414" s="20" t="s">
        <v>1729</v>
      </c>
      <c r="H414" s="50" t="s">
        <v>1730</v>
      </c>
      <c r="I414" s="37">
        <v>45373</v>
      </c>
      <c r="J414" s="37">
        <v>45373</v>
      </c>
      <c r="K414" s="22" t="s">
        <v>26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>SUM(O414:Q414)</f>
        <v>50</v>
      </c>
      <c r="S414" s="22">
        <v>4</v>
      </c>
      <c r="T414" s="20" t="s">
        <v>1731</v>
      </c>
    </row>
    <row r="415" spans="1:20" ht="23.25" hidden="1" customHeight="1" x14ac:dyDescent="0.25">
      <c r="A415" s="21" t="s">
        <v>1732</v>
      </c>
      <c r="B415" s="24">
        <v>2024</v>
      </c>
      <c r="C415" s="90" t="s">
        <v>21</v>
      </c>
      <c r="D415" s="24" t="s">
        <v>1733</v>
      </c>
      <c r="E415" s="30" t="s">
        <v>1734</v>
      </c>
      <c r="F415" s="31" t="s">
        <v>23</v>
      </c>
      <c r="G415" s="21" t="s">
        <v>38</v>
      </c>
      <c r="H415" s="38" t="s">
        <v>1735</v>
      </c>
      <c r="I415" s="39">
        <v>45383</v>
      </c>
      <c r="J415" s="39">
        <v>45387</v>
      </c>
      <c r="K415" s="24" t="s">
        <v>26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>SUM(O415:Q415)</f>
        <v>25</v>
      </c>
      <c r="S415" s="24">
        <v>20</v>
      </c>
      <c r="T415" s="21" t="s">
        <v>1216</v>
      </c>
    </row>
    <row r="416" spans="1:20" ht="23.25" hidden="1" customHeight="1" x14ac:dyDescent="0.25">
      <c r="A416" s="20" t="s">
        <v>1736</v>
      </c>
      <c r="B416" s="22">
        <v>2024</v>
      </c>
      <c r="C416" s="90" t="s">
        <v>21</v>
      </c>
      <c r="D416" s="22" t="s">
        <v>1737</v>
      </c>
      <c r="E416" s="27" t="s">
        <v>1738</v>
      </c>
      <c r="F416" s="29" t="s">
        <v>23</v>
      </c>
      <c r="G416" s="20" t="s">
        <v>199</v>
      </c>
      <c r="H416" s="36" t="s">
        <v>1739</v>
      </c>
      <c r="I416" s="37">
        <v>45383</v>
      </c>
      <c r="J416" s="37">
        <v>45392</v>
      </c>
      <c r="K416" s="22" t="s">
        <v>35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>SUM(O416:Q416)</f>
        <v>9</v>
      </c>
      <c r="S416" s="22">
        <v>20</v>
      </c>
      <c r="T416" s="20" t="s">
        <v>1716</v>
      </c>
    </row>
    <row r="417" spans="1:20" ht="23.25" hidden="1" customHeight="1" x14ac:dyDescent="0.25">
      <c r="A417" s="21" t="s">
        <v>1740</v>
      </c>
      <c r="B417" s="24">
        <v>2024</v>
      </c>
      <c r="C417" s="90" t="s">
        <v>21</v>
      </c>
      <c r="D417" s="24" t="s">
        <v>1741</v>
      </c>
      <c r="E417" s="30" t="s">
        <v>1742</v>
      </c>
      <c r="F417" s="31" t="s">
        <v>81</v>
      </c>
      <c r="G417" s="21" t="s">
        <v>72</v>
      </c>
      <c r="H417" s="38" t="s">
        <v>1735</v>
      </c>
      <c r="I417" s="39">
        <v>45383</v>
      </c>
      <c r="J417" s="39">
        <v>45387</v>
      </c>
      <c r="K417" s="24" t="s">
        <v>35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>SUM(O417:Q417)</f>
        <v>25</v>
      </c>
      <c r="S417" s="24">
        <v>16</v>
      </c>
      <c r="T417" s="21" t="s">
        <v>1743</v>
      </c>
    </row>
    <row r="418" spans="1:20" ht="23.25" hidden="1" customHeight="1" x14ac:dyDescent="0.25">
      <c r="A418" s="20" t="s">
        <v>1744</v>
      </c>
      <c r="B418" s="22">
        <v>2024</v>
      </c>
      <c r="C418" s="90" t="s">
        <v>21</v>
      </c>
      <c r="D418" s="22" t="s">
        <v>1745</v>
      </c>
      <c r="E418" s="27" t="s">
        <v>1746</v>
      </c>
      <c r="F418" s="29" t="s">
        <v>23</v>
      </c>
      <c r="G418" s="20" t="s">
        <v>24</v>
      </c>
      <c r="H418" s="36" t="s">
        <v>1747</v>
      </c>
      <c r="I418" s="37">
        <v>45384</v>
      </c>
      <c r="J418" s="37">
        <v>45435</v>
      </c>
      <c r="K418" s="22" t="s">
        <v>26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>SUM(O418:Q418)</f>
        <v>13</v>
      </c>
      <c r="S418" s="22">
        <v>19</v>
      </c>
      <c r="T418" s="20" t="s">
        <v>1748</v>
      </c>
    </row>
    <row r="419" spans="1:20" ht="23.25" hidden="1" customHeight="1" x14ac:dyDescent="0.25">
      <c r="A419" s="21" t="s">
        <v>1749</v>
      </c>
      <c r="B419" s="24">
        <v>2024</v>
      </c>
      <c r="C419" s="90" t="s">
        <v>21</v>
      </c>
      <c r="D419" s="24" t="s">
        <v>1727</v>
      </c>
      <c r="E419" s="30" t="s">
        <v>1750</v>
      </c>
      <c r="F419" s="31" t="s">
        <v>23</v>
      </c>
      <c r="G419" s="21" t="s">
        <v>1729</v>
      </c>
      <c r="H419" s="38" t="s">
        <v>1751</v>
      </c>
      <c r="I419" s="39">
        <v>45387</v>
      </c>
      <c r="J419" s="39">
        <v>45408</v>
      </c>
      <c r="K419" s="24" t="s">
        <v>26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>SUM(O419:Q419)</f>
        <v>49</v>
      </c>
      <c r="S419" s="24">
        <v>16</v>
      </c>
      <c r="T419" s="21" t="s">
        <v>1752</v>
      </c>
    </row>
    <row r="420" spans="1:20" ht="23.25" hidden="1" customHeight="1" x14ac:dyDescent="0.25">
      <c r="A420" s="20" t="s">
        <v>1753</v>
      </c>
      <c r="B420" s="22">
        <v>2024</v>
      </c>
      <c r="C420" s="90" t="s">
        <v>21</v>
      </c>
      <c r="D420" s="22" t="s">
        <v>1754</v>
      </c>
      <c r="E420" s="27" t="s">
        <v>1755</v>
      </c>
      <c r="F420" s="29" t="s">
        <v>23</v>
      </c>
      <c r="G420" s="20" t="s">
        <v>199</v>
      </c>
      <c r="H420" s="36" t="s">
        <v>1756</v>
      </c>
      <c r="I420" s="37">
        <v>45387</v>
      </c>
      <c r="J420" s="37">
        <v>45387</v>
      </c>
      <c r="K420" s="22" t="s">
        <v>35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>SUM(O420:Q420)</f>
        <v>128</v>
      </c>
      <c r="S420" s="22">
        <v>4</v>
      </c>
      <c r="T420" s="20" t="s">
        <v>1757</v>
      </c>
    </row>
    <row r="421" spans="1:20" ht="23.25" hidden="1" customHeight="1" x14ac:dyDescent="0.25">
      <c r="A421" s="21" t="s">
        <v>1758</v>
      </c>
      <c r="B421" s="24">
        <v>2024</v>
      </c>
      <c r="C421" s="90" t="s">
        <v>21</v>
      </c>
      <c r="D421" s="24" t="s">
        <v>1696</v>
      </c>
      <c r="E421" s="257" t="s">
        <v>1759</v>
      </c>
      <c r="F421" s="31" t="s">
        <v>62</v>
      </c>
      <c r="G421" s="21" t="s">
        <v>72</v>
      </c>
      <c r="H421" s="38" t="s">
        <v>1760</v>
      </c>
      <c r="I421" s="39">
        <v>45390</v>
      </c>
      <c r="J421" s="39">
        <v>45394</v>
      </c>
      <c r="K421" s="24" t="s">
        <v>35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>SUM(O421:Q421)</f>
        <v>21</v>
      </c>
      <c r="S421" s="24">
        <v>20</v>
      </c>
      <c r="T421" s="21" t="s">
        <v>74</v>
      </c>
    </row>
    <row r="422" spans="1:20" ht="23.25" hidden="1" customHeight="1" x14ac:dyDescent="0.25">
      <c r="A422" s="20" t="s">
        <v>1761</v>
      </c>
      <c r="B422" s="22">
        <v>2024</v>
      </c>
      <c r="C422" s="90" t="s">
        <v>21</v>
      </c>
      <c r="D422" s="22" t="s">
        <v>1762</v>
      </c>
      <c r="E422" s="27" t="s">
        <v>1763</v>
      </c>
      <c r="F422" s="29" t="s">
        <v>23</v>
      </c>
      <c r="G422" s="20" t="s">
        <v>38</v>
      </c>
      <c r="H422" s="36" t="s">
        <v>1764</v>
      </c>
      <c r="I422" s="37">
        <v>45390</v>
      </c>
      <c r="J422" s="37">
        <v>45415</v>
      </c>
      <c r="K422" s="22" t="s">
        <v>35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>SUM(O422:Q422)</f>
        <v>8</v>
      </c>
      <c r="S422" s="22">
        <v>16</v>
      </c>
      <c r="T422" s="20" t="s">
        <v>1765</v>
      </c>
    </row>
    <row r="423" spans="1:20" ht="23.25" hidden="1" customHeight="1" x14ac:dyDescent="0.25">
      <c r="A423" s="21" t="s">
        <v>1766</v>
      </c>
      <c r="B423" s="24">
        <v>2024</v>
      </c>
      <c r="C423" s="90" t="s">
        <v>21</v>
      </c>
      <c r="D423" s="24" t="s">
        <v>1754</v>
      </c>
      <c r="E423" s="30" t="s">
        <v>1767</v>
      </c>
      <c r="F423" s="31" t="s">
        <v>23</v>
      </c>
      <c r="G423" s="21" t="s">
        <v>199</v>
      </c>
      <c r="H423" s="38" t="s">
        <v>1768</v>
      </c>
      <c r="I423" s="39">
        <v>45394</v>
      </c>
      <c r="J423" s="39">
        <v>45394</v>
      </c>
      <c r="K423" s="24" t="s">
        <v>35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>SUM(O423:Q423)</f>
        <v>93</v>
      </c>
      <c r="S423" s="24">
        <v>4</v>
      </c>
      <c r="T423" s="21" t="s">
        <v>1757</v>
      </c>
    </row>
    <row r="424" spans="1:20" ht="23.25" hidden="1" customHeight="1" x14ac:dyDescent="0.25">
      <c r="A424" s="20" t="s">
        <v>1769</v>
      </c>
      <c r="B424" s="22">
        <v>2024</v>
      </c>
      <c r="C424" s="90" t="s">
        <v>21</v>
      </c>
      <c r="D424" s="22" t="s">
        <v>1770</v>
      </c>
      <c r="E424" s="27" t="s">
        <v>1771</v>
      </c>
      <c r="F424" s="29" t="s">
        <v>23</v>
      </c>
      <c r="G424" s="20" t="s">
        <v>199</v>
      </c>
      <c r="H424" s="36" t="s">
        <v>1772</v>
      </c>
      <c r="I424" s="37">
        <v>45397</v>
      </c>
      <c r="J424" s="37">
        <v>45411</v>
      </c>
      <c r="K424" s="22" t="s">
        <v>26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>SUM(O424:Q424)</f>
        <v>6</v>
      </c>
      <c r="S424" s="22">
        <v>24</v>
      </c>
      <c r="T424" s="20" t="s">
        <v>1258</v>
      </c>
    </row>
    <row r="425" spans="1:20" ht="23.25" hidden="1" customHeight="1" x14ac:dyDescent="0.25">
      <c r="A425" s="21" t="s">
        <v>1773</v>
      </c>
      <c r="B425" s="24">
        <v>2024</v>
      </c>
      <c r="C425" s="90" t="s">
        <v>21</v>
      </c>
      <c r="D425" s="24"/>
      <c r="E425" s="30" t="s">
        <v>1774</v>
      </c>
      <c r="F425" s="31" t="s">
        <v>62</v>
      </c>
      <c r="G425" s="21" t="s">
        <v>72</v>
      </c>
      <c r="H425" s="38" t="s">
        <v>1775</v>
      </c>
      <c r="I425" s="39">
        <v>45414</v>
      </c>
      <c r="J425" s="39">
        <v>45414</v>
      </c>
      <c r="K425" s="24" t="s">
        <v>220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>SUM(O425:Q425)</f>
        <v>80</v>
      </c>
      <c r="S425" s="24">
        <v>4</v>
      </c>
      <c r="T425" s="21" t="s">
        <v>472</v>
      </c>
    </row>
    <row r="426" spans="1:20" ht="23.25" hidden="1" customHeight="1" x14ac:dyDescent="0.25">
      <c r="A426" s="20" t="s">
        <v>1776</v>
      </c>
      <c r="B426" s="22">
        <v>2024</v>
      </c>
      <c r="C426" s="90" t="s">
        <v>21</v>
      </c>
      <c r="D426" s="22" t="s">
        <v>1777</v>
      </c>
      <c r="E426" s="27" t="s">
        <v>1778</v>
      </c>
      <c r="F426" s="29" t="s">
        <v>23</v>
      </c>
      <c r="G426" s="20" t="s">
        <v>457</v>
      </c>
      <c r="H426" s="36" t="s">
        <v>1779</v>
      </c>
      <c r="I426" s="37">
        <v>45415</v>
      </c>
      <c r="J426" s="37">
        <v>45415</v>
      </c>
      <c r="K426" s="22" t="s">
        <v>26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>SUM(O426:Q426)</f>
        <v>8</v>
      </c>
      <c r="S426" s="22">
        <v>4</v>
      </c>
      <c r="T426" s="20" t="s">
        <v>1780</v>
      </c>
    </row>
    <row r="427" spans="1:20" ht="23.25" hidden="1" customHeight="1" x14ac:dyDescent="0.25">
      <c r="A427" s="21" t="s">
        <v>1781</v>
      </c>
      <c r="B427" s="24">
        <v>2024</v>
      </c>
      <c r="C427" s="90" t="s">
        <v>21</v>
      </c>
      <c r="D427" s="24" t="s">
        <v>1782</v>
      </c>
      <c r="E427" s="30" t="s">
        <v>1783</v>
      </c>
      <c r="F427" s="31" t="s">
        <v>23</v>
      </c>
      <c r="G427" s="21" t="s">
        <v>38</v>
      </c>
      <c r="H427" s="38" t="s">
        <v>1784</v>
      </c>
      <c r="I427" s="39">
        <v>45418</v>
      </c>
      <c r="J427" s="39">
        <v>45421</v>
      </c>
      <c r="K427" s="24" t="s">
        <v>35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>SUM(O427:Q427)</f>
        <v>10</v>
      </c>
      <c r="S427" s="24">
        <v>16</v>
      </c>
      <c r="T427" s="21" t="s">
        <v>1785</v>
      </c>
    </row>
    <row r="428" spans="1:20" ht="23.25" hidden="1" customHeight="1" x14ac:dyDescent="0.25">
      <c r="A428" s="20" t="s">
        <v>1786</v>
      </c>
      <c r="B428" s="22">
        <v>2024</v>
      </c>
      <c r="C428" s="90" t="s">
        <v>21</v>
      </c>
      <c r="D428" s="22" t="s">
        <v>1787</v>
      </c>
      <c r="E428" s="27" t="s">
        <v>1788</v>
      </c>
      <c r="F428" s="29" t="s">
        <v>81</v>
      </c>
      <c r="G428" s="20" t="s">
        <v>72</v>
      </c>
      <c r="H428" s="36" t="s">
        <v>1789</v>
      </c>
      <c r="I428" s="37">
        <v>45420</v>
      </c>
      <c r="J428" s="37">
        <v>45422</v>
      </c>
      <c r="K428" s="22" t="s">
        <v>26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>SUM(O428:Q428)</f>
        <v>80</v>
      </c>
      <c r="S428" s="22">
        <v>4</v>
      </c>
      <c r="T428" s="20" t="s">
        <v>1367</v>
      </c>
    </row>
    <row r="429" spans="1:20" ht="23.25" hidden="1" customHeight="1" x14ac:dyDescent="0.25">
      <c r="A429" s="21" t="s">
        <v>1790</v>
      </c>
      <c r="B429" s="24">
        <v>2024</v>
      </c>
      <c r="C429" s="90" t="s">
        <v>21</v>
      </c>
      <c r="D429" s="24" t="s">
        <v>1787</v>
      </c>
      <c r="E429" s="30" t="s">
        <v>1791</v>
      </c>
      <c r="F429" s="31" t="s">
        <v>81</v>
      </c>
      <c r="G429" s="21" t="s">
        <v>72</v>
      </c>
      <c r="H429" s="38" t="s">
        <v>1789</v>
      </c>
      <c r="I429" s="39">
        <v>45420</v>
      </c>
      <c r="J429" s="39">
        <v>45422</v>
      </c>
      <c r="K429" s="24" t="s">
        <v>26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>SUM(O429:Q429)</f>
        <v>80</v>
      </c>
      <c r="S429" s="24">
        <v>4</v>
      </c>
      <c r="T429" s="21" t="s">
        <v>1367</v>
      </c>
    </row>
    <row r="430" spans="1:20" ht="23.25" hidden="1" customHeight="1" x14ac:dyDescent="0.25">
      <c r="A430" s="20" t="s">
        <v>1792</v>
      </c>
      <c r="B430" s="22">
        <v>2024</v>
      </c>
      <c r="C430" s="90" t="s">
        <v>21</v>
      </c>
      <c r="D430" s="22" t="s">
        <v>1787</v>
      </c>
      <c r="E430" s="27" t="s">
        <v>1793</v>
      </c>
      <c r="F430" s="29" t="s">
        <v>81</v>
      </c>
      <c r="G430" s="20" t="s">
        <v>72</v>
      </c>
      <c r="H430" s="36" t="s">
        <v>1789</v>
      </c>
      <c r="I430" s="37">
        <v>45420</v>
      </c>
      <c r="J430" s="37">
        <v>45422</v>
      </c>
      <c r="K430" s="22" t="s">
        <v>26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>SUM(O430:Q430)</f>
        <v>80</v>
      </c>
      <c r="S430" s="22">
        <v>4</v>
      </c>
      <c r="T430" s="20" t="s">
        <v>1367</v>
      </c>
    </row>
    <row r="431" spans="1:20" ht="23.25" hidden="1" customHeight="1" x14ac:dyDescent="0.25">
      <c r="A431" s="21" t="s">
        <v>1794</v>
      </c>
      <c r="B431" s="24">
        <v>2024</v>
      </c>
      <c r="C431" s="90" t="s">
        <v>21</v>
      </c>
      <c r="D431" s="24" t="s">
        <v>1787</v>
      </c>
      <c r="E431" s="30" t="s">
        <v>1795</v>
      </c>
      <c r="F431" s="31" t="s">
        <v>81</v>
      </c>
      <c r="G431" s="21" t="s">
        <v>72</v>
      </c>
      <c r="H431" s="38" t="s">
        <v>1789</v>
      </c>
      <c r="I431" s="39">
        <v>45420</v>
      </c>
      <c r="J431" s="39">
        <v>45422</v>
      </c>
      <c r="K431" s="24" t="s">
        <v>26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>SUM(O431:Q431)</f>
        <v>80</v>
      </c>
      <c r="S431" s="24">
        <v>4</v>
      </c>
      <c r="T431" s="21" t="s">
        <v>1367</v>
      </c>
    </row>
    <row r="432" spans="1:20" ht="23.25" hidden="1" customHeight="1" x14ac:dyDescent="0.25">
      <c r="A432" s="20" t="s">
        <v>1796</v>
      </c>
      <c r="B432" s="22">
        <v>2024</v>
      </c>
      <c r="C432" s="90" t="s">
        <v>21</v>
      </c>
      <c r="D432" s="22" t="s">
        <v>1787</v>
      </c>
      <c r="E432" s="27" t="s">
        <v>1797</v>
      </c>
      <c r="F432" s="29" t="s">
        <v>81</v>
      </c>
      <c r="G432" s="20" t="s">
        <v>72</v>
      </c>
      <c r="H432" s="36" t="s">
        <v>1789</v>
      </c>
      <c r="I432" s="37">
        <v>45420</v>
      </c>
      <c r="J432" s="37">
        <v>45422</v>
      </c>
      <c r="K432" s="22" t="s">
        <v>26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>SUM(O432:Q432)</f>
        <v>80</v>
      </c>
      <c r="S432" s="22">
        <v>4</v>
      </c>
      <c r="T432" s="20" t="s">
        <v>1367</v>
      </c>
    </row>
    <row r="433" spans="1:20" ht="23.25" hidden="1" customHeight="1" x14ac:dyDescent="0.25">
      <c r="A433" s="21" t="s">
        <v>1798</v>
      </c>
      <c r="B433" s="24">
        <v>2024</v>
      </c>
      <c r="C433" s="90" t="s">
        <v>21</v>
      </c>
      <c r="D433" s="24" t="s">
        <v>1777</v>
      </c>
      <c r="E433" s="30" t="s">
        <v>1799</v>
      </c>
      <c r="F433" s="31" t="s">
        <v>23</v>
      </c>
      <c r="G433" s="21" t="s">
        <v>457</v>
      </c>
      <c r="H433" s="38" t="s">
        <v>1800</v>
      </c>
      <c r="I433" s="39">
        <v>45422</v>
      </c>
      <c r="J433" s="39">
        <v>45422</v>
      </c>
      <c r="K433" s="24" t="s">
        <v>26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>SUM(O433:Q433)</f>
        <v>33</v>
      </c>
      <c r="S433" s="24">
        <v>4</v>
      </c>
      <c r="T433" s="21" t="s">
        <v>1780</v>
      </c>
    </row>
    <row r="434" spans="1:20" ht="23.25" hidden="1" customHeight="1" x14ac:dyDescent="0.25">
      <c r="A434" s="20" t="s">
        <v>1801</v>
      </c>
      <c r="B434" s="22">
        <v>2024</v>
      </c>
      <c r="C434" s="90" t="s">
        <v>21</v>
      </c>
      <c r="D434" s="22" t="s">
        <v>1710</v>
      </c>
      <c r="E434" s="27" t="s">
        <v>1802</v>
      </c>
      <c r="F434" s="29" t="s">
        <v>23</v>
      </c>
      <c r="G434" s="20" t="s">
        <v>199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>SUM(O434:Q434)</f>
        <v>0</v>
      </c>
      <c r="S434" s="22"/>
      <c r="T434" s="20"/>
    </row>
    <row r="435" spans="1:20" ht="23.25" hidden="1" customHeight="1" x14ac:dyDescent="0.25">
      <c r="A435" s="21" t="s">
        <v>1803</v>
      </c>
      <c r="B435" s="24">
        <v>2024</v>
      </c>
      <c r="C435" s="90" t="s">
        <v>21</v>
      </c>
      <c r="D435" s="24" t="s">
        <v>1718</v>
      </c>
      <c r="E435" s="30" t="s">
        <v>1804</v>
      </c>
      <c r="F435" s="31" t="s">
        <v>81</v>
      </c>
      <c r="G435" s="21" t="s">
        <v>72</v>
      </c>
      <c r="H435" s="38" t="s">
        <v>1805</v>
      </c>
      <c r="I435" s="39">
        <v>45425</v>
      </c>
      <c r="J435" s="39">
        <v>45429</v>
      </c>
      <c r="K435" s="24" t="s">
        <v>35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>SUM(O435:Q435)</f>
        <v>62</v>
      </c>
      <c r="S435" s="24">
        <v>20</v>
      </c>
      <c r="T435" s="21" t="s">
        <v>418</v>
      </c>
    </row>
    <row r="436" spans="1:20" ht="23.25" hidden="1" customHeight="1" x14ac:dyDescent="0.25">
      <c r="A436" s="20" t="s">
        <v>1806</v>
      </c>
      <c r="B436" s="22">
        <v>2024</v>
      </c>
      <c r="C436" s="90" t="s">
        <v>21</v>
      </c>
      <c r="D436" s="22" t="s">
        <v>1807</v>
      </c>
      <c r="E436" s="27" t="s">
        <v>1808</v>
      </c>
      <c r="F436" s="29" t="s">
        <v>23</v>
      </c>
      <c r="G436" s="20" t="s">
        <v>38</v>
      </c>
      <c r="H436" s="36" t="s">
        <v>1809</v>
      </c>
      <c r="I436" s="37">
        <v>45426</v>
      </c>
      <c r="J436" s="37">
        <v>45426</v>
      </c>
      <c r="K436" s="22" t="s">
        <v>220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>SUM(O436:Q436)</f>
        <v>42</v>
      </c>
      <c r="S436" s="22">
        <v>4</v>
      </c>
      <c r="T436" s="20" t="s">
        <v>1810</v>
      </c>
    </row>
    <row r="437" spans="1:20" ht="23.25" hidden="1" customHeight="1" x14ac:dyDescent="0.25">
      <c r="A437" s="21" t="s">
        <v>1811</v>
      </c>
      <c r="B437" s="24">
        <v>2024</v>
      </c>
      <c r="C437" s="90" t="s">
        <v>21</v>
      </c>
      <c r="D437" s="24" t="s">
        <v>1807</v>
      </c>
      <c r="E437" s="30" t="s">
        <v>1812</v>
      </c>
      <c r="F437" s="31" t="s">
        <v>23</v>
      </c>
      <c r="G437" s="21" t="s">
        <v>38</v>
      </c>
      <c r="H437" s="38" t="s">
        <v>1813</v>
      </c>
      <c r="I437" s="39">
        <v>45427</v>
      </c>
      <c r="J437" s="39">
        <v>45427</v>
      </c>
      <c r="K437" s="24" t="s">
        <v>220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>SUM(O437:Q437)</f>
        <v>6</v>
      </c>
      <c r="S437" s="24">
        <v>4</v>
      </c>
      <c r="T437" s="21" t="s">
        <v>1810</v>
      </c>
    </row>
    <row r="438" spans="1:20" ht="23.25" hidden="1" customHeight="1" x14ac:dyDescent="0.25">
      <c r="A438" s="20" t="s">
        <v>1814</v>
      </c>
      <c r="B438" s="22">
        <v>2024</v>
      </c>
      <c r="C438" s="90" t="s">
        <v>21</v>
      </c>
      <c r="D438" s="22" t="s">
        <v>1807</v>
      </c>
      <c r="E438" s="27" t="s">
        <v>1815</v>
      </c>
      <c r="F438" s="29" t="s">
        <v>23</v>
      </c>
      <c r="G438" s="20" t="s">
        <v>38</v>
      </c>
      <c r="H438" s="36" t="s">
        <v>1816</v>
      </c>
      <c r="I438" s="37">
        <v>45428</v>
      </c>
      <c r="J438" s="37">
        <v>45428</v>
      </c>
      <c r="K438" s="22" t="s">
        <v>220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>SUM(O438:Q438)</f>
        <v>49</v>
      </c>
      <c r="S438" s="22">
        <v>4</v>
      </c>
      <c r="T438" s="20" t="s">
        <v>1810</v>
      </c>
    </row>
    <row r="439" spans="1:20" ht="23.25" hidden="1" customHeight="1" x14ac:dyDescent="0.25">
      <c r="A439" s="21" t="s">
        <v>1817</v>
      </c>
      <c r="B439" s="24">
        <v>2024</v>
      </c>
      <c r="C439" s="90" t="s">
        <v>21</v>
      </c>
      <c r="D439" s="24" t="s">
        <v>1807</v>
      </c>
      <c r="E439" s="30" t="s">
        <v>1815</v>
      </c>
      <c r="F439" s="31" t="s">
        <v>23</v>
      </c>
      <c r="G439" s="21" t="s">
        <v>38</v>
      </c>
      <c r="H439" s="38" t="s">
        <v>1818</v>
      </c>
      <c r="I439" s="39">
        <v>45429</v>
      </c>
      <c r="J439" s="39">
        <v>45429</v>
      </c>
      <c r="K439" s="24" t="s">
        <v>220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>SUM(O439:Q439)</f>
        <v>20</v>
      </c>
      <c r="S439" s="24">
        <v>4</v>
      </c>
      <c r="T439" s="21" t="s">
        <v>1810</v>
      </c>
    </row>
    <row r="440" spans="1:20" ht="23.25" hidden="1" customHeight="1" x14ac:dyDescent="0.25">
      <c r="A440" s="20" t="s">
        <v>1819</v>
      </c>
      <c r="B440" s="22">
        <v>2024</v>
      </c>
      <c r="C440" s="90" t="s">
        <v>21</v>
      </c>
      <c r="D440" s="22" t="s">
        <v>1820</v>
      </c>
      <c r="E440" s="27" t="s">
        <v>1821</v>
      </c>
      <c r="F440" s="29" t="s">
        <v>81</v>
      </c>
      <c r="G440" s="20" t="s">
        <v>72</v>
      </c>
      <c r="H440" s="36" t="s">
        <v>1822</v>
      </c>
      <c r="I440" s="37">
        <v>45432</v>
      </c>
      <c r="J440" s="37">
        <v>45436</v>
      </c>
      <c r="K440" s="22" t="s">
        <v>35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>SUM(O440:Q440)</f>
        <v>28</v>
      </c>
      <c r="S440" s="22">
        <v>12</v>
      </c>
      <c r="T440" s="20" t="s">
        <v>549</v>
      </c>
    </row>
    <row r="441" spans="1:20" ht="23.25" hidden="1" customHeight="1" x14ac:dyDescent="0.25">
      <c r="A441" s="21" t="s">
        <v>1823</v>
      </c>
      <c r="B441" s="24">
        <v>2024</v>
      </c>
      <c r="C441" s="90" t="s">
        <v>21</v>
      </c>
      <c r="D441" s="24" t="s">
        <v>1824</v>
      </c>
      <c r="E441" s="30" t="s">
        <v>1825</v>
      </c>
      <c r="F441" s="31" t="s">
        <v>23</v>
      </c>
      <c r="G441" s="21" t="s">
        <v>199</v>
      </c>
      <c r="H441" s="38" t="s">
        <v>1826</v>
      </c>
      <c r="I441" s="39">
        <v>45439</v>
      </c>
      <c r="J441" s="39">
        <v>45446</v>
      </c>
      <c r="K441" s="24" t="s">
        <v>26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>SUM(O441:Q441)</f>
        <v>17</v>
      </c>
      <c r="S441" s="24">
        <v>20</v>
      </c>
      <c r="T441" s="21" t="s">
        <v>796</v>
      </c>
    </row>
    <row r="442" spans="1:20" ht="23.25" hidden="1" customHeight="1" x14ac:dyDescent="0.25">
      <c r="A442" s="20" t="s">
        <v>1827</v>
      </c>
      <c r="B442" s="22">
        <v>2024</v>
      </c>
      <c r="C442" s="90" t="s">
        <v>21</v>
      </c>
      <c r="D442" s="22" t="s">
        <v>1828</v>
      </c>
      <c r="E442" s="27" t="s">
        <v>1829</v>
      </c>
      <c r="F442" s="29" t="s">
        <v>23</v>
      </c>
      <c r="G442" s="20" t="s">
        <v>33</v>
      </c>
      <c r="H442" s="36" t="s">
        <v>1830</v>
      </c>
      <c r="I442" s="37">
        <v>45440</v>
      </c>
      <c r="J442" s="37">
        <v>45456</v>
      </c>
      <c r="K442" s="22" t="s">
        <v>35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>SUM(O442:Q442)</f>
        <v>17</v>
      </c>
      <c r="S442" s="22">
        <v>20</v>
      </c>
      <c r="T442" s="20" t="s">
        <v>1831</v>
      </c>
    </row>
    <row r="443" spans="1:20" ht="23.25" hidden="1" customHeight="1" x14ac:dyDescent="0.25">
      <c r="A443" s="21" t="s">
        <v>1832</v>
      </c>
      <c r="B443" s="24">
        <v>2024</v>
      </c>
      <c r="C443" s="90" t="s">
        <v>21</v>
      </c>
      <c r="D443" s="24" t="s">
        <v>1833</v>
      </c>
      <c r="E443" s="30" t="s">
        <v>1834</v>
      </c>
      <c r="F443" s="31" t="s">
        <v>62</v>
      </c>
      <c r="G443" s="21" t="s">
        <v>72</v>
      </c>
      <c r="H443" s="38" t="s">
        <v>1835</v>
      </c>
      <c r="I443" s="39">
        <v>45446</v>
      </c>
      <c r="J443" s="39">
        <v>45456</v>
      </c>
      <c r="K443" s="24" t="s">
        <v>35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>SUM(O443:Q443)</f>
        <v>24</v>
      </c>
      <c r="S443" s="24">
        <v>20</v>
      </c>
      <c r="T443" s="21" t="s">
        <v>951</v>
      </c>
    </row>
    <row r="444" spans="1:20" ht="23.25" hidden="1" customHeight="1" x14ac:dyDescent="0.25">
      <c r="A444" s="20" t="s">
        <v>1836</v>
      </c>
      <c r="B444" s="22">
        <v>2024</v>
      </c>
      <c r="C444" s="90" t="s">
        <v>21</v>
      </c>
      <c r="D444" s="22" t="s">
        <v>1837</v>
      </c>
      <c r="E444" s="27" t="s">
        <v>1838</v>
      </c>
      <c r="F444" s="29" t="s">
        <v>23</v>
      </c>
      <c r="G444" s="20" t="s">
        <v>199</v>
      </c>
      <c r="H444" s="36" t="s">
        <v>1839</v>
      </c>
      <c r="I444" s="37">
        <v>45447</v>
      </c>
      <c r="J444" s="37">
        <v>45456</v>
      </c>
      <c r="K444" s="22" t="s">
        <v>26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>SUM(O444:Q444)</f>
        <v>16</v>
      </c>
      <c r="S444" s="22">
        <v>8</v>
      </c>
      <c r="T444" s="20" t="s">
        <v>1060</v>
      </c>
    </row>
    <row r="445" spans="1:20" ht="23.25" hidden="1" customHeight="1" x14ac:dyDescent="0.25">
      <c r="A445" s="21" t="s">
        <v>1840</v>
      </c>
      <c r="B445" s="24">
        <v>2024</v>
      </c>
      <c r="C445" s="90" t="s">
        <v>21</v>
      </c>
      <c r="D445" s="24" t="s">
        <v>1841</v>
      </c>
      <c r="E445" s="30" t="s">
        <v>1842</v>
      </c>
      <c r="F445" s="31" t="s">
        <v>81</v>
      </c>
      <c r="G445" s="21" t="s">
        <v>72</v>
      </c>
      <c r="H445" s="38" t="s">
        <v>1843</v>
      </c>
      <c r="I445" s="39">
        <v>45456</v>
      </c>
      <c r="J445" s="39">
        <v>45457</v>
      </c>
      <c r="K445" s="24" t="s">
        <v>220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>SUM(O445:Q445)</f>
        <v>155</v>
      </c>
      <c r="S445" s="24">
        <v>8</v>
      </c>
      <c r="T445" s="21" t="s">
        <v>472</v>
      </c>
    </row>
    <row r="446" spans="1:20" ht="23.25" hidden="1" customHeight="1" x14ac:dyDescent="0.25">
      <c r="A446" s="20" t="s">
        <v>1844</v>
      </c>
      <c r="B446" s="22">
        <v>2024</v>
      </c>
      <c r="C446" s="90" t="s">
        <v>21</v>
      </c>
      <c r="D446" s="22" t="s">
        <v>1777</v>
      </c>
      <c r="E446" s="27" t="s">
        <v>1845</v>
      </c>
      <c r="F446" s="29" t="s">
        <v>23</v>
      </c>
      <c r="G446" s="20" t="s">
        <v>457</v>
      </c>
      <c r="H446" s="36" t="s">
        <v>1846</v>
      </c>
      <c r="I446" s="37">
        <v>45457</v>
      </c>
      <c r="J446" s="37">
        <v>45457</v>
      </c>
      <c r="K446" s="22" t="s">
        <v>26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>SUM(O446:Q446)</f>
        <v>8</v>
      </c>
      <c r="S446" s="22">
        <v>4</v>
      </c>
      <c r="T446" s="20" t="s">
        <v>1780</v>
      </c>
    </row>
    <row r="447" spans="1:20" ht="23.25" hidden="1" customHeight="1" x14ac:dyDescent="0.25">
      <c r="A447" s="21" t="s">
        <v>1847</v>
      </c>
      <c r="B447" s="24">
        <v>2024</v>
      </c>
      <c r="C447" s="90" t="s">
        <v>21</v>
      </c>
      <c r="D447" s="24" t="s">
        <v>1848</v>
      </c>
      <c r="E447" s="30" t="s">
        <v>1849</v>
      </c>
      <c r="F447" s="31" t="s">
        <v>62</v>
      </c>
      <c r="G447" s="21" t="s">
        <v>24</v>
      </c>
      <c r="H447" s="38" t="s">
        <v>1850</v>
      </c>
      <c r="I447" s="39">
        <v>45460</v>
      </c>
      <c r="J447" s="39">
        <v>45463</v>
      </c>
      <c r="K447" s="24" t="s">
        <v>35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>SUM(O447:Q447)</f>
        <v>10</v>
      </c>
      <c r="S447" s="24">
        <v>16</v>
      </c>
      <c r="T447" s="21" t="s">
        <v>1743</v>
      </c>
    </row>
    <row r="448" spans="1:20" ht="23.25" hidden="1" customHeight="1" x14ac:dyDescent="0.25">
      <c r="A448" s="20" t="s">
        <v>1851</v>
      </c>
      <c r="B448" s="22">
        <v>2024</v>
      </c>
      <c r="C448" s="90" t="s">
        <v>21</v>
      </c>
      <c r="D448" s="22" t="s">
        <v>1782</v>
      </c>
      <c r="E448" s="27" t="s">
        <v>1852</v>
      </c>
      <c r="F448" s="29" t="s">
        <v>23</v>
      </c>
      <c r="G448" s="20" t="s">
        <v>38</v>
      </c>
      <c r="H448" s="36" t="s">
        <v>1850</v>
      </c>
      <c r="I448" s="37">
        <v>45460</v>
      </c>
      <c r="J448" s="37">
        <v>45463</v>
      </c>
      <c r="K448" s="22" t="s">
        <v>35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>SUM(O448:Q448)</f>
        <v>15</v>
      </c>
      <c r="S448" s="22">
        <v>16</v>
      </c>
      <c r="T448" s="20" t="s">
        <v>1785</v>
      </c>
    </row>
    <row r="449" spans="1:20" ht="23.25" hidden="1" customHeight="1" x14ac:dyDescent="0.25">
      <c r="A449" s="21" t="s">
        <v>1853</v>
      </c>
      <c r="B449" s="24">
        <v>2024</v>
      </c>
      <c r="C449" s="90" t="s">
        <v>21</v>
      </c>
      <c r="D449" s="24" t="s">
        <v>1854</v>
      </c>
      <c r="E449" s="30" t="s">
        <v>1855</v>
      </c>
      <c r="F449" s="31" t="s">
        <v>23</v>
      </c>
      <c r="G449" s="21" t="s">
        <v>364</v>
      </c>
      <c r="H449" s="38" t="s">
        <v>1856</v>
      </c>
      <c r="I449" s="39">
        <v>45461</v>
      </c>
      <c r="J449" s="39">
        <v>45464</v>
      </c>
      <c r="K449" s="24" t="s">
        <v>35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>SUM(O449:Q449)</f>
        <v>51</v>
      </c>
      <c r="S449" s="24">
        <v>16</v>
      </c>
      <c r="T449" s="21" t="s">
        <v>472</v>
      </c>
    </row>
    <row r="450" spans="1:20" ht="23.25" hidden="1" customHeight="1" x14ac:dyDescent="0.25">
      <c r="A450" s="20" t="s">
        <v>1857</v>
      </c>
      <c r="B450" s="22">
        <v>2024</v>
      </c>
      <c r="C450" s="90" t="s">
        <v>21</v>
      </c>
      <c r="D450" s="22" t="s">
        <v>1745</v>
      </c>
      <c r="E450" s="27" t="s">
        <v>1858</v>
      </c>
      <c r="F450" s="29" t="s">
        <v>23</v>
      </c>
      <c r="G450" s="20" t="s">
        <v>24</v>
      </c>
      <c r="H450" s="36" t="s">
        <v>1859</v>
      </c>
      <c r="I450" s="37">
        <v>45461</v>
      </c>
      <c r="J450" s="37">
        <v>45469</v>
      </c>
      <c r="K450" s="22" t="s">
        <v>26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>SUM(O450:Q450)</f>
        <v>52</v>
      </c>
      <c r="S450" s="22">
        <v>16</v>
      </c>
      <c r="T450" s="20" t="s">
        <v>1748</v>
      </c>
    </row>
    <row r="451" spans="1:20" ht="23.25" hidden="1" customHeight="1" x14ac:dyDescent="0.25">
      <c r="A451" s="21" t="s">
        <v>1860</v>
      </c>
      <c r="B451" s="24">
        <v>2024</v>
      </c>
      <c r="C451" s="90" t="s">
        <v>21</v>
      </c>
      <c r="D451" s="24" t="s">
        <v>1777</v>
      </c>
      <c r="E451" s="30" t="s">
        <v>1861</v>
      </c>
      <c r="F451" s="31" t="s">
        <v>23</v>
      </c>
      <c r="G451" s="21" t="s">
        <v>457</v>
      </c>
      <c r="H451" s="38" t="s">
        <v>1862</v>
      </c>
      <c r="I451" s="39">
        <v>45464</v>
      </c>
      <c r="J451" s="39">
        <v>45464</v>
      </c>
      <c r="K451" s="24" t="s">
        <v>26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>SUM(O451:Q451)</f>
        <v>13</v>
      </c>
      <c r="S451" s="24">
        <v>4</v>
      </c>
      <c r="T451" s="21" t="s">
        <v>1780</v>
      </c>
    </row>
    <row r="452" spans="1:20" ht="23.25" hidden="1" customHeight="1" x14ac:dyDescent="0.25">
      <c r="A452" s="20" t="s">
        <v>1863</v>
      </c>
      <c r="B452" s="22">
        <v>2024</v>
      </c>
      <c r="C452" s="90" t="s">
        <v>21</v>
      </c>
      <c r="D452" s="22" t="s">
        <v>1864</v>
      </c>
      <c r="E452" s="27" t="s">
        <v>1865</v>
      </c>
      <c r="F452" s="29" t="s">
        <v>23</v>
      </c>
      <c r="G452" s="20" t="s">
        <v>457</v>
      </c>
      <c r="H452" s="36" t="s">
        <v>1866</v>
      </c>
      <c r="I452" s="37">
        <v>45467</v>
      </c>
      <c r="J452" s="37">
        <v>45467</v>
      </c>
      <c r="K452" s="22" t="s">
        <v>35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>SUM(O452:Q452)</f>
        <v>90</v>
      </c>
      <c r="S452" s="22">
        <v>3</v>
      </c>
      <c r="T452" s="20" t="s">
        <v>1716</v>
      </c>
    </row>
    <row r="453" spans="1:20" ht="23.25" hidden="1" customHeight="1" x14ac:dyDescent="0.25">
      <c r="A453" s="21" t="s">
        <v>1867</v>
      </c>
      <c r="B453" s="24">
        <v>2024</v>
      </c>
      <c r="C453" s="90" t="s">
        <v>21</v>
      </c>
      <c r="D453" s="24" t="s">
        <v>1745</v>
      </c>
      <c r="E453" s="30" t="s">
        <v>1868</v>
      </c>
      <c r="F453" s="31" t="s">
        <v>23</v>
      </c>
      <c r="G453" s="21" t="s">
        <v>24</v>
      </c>
      <c r="H453" s="38" t="s">
        <v>1869</v>
      </c>
      <c r="I453" s="39">
        <v>45470</v>
      </c>
      <c r="J453" s="39">
        <v>45470</v>
      </c>
      <c r="K453" s="24" t="s">
        <v>35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>SUM(O453:Q453)</f>
        <v>11</v>
      </c>
      <c r="S453" s="24">
        <v>2</v>
      </c>
      <c r="T453" s="21" t="s">
        <v>211</v>
      </c>
    </row>
    <row r="454" spans="1:20" ht="23.25" hidden="1" customHeight="1" x14ac:dyDescent="0.25">
      <c r="A454" s="20" t="s">
        <v>1870</v>
      </c>
      <c r="B454" s="22">
        <v>2024</v>
      </c>
      <c r="C454" s="90" t="s">
        <v>21</v>
      </c>
      <c r="D454" s="22" t="s">
        <v>1854</v>
      </c>
      <c r="E454" s="27" t="s">
        <v>1871</v>
      </c>
      <c r="F454" s="29" t="s">
        <v>23</v>
      </c>
      <c r="G454" s="20" t="s">
        <v>364</v>
      </c>
      <c r="H454" s="36" t="s">
        <v>1872</v>
      </c>
      <c r="I454" s="37">
        <v>45471</v>
      </c>
      <c r="J454" s="37">
        <v>45471</v>
      </c>
      <c r="K454" s="22" t="s">
        <v>35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>SUM(O454:Q454)</f>
        <v>50</v>
      </c>
      <c r="S454" s="22">
        <v>2</v>
      </c>
      <c r="T454" s="264" t="s">
        <v>1873</v>
      </c>
    </row>
    <row r="455" spans="1:20" ht="23.25" hidden="1" customHeight="1" x14ac:dyDescent="0.25">
      <c r="A455" s="21" t="s">
        <v>1874</v>
      </c>
      <c r="B455" s="24">
        <v>2024</v>
      </c>
      <c r="C455" s="90" t="s">
        <v>21</v>
      </c>
      <c r="D455" s="24" t="s">
        <v>1777</v>
      </c>
      <c r="E455" s="30" t="s">
        <v>1875</v>
      </c>
      <c r="F455" s="31" t="s">
        <v>23</v>
      </c>
      <c r="G455" s="21" t="s">
        <v>457</v>
      </c>
      <c r="H455" s="38" t="s">
        <v>1872</v>
      </c>
      <c r="I455" s="39">
        <v>45471</v>
      </c>
      <c r="J455" s="39">
        <v>45471</v>
      </c>
      <c r="K455" s="24" t="s">
        <v>26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>SUM(O455:Q455)</f>
        <v>8</v>
      </c>
      <c r="S455" s="24">
        <v>4</v>
      </c>
      <c r="T455" s="21" t="s">
        <v>1780</v>
      </c>
    </row>
    <row r="456" spans="1:20" ht="23.25" hidden="1" customHeight="1" x14ac:dyDescent="0.25">
      <c r="A456" s="20" t="s">
        <v>1876</v>
      </c>
      <c r="B456" s="22">
        <v>2024</v>
      </c>
      <c r="C456" s="90" t="s">
        <v>21</v>
      </c>
      <c r="D456" s="22"/>
      <c r="E456" s="27" t="s">
        <v>1877</v>
      </c>
      <c r="F456" s="29" t="s">
        <v>23</v>
      </c>
      <c r="G456" s="20" t="s">
        <v>199</v>
      </c>
      <c r="H456" s="57" t="s">
        <v>1872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>SUM(O456:Q456)</f>
        <v>0</v>
      </c>
      <c r="S456" s="22"/>
      <c r="T456" s="20"/>
    </row>
    <row r="457" spans="1:20" ht="23.25" hidden="1" customHeight="1" x14ac:dyDescent="0.25">
      <c r="A457" s="21" t="s">
        <v>1878</v>
      </c>
      <c r="B457" s="24">
        <v>2024</v>
      </c>
      <c r="C457" s="90" t="s">
        <v>21</v>
      </c>
      <c r="D457" s="24" t="s">
        <v>1879</v>
      </c>
      <c r="E457" s="30" t="s">
        <v>1880</v>
      </c>
      <c r="F457" s="31" t="s">
        <v>23</v>
      </c>
      <c r="G457" s="21" t="s">
        <v>38</v>
      </c>
      <c r="H457" s="38" t="s">
        <v>1881</v>
      </c>
      <c r="I457" s="39">
        <v>45474</v>
      </c>
      <c r="J457" s="39">
        <v>45478</v>
      </c>
      <c r="K457" s="24" t="s">
        <v>35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>SUM(O457:Q457)</f>
        <v>23</v>
      </c>
      <c r="S457" s="24">
        <v>20</v>
      </c>
      <c r="T457" s="21" t="s">
        <v>1785</v>
      </c>
    </row>
    <row r="458" spans="1:20" ht="23.25" hidden="1" customHeight="1" x14ac:dyDescent="0.25">
      <c r="A458" s="20" t="s">
        <v>1882</v>
      </c>
      <c r="B458" s="22">
        <v>2024</v>
      </c>
      <c r="C458" s="90" t="s">
        <v>21</v>
      </c>
      <c r="D458" s="22" t="s">
        <v>1883</v>
      </c>
      <c r="E458" s="27" t="s">
        <v>1884</v>
      </c>
      <c r="F458" s="29" t="s">
        <v>23</v>
      </c>
      <c r="G458" s="20" t="s">
        <v>364</v>
      </c>
      <c r="H458" s="36" t="s">
        <v>1885</v>
      </c>
      <c r="I458" s="37">
        <v>45474</v>
      </c>
      <c r="J458" s="37">
        <v>45492</v>
      </c>
      <c r="K458" s="22" t="s">
        <v>35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>SUM(O458:Q458)</f>
        <v>23</v>
      </c>
      <c r="S458" s="22">
        <v>76</v>
      </c>
      <c r="T458" s="20" t="s">
        <v>472</v>
      </c>
    </row>
    <row r="459" spans="1:20" ht="23.25" hidden="1" customHeight="1" x14ac:dyDescent="0.25">
      <c r="A459" s="21" t="s">
        <v>1886</v>
      </c>
      <c r="B459" s="24">
        <v>2024</v>
      </c>
      <c r="C459" s="90" t="s">
        <v>21</v>
      </c>
      <c r="D459" s="24" t="s">
        <v>1887</v>
      </c>
      <c r="E459" s="30" t="s">
        <v>1888</v>
      </c>
      <c r="F459" s="31" t="s">
        <v>62</v>
      </c>
      <c r="G459" s="21" t="s">
        <v>72</v>
      </c>
      <c r="H459" s="38" t="s">
        <v>1889</v>
      </c>
      <c r="I459" s="39">
        <v>45475</v>
      </c>
      <c r="J459" s="39">
        <v>45477</v>
      </c>
      <c r="K459" s="24" t="s">
        <v>35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>SUM(O459:Q459)</f>
        <v>89</v>
      </c>
      <c r="S459" s="24">
        <v>12</v>
      </c>
      <c r="T459" s="265" t="s">
        <v>1890</v>
      </c>
    </row>
    <row r="460" spans="1:20" ht="23.25" hidden="1" customHeight="1" x14ac:dyDescent="0.25">
      <c r="A460" s="20" t="s">
        <v>1891</v>
      </c>
      <c r="B460" s="22">
        <v>2024</v>
      </c>
      <c r="C460" s="90" t="s">
        <v>21</v>
      </c>
      <c r="D460" s="22" t="s">
        <v>1892</v>
      </c>
      <c r="E460" s="27" t="s">
        <v>1893</v>
      </c>
      <c r="F460" s="29" t="s">
        <v>23</v>
      </c>
      <c r="G460" s="20" t="s">
        <v>68</v>
      </c>
      <c r="H460" s="36" t="s">
        <v>1894</v>
      </c>
      <c r="I460" s="37">
        <v>45476</v>
      </c>
      <c r="J460" s="37">
        <v>45476</v>
      </c>
      <c r="K460" s="22" t="s">
        <v>26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>SUM(O460:Q460)</f>
        <v>22</v>
      </c>
      <c r="S460" s="22">
        <v>19</v>
      </c>
      <c r="T460" s="20" t="s">
        <v>746</v>
      </c>
    </row>
    <row r="461" spans="1:20" ht="23.25" hidden="1" customHeight="1" x14ac:dyDescent="0.25">
      <c r="A461" s="21" t="s">
        <v>1895</v>
      </c>
      <c r="B461" s="24">
        <v>2024</v>
      </c>
      <c r="C461" s="90" t="s">
        <v>21</v>
      </c>
      <c r="D461" s="24" t="s">
        <v>1777</v>
      </c>
      <c r="E461" s="30" t="s">
        <v>1896</v>
      </c>
      <c r="F461" s="31" t="s">
        <v>23</v>
      </c>
      <c r="G461" s="21" t="s">
        <v>457</v>
      </c>
      <c r="H461" s="263" t="s">
        <v>1897</v>
      </c>
      <c r="I461" s="39">
        <v>45478</v>
      </c>
      <c r="J461" s="39">
        <v>45478</v>
      </c>
      <c r="K461" s="24" t="s">
        <v>26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>SUM(O461:Q461)</f>
        <v>11</v>
      </c>
      <c r="S461" s="24">
        <v>4</v>
      </c>
      <c r="T461" s="21" t="s">
        <v>1780</v>
      </c>
    </row>
    <row r="462" spans="1:20" ht="23.25" hidden="1" customHeight="1" x14ac:dyDescent="0.25">
      <c r="A462" s="20" t="s">
        <v>1898</v>
      </c>
      <c r="B462" s="22">
        <v>2024</v>
      </c>
      <c r="C462" s="90" t="s">
        <v>21</v>
      </c>
      <c r="D462" s="22" t="s">
        <v>1899</v>
      </c>
      <c r="E462" s="27" t="s">
        <v>1900</v>
      </c>
      <c r="F462" s="29" t="s">
        <v>23</v>
      </c>
      <c r="G462" s="20" t="s">
        <v>38</v>
      </c>
      <c r="H462" s="262" t="s">
        <v>1901</v>
      </c>
      <c r="I462" s="37">
        <v>45495</v>
      </c>
      <c r="J462" s="37">
        <v>45498</v>
      </c>
      <c r="K462" s="22" t="s">
        <v>35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>SUM(O462:Q462)</f>
        <v>21</v>
      </c>
      <c r="S462" s="22">
        <v>12</v>
      </c>
      <c r="T462" s="20" t="s">
        <v>1902</v>
      </c>
    </row>
    <row r="463" spans="1:20" ht="23.25" hidden="1" customHeight="1" x14ac:dyDescent="0.25">
      <c r="A463" s="21" t="s">
        <v>1903</v>
      </c>
      <c r="B463" s="24">
        <v>2024</v>
      </c>
      <c r="C463" s="90" t="s">
        <v>21</v>
      </c>
      <c r="D463" s="24" t="s">
        <v>1904</v>
      </c>
      <c r="E463" s="30" t="s">
        <v>1905</v>
      </c>
      <c r="F463" s="31" t="s">
        <v>23</v>
      </c>
      <c r="G463" s="21" t="s">
        <v>24</v>
      </c>
      <c r="H463" s="38" t="s">
        <v>1906</v>
      </c>
      <c r="I463" s="39">
        <v>45497</v>
      </c>
      <c r="J463" s="39">
        <v>45501</v>
      </c>
      <c r="K463" s="24" t="s">
        <v>35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>SUM(O463:Q463)</f>
        <v>51</v>
      </c>
      <c r="S463" s="24">
        <v>16</v>
      </c>
      <c r="T463" s="265" t="s">
        <v>549</v>
      </c>
    </row>
    <row r="464" spans="1:20" ht="23.25" hidden="1" customHeight="1" x14ac:dyDescent="0.25">
      <c r="A464" s="20" t="s">
        <v>1907</v>
      </c>
      <c r="B464" s="22">
        <v>2024</v>
      </c>
      <c r="C464" s="90" t="s">
        <v>21</v>
      </c>
      <c r="D464" s="22" t="s">
        <v>1777</v>
      </c>
      <c r="E464" s="27" t="s">
        <v>1908</v>
      </c>
      <c r="F464" s="29" t="s">
        <v>23</v>
      </c>
      <c r="G464" s="20" t="s">
        <v>457</v>
      </c>
      <c r="H464" s="36" t="s">
        <v>1909</v>
      </c>
      <c r="I464" s="37">
        <v>45499</v>
      </c>
      <c r="J464" s="37">
        <v>45499</v>
      </c>
      <c r="K464" s="22" t="s">
        <v>26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>SUM(O464:Q464)</f>
        <v>7</v>
      </c>
      <c r="S464" s="22">
        <v>4</v>
      </c>
      <c r="T464" s="20" t="s">
        <v>1780</v>
      </c>
    </row>
    <row r="465" spans="1:20" ht="23.25" hidden="1" customHeight="1" x14ac:dyDescent="0.25">
      <c r="A465" s="21" t="s">
        <v>1910</v>
      </c>
      <c r="B465" s="24">
        <v>2024</v>
      </c>
      <c r="C465" s="90" t="s">
        <v>21</v>
      </c>
      <c r="D465" s="24" t="s">
        <v>1911</v>
      </c>
      <c r="E465" s="30" t="s">
        <v>1912</v>
      </c>
      <c r="F465" s="31" t="s">
        <v>23</v>
      </c>
      <c r="G465" s="21" t="s">
        <v>24</v>
      </c>
      <c r="H465" s="38" t="s">
        <v>1913</v>
      </c>
      <c r="I465" s="39">
        <v>45502</v>
      </c>
      <c r="J465" s="39">
        <v>45506</v>
      </c>
      <c r="K465" s="24" t="s">
        <v>35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>SUM(O465:Q465)</f>
        <v>22</v>
      </c>
      <c r="S465" s="24">
        <v>12</v>
      </c>
      <c r="T465" s="21" t="s">
        <v>1914</v>
      </c>
    </row>
    <row r="466" spans="1:20" ht="23.25" hidden="1" customHeight="1" x14ac:dyDescent="0.25">
      <c r="A466" s="20" t="s">
        <v>1915</v>
      </c>
      <c r="B466" s="22">
        <v>2024</v>
      </c>
      <c r="C466" s="90" t="s">
        <v>21</v>
      </c>
      <c r="D466" s="22" t="s">
        <v>1916</v>
      </c>
      <c r="E466" s="27" t="s">
        <v>1917</v>
      </c>
      <c r="F466" s="29" t="s">
        <v>81</v>
      </c>
      <c r="G466" s="20" t="s">
        <v>68</v>
      </c>
      <c r="H466" s="36" t="s">
        <v>1918</v>
      </c>
      <c r="I466" s="37">
        <v>45502</v>
      </c>
      <c r="J466" s="37">
        <v>45504</v>
      </c>
      <c r="K466" s="22" t="s">
        <v>220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>SUM(O466:Q466)</f>
        <v>213</v>
      </c>
      <c r="S466" s="22">
        <v>24</v>
      </c>
      <c r="T466" s="20" t="s">
        <v>472</v>
      </c>
    </row>
    <row r="467" spans="1:20" ht="23.25" hidden="1" customHeight="1" x14ac:dyDescent="0.25">
      <c r="A467" s="21" t="s">
        <v>1919</v>
      </c>
      <c r="B467" s="24">
        <v>2024</v>
      </c>
      <c r="C467" s="90" t="s">
        <v>21</v>
      </c>
      <c r="D467" s="24" t="s">
        <v>1916</v>
      </c>
      <c r="E467" s="30" t="s">
        <v>1920</v>
      </c>
      <c r="F467" s="85" t="s">
        <v>23</v>
      </c>
      <c r="G467" s="21" t="s">
        <v>68</v>
      </c>
      <c r="H467" s="38" t="s">
        <v>1921</v>
      </c>
      <c r="I467" s="39">
        <v>45504</v>
      </c>
      <c r="J467" s="39">
        <v>45505</v>
      </c>
      <c r="K467" s="24" t="s">
        <v>26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>SUM(O467:Q467)</f>
        <v>92</v>
      </c>
      <c r="S467" s="24">
        <v>8</v>
      </c>
      <c r="T467" s="21" t="s">
        <v>472</v>
      </c>
    </row>
    <row r="468" spans="1:20" ht="23.25" hidden="1" customHeight="1" x14ac:dyDescent="0.25">
      <c r="A468" s="20" t="s">
        <v>1922</v>
      </c>
      <c r="B468" s="22">
        <v>2024</v>
      </c>
      <c r="C468" s="90" t="s">
        <v>21</v>
      </c>
      <c r="D468" s="22" t="s">
        <v>1923</v>
      </c>
      <c r="E468" s="27" t="s">
        <v>1924</v>
      </c>
      <c r="F468" s="29" t="s">
        <v>23</v>
      </c>
      <c r="G468" s="20" t="s">
        <v>38</v>
      </c>
      <c r="H468" s="36" t="s">
        <v>1925</v>
      </c>
      <c r="I468" s="37">
        <v>45510</v>
      </c>
      <c r="J468" s="37">
        <v>45512</v>
      </c>
      <c r="K468" s="22" t="s">
        <v>35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>SUM(O468:Q468)</f>
        <v>18</v>
      </c>
      <c r="S468" s="22">
        <v>4</v>
      </c>
      <c r="T468" s="20" t="s">
        <v>1926</v>
      </c>
    </row>
    <row r="469" spans="1:20" ht="23.25" hidden="1" customHeight="1" x14ac:dyDescent="0.25">
      <c r="A469" s="21" t="s">
        <v>1927</v>
      </c>
      <c r="B469" s="24">
        <v>2024</v>
      </c>
      <c r="C469" s="90" t="s">
        <v>21</v>
      </c>
      <c r="D469" s="24" t="s">
        <v>1777</v>
      </c>
      <c r="E469" s="30" t="s">
        <v>1928</v>
      </c>
      <c r="F469" s="31" t="s">
        <v>23</v>
      </c>
      <c r="G469" s="21" t="s">
        <v>457</v>
      </c>
      <c r="H469" s="38" t="s">
        <v>1929</v>
      </c>
      <c r="I469" s="39">
        <v>45513</v>
      </c>
      <c r="J469" s="39">
        <v>45513</v>
      </c>
      <c r="K469" s="24" t="s">
        <v>26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>SUM(O469:Q469)</f>
        <v>8</v>
      </c>
      <c r="S469" s="24">
        <v>4</v>
      </c>
      <c r="T469" s="21" t="s">
        <v>1780</v>
      </c>
    </row>
    <row r="470" spans="1:20" ht="23.25" hidden="1" customHeight="1" x14ac:dyDescent="0.25">
      <c r="A470" s="20" t="s">
        <v>1930</v>
      </c>
      <c r="B470" s="22">
        <v>2024</v>
      </c>
      <c r="C470" s="90" t="s">
        <v>21</v>
      </c>
      <c r="D470" s="22" t="s">
        <v>1777</v>
      </c>
      <c r="E470" s="27" t="s">
        <v>1931</v>
      </c>
      <c r="F470" s="29" t="s">
        <v>23</v>
      </c>
      <c r="G470" s="20" t="s">
        <v>457</v>
      </c>
      <c r="H470" s="36" t="s">
        <v>1932</v>
      </c>
      <c r="I470" s="37">
        <v>45513</v>
      </c>
      <c r="J470" s="37">
        <v>45513</v>
      </c>
      <c r="K470" s="22" t="s">
        <v>26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>SUM(O470:Q470)</f>
        <v>8</v>
      </c>
      <c r="S470" s="22">
        <v>4</v>
      </c>
      <c r="T470" s="20" t="s">
        <v>1780</v>
      </c>
    </row>
    <row r="471" spans="1:20" ht="23.25" hidden="1" customHeight="1" x14ac:dyDescent="0.25">
      <c r="A471" s="21" t="s">
        <v>1933</v>
      </c>
      <c r="B471" s="24">
        <v>2024</v>
      </c>
      <c r="C471" s="90" t="s">
        <v>21</v>
      </c>
      <c r="D471" s="24" t="s">
        <v>1934</v>
      </c>
      <c r="E471" s="30" t="s">
        <v>1935</v>
      </c>
      <c r="F471" s="31" t="s">
        <v>62</v>
      </c>
      <c r="G471" s="21" t="s">
        <v>72</v>
      </c>
      <c r="H471" s="38" t="s">
        <v>1936</v>
      </c>
      <c r="I471" s="39">
        <v>45519</v>
      </c>
      <c r="J471" s="39">
        <v>45520</v>
      </c>
      <c r="K471" s="24" t="s">
        <v>35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>SUM(O471:Q471)</f>
        <v>384</v>
      </c>
      <c r="S471" s="24">
        <v>8</v>
      </c>
      <c r="T471" s="21" t="s">
        <v>472</v>
      </c>
    </row>
    <row r="472" spans="1:20" ht="23.25" hidden="1" customHeight="1" x14ac:dyDescent="0.25">
      <c r="A472" s="20" t="s">
        <v>1937</v>
      </c>
      <c r="B472" s="22">
        <v>2024</v>
      </c>
      <c r="C472" s="90" t="s">
        <v>21</v>
      </c>
      <c r="D472" s="22" t="s">
        <v>1938</v>
      </c>
      <c r="E472" s="27" t="s">
        <v>1939</v>
      </c>
      <c r="F472" s="29" t="s">
        <v>62</v>
      </c>
      <c r="G472" s="20" t="s">
        <v>72</v>
      </c>
      <c r="H472" s="36" t="s">
        <v>1940</v>
      </c>
      <c r="I472" s="37">
        <v>45523</v>
      </c>
      <c r="J472" s="37">
        <v>45525</v>
      </c>
      <c r="K472" s="22" t="s">
        <v>35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>SUM(O472:Q472)</f>
        <v>24</v>
      </c>
      <c r="S472" s="22">
        <v>12</v>
      </c>
      <c r="T472" s="20" t="s">
        <v>1941</v>
      </c>
    </row>
    <row r="473" spans="1:20" ht="23.25" hidden="1" customHeight="1" x14ac:dyDescent="0.25">
      <c r="A473" s="21" t="s">
        <v>1942</v>
      </c>
      <c r="B473" s="24">
        <v>2024</v>
      </c>
      <c r="C473" s="90" t="s">
        <v>21</v>
      </c>
      <c r="D473" s="24" t="s">
        <v>1943</v>
      </c>
      <c r="E473" s="30" t="s">
        <v>1944</v>
      </c>
      <c r="F473" s="31" t="s">
        <v>62</v>
      </c>
      <c r="G473" s="21" t="s">
        <v>72</v>
      </c>
      <c r="H473" s="38" t="s">
        <v>1945</v>
      </c>
      <c r="I473" s="39">
        <v>45524</v>
      </c>
      <c r="J473" s="39">
        <v>45534</v>
      </c>
      <c r="K473" s="24" t="s">
        <v>220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>SUM(O473:Q473)</f>
        <v>35</v>
      </c>
      <c r="S473" s="24">
        <v>20</v>
      </c>
      <c r="T473" s="21" t="s">
        <v>1946</v>
      </c>
    </row>
    <row r="474" spans="1:20" ht="23.25" hidden="1" customHeight="1" x14ac:dyDescent="0.25">
      <c r="A474" s="20" t="s">
        <v>1947</v>
      </c>
      <c r="B474" s="22">
        <v>2024</v>
      </c>
      <c r="C474" s="90" t="s">
        <v>21</v>
      </c>
      <c r="D474" s="22" t="s">
        <v>1948</v>
      </c>
      <c r="E474" s="27" t="s">
        <v>1949</v>
      </c>
      <c r="F474" s="29" t="s">
        <v>62</v>
      </c>
      <c r="G474" s="20" t="s">
        <v>72</v>
      </c>
      <c r="H474" s="36" t="s">
        <v>1950</v>
      </c>
      <c r="I474" s="37">
        <v>45524</v>
      </c>
      <c r="J474" s="37">
        <v>45524</v>
      </c>
      <c r="K474" s="22" t="s">
        <v>35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>SUM(O474:Q474)</f>
        <v>53</v>
      </c>
      <c r="S474" s="22">
        <v>4</v>
      </c>
      <c r="T474" s="20" t="s">
        <v>1951</v>
      </c>
    </row>
    <row r="475" spans="1:20" ht="23.25" hidden="1" customHeight="1" x14ac:dyDescent="0.25">
      <c r="A475" s="21" t="s">
        <v>1952</v>
      </c>
      <c r="B475" s="24">
        <v>2024</v>
      </c>
      <c r="C475" s="90" t="s">
        <v>21</v>
      </c>
      <c r="D475" s="24" t="s">
        <v>1953</v>
      </c>
      <c r="E475" s="30" t="s">
        <v>1954</v>
      </c>
      <c r="F475" s="31" t="s">
        <v>23</v>
      </c>
      <c r="G475" s="21" t="s">
        <v>38</v>
      </c>
      <c r="H475" s="38" t="s">
        <v>1955</v>
      </c>
      <c r="I475" s="39">
        <v>45524</v>
      </c>
      <c r="J475" s="39">
        <v>45525</v>
      </c>
      <c r="K475" s="24" t="s">
        <v>35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>SUM(O475:Q475)</f>
        <v>12</v>
      </c>
      <c r="S475" s="24">
        <v>8</v>
      </c>
      <c r="T475" s="21" t="s">
        <v>1956</v>
      </c>
    </row>
    <row r="476" spans="1:20" ht="23.25" hidden="1" customHeight="1" x14ac:dyDescent="0.25">
      <c r="A476" s="20" t="s">
        <v>1957</v>
      </c>
      <c r="B476" s="22">
        <v>2024</v>
      </c>
      <c r="C476" s="90" t="s">
        <v>21</v>
      </c>
      <c r="D476" s="22" t="s">
        <v>1958</v>
      </c>
      <c r="E476" s="27" t="s">
        <v>1959</v>
      </c>
      <c r="F476" s="29" t="s">
        <v>62</v>
      </c>
      <c r="G476" s="20" t="s">
        <v>72</v>
      </c>
      <c r="H476" s="36" t="s">
        <v>1960</v>
      </c>
      <c r="I476" s="37">
        <v>45525</v>
      </c>
      <c r="J476" s="37">
        <v>45525</v>
      </c>
      <c r="K476" s="22" t="s">
        <v>35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>SUM(O476:Q476)</f>
        <v>60</v>
      </c>
      <c r="S476" s="22">
        <v>4</v>
      </c>
      <c r="T476" s="20" t="s">
        <v>1961</v>
      </c>
    </row>
    <row r="477" spans="1:20" ht="23.25" hidden="1" customHeight="1" x14ac:dyDescent="0.25">
      <c r="A477" s="21" t="s">
        <v>1962</v>
      </c>
      <c r="B477" s="24">
        <v>2024</v>
      </c>
      <c r="C477" s="90" t="s">
        <v>21</v>
      </c>
      <c r="D477" s="24" t="s">
        <v>1963</v>
      </c>
      <c r="E477" s="30" t="s">
        <v>1964</v>
      </c>
      <c r="F477" s="31" t="s">
        <v>62</v>
      </c>
      <c r="G477" s="21" t="s">
        <v>72</v>
      </c>
      <c r="H477" s="38" t="s">
        <v>1965</v>
      </c>
      <c r="I477" s="39">
        <v>45526</v>
      </c>
      <c r="J477" s="39">
        <v>45526</v>
      </c>
      <c r="K477" s="24" t="s">
        <v>35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>SUM(O477:Q477)</f>
        <v>14</v>
      </c>
      <c r="S477" s="24">
        <v>4</v>
      </c>
      <c r="T477" s="21" t="s">
        <v>1055</v>
      </c>
    </row>
    <row r="478" spans="1:20" ht="23.25" hidden="1" customHeight="1" x14ac:dyDescent="0.25">
      <c r="A478" s="20" t="s">
        <v>1966</v>
      </c>
      <c r="B478" s="22">
        <v>2024</v>
      </c>
      <c r="C478" s="90" t="s">
        <v>21</v>
      </c>
      <c r="D478" s="22" t="s">
        <v>1967</v>
      </c>
      <c r="E478" s="27" t="s">
        <v>1968</v>
      </c>
      <c r="F478" s="29" t="s">
        <v>23</v>
      </c>
      <c r="G478" s="20" t="s">
        <v>24</v>
      </c>
      <c r="H478" s="36" t="s">
        <v>1969</v>
      </c>
      <c r="I478" s="37">
        <v>45530</v>
      </c>
      <c r="J478" s="37">
        <v>45533</v>
      </c>
      <c r="K478" s="22" t="s">
        <v>35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>SUM(O478:Q478)</f>
        <v>20</v>
      </c>
      <c r="S478" s="22">
        <v>12</v>
      </c>
      <c r="T478" s="20" t="s">
        <v>1914</v>
      </c>
    </row>
    <row r="479" spans="1:20" ht="23.25" hidden="1" customHeight="1" x14ac:dyDescent="0.25">
      <c r="A479" s="21" t="s">
        <v>1970</v>
      </c>
      <c r="B479" s="24">
        <v>2024</v>
      </c>
      <c r="C479" s="90" t="s">
        <v>21</v>
      </c>
      <c r="D479" s="24" t="s">
        <v>1971</v>
      </c>
      <c r="E479" s="30" t="s">
        <v>1972</v>
      </c>
      <c r="F479" s="31" t="s">
        <v>81</v>
      </c>
      <c r="G479" s="21" t="s">
        <v>72</v>
      </c>
      <c r="H479" s="38" t="s">
        <v>1973</v>
      </c>
      <c r="I479" s="39">
        <v>45530</v>
      </c>
      <c r="J479" s="39">
        <v>45534</v>
      </c>
      <c r="K479" s="24" t="s">
        <v>35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>SUM(O479:Q479)</f>
        <v>56</v>
      </c>
      <c r="S479" s="24">
        <v>20</v>
      </c>
      <c r="T479" s="21" t="s">
        <v>1974</v>
      </c>
    </row>
    <row r="480" spans="1:20" ht="23.25" hidden="1" customHeight="1" x14ac:dyDescent="0.25">
      <c r="A480" s="20" t="s">
        <v>1975</v>
      </c>
      <c r="B480" s="22">
        <v>2024</v>
      </c>
      <c r="C480" s="90" t="s">
        <v>21</v>
      </c>
      <c r="D480" s="22" t="s">
        <v>1976</v>
      </c>
      <c r="E480" s="27" t="s">
        <v>1977</v>
      </c>
      <c r="F480" s="29" t="s">
        <v>62</v>
      </c>
      <c r="G480" s="20" t="s">
        <v>72</v>
      </c>
      <c r="H480" s="36" t="s">
        <v>1978</v>
      </c>
      <c r="I480" s="37">
        <v>45537</v>
      </c>
      <c r="J480" s="37">
        <v>45539</v>
      </c>
      <c r="K480" s="22" t="s">
        <v>35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>SUM(O480:Q480)</f>
        <v>38</v>
      </c>
      <c r="S480" s="22">
        <v>12</v>
      </c>
      <c r="T480" s="20" t="s">
        <v>1055</v>
      </c>
    </row>
    <row r="481" spans="1:20" ht="23.25" hidden="1" customHeight="1" x14ac:dyDescent="0.25">
      <c r="A481" s="21" t="s">
        <v>1979</v>
      </c>
      <c r="B481" s="24">
        <v>2024</v>
      </c>
      <c r="C481" s="90" t="s">
        <v>21</v>
      </c>
      <c r="D481" s="24" t="s">
        <v>1782</v>
      </c>
      <c r="E481" s="30" t="s">
        <v>1980</v>
      </c>
      <c r="F481" s="31" t="s">
        <v>23</v>
      </c>
      <c r="G481" s="21" t="s">
        <v>38</v>
      </c>
      <c r="H481" s="38" t="s">
        <v>1981</v>
      </c>
      <c r="I481" s="39">
        <v>45537</v>
      </c>
      <c r="J481" s="39">
        <v>45540</v>
      </c>
      <c r="K481" s="24" t="s">
        <v>35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>SUM(O481:Q481)</f>
        <v>13</v>
      </c>
      <c r="S481" s="24">
        <v>16</v>
      </c>
      <c r="T481" s="21" t="s">
        <v>1982</v>
      </c>
    </row>
    <row r="482" spans="1:20" ht="23.25" hidden="1" customHeight="1" x14ac:dyDescent="0.25">
      <c r="A482" s="20" t="s">
        <v>1983</v>
      </c>
      <c r="B482" s="22">
        <v>2024</v>
      </c>
      <c r="C482" s="90" t="s">
        <v>21</v>
      </c>
      <c r="D482" s="22" t="s">
        <v>1984</v>
      </c>
      <c r="E482" s="27" t="s">
        <v>1985</v>
      </c>
      <c r="F482" s="29" t="s">
        <v>23</v>
      </c>
      <c r="G482" s="20" t="s">
        <v>38</v>
      </c>
      <c r="H482" s="36" t="s">
        <v>1986</v>
      </c>
      <c r="I482" s="37">
        <v>45545</v>
      </c>
      <c r="J482" s="37">
        <v>45547</v>
      </c>
      <c r="K482" s="22" t="s">
        <v>26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>SUM(O482:Q482)</f>
        <v>24</v>
      </c>
      <c r="S482" s="22">
        <v>18</v>
      </c>
      <c r="T482" s="20" t="s">
        <v>1987</v>
      </c>
    </row>
    <row r="483" spans="1:20" ht="23.25" hidden="1" customHeight="1" x14ac:dyDescent="0.25">
      <c r="A483" s="21" t="s">
        <v>1988</v>
      </c>
      <c r="B483" s="24">
        <v>2024</v>
      </c>
      <c r="C483" s="90" t="s">
        <v>21</v>
      </c>
      <c r="D483" s="24" t="s">
        <v>1713</v>
      </c>
      <c r="E483" s="30" t="s">
        <v>1714</v>
      </c>
      <c r="F483" s="31" t="s">
        <v>23</v>
      </c>
      <c r="G483" s="21" t="s">
        <v>199</v>
      </c>
      <c r="H483" s="38" t="s">
        <v>1989</v>
      </c>
      <c r="I483" s="39">
        <v>45545</v>
      </c>
      <c r="J483" s="39">
        <v>45554</v>
      </c>
      <c r="K483" s="24" t="s">
        <v>35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>SUM(O483:Q483)</f>
        <v>19</v>
      </c>
      <c r="S483" s="24">
        <v>16</v>
      </c>
      <c r="T483" s="21" t="s">
        <v>1716</v>
      </c>
    </row>
    <row r="484" spans="1:20" ht="23.25" hidden="1" customHeight="1" x14ac:dyDescent="0.25">
      <c r="A484" s="20" t="s">
        <v>1990</v>
      </c>
      <c r="B484" s="22">
        <v>2024</v>
      </c>
      <c r="C484" s="90" t="s">
        <v>21</v>
      </c>
      <c r="D484" s="22" t="s">
        <v>1963</v>
      </c>
      <c r="E484" s="27" t="s">
        <v>1991</v>
      </c>
      <c r="F484" s="29" t="s">
        <v>62</v>
      </c>
      <c r="G484" s="20" t="s">
        <v>72</v>
      </c>
      <c r="H484" s="36" t="s">
        <v>1992</v>
      </c>
      <c r="I484" s="37">
        <v>45547</v>
      </c>
      <c r="J484" s="37">
        <v>45547</v>
      </c>
      <c r="K484" s="22" t="s">
        <v>35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>SUM(O484:Q484)</f>
        <v>10</v>
      </c>
      <c r="S484" s="22">
        <v>4</v>
      </c>
      <c r="T484" s="20" t="s">
        <v>1055</v>
      </c>
    </row>
    <row r="485" spans="1:20" ht="23.25" hidden="1" customHeight="1" x14ac:dyDescent="0.25">
      <c r="A485" s="21" t="s">
        <v>1993</v>
      </c>
      <c r="B485" s="24">
        <v>2024</v>
      </c>
      <c r="C485" s="90" t="s">
        <v>21</v>
      </c>
      <c r="D485" s="24" t="s">
        <v>1777</v>
      </c>
      <c r="E485" s="30" t="s">
        <v>1994</v>
      </c>
      <c r="F485" s="31" t="s">
        <v>23</v>
      </c>
      <c r="G485" s="21" t="s">
        <v>457</v>
      </c>
      <c r="H485" s="38" t="s">
        <v>1995</v>
      </c>
      <c r="I485" s="39">
        <v>45548</v>
      </c>
      <c r="J485" s="39">
        <v>45548</v>
      </c>
      <c r="K485" s="24" t="s">
        <v>26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>SUM(O485:Q485)</f>
        <v>5</v>
      </c>
      <c r="S485" s="24">
        <v>4</v>
      </c>
      <c r="T485" s="21" t="s">
        <v>1780</v>
      </c>
    </row>
    <row r="486" spans="1:20" ht="23.25" hidden="1" customHeight="1" x14ac:dyDescent="0.25">
      <c r="A486" s="20" t="s">
        <v>1996</v>
      </c>
      <c r="B486" s="22">
        <v>2024</v>
      </c>
      <c r="C486" s="90" t="s">
        <v>21</v>
      </c>
      <c r="D486" s="22" t="s">
        <v>1770</v>
      </c>
      <c r="E486" s="27" t="s">
        <v>1771</v>
      </c>
      <c r="F486" s="29" t="s">
        <v>23</v>
      </c>
      <c r="G486" s="20" t="s">
        <v>199</v>
      </c>
      <c r="H486" s="36" t="s">
        <v>1997</v>
      </c>
      <c r="I486" s="37">
        <v>45551</v>
      </c>
      <c r="J486" s="37">
        <v>45562</v>
      </c>
      <c r="K486" s="22" t="s">
        <v>26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>SUM(O486:Q486)</f>
        <v>21</v>
      </c>
      <c r="S486" s="22">
        <v>24</v>
      </c>
      <c r="T486" s="20" t="s">
        <v>1258</v>
      </c>
    </row>
    <row r="487" spans="1:20" ht="23.25" hidden="1" customHeight="1" x14ac:dyDescent="0.25">
      <c r="A487" s="21" t="s">
        <v>1998</v>
      </c>
      <c r="B487" s="24">
        <v>2024</v>
      </c>
      <c r="C487" s="90" t="s">
        <v>21</v>
      </c>
      <c r="D487" s="24" t="s">
        <v>1999</v>
      </c>
      <c r="E487" s="30" t="s">
        <v>2000</v>
      </c>
      <c r="F487" s="31" t="s">
        <v>23</v>
      </c>
      <c r="G487" s="21" t="s">
        <v>33</v>
      </c>
      <c r="H487" s="38" t="s">
        <v>2001</v>
      </c>
      <c r="I487" s="39">
        <v>45551</v>
      </c>
      <c r="J487" s="39">
        <v>45555</v>
      </c>
      <c r="K487" s="24" t="s">
        <v>35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>SUM(O487:Q487)</f>
        <v>19</v>
      </c>
      <c r="S487" s="24">
        <v>20</v>
      </c>
      <c r="T487" s="21" t="s">
        <v>211</v>
      </c>
    </row>
    <row r="488" spans="1:20" ht="23.25" hidden="1" customHeight="1" x14ac:dyDescent="0.25">
      <c r="A488" s="20" t="s">
        <v>2002</v>
      </c>
      <c r="B488" s="22">
        <v>2024</v>
      </c>
      <c r="C488" s="90" t="s">
        <v>21</v>
      </c>
      <c r="D488" s="22" t="s">
        <v>1777</v>
      </c>
      <c r="E488" s="27" t="s">
        <v>2003</v>
      </c>
      <c r="F488" s="29" t="s">
        <v>23</v>
      </c>
      <c r="G488" s="20" t="s">
        <v>457</v>
      </c>
      <c r="H488" s="36" t="s">
        <v>2004</v>
      </c>
      <c r="I488" s="37">
        <v>45555</v>
      </c>
      <c r="J488" s="37">
        <v>45555</v>
      </c>
      <c r="K488" s="22" t="s">
        <v>26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>SUM(O488:Q488)</f>
        <v>7</v>
      </c>
      <c r="S488" s="22">
        <v>4</v>
      </c>
      <c r="T488" s="20" t="s">
        <v>1780</v>
      </c>
    </row>
    <row r="489" spans="1:20" ht="23.25" hidden="1" customHeight="1" x14ac:dyDescent="0.25">
      <c r="A489" s="21" t="s">
        <v>2005</v>
      </c>
      <c r="B489" s="261">
        <v>2024</v>
      </c>
      <c r="C489" s="91" t="s">
        <v>21</v>
      </c>
      <c r="D489" s="64" t="s">
        <v>1696</v>
      </c>
      <c r="E489" s="58" t="s">
        <v>2006</v>
      </c>
      <c r="F489" s="31" t="s">
        <v>62</v>
      </c>
      <c r="G489" s="45" t="s">
        <v>72</v>
      </c>
      <c r="H489" s="59" t="s">
        <v>2007</v>
      </c>
      <c r="I489" s="60">
        <v>45558</v>
      </c>
      <c r="J489" s="60">
        <v>45562</v>
      </c>
      <c r="K489" s="24" t="s">
        <v>35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>SUM(O489:Q489)</f>
        <v>19</v>
      </c>
      <c r="S489" s="64">
        <v>20</v>
      </c>
      <c r="T489" s="45" t="s">
        <v>74</v>
      </c>
    </row>
    <row r="490" spans="1:20" ht="23.25" hidden="1" customHeight="1" x14ac:dyDescent="0.25">
      <c r="A490" s="20" t="s">
        <v>2008</v>
      </c>
      <c r="B490" s="22">
        <v>2024</v>
      </c>
      <c r="C490" s="91" t="s">
        <v>21</v>
      </c>
      <c r="D490" s="70" t="s">
        <v>1971</v>
      </c>
      <c r="E490" s="65" t="s">
        <v>2009</v>
      </c>
      <c r="F490" s="66" t="s">
        <v>81</v>
      </c>
      <c r="G490" s="67" t="s">
        <v>72</v>
      </c>
      <c r="H490" s="68" t="s">
        <v>2007</v>
      </c>
      <c r="I490" s="69">
        <v>45558</v>
      </c>
      <c r="J490" s="69">
        <v>45562</v>
      </c>
      <c r="K490" s="70" t="s">
        <v>35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>SUM(O490:Q490)</f>
        <v>61</v>
      </c>
      <c r="S490" s="70">
        <v>20</v>
      </c>
      <c r="T490" s="67" t="s">
        <v>1974</v>
      </c>
    </row>
    <row r="491" spans="1:20" ht="23.25" hidden="1" customHeight="1" x14ac:dyDescent="0.25">
      <c r="A491" s="21" t="s">
        <v>2010</v>
      </c>
      <c r="B491" s="24">
        <v>2024</v>
      </c>
      <c r="C491" s="91" t="s">
        <v>21</v>
      </c>
      <c r="D491" s="64" t="s">
        <v>2011</v>
      </c>
      <c r="E491" s="58" t="s">
        <v>2012</v>
      </c>
      <c r="F491" s="74" t="s">
        <v>23</v>
      </c>
      <c r="G491" s="45" t="s">
        <v>68</v>
      </c>
      <c r="H491" s="59" t="s">
        <v>2013</v>
      </c>
      <c r="I491" s="60">
        <v>45559</v>
      </c>
      <c r="J491" s="60">
        <v>45559</v>
      </c>
      <c r="K491" s="64" t="s">
        <v>35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>SUM(O491:Q491)</f>
        <v>32</v>
      </c>
      <c r="S491" s="64">
        <v>8</v>
      </c>
      <c r="T491" s="45" t="s">
        <v>2014</v>
      </c>
    </row>
    <row r="492" spans="1:20" ht="23.25" hidden="1" customHeight="1" x14ac:dyDescent="0.25">
      <c r="A492" s="20" t="s">
        <v>2015</v>
      </c>
      <c r="B492" s="22">
        <v>2024</v>
      </c>
      <c r="C492" s="91" t="s">
        <v>21</v>
      </c>
      <c r="D492" s="70" t="s">
        <v>2016</v>
      </c>
      <c r="E492" s="65" t="s">
        <v>2017</v>
      </c>
      <c r="F492" s="66" t="s">
        <v>62</v>
      </c>
      <c r="G492" s="67" t="s">
        <v>72</v>
      </c>
      <c r="H492" s="68" t="s">
        <v>2018</v>
      </c>
      <c r="I492" s="69">
        <v>45566</v>
      </c>
      <c r="J492" s="69">
        <v>45575</v>
      </c>
      <c r="K492" s="70" t="s">
        <v>35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>SUM(O492:Q492)</f>
        <v>43</v>
      </c>
      <c r="S492" s="70">
        <v>20</v>
      </c>
      <c r="T492" s="67" t="s">
        <v>2019</v>
      </c>
    </row>
    <row r="493" spans="1:20" ht="23.25" hidden="1" customHeight="1" x14ac:dyDescent="0.25">
      <c r="A493" s="21" t="s">
        <v>2020</v>
      </c>
      <c r="B493" s="24">
        <v>2024</v>
      </c>
      <c r="C493" s="91" t="s">
        <v>21</v>
      </c>
      <c r="D493" s="64" t="s">
        <v>2021</v>
      </c>
      <c r="E493" s="58" t="s">
        <v>2022</v>
      </c>
      <c r="F493" s="74" t="s">
        <v>23</v>
      </c>
      <c r="G493" s="45" t="s">
        <v>364</v>
      </c>
      <c r="H493" s="59" t="s">
        <v>2023</v>
      </c>
      <c r="I493" s="60">
        <v>45569</v>
      </c>
      <c r="J493" s="60">
        <v>45572</v>
      </c>
      <c r="K493" s="64" t="s">
        <v>35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>SUM(O493:Q493)</f>
        <v>8</v>
      </c>
      <c r="S493" s="64">
        <v>8</v>
      </c>
      <c r="T493" s="45" t="s">
        <v>472</v>
      </c>
    </row>
    <row r="494" spans="1:20" ht="23.25" hidden="1" customHeight="1" x14ac:dyDescent="0.25">
      <c r="A494" s="20" t="s">
        <v>2024</v>
      </c>
      <c r="B494" s="22">
        <v>2024</v>
      </c>
      <c r="C494" s="91" t="s">
        <v>21</v>
      </c>
      <c r="D494" s="70" t="s">
        <v>2025</v>
      </c>
      <c r="E494" s="65" t="s">
        <v>2026</v>
      </c>
      <c r="F494" s="66" t="s">
        <v>23</v>
      </c>
      <c r="G494" s="67" t="s">
        <v>199</v>
      </c>
      <c r="H494" s="68" t="s">
        <v>2027</v>
      </c>
      <c r="I494" s="69">
        <v>45569</v>
      </c>
      <c r="J494" s="69">
        <v>45569</v>
      </c>
      <c r="K494" s="70" t="s">
        <v>26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>SUM(O494:Q494)</f>
        <v>80</v>
      </c>
      <c r="S494" s="70">
        <v>2</v>
      </c>
      <c r="T494" s="67" t="s">
        <v>2028</v>
      </c>
    </row>
    <row r="495" spans="1:20" ht="23.25" hidden="1" customHeight="1" x14ac:dyDescent="0.25">
      <c r="A495" s="21" t="s">
        <v>2029</v>
      </c>
      <c r="B495" s="24">
        <v>2024</v>
      </c>
      <c r="C495" s="91" t="s">
        <v>21</v>
      </c>
      <c r="D495" s="64" t="s">
        <v>2030</v>
      </c>
      <c r="E495" s="58" t="s">
        <v>2031</v>
      </c>
      <c r="F495" s="74" t="s">
        <v>23</v>
      </c>
      <c r="G495" s="45" t="s">
        <v>199</v>
      </c>
      <c r="H495" s="59" t="s">
        <v>2032</v>
      </c>
      <c r="I495" s="60">
        <v>45572</v>
      </c>
      <c r="J495" s="60">
        <v>45590</v>
      </c>
      <c r="K495" s="24" t="s">
        <v>26</v>
      </c>
      <c r="L495" s="26"/>
      <c r="M495" s="88"/>
      <c r="N495" s="62"/>
      <c r="O495" s="63"/>
      <c r="P495" s="63">
        <v>0</v>
      </c>
      <c r="Q495" s="63">
        <v>0</v>
      </c>
      <c r="R495" s="25">
        <f>SUM(O495:Q495)</f>
        <v>0</v>
      </c>
      <c r="S495" s="24"/>
      <c r="T495" s="265"/>
    </row>
    <row r="496" spans="1:20" ht="23.25" hidden="1" customHeight="1" x14ac:dyDescent="0.25">
      <c r="A496" s="20" t="s">
        <v>2033</v>
      </c>
      <c r="B496" s="22">
        <v>2024</v>
      </c>
      <c r="C496" s="91" t="s">
        <v>21</v>
      </c>
      <c r="D496" s="70" t="s">
        <v>2034</v>
      </c>
      <c r="E496" s="65" t="s">
        <v>2035</v>
      </c>
      <c r="F496" s="66" t="s">
        <v>23</v>
      </c>
      <c r="G496" s="67" t="s">
        <v>199</v>
      </c>
      <c r="H496" s="68" t="s">
        <v>2036</v>
      </c>
      <c r="I496" s="69">
        <v>45572</v>
      </c>
      <c r="J496" s="69">
        <v>45572</v>
      </c>
      <c r="K496" s="70" t="s">
        <v>26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>SUM(O496:Q496)</f>
        <v>170</v>
      </c>
      <c r="S496" s="70">
        <v>1</v>
      </c>
      <c r="T496" s="67" t="s">
        <v>2037</v>
      </c>
    </row>
    <row r="497" spans="1:20" ht="23.25" hidden="1" customHeight="1" x14ac:dyDescent="0.25">
      <c r="A497" s="21" t="s">
        <v>2038</v>
      </c>
      <c r="B497" s="24">
        <v>2024</v>
      </c>
      <c r="C497" s="90" t="s">
        <v>21</v>
      </c>
      <c r="D497" s="64" t="s">
        <v>1923</v>
      </c>
      <c r="E497" s="58" t="s">
        <v>2039</v>
      </c>
      <c r="F497" s="74" t="s">
        <v>62</v>
      </c>
      <c r="G497" s="45" t="s">
        <v>72</v>
      </c>
      <c r="H497" s="59" t="s">
        <v>2040</v>
      </c>
      <c r="I497" s="60">
        <v>45573</v>
      </c>
      <c r="J497" s="60">
        <v>45575</v>
      </c>
      <c r="K497" s="64" t="s">
        <v>35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>SUM(O497:Q497)</f>
        <v>31</v>
      </c>
      <c r="S497" s="64">
        <v>4</v>
      </c>
      <c r="T497" s="45" t="s">
        <v>1926</v>
      </c>
    </row>
    <row r="498" spans="1:20" ht="23.25" hidden="1" customHeight="1" x14ac:dyDescent="0.25">
      <c r="A498" s="20" t="s">
        <v>2041</v>
      </c>
      <c r="B498" s="22">
        <v>2024</v>
      </c>
      <c r="C498" s="90" t="s">
        <v>21</v>
      </c>
      <c r="D498" s="70" t="s">
        <v>1782</v>
      </c>
      <c r="E498" s="65" t="s">
        <v>2042</v>
      </c>
      <c r="F498" s="66" t="s">
        <v>23</v>
      </c>
      <c r="G498" s="67" t="s">
        <v>38</v>
      </c>
      <c r="H498" s="68" t="s">
        <v>2043</v>
      </c>
      <c r="I498" s="69">
        <v>45573</v>
      </c>
      <c r="J498" s="69">
        <v>45576</v>
      </c>
      <c r="K498" s="70" t="s">
        <v>35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>SUM(O498:Q498)</f>
        <v>11</v>
      </c>
      <c r="S498" s="70">
        <v>16</v>
      </c>
      <c r="T498" s="67" t="s">
        <v>1785</v>
      </c>
    </row>
    <row r="499" spans="1:20" ht="23.25" hidden="1" customHeight="1" x14ac:dyDescent="0.25">
      <c r="A499" s="21" t="s">
        <v>2044</v>
      </c>
      <c r="B499" s="24">
        <v>2024</v>
      </c>
      <c r="C499" s="90" t="s">
        <v>21</v>
      </c>
      <c r="D499" s="64" t="s">
        <v>2045</v>
      </c>
      <c r="E499" s="58" t="s">
        <v>2046</v>
      </c>
      <c r="F499" s="74" t="s">
        <v>81</v>
      </c>
      <c r="G499" s="45" t="s">
        <v>72</v>
      </c>
      <c r="H499" s="59" t="s">
        <v>2047</v>
      </c>
      <c r="I499" s="60">
        <v>45573</v>
      </c>
      <c r="J499" s="60">
        <v>45573</v>
      </c>
      <c r="K499" s="64" t="s">
        <v>35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>SUM(O499:Q499)</f>
        <v>45</v>
      </c>
      <c r="S499" s="64">
        <v>1</v>
      </c>
      <c r="T499" s="45" t="s">
        <v>2048</v>
      </c>
    </row>
    <row r="500" spans="1:20" ht="23.25" hidden="1" customHeight="1" x14ac:dyDescent="0.25">
      <c r="A500" s="20" t="s">
        <v>2049</v>
      </c>
      <c r="B500" s="22">
        <v>2024</v>
      </c>
      <c r="C500" s="90" t="s">
        <v>21</v>
      </c>
      <c r="D500" s="70" t="s">
        <v>2050</v>
      </c>
      <c r="E500" s="65" t="s">
        <v>2051</v>
      </c>
      <c r="F500" s="66" t="s">
        <v>23</v>
      </c>
      <c r="G500" s="67" t="s">
        <v>199</v>
      </c>
      <c r="H500" s="68" t="s">
        <v>2052</v>
      </c>
      <c r="I500" s="69">
        <v>45575</v>
      </c>
      <c r="J500" s="69">
        <v>45579</v>
      </c>
      <c r="K500" s="70" t="s">
        <v>26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>SUM(O500:Q500)</f>
        <v>40</v>
      </c>
      <c r="S500" s="70">
        <v>4</v>
      </c>
      <c r="T500" s="67" t="s">
        <v>2053</v>
      </c>
    </row>
    <row r="501" spans="1:20" ht="23.25" hidden="1" customHeight="1" x14ac:dyDescent="0.25">
      <c r="A501" s="21" t="s">
        <v>2054</v>
      </c>
      <c r="B501" s="24">
        <v>2024</v>
      </c>
      <c r="C501" s="90" t="s">
        <v>21</v>
      </c>
      <c r="D501" s="64" t="s">
        <v>1777</v>
      </c>
      <c r="E501" s="58" t="s">
        <v>2055</v>
      </c>
      <c r="F501" s="74" t="s">
        <v>23</v>
      </c>
      <c r="G501" s="45" t="s">
        <v>457</v>
      </c>
      <c r="H501" s="59" t="s">
        <v>2056</v>
      </c>
      <c r="I501" s="60">
        <v>45576</v>
      </c>
      <c r="J501" s="60">
        <v>45576</v>
      </c>
      <c r="K501" s="64" t="s">
        <v>26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>SUM(O501:Q501)</f>
        <v>0</v>
      </c>
      <c r="S501" s="64">
        <v>4</v>
      </c>
      <c r="T501" s="45" t="s">
        <v>1780</v>
      </c>
    </row>
    <row r="502" spans="1:20" ht="23.25" hidden="1" customHeight="1" x14ac:dyDescent="0.25">
      <c r="A502" s="20" t="s">
        <v>2057</v>
      </c>
      <c r="B502" s="22">
        <v>2024</v>
      </c>
      <c r="C502" s="90" t="s">
        <v>21</v>
      </c>
      <c r="D502" s="70" t="s">
        <v>2058</v>
      </c>
      <c r="E502" s="65" t="s">
        <v>2059</v>
      </c>
      <c r="F502" s="66" t="s">
        <v>62</v>
      </c>
      <c r="G502" s="67" t="s">
        <v>72</v>
      </c>
      <c r="H502" s="68" t="s">
        <v>2060</v>
      </c>
      <c r="I502" s="69">
        <v>45579</v>
      </c>
      <c r="J502" s="69">
        <v>45582</v>
      </c>
      <c r="K502" s="70" t="s">
        <v>26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>SUM(O502:Q502)</f>
        <v>34</v>
      </c>
      <c r="S502" s="70">
        <v>16</v>
      </c>
      <c r="T502" s="67" t="s">
        <v>2061</v>
      </c>
    </row>
    <row r="503" spans="1:20" ht="23.25" hidden="1" customHeight="1" x14ac:dyDescent="0.25">
      <c r="A503" s="21" t="s">
        <v>2062</v>
      </c>
      <c r="B503" s="24">
        <v>2024</v>
      </c>
      <c r="C503" s="90" t="s">
        <v>21</v>
      </c>
      <c r="D503" s="261" t="s">
        <v>2063</v>
      </c>
      <c r="E503" s="58" t="s">
        <v>2064</v>
      </c>
      <c r="F503" s="74" t="s">
        <v>62</v>
      </c>
      <c r="G503" s="45" t="s">
        <v>72</v>
      </c>
      <c r="H503" s="59" t="s">
        <v>2065</v>
      </c>
      <c r="I503" s="60">
        <v>45579</v>
      </c>
      <c r="J503" s="60">
        <v>45583</v>
      </c>
      <c r="K503" s="64" t="s">
        <v>35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>SUM(O503:Q503)</f>
        <v>21</v>
      </c>
      <c r="S503" s="64">
        <v>16</v>
      </c>
      <c r="T503" s="45" t="s">
        <v>1716</v>
      </c>
    </row>
    <row r="504" spans="1:20" ht="23.25" hidden="1" customHeight="1" x14ac:dyDescent="0.25">
      <c r="A504" s="20" t="s">
        <v>2066</v>
      </c>
      <c r="B504" s="22">
        <v>2024</v>
      </c>
      <c r="C504" s="90" t="s">
        <v>21</v>
      </c>
      <c r="D504" s="70" t="s">
        <v>2067</v>
      </c>
      <c r="E504" s="65" t="s">
        <v>2068</v>
      </c>
      <c r="F504" s="66" t="s">
        <v>23</v>
      </c>
      <c r="G504" s="67" t="s">
        <v>33</v>
      </c>
      <c r="H504" s="68" t="s">
        <v>2069</v>
      </c>
      <c r="I504" s="69">
        <v>45579</v>
      </c>
      <c r="J504" s="69">
        <v>45595</v>
      </c>
      <c r="K504" s="70" t="s">
        <v>35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>SUM(O504:Q504)</f>
        <v>16</v>
      </c>
      <c r="S504" s="70">
        <v>24</v>
      </c>
      <c r="T504" s="67" t="s">
        <v>1831</v>
      </c>
    </row>
    <row r="505" spans="1:20" ht="23.25" hidden="1" customHeight="1" x14ac:dyDescent="0.25">
      <c r="A505" s="21" t="s">
        <v>2070</v>
      </c>
      <c r="B505" s="24">
        <v>2024</v>
      </c>
      <c r="C505" s="90" t="s">
        <v>21</v>
      </c>
      <c r="D505" s="24" t="s">
        <v>2071</v>
      </c>
      <c r="E505" s="58" t="s">
        <v>2072</v>
      </c>
      <c r="F505" s="74" t="s">
        <v>23</v>
      </c>
      <c r="G505" s="45" t="s">
        <v>199</v>
      </c>
      <c r="H505" s="38" t="s">
        <v>2073</v>
      </c>
      <c r="I505" s="39">
        <v>45582</v>
      </c>
      <c r="J505" s="39">
        <v>45582</v>
      </c>
      <c r="K505" s="64" t="s">
        <v>26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>SUM(O505:Q505)</f>
        <v>20</v>
      </c>
      <c r="S505" s="24">
        <v>4</v>
      </c>
      <c r="T505" s="21" t="s">
        <v>2074</v>
      </c>
    </row>
    <row r="506" spans="1:20" ht="23.25" hidden="1" customHeight="1" x14ac:dyDescent="0.25">
      <c r="A506" s="20" t="s">
        <v>2075</v>
      </c>
      <c r="B506" s="22">
        <v>2024</v>
      </c>
      <c r="C506" s="90" t="s">
        <v>21</v>
      </c>
      <c r="D506" s="22" t="s">
        <v>1777</v>
      </c>
      <c r="E506" s="27" t="s">
        <v>2076</v>
      </c>
      <c r="F506" s="29" t="s">
        <v>23</v>
      </c>
      <c r="G506" s="20" t="s">
        <v>457</v>
      </c>
      <c r="H506" s="36" t="s">
        <v>2077</v>
      </c>
      <c r="I506" s="37">
        <v>45583</v>
      </c>
      <c r="J506" s="37">
        <v>45583</v>
      </c>
      <c r="K506" s="22" t="s">
        <v>26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>SUM(O506:Q506)</f>
        <v>8</v>
      </c>
      <c r="S506" s="22">
        <v>4</v>
      </c>
      <c r="T506" s="20" t="s">
        <v>1780</v>
      </c>
    </row>
    <row r="507" spans="1:20" ht="23.25" hidden="1" customHeight="1" x14ac:dyDescent="0.25">
      <c r="A507" s="21" t="s">
        <v>2078</v>
      </c>
      <c r="B507" s="24">
        <v>2024</v>
      </c>
      <c r="C507" s="90" t="s">
        <v>21</v>
      </c>
      <c r="D507" s="24" t="s">
        <v>2079</v>
      </c>
      <c r="E507" s="30" t="s">
        <v>2080</v>
      </c>
      <c r="F507" s="74" t="s">
        <v>23</v>
      </c>
      <c r="G507" s="45" t="s">
        <v>38</v>
      </c>
      <c r="H507" s="38" t="s">
        <v>2081</v>
      </c>
      <c r="I507" s="39">
        <v>45586</v>
      </c>
      <c r="J507" s="39">
        <v>45586</v>
      </c>
      <c r="K507" s="24" t="s">
        <v>35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>SUM(O507:Q507)</f>
        <v>0</v>
      </c>
      <c r="S507" s="24">
        <v>20</v>
      </c>
      <c r="T507" s="21" t="s">
        <v>2082</v>
      </c>
    </row>
    <row r="508" spans="1:20" ht="23.25" hidden="1" customHeight="1" x14ac:dyDescent="0.25">
      <c r="A508" s="20" t="s">
        <v>2083</v>
      </c>
      <c r="B508" s="22">
        <v>2024</v>
      </c>
      <c r="C508" s="90" t="s">
        <v>21</v>
      </c>
      <c r="D508" s="22" t="s">
        <v>2084</v>
      </c>
      <c r="E508" s="27" t="s">
        <v>2085</v>
      </c>
      <c r="F508" s="29" t="s">
        <v>23</v>
      </c>
      <c r="G508" s="20" t="s">
        <v>457</v>
      </c>
      <c r="H508" s="36" t="s">
        <v>2081</v>
      </c>
      <c r="I508" s="37">
        <v>45586</v>
      </c>
      <c r="J508" s="37">
        <v>45586</v>
      </c>
      <c r="K508" s="22" t="s">
        <v>26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>SUM(O508:Q508)</f>
        <v>13</v>
      </c>
      <c r="S508" s="22">
        <v>48</v>
      </c>
      <c r="T508" s="20" t="s">
        <v>966</v>
      </c>
    </row>
    <row r="509" spans="1:20" ht="23.25" hidden="1" customHeight="1" x14ac:dyDescent="0.25">
      <c r="A509" s="21" t="s">
        <v>2086</v>
      </c>
      <c r="B509" s="24">
        <v>2024</v>
      </c>
      <c r="C509" s="90" t="s">
        <v>21</v>
      </c>
      <c r="D509" s="24" t="s">
        <v>2087</v>
      </c>
      <c r="E509" s="75" t="s">
        <v>2088</v>
      </c>
      <c r="F509" s="31" t="s">
        <v>23</v>
      </c>
      <c r="G509" s="21" t="s">
        <v>199</v>
      </c>
      <c r="H509" s="38" t="s">
        <v>2081</v>
      </c>
      <c r="I509" s="39">
        <v>45586</v>
      </c>
      <c r="J509" s="39">
        <v>45586</v>
      </c>
      <c r="K509" s="24" t="s">
        <v>26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>SUM(O509:Q509)</f>
        <v>170</v>
      </c>
      <c r="S509" s="24">
        <v>1</v>
      </c>
      <c r="T509" s="21" t="s">
        <v>2089</v>
      </c>
    </row>
    <row r="510" spans="1:20" ht="23.25" hidden="1" customHeight="1" x14ac:dyDescent="0.25">
      <c r="A510" s="20" t="s">
        <v>2090</v>
      </c>
      <c r="B510" s="22">
        <v>2024</v>
      </c>
      <c r="C510" s="90" t="s">
        <v>21</v>
      </c>
      <c r="D510" s="22" t="s">
        <v>1971</v>
      </c>
      <c r="E510" s="27" t="s">
        <v>2091</v>
      </c>
      <c r="F510" s="29" t="s">
        <v>81</v>
      </c>
      <c r="G510" s="20" t="s">
        <v>72</v>
      </c>
      <c r="H510" s="36" t="s">
        <v>2092</v>
      </c>
      <c r="I510" s="37">
        <v>45586</v>
      </c>
      <c r="J510" s="37">
        <v>45590</v>
      </c>
      <c r="K510" s="22" t="s">
        <v>35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>SUM(O510:Q510)</f>
        <v>66</v>
      </c>
      <c r="S510" s="22">
        <v>20</v>
      </c>
      <c r="T510" s="20" t="s">
        <v>1974</v>
      </c>
    </row>
    <row r="511" spans="1:20" ht="23.25" hidden="1" customHeight="1" x14ac:dyDescent="0.25">
      <c r="A511" s="21" t="s">
        <v>2093</v>
      </c>
      <c r="B511" s="24">
        <v>2024</v>
      </c>
      <c r="C511" s="90" t="s">
        <v>21</v>
      </c>
      <c r="D511" s="24" t="s">
        <v>2094</v>
      </c>
      <c r="E511" s="75" t="s">
        <v>2095</v>
      </c>
      <c r="F511" s="31" t="s">
        <v>23</v>
      </c>
      <c r="G511" s="21" t="s">
        <v>199</v>
      </c>
      <c r="H511" s="38" t="s">
        <v>2096</v>
      </c>
      <c r="I511" s="39">
        <v>45587</v>
      </c>
      <c r="J511" s="39">
        <v>45587</v>
      </c>
      <c r="K511" s="24" t="s">
        <v>26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>SUM(O511:Q511)</f>
        <v>140</v>
      </c>
      <c r="S511" s="24">
        <v>1</v>
      </c>
      <c r="T511" s="21" t="s">
        <v>2097</v>
      </c>
    </row>
    <row r="512" spans="1:20" ht="23.25" hidden="1" customHeight="1" x14ac:dyDescent="0.25">
      <c r="A512" s="20" t="s">
        <v>2098</v>
      </c>
      <c r="B512" s="22">
        <v>2024</v>
      </c>
      <c r="C512" s="90" t="s">
        <v>21</v>
      </c>
      <c r="D512" s="22" t="s">
        <v>2099</v>
      </c>
      <c r="E512" s="27" t="s">
        <v>2100</v>
      </c>
      <c r="F512" s="66" t="s">
        <v>62</v>
      </c>
      <c r="G512" s="20" t="s">
        <v>72</v>
      </c>
      <c r="H512" s="36" t="s">
        <v>2101</v>
      </c>
      <c r="I512" s="37">
        <v>45594</v>
      </c>
      <c r="J512" s="37">
        <v>45596</v>
      </c>
      <c r="K512" s="22" t="s">
        <v>35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>SUM(O512:Q512)</f>
        <v>45</v>
      </c>
      <c r="S512" s="22">
        <v>12</v>
      </c>
      <c r="T512" s="20" t="s">
        <v>2102</v>
      </c>
    </row>
    <row r="513" spans="1:20" ht="23.25" hidden="1" customHeight="1" x14ac:dyDescent="0.25">
      <c r="A513" s="21" t="s">
        <v>2103</v>
      </c>
      <c r="B513" s="24">
        <v>2024</v>
      </c>
      <c r="C513" s="90" t="s">
        <v>21</v>
      </c>
      <c r="D513" s="24" t="s">
        <v>2104</v>
      </c>
      <c r="E513" s="30" t="s">
        <v>2105</v>
      </c>
      <c r="F513" s="74" t="s">
        <v>23</v>
      </c>
      <c r="G513" s="45" t="s">
        <v>38</v>
      </c>
      <c r="H513" s="38" t="s">
        <v>2106</v>
      </c>
      <c r="I513" s="39">
        <v>45594</v>
      </c>
      <c r="J513" s="39">
        <v>45596</v>
      </c>
      <c r="K513" s="24" t="s">
        <v>35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>SUM(O513:Q513)</f>
        <v>19</v>
      </c>
      <c r="S513" s="24">
        <v>4</v>
      </c>
      <c r="T513" s="21" t="s">
        <v>2107</v>
      </c>
    </row>
    <row r="514" spans="1:20" ht="23.25" hidden="1" customHeight="1" x14ac:dyDescent="0.25">
      <c r="A514" s="20" t="s">
        <v>2108</v>
      </c>
      <c r="B514" s="22">
        <v>2024</v>
      </c>
      <c r="C514" s="90" t="s">
        <v>21</v>
      </c>
      <c r="D514" s="22" t="s">
        <v>1999</v>
      </c>
      <c r="E514" s="27" t="s">
        <v>2109</v>
      </c>
      <c r="F514" s="66" t="s">
        <v>23</v>
      </c>
      <c r="G514" s="67" t="s">
        <v>33</v>
      </c>
      <c r="H514" s="36" t="s">
        <v>2110</v>
      </c>
      <c r="I514" s="37">
        <v>45600</v>
      </c>
      <c r="J514" s="37">
        <v>45604</v>
      </c>
      <c r="K514" s="22" t="s">
        <v>35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>SUM(O514:Q514)</f>
        <v>15</v>
      </c>
      <c r="S514" s="22">
        <v>20</v>
      </c>
      <c r="T514" s="20" t="s">
        <v>211</v>
      </c>
    </row>
    <row r="515" spans="1:20" ht="23.25" hidden="1" customHeight="1" x14ac:dyDescent="0.25">
      <c r="A515" s="21" t="s">
        <v>2111</v>
      </c>
      <c r="B515" s="24">
        <v>2024</v>
      </c>
      <c r="C515" s="90" t="s">
        <v>21</v>
      </c>
      <c r="D515" s="24" t="s">
        <v>2112</v>
      </c>
      <c r="E515" s="30" t="s">
        <v>2113</v>
      </c>
      <c r="F515" s="74" t="s">
        <v>81</v>
      </c>
      <c r="G515" s="45" t="s">
        <v>72</v>
      </c>
      <c r="H515" s="38" t="s">
        <v>2114</v>
      </c>
      <c r="I515" s="39">
        <v>45600</v>
      </c>
      <c r="J515" s="39">
        <v>45608</v>
      </c>
      <c r="K515" s="24" t="s">
        <v>26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>SUM(O515:Q515)</f>
        <v>41</v>
      </c>
      <c r="S515" s="24">
        <v>16</v>
      </c>
      <c r="T515" s="21" t="s">
        <v>2115</v>
      </c>
    </row>
    <row r="516" spans="1:20" ht="23.25" hidden="1" customHeight="1" x14ac:dyDescent="0.25">
      <c r="A516" s="20" t="s">
        <v>2116</v>
      </c>
      <c r="B516" s="22">
        <v>2024</v>
      </c>
      <c r="C516" s="90" t="s">
        <v>21</v>
      </c>
      <c r="D516" s="22" t="s">
        <v>2117</v>
      </c>
      <c r="E516" s="27" t="s">
        <v>2118</v>
      </c>
      <c r="F516" s="66" t="s">
        <v>23</v>
      </c>
      <c r="G516" s="67" t="s">
        <v>38</v>
      </c>
      <c r="H516" s="36" t="s">
        <v>2119</v>
      </c>
      <c r="I516" s="37">
        <v>45603</v>
      </c>
      <c r="J516" s="37">
        <v>45603</v>
      </c>
      <c r="K516" s="22" t="s">
        <v>35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>SUM(O516:Q516)</f>
        <v>96</v>
      </c>
      <c r="S516" s="22">
        <v>2</v>
      </c>
      <c r="T516" s="20" t="s">
        <v>472</v>
      </c>
    </row>
    <row r="517" spans="1:20" ht="23.25" hidden="1" customHeight="1" x14ac:dyDescent="0.25">
      <c r="A517" s="21" t="s">
        <v>2120</v>
      </c>
      <c r="B517" s="24">
        <v>2024</v>
      </c>
      <c r="C517" s="90" t="s">
        <v>21</v>
      </c>
      <c r="D517" s="24" t="s">
        <v>1777</v>
      </c>
      <c r="E517" s="30" t="s">
        <v>2121</v>
      </c>
      <c r="F517" s="74" t="s">
        <v>23</v>
      </c>
      <c r="G517" s="45" t="s">
        <v>457</v>
      </c>
      <c r="H517" s="38" t="s">
        <v>2122</v>
      </c>
      <c r="I517" s="39">
        <v>45604</v>
      </c>
      <c r="J517" s="39">
        <v>45604</v>
      </c>
      <c r="K517" s="24" t="s">
        <v>26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>SUM(O517:Q517)</f>
        <v>6</v>
      </c>
      <c r="S517" s="24">
        <v>4</v>
      </c>
      <c r="T517" s="21" t="s">
        <v>2123</v>
      </c>
    </row>
    <row r="518" spans="1:20" ht="23.25" hidden="1" customHeight="1" x14ac:dyDescent="0.25">
      <c r="A518" s="20" t="s">
        <v>2124</v>
      </c>
      <c r="B518" s="22">
        <v>2024</v>
      </c>
      <c r="C518" s="90" t="s">
        <v>21</v>
      </c>
      <c r="D518" s="22" t="s">
        <v>2125</v>
      </c>
      <c r="E518" s="27" t="s">
        <v>2126</v>
      </c>
      <c r="F518" s="29" t="s">
        <v>62</v>
      </c>
      <c r="G518" s="67" t="s">
        <v>72</v>
      </c>
      <c r="H518" s="36" t="s">
        <v>2127</v>
      </c>
      <c r="I518" s="37">
        <v>45607</v>
      </c>
      <c r="J518" s="37">
        <v>45609</v>
      </c>
      <c r="K518" s="22" t="s">
        <v>35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>SUM(O518:Q518)</f>
        <v>47</v>
      </c>
      <c r="S518" s="22">
        <v>12</v>
      </c>
      <c r="T518" s="20" t="s">
        <v>2128</v>
      </c>
    </row>
    <row r="519" spans="1:20" ht="23.25" hidden="1" customHeight="1" x14ac:dyDescent="0.25">
      <c r="A519" s="21" t="s">
        <v>2129</v>
      </c>
      <c r="B519" s="24">
        <v>2024</v>
      </c>
      <c r="C519" s="90" t="s">
        <v>21</v>
      </c>
      <c r="D519" s="24" t="s">
        <v>2130</v>
      </c>
      <c r="E519" s="30" t="s">
        <v>2131</v>
      </c>
      <c r="F519" s="74" t="s">
        <v>62</v>
      </c>
      <c r="G519" s="45" t="s">
        <v>72</v>
      </c>
      <c r="H519" s="38" t="s">
        <v>2132</v>
      </c>
      <c r="I519" s="39">
        <v>45614</v>
      </c>
      <c r="J519" s="39">
        <v>45617</v>
      </c>
      <c r="K519" s="24" t="s">
        <v>35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>SUM(O519:Q519)</f>
        <v>37</v>
      </c>
      <c r="S519" s="24">
        <v>12</v>
      </c>
      <c r="T519" s="21" t="s">
        <v>1472</v>
      </c>
    </row>
    <row r="520" spans="1:20" ht="23.25" hidden="1" customHeight="1" x14ac:dyDescent="0.25">
      <c r="A520" s="20" t="s">
        <v>2133</v>
      </c>
      <c r="B520" s="22">
        <v>2024</v>
      </c>
      <c r="C520" s="90" t="s">
        <v>21</v>
      </c>
      <c r="D520" s="22" t="s">
        <v>2134</v>
      </c>
      <c r="E520" s="27" t="s">
        <v>2135</v>
      </c>
      <c r="F520" s="66" t="s">
        <v>23</v>
      </c>
      <c r="G520" s="20" t="s">
        <v>38</v>
      </c>
      <c r="H520" s="36" t="s">
        <v>2136</v>
      </c>
      <c r="I520" s="37">
        <v>45614</v>
      </c>
      <c r="J520" s="37">
        <v>45618</v>
      </c>
      <c r="K520" s="22" t="s">
        <v>35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>SUM(O520:Q520)</f>
        <v>20</v>
      </c>
      <c r="S520" s="22">
        <v>16</v>
      </c>
      <c r="T520" s="20" t="s">
        <v>1703</v>
      </c>
    </row>
    <row r="521" spans="1:20" ht="23.25" hidden="1" customHeight="1" x14ac:dyDescent="0.25">
      <c r="A521" s="21" t="s">
        <v>2137</v>
      </c>
      <c r="B521" s="24">
        <v>2024</v>
      </c>
      <c r="C521" s="90" t="s">
        <v>21</v>
      </c>
      <c r="D521" s="24" t="s">
        <v>2138</v>
      </c>
      <c r="E521" s="30" t="s">
        <v>2139</v>
      </c>
      <c r="F521" s="74" t="s">
        <v>62</v>
      </c>
      <c r="G521" s="21" t="s">
        <v>72</v>
      </c>
      <c r="H521" s="38" t="s">
        <v>2140</v>
      </c>
      <c r="I521" s="39">
        <v>45615</v>
      </c>
      <c r="J521" s="39">
        <v>45624</v>
      </c>
      <c r="K521" s="24" t="s">
        <v>35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>SUM(O521:Q521)</f>
        <v>19</v>
      </c>
      <c r="S521" s="24">
        <v>16</v>
      </c>
      <c r="T521" s="21" t="s">
        <v>549</v>
      </c>
    </row>
    <row r="522" spans="1:20" ht="23.25" hidden="1" customHeight="1" x14ac:dyDescent="0.25">
      <c r="A522" s="20" t="s">
        <v>2141</v>
      </c>
      <c r="B522" s="22">
        <v>2024</v>
      </c>
      <c r="C522" s="91" t="s">
        <v>21</v>
      </c>
      <c r="D522" s="22" t="s">
        <v>2142</v>
      </c>
      <c r="E522" s="27" t="s">
        <v>2143</v>
      </c>
      <c r="F522" s="29" t="s">
        <v>23</v>
      </c>
      <c r="G522" s="20" t="s">
        <v>38</v>
      </c>
      <c r="H522" s="36" t="s">
        <v>2144</v>
      </c>
      <c r="I522" s="37">
        <v>45617</v>
      </c>
      <c r="J522" s="37">
        <v>45617</v>
      </c>
      <c r="K522" s="22" t="s">
        <v>35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>SUM(O522:Q522)</f>
        <v>0</v>
      </c>
      <c r="S522" s="22">
        <v>21</v>
      </c>
      <c r="T522" s="20" t="s">
        <v>1367</v>
      </c>
    </row>
    <row r="523" spans="1:20" ht="23.25" hidden="1" customHeight="1" x14ac:dyDescent="0.25">
      <c r="A523" s="21" t="s">
        <v>2145</v>
      </c>
      <c r="B523" s="24">
        <v>2024</v>
      </c>
      <c r="C523" s="91" t="s">
        <v>21</v>
      </c>
      <c r="D523" s="24" t="s">
        <v>2117</v>
      </c>
      <c r="E523" s="30" t="s">
        <v>2146</v>
      </c>
      <c r="F523" s="74" t="s">
        <v>23</v>
      </c>
      <c r="G523" s="21" t="s">
        <v>38</v>
      </c>
      <c r="H523" s="38" t="s">
        <v>2144</v>
      </c>
      <c r="I523" s="39">
        <v>45617</v>
      </c>
      <c r="J523" s="39">
        <v>45617</v>
      </c>
      <c r="K523" s="24" t="s">
        <v>35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>SUM(O523:Q523)</f>
        <v>0</v>
      </c>
      <c r="S523" s="24">
        <v>6</v>
      </c>
      <c r="T523" s="21" t="s">
        <v>2147</v>
      </c>
    </row>
    <row r="524" spans="1:20" ht="23.25" hidden="1" customHeight="1" x14ac:dyDescent="0.25">
      <c r="A524" s="20" t="s">
        <v>2148</v>
      </c>
      <c r="B524" s="22">
        <v>2024</v>
      </c>
      <c r="C524" s="90" t="s">
        <v>21</v>
      </c>
      <c r="D524" s="22" t="s">
        <v>1777</v>
      </c>
      <c r="E524" s="27" t="s">
        <v>2149</v>
      </c>
      <c r="F524" s="29" t="s">
        <v>23</v>
      </c>
      <c r="G524" s="20" t="s">
        <v>457</v>
      </c>
      <c r="H524" s="36" t="s">
        <v>2150</v>
      </c>
      <c r="I524" s="37">
        <v>45618</v>
      </c>
      <c r="J524" s="37">
        <v>45618</v>
      </c>
      <c r="K524" s="22" t="s">
        <v>26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>SUM(O524:Q524)</f>
        <v>6</v>
      </c>
      <c r="S524" s="22"/>
      <c r="T524" s="20"/>
    </row>
    <row r="525" spans="1:20" ht="23.25" hidden="1" customHeight="1" x14ac:dyDescent="0.25">
      <c r="A525" s="21" t="s">
        <v>2151</v>
      </c>
      <c r="B525" s="24">
        <v>2024</v>
      </c>
      <c r="C525" s="90" t="s">
        <v>21</v>
      </c>
      <c r="D525" s="24" t="s">
        <v>2058</v>
      </c>
      <c r="E525" s="30" t="s">
        <v>2152</v>
      </c>
      <c r="F525" s="74" t="s">
        <v>62</v>
      </c>
      <c r="G525" s="21" t="s">
        <v>72</v>
      </c>
      <c r="H525" s="38" t="s">
        <v>2153</v>
      </c>
      <c r="I525" s="39">
        <v>45621</v>
      </c>
      <c r="J525" s="39">
        <v>45624</v>
      </c>
      <c r="K525" s="24" t="s">
        <v>26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>SUM(O525:Q525)</f>
        <v>46</v>
      </c>
      <c r="S525" s="24">
        <v>16</v>
      </c>
      <c r="T525" s="21" t="s">
        <v>2154</v>
      </c>
    </row>
    <row r="526" spans="1:20" ht="23.25" hidden="1" customHeight="1" x14ac:dyDescent="0.25">
      <c r="A526" s="20" t="s">
        <v>2155</v>
      </c>
      <c r="B526" s="22">
        <v>2024</v>
      </c>
      <c r="C526" s="90" t="s">
        <v>21</v>
      </c>
      <c r="D526" s="22" t="s">
        <v>2063</v>
      </c>
      <c r="E526" s="27" t="s">
        <v>2156</v>
      </c>
      <c r="F526" s="29" t="s">
        <v>62</v>
      </c>
      <c r="G526" s="20" t="s">
        <v>72</v>
      </c>
      <c r="H526" s="36" t="s">
        <v>2153</v>
      </c>
      <c r="I526" s="37">
        <v>45621</v>
      </c>
      <c r="J526" s="37">
        <v>45624</v>
      </c>
      <c r="K526" s="22" t="s">
        <v>35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>SUM(O526:Q526)</f>
        <v>20</v>
      </c>
      <c r="S526" s="22">
        <v>16</v>
      </c>
      <c r="T526" s="20" t="s">
        <v>1716</v>
      </c>
    </row>
    <row r="527" spans="1:20" ht="23.25" hidden="1" customHeight="1" x14ac:dyDescent="0.25">
      <c r="A527" s="21" t="s">
        <v>2157</v>
      </c>
      <c r="B527" s="24">
        <v>2024</v>
      </c>
      <c r="C527" s="90" t="s">
        <v>21</v>
      </c>
      <c r="D527" s="24"/>
      <c r="E527" s="30" t="s">
        <v>2158</v>
      </c>
      <c r="F527" s="31" t="s">
        <v>23</v>
      </c>
      <c r="G527" s="21" t="s">
        <v>199</v>
      </c>
      <c r="H527" s="38" t="s">
        <v>83</v>
      </c>
      <c r="I527" s="39">
        <v>45621</v>
      </c>
      <c r="J527" s="39">
        <v>45621</v>
      </c>
      <c r="K527" s="24" t="s">
        <v>35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>SUM(O527:Q527)</f>
        <v>0</v>
      </c>
      <c r="S527" s="24"/>
      <c r="T527" s="21" t="s">
        <v>2159</v>
      </c>
    </row>
    <row r="528" spans="1:20" ht="23.25" hidden="1" customHeight="1" x14ac:dyDescent="0.25">
      <c r="A528" s="20" t="s">
        <v>2160</v>
      </c>
      <c r="B528" s="22">
        <v>2024</v>
      </c>
      <c r="C528" s="90" t="s">
        <v>21</v>
      </c>
      <c r="D528" s="22" t="s">
        <v>2161</v>
      </c>
      <c r="E528" s="27" t="s">
        <v>2162</v>
      </c>
      <c r="F528" s="29" t="s">
        <v>23</v>
      </c>
      <c r="G528" s="20" t="s">
        <v>38</v>
      </c>
      <c r="H528" s="36" t="s">
        <v>2163</v>
      </c>
      <c r="I528" s="37">
        <v>45622</v>
      </c>
      <c r="J528" s="37">
        <v>45624</v>
      </c>
      <c r="K528" s="22" t="s">
        <v>35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>SUM(O528:Q528)</f>
        <v>20</v>
      </c>
      <c r="S528" s="22">
        <v>8</v>
      </c>
      <c r="T528" s="20" t="s">
        <v>2164</v>
      </c>
    </row>
    <row r="529" spans="1:20" ht="23.25" hidden="1" customHeight="1" x14ac:dyDescent="0.25">
      <c r="A529" s="21" t="s">
        <v>2165</v>
      </c>
      <c r="B529" s="24">
        <v>2024</v>
      </c>
      <c r="C529" s="90" t="s">
        <v>21</v>
      </c>
      <c r="D529" s="24" t="s">
        <v>2166</v>
      </c>
      <c r="E529" s="30" t="s">
        <v>2167</v>
      </c>
      <c r="F529" s="31" t="s">
        <v>23</v>
      </c>
      <c r="G529" s="21" t="s">
        <v>24</v>
      </c>
      <c r="H529" s="38" t="s">
        <v>2168</v>
      </c>
      <c r="I529" s="39">
        <v>45622</v>
      </c>
      <c r="J529" s="39">
        <v>45629</v>
      </c>
      <c r="K529" s="24" t="s">
        <v>26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>SUM(O529:Q529)</f>
        <v>28</v>
      </c>
      <c r="S529" s="24">
        <v>20</v>
      </c>
      <c r="T529" s="21"/>
    </row>
    <row r="530" spans="1:20" ht="23.25" hidden="1" customHeight="1" x14ac:dyDescent="0.25">
      <c r="A530" s="20" t="s">
        <v>2169</v>
      </c>
      <c r="B530" s="22">
        <v>2024</v>
      </c>
      <c r="C530" s="90" t="s">
        <v>21</v>
      </c>
      <c r="D530" s="22" t="s">
        <v>2170</v>
      </c>
      <c r="E530" s="27" t="s">
        <v>2171</v>
      </c>
      <c r="F530" s="29" t="s">
        <v>62</v>
      </c>
      <c r="G530" s="20" t="s">
        <v>72</v>
      </c>
      <c r="H530" s="36" t="s">
        <v>2172</v>
      </c>
      <c r="I530" s="37">
        <v>45624</v>
      </c>
      <c r="J530" s="37">
        <v>45624</v>
      </c>
      <c r="K530" s="22" t="s">
        <v>220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>SUM(O530:Q530)</f>
        <v>138</v>
      </c>
      <c r="S530" s="22">
        <v>8</v>
      </c>
      <c r="T530" s="20" t="s">
        <v>472</v>
      </c>
    </row>
    <row r="531" spans="1:20" ht="23.25" hidden="1" customHeight="1" x14ac:dyDescent="0.25">
      <c r="A531" s="21" t="s">
        <v>2173</v>
      </c>
      <c r="B531" s="24">
        <v>2024</v>
      </c>
      <c r="C531" s="90" t="s">
        <v>21</v>
      </c>
      <c r="D531" s="24" t="s">
        <v>1887</v>
      </c>
      <c r="E531" s="30" t="s">
        <v>2174</v>
      </c>
      <c r="F531" s="31" t="s">
        <v>62</v>
      </c>
      <c r="G531" s="21" t="s">
        <v>72</v>
      </c>
      <c r="H531" s="38" t="s">
        <v>2175</v>
      </c>
      <c r="I531" s="39">
        <v>45628</v>
      </c>
      <c r="J531" s="39">
        <v>45630</v>
      </c>
      <c r="K531" s="24" t="s">
        <v>35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>SUM(O531:Q531)</f>
        <v>19</v>
      </c>
      <c r="S531" s="24">
        <v>12</v>
      </c>
      <c r="T531" s="21" t="s">
        <v>1890</v>
      </c>
    </row>
    <row r="532" spans="1:20" ht="23.25" hidden="1" customHeight="1" x14ac:dyDescent="0.25">
      <c r="A532" s="20" t="s">
        <v>2176</v>
      </c>
      <c r="B532" s="22">
        <v>2024</v>
      </c>
      <c r="C532" s="90" t="s">
        <v>21</v>
      </c>
      <c r="D532" s="22" t="s">
        <v>2177</v>
      </c>
      <c r="E532" s="27" t="s">
        <v>2178</v>
      </c>
      <c r="F532" s="29" t="s">
        <v>23</v>
      </c>
      <c r="G532" s="20" t="s">
        <v>199</v>
      </c>
      <c r="H532" s="36" t="s">
        <v>2179</v>
      </c>
      <c r="I532" s="37">
        <v>45631</v>
      </c>
      <c r="J532" s="37">
        <v>45631</v>
      </c>
      <c r="K532" s="22" t="s">
        <v>26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>SUM(O532:Q532)</f>
        <v>118</v>
      </c>
      <c r="S532" s="22">
        <v>1</v>
      </c>
      <c r="T532" s="20" t="s">
        <v>2180</v>
      </c>
    </row>
    <row r="533" spans="1:20" ht="23.25" hidden="1" customHeight="1" x14ac:dyDescent="0.25">
      <c r="A533" s="21" t="s">
        <v>2181</v>
      </c>
      <c r="B533" s="24">
        <v>2024</v>
      </c>
      <c r="C533" s="90" t="s">
        <v>21</v>
      </c>
      <c r="D533" s="24" t="s">
        <v>1777</v>
      </c>
      <c r="E533" s="30" t="s">
        <v>2182</v>
      </c>
      <c r="F533" s="31" t="s">
        <v>23</v>
      </c>
      <c r="G533" s="21" t="s">
        <v>457</v>
      </c>
      <c r="H533" s="38" t="s">
        <v>2183</v>
      </c>
      <c r="I533" s="39">
        <v>45632</v>
      </c>
      <c r="J533" s="39">
        <v>45632</v>
      </c>
      <c r="K533" s="24" t="s">
        <v>26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>SUM(O533:Q533)</f>
        <v>4</v>
      </c>
      <c r="S533" s="24">
        <v>4</v>
      </c>
      <c r="T533" s="21" t="s">
        <v>1780</v>
      </c>
    </row>
    <row r="534" spans="1:20" ht="23.25" hidden="1" customHeight="1" x14ac:dyDescent="0.25">
      <c r="A534" s="20" t="s">
        <v>2184</v>
      </c>
      <c r="B534" s="22">
        <v>2024</v>
      </c>
      <c r="C534" s="90" t="s">
        <v>21</v>
      </c>
      <c r="D534" s="22" t="s">
        <v>2185</v>
      </c>
      <c r="E534" s="27" t="s">
        <v>2186</v>
      </c>
      <c r="F534" s="29" t="s">
        <v>81</v>
      </c>
      <c r="G534" s="20" t="s">
        <v>72</v>
      </c>
      <c r="H534" s="36" t="s">
        <v>2183</v>
      </c>
      <c r="I534" s="37">
        <v>45632</v>
      </c>
      <c r="J534" s="37">
        <v>45632</v>
      </c>
      <c r="K534" s="22" t="s">
        <v>35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>SUM(O534:Q534)</f>
        <v>49</v>
      </c>
      <c r="S534" s="22">
        <v>4</v>
      </c>
      <c r="T534" s="20" t="s">
        <v>2187</v>
      </c>
    </row>
    <row r="535" spans="1:20" ht="23.25" hidden="1" customHeight="1" x14ac:dyDescent="0.25">
      <c r="A535" s="21" t="s">
        <v>2188</v>
      </c>
      <c r="B535" s="24">
        <v>2024</v>
      </c>
      <c r="C535" s="90" t="s">
        <v>21</v>
      </c>
      <c r="D535" s="24" t="s">
        <v>1971</v>
      </c>
      <c r="E535" s="30" t="s">
        <v>2189</v>
      </c>
      <c r="F535" s="31" t="s">
        <v>81</v>
      </c>
      <c r="G535" s="21" t="s">
        <v>72</v>
      </c>
      <c r="H535" s="38" t="s">
        <v>2190</v>
      </c>
      <c r="I535" s="39">
        <v>45635</v>
      </c>
      <c r="J535" s="39">
        <v>45639</v>
      </c>
      <c r="K535" s="24" t="s">
        <v>35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>SUM(O535:Q535)</f>
        <v>94</v>
      </c>
      <c r="S535" s="24">
        <v>20</v>
      </c>
      <c r="T535" s="21" t="s">
        <v>1974</v>
      </c>
    </row>
    <row r="536" spans="1:20" ht="23.25" hidden="1" customHeight="1" x14ac:dyDescent="0.25">
      <c r="A536" s="20" t="s">
        <v>2191</v>
      </c>
      <c r="B536" s="22">
        <v>2024</v>
      </c>
      <c r="C536" s="90" t="s">
        <v>21</v>
      </c>
      <c r="D536" s="22" t="s">
        <v>2192</v>
      </c>
      <c r="E536" s="27" t="s">
        <v>2193</v>
      </c>
      <c r="F536" s="29" t="s">
        <v>23</v>
      </c>
      <c r="G536" s="20" t="s">
        <v>33</v>
      </c>
      <c r="H536" s="36" t="s">
        <v>2194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>SUM(O536:Q536)</f>
        <v>0</v>
      </c>
      <c r="S536" s="22"/>
      <c r="T536" s="20"/>
    </row>
    <row r="537" spans="1:20" ht="23.25" hidden="1" customHeight="1" x14ac:dyDescent="0.25">
      <c r="A537" s="21" t="s">
        <v>2195</v>
      </c>
      <c r="B537" s="24">
        <v>2025</v>
      </c>
      <c r="C537" s="90" t="s">
        <v>21</v>
      </c>
      <c r="D537" s="24" t="s">
        <v>2196</v>
      </c>
      <c r="E537" s="30" t="s">
        <v>2197</v>
      </c>
      <c r="F537" s="31" t="s">
        <v>62</v>
      </c>
      <c r="G537" s="21" t="s">
        <v>72</v>
      </c>
      <c r="H537" s="24" t="s">
        <v>2198</v>
      </c>
      <c r="I537" s="267">
        <v>45684</v>
      </c>
      <c r="J537" s="39">
        <v>45688</v>
      </c>
      <c r="K537" s="24" t="s">
        <v>35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>SUM(O537:Q537)</f>
        <v>21</v>
      </c>
      <c r="S537" s="24">
        <v>20</v>
      </c>
      <c r="T537" s="21" t="s">
        <v>74</v>
      </c>
    </row>
    <row r="538" spans="1:20" ht="23.25" hidden="1" customHeight="1" x14ac:dyDescent="0.25">
      <c r="A538" s="20" t="s">
        <v>2199</v>
      </c>
      <c r="B538" s="22">
        <v>2025</v>
      </c>
      <c r="C538" s="90" t="s">
        <v>21</v>
      </c>
      <c r="D538" s="22" t="s">
        <v>2200</v>
      </c>
      <c r="E538" s="27" t="s">
        <v>2193</v>
      </c>
      <c r="F538" s="29" t="s">
        <v>23</v>
      </c>
      <c r="G538" s="20" t="s">
        <v>33</v>
      </c>
      <c r="H538" s="36" t="s">
        <v>2201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>SUM(O538:Q538)</f>
        <v>49</v>
      </c>
      <c r="S538" s="22"/>
      <c r="T538" s="20"/>
    </row>
    <row r="539" spans="1:20" ht="23.25" hidden="1" customHeight="1" x14ac:dyDescent="0.25">
      <c r="A539" s="21" t="s">
        <v>2202</v>
      </c>
      <c r="B539" s="24">
        <v>2025</v>
      </c>
      <c r="C539" s="92" t="s">
        <v>21</v>
      </c>
      <c r="D539" s="24" t="s">
        <v>2203</v>
      </c>
      <c r="E539" s="30" t="s">
        <v>2204</v>
      </c>
      <c r="F539" s="31" t="s">
        <v>62</v>
      </c>
      <c r="G539" s="21" t="s">
        <v>72</v>
      </c>
      <c r="H539" s="38" t="s">
        <v>2205</v>
      </c>
      <c r="I539" s="39">
        <v>45691</v>
      </c>
      <c r="J539" s="39">
        <v>45694</v>
      </c>
      <c r="K539" s="24" t="s">
        <v>35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>SUM(O539:Q539)</f>
        <v>26</v>
      </c>
      <c r="S539" s="24">
        <v>16</v>
      </c>
      <c r="T539" s="21" t="s">
        <v>1716</v>
      </c>
    </row>
    <row r="540" spans="1:20" ht="23.25" hidden="1" customHeight="1" x14ac:dyDescent="0.25">
      <c r="A540" s="20" t="s">
        <v>2206</v>
      </c>
      <c r="B540" s="22">
        <v>2025</v>
      </c>
      <c r="C540" s="90" t="s">
        <v>21</v>
      </c>
      <c r="D540" s="22" t="s">
        <v>2207</v>
      </c>
      <c r="E540" s="27" t="s">
        <v>2208</v>
      </c>
      <c r="F540" s="29" t="s">
        <v>23</v>
      </c>
      <c r="G540" s="20" t="s">
        <v>364</v>
      </c>
      <c r="H540" s="36" t="s">
        <v>2209</v>
      </c>
      <c r="I540" s="37">
        <v>45691</v>
      </c>
      <c r="J540" s="37">
        <v>45692</v>
      </c>
      <c r="K540" s="22" t="s">
        <v>35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>SUM(O540:Q540)</f>
        <v>8</v>
      </c>
      <c r="S540" s="22">
        <v>8</v>
      </c>
      <c r="T540" s="20" t="s">
        <v>472</v>
      </c>
    </row>
    <row r="541" spans="1:20" ht="23.25" hidden="1" customHeight="1" x14ac:dyDescent="0.25">
      <c r="A541" s="21" t="s">
        <v>2210</v>
      </c>
      <c r="B541" s="24">
        <v>2025</v>
      </c>
      <c r="C541" s="90" t="s">
        <v>21</v>
      </c>
      <c r="D541" s="24" t="s">
        <v>2211</v>
      </c>
      <c r="E541" s="30" t="s">
        <v>2212</v>
      </c>
      <c r="F541" s="31" t="s">
        <v>23</v>
      </c>
      <c r="G541" s="21" t="s">
        <v>24</v>
      </c>
      <c r="H541" s="24" t="s">
        <v>2213</v>
      </c>
      <c r="I541" s="39">
        <v>45691</v>
      </c>
      <c r="J541" s="39">
        <v>45693</v>
      </c>
      <c r="K541" s="24" t="s">
        <v>35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>SUM(O541:Q541)</f>
        <v>14</v>
      </c>
      <c r="S541" s="24">
        <v>12</v>
      </c>
      <c r="T541" s="21" t="s">
        <v>1914</v>
      </c>
    </row>
    <row r="542" spans="1:20" ht="23.25" hidden="1" customHeight="1" x14ac:dyDescent="0.25">
      <c r="A542" s="20" t="s">
        <v>2214</v>
      </c>
      <c r="B542" s="22">
        <v>2025</v>
      </c>
      <c r="C542" s="92" t="s">
        <v>21</v>
      </c>
      <c r="D542" s="22" t="s">
        <v>2215</v>
      </c>
      <c r="E542" s="27" t="s">
        <v>2216</v>
      </c>
      <c r="F542" s="29" t="s">
        <v>81</v>
      </c>
      <c r="G542" s="20" t="s">
        <v>72</v>
      </c>
      <c r="H542" s="22" t="s">
        <v>2217</v>
      </c>
      <c r="I542" s="37">
        <v>45691</v>
      </c>
      <c r="J542" s="37">
        <v>45705</v>
      </c>
      <c r="K542" s="22" t="s">
        <v>35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>SUM(O542:Q542)</f>
        <v>30</v>
      </c>
      <c r="S542" s="22">
        <v>20</v>
      </c>
      <c r="T542" s="20" t="s">
        <v>1743</v>
      </c>
    </row>
    <row r="543" spans="1:20" ht="23.25" hidden="1" customHeight="1" x14ac:dyDescent="0.25">
      <c r="A543" s="21" t="s">
        <v>2218</v>
      </c>
      <c r="B543" s="24">
        <v>2025</v>
      </c>
      <c r="C543" s="92" t="s">
        <v>21</v>
      </c>
      <c r="D543" s="24" t="s">
        <v>2219</v>
      </c>
      <c r="E543" s="30" t="s">
        <v>2220</v>
      </c>
      <c r="F543" s="31" t="s">
        <v>23</v>
      </c>
      <c r="G543" s="21" t="s">
        <v>38</v>
      </c>
      <c r="H543" s="38" t="s">
        <v>2221</v>
      </c>
      <c r="I543" s="39">
        <v>45694</v>
      </c>
      <c r="J543" s="39">
        <v>45702</v>
      </c>
      <c r="K543" s="24" t="s">
        <v>35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>SUM(O543:Q543)</f>
        <v>11</v>
      </c>
      <c r="S543" s="24">
        <v>20</v>
      </c>
      <c r="T543" s="21" t="s">
        <v>1785</v>
      </c>
    </row>
    <row r="544" spans="1:20" ht="23.25" hidden="1" customHeight="1" x14ac:dyDescent="0.25">
      <c r="A544" s="20" t="s">
        <v>2222</v>
      </c>
      <c r="B544" s="22">
        <v>2025</v>
      </c>
      <c r="C544" s="92" t="s">
        <v>21</v>
      </c>
      <c r="D544" s="22" t="s">
        <v>2223</v>
      </c>
      <c r="E544" s="27" t="s">
        <v>2224</v>
      </c>
      <c r="F544" s="29" t="s">
        <v>23</v>
      </c>
      <c r="G544" s="20" t="s">
        <v>1729</v>
      </c>
      <c r="H544" s="36" t="s">
        <v>2225</v>
      </c>
      <c r="I544" s="37">
        <v>45698</v>
      </c>
      <c r="J544" s="37">
        <v>45702</v>
      </c>
      <c r="K544" s="22" t="s">
        <v>26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>SUM(O544:Q544)</f>
        <v>43</v>
      </c>
      <c r="S544" s="22">
        <v>12</v>
      </c>
      <c r="T544" s="20" t="s">
        <v>1752</v>
      </c>
    </row>
    <row r="545" spans="1:20" ht="23.25" hidden="1" customHeight="1" x14ac:dyDescent="0.25">
      <c r="A545" s="21" t="s">
        <v>2226</v>
      </c>
      <c r="B545" s="24">
        <v>2025</v>
      </c>
      <c r="C545" s="92" t="s">
        <v>21</v>
      </c>
      <c r="D545" s="24" t="s">
        <v>2227</v>
      </c>
      <c r="E545" s="30" t="s">
        <v>2228</v>
      </c>
      <c r="F545" s="31" t="s">
        <v>62</v>
      </c>
      <c r="G545" s="21" t="s">
        <v>72</v>
      </c>
      <c r="H545" s="24" t="s">
        <v>2229</v>
      </c>
      <c r="I545" s="39">
        <v>45699</v>
      </c>
      <c r="J545" s="39">
        <v>45708</v>
      </c>
      <c r="K545" s="24" t="s">
        <v>35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>SUM(O545:Q545)</f>
        <v>54</v>
      </c>
      <c r="S545" s="24">
        <v>20</v>
      </c>
      <c r="T545" s="21" t="s">
        <v>951</v>
      </c>
    </row>
    <row r="546" spans="1:20" ht="23.25" hidden="1" customHeight="1" x14ac:dyDescent="0.25">
      <c r="A546" s="20" t="s">
        <v>2230</v>
      </c>
      <c r="B546" s="22">
        <v>2025</v>
      </c>
      <c r="C546" s="90" t="s">
        <v>21</v>
      </c>
      <c r="D546" s="22" t="s">
        <v>2231</v>
      </c>
      <c r="E546" s="27" t="s">
        <v>2232</v>
      </c>
      <c r="F546" s="29" t="s">
        <v>23</v>
      </c>
      <c r="G546" s="20" t="s">
        <v>38</v>
      </c>
      <c r="H546" s="36" t="s">
        <v>2233</v>
      </c>
      <c r="I546" s="37">
        <v>45706</v>
      </c>
      <c r="J546" s="37">
        <v>45707</v>
      </c>
      <c r="K546" s="22" t="s">
        <v>26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>SUM(O546:Q546)</f>
        <v>3</v>
      </c>
      <c r="S546" s="22">
        <v>16</v>
      </c>
      <c r="T546" s="20" t="s">
        <v>1400</v>
      </c>
    </row>
    <row r="547" spans="1:20" ht="23.25" hidden="1" customHeight="1" x14ac:dyDescent="0.25">
      <c r="A547" s="21" t="s">
        <v>2234</v>
      </c>
      <c r="B547" s="24">
        <v>2025</v>
      </c>
      <c r="C547" s="90" t="s">
        <v>21</v>
      </c>
      <c r="D547" s="24" t="s">
        <v>2235</v>
      </c>
      <c r="E547" s="30" t="s">
        <v>2236</v>
      </c>
      <c r="F547" s="31" t="s">
        <v>23</v>
      </c>
      <c r="G547" s="21" t="s">
        <v>24</v>
      </c>
      <c r="H547" s="24" t="s">
        <v>2237</v>
      </c>
      <c r="I547" s="39">
        <v>45706</v>
      </c>
      <c r="J547" s="39">
        <v>45708</v>
      </c>
      <c r="K547" s="24" t="s">
        <v>35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>SUM(O547:Q547)</f>
        <v>21</v>
      </c>
      <c r="S547" s="24">
        <v>8</v>
      </c>
      <c r="T547" s="21" t="s">
        <v>2014</v>
      </c>
    </row>
    <row r="548" spans="1:20" ht="23.25" hidden="1" customHeight="1" x14ac:dyDescent="0.25">
      <c r="A548" s="20" t="s">
        <v>2238</v>
      </c>
      <c r="B548" s="22">
        <v>2025</v>
      </c>
      <c r="C548" s="90" t="s">
        <v>21</v>
      </c>
      <c r="D548" s="22" t="s">
        <v>2239</v>
      </c>
      <c r="E548" s="27" t="s">
        <v>2240</v>
      </c>
      <c r="F548" s="29" t="s">
        <v>81</v>
      </c>
      <c r="G548" s="20" t="s">
        <v>72</v>
      </c>
      <c r="H548" s="36" t="s">
        <v>2241</v>
      </c>
      <c r="I548" s="37">
        <v>45709</v>
      </c>
      <c r="J548" s="37">
        <v>45709</v>
      </c>
      <c r="K548" s="22" t="s">
        <v>35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>SUM(O548:Q548)</f>
        <v>44</v>
      </c>
      <c r="S548" s="22">
        <v>4</v>
      </c>
      <c r="T548" s="20" t="s">
        <v>472</v>
      </c>
    </row>
    <row r="549" spans="1:20" ht="23.25" hidden="1" customHeight="1" x14ac:dyDescent="0.25">
      <c r="A549" s="21" t="s">
        <v>2242</v>
      </c>
      <c r="B549" s="24">
        <v>2025</v>
      </c>
      <c r="C549" s="92" t="s">
        <v>21</v>
      </c>
      <c r="D549" s="24" t="s">
        <v>2243</v>
      </c>
      <c r="E549" s="30" t="s">
        <v>2244</v>
      </c>
      <c r="F549" s="31" t="s">
        <v>62</v>
      </c>
      <c r="G549" s="21" t="s">
        <v>72</v>
      </c>
      <c r="H549" s="38" t="s">
        <v>2245</v>
      </c>
      <c r="I549" s="39">
        <v>45712</v>
      </c>
      <c r="J549" s="39">
        <v>45716</v>
      </c>
      <c r="K549" s="24" t="s">
        <v>35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>SUM(O549:Q549)</f>
        <v>49</v>
      </c>
      <c r="S549" s="24">
        <v>20</v>
      </c>
      <c r="T549" s="21" t="s">
        <v>74</v>
      </c>
    </row>
    <row r="550" spans="1:20" ht="23.25" hidden="1" customHeight="1" x14ac:dyDescent="0.25">
      <c r="A550" s="20" t="s">
        <v>2246</v>
      </c>
      <c r="B550" s="22">
        <v>2025</v>
      </c>
      <c r="C550" s="90" t="s">
        <v>21</v>
      </c>
      <c r="D550" s="22" t="s">
        <v>2247</v>
      </c>
      <c r="E550" s="27" t="s">
        <v>2248</v>
      </c>
      <c r="F550" s="29" t="s">
        <v>23</v>
      </c>
      <c r="G550" s="20" t="s">
        <v>38</v>
      </c>
      <c r="H550" s="36" t="s">
        <v>2249</v>
      </c>
      <c r="I550" s="37">
        <v>45726</v>
      </c>
      <c r="J550" s="37">
        <v>45728</v>
      </c>
      <c r="K550" s="22" t="s">
        <v>26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>SUM(O550:Q550)</f>
        <v>16</v>
      </c>
      <c r="S550" s="22">
        <v>16</v>
      </c>
      <c r="T550" s="20" t="s">
        <v>2250</v>
      </c>
    </row>
    <row r="551" spans="1:20" ht="23.25" hidden="1" customHeight="1" x14ac:dyDescent="0.25">
      <c r="A551" s="21" t="s">
        <v>2251</v>
      </c>
      <c r="B551" s="24">
        <v>2025</v>
      </c>
      <c r="C551" s="92" t="s">
        <v>21</v>
      </c>
      <c r="D551" s="24" t="s">
        <v>2252</v>
      </c>
      <c r="E551" s="30" t="s">
        <v>2253</v>
      </c>
      <c r="F551" s="31" t="s">
        <v>23</v>
      </c>
      <c r="G551" s="21" t="s">
        <v>24</v>
      </c>
      <c r="H551" s="76" t="s">
        <v>2254</v>
      </c>
      <c r="I551" s="39">
        <v>45727</v>
      </c>
      <c r="J551" s="39">
        <v>45751</v>
      </c>
      <c r="K551" s="24" t="s">
        <v>26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>SUM(O551:Q551)</f>
        <v>27</v>
      </c>
      <c r="S551" s="24">
        <v>40</v>
      </c>
      <c r="T551" s="21" t="s">
        <v>2255</v>
      </c>
    </row>
    <row r="552" spans="1:20" ht="23.25" hidden="1" customHeight="1" x14ac:dyDescent="0.25">
      <c r="A552" s="20" t="s">
        <v>2256</v>
      </c>
      <c r="B552" s="22">
        <v>2025</v>
      </c>
      <c r="C552" s="90" t="s">
        <v>21</v>
      </c>
      <c r="D552" s="22" t="s">
        <v>2257</v>
      </c>
      <c r="E552" s="27" t="s">
        <v>2258</v>
      </c>
      <c r="F552" s="29" t="s">
        <v>81</v>
      </c>
      <c r="G552" s="20" t="s">
        <v>72</v>
      </c>
      <c r="H552" s="36" t="s">
        <v>2259</v>
      </c>
      <c r="I552" s="37">
        <v>45727</v>
      </c>
      <c r="J552" s="37">
        <v>45727</v>
      </c>
      <c r="K552" s="22" t="s">
        <v>220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>SUM(O552:Q552)</f>
        <v>114</v>
      </c>
      <c r="S552" s="22">
        <v>2</v>
      </c>
      <c r="T552" s="20" t="s">
        <v>472</v>
      </c>
    </row>
    <row r="553" spans="1:20" ht="23.25" hidden="1" customHeight="1" x14ac:dyDescent="0.25">
      <c r="A553" s="21" t="s">
        <v>2260</v>
      </c>
      <c r="B553" s="24">
        <v>2025</v>
      </c>
      <c r="C553" s="90" t="s">
        <v>21</v>
      </c>
      <c r="D553" s="24" t="s">
        <v>2235</v>
      </c>
      <c r="E553" s="30" t="s">
        <v>2261</v>
      </c>
      <c r="F553" s="31" t="s">
        <v>62</v>
      </c>
      <c r="G553" s="21" t="s">
        <v>72</v>
      </c>
      <c r="H553" s="21" t="s">
        <v>2262</v>
      </c>
      <c r="I553" s="39">
        <v>45729</v>
      </c>
      <c r="J553" s="39">
        <v>45730</v>
      </c>
      <c r="K553" s="24" t="s">
        <v>35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>SUM(O553:Q553)</f>
        <v>24</v>
      </c>
      <c r="S553" s="24">
        <v>8</v>
      </c>
      <c r="T553" s="21" t="s">
        <v>2014</v>
      </c>
    </row>
    <row r="554" spans="1:20" ht="23.25" hidden="1" customHeight="1" x14ac:dyDescent="0.25">
      <c r="A554" s="20" t="s">
        <v>2263</v>
      </c>
      <c r="B554" s="22">
        <v>2025</v>
      </c>
      <c r="C554" s="92" t="s">
        <v>21</v>
      </c>
      <c r="D554" s="22" t="s">
        <v>2264</v>
      </c>
      <c r="E554" s="27" t="s">
        <v>2265</v>
      </c>
      <c r="F554" s="29" t="s">
        <v>23</v>
      </c>
      <c r="G554" s="20" t="s">
        <v>33</v>
      </c>
      <c r="H554" s="20" t="s">
        <v>2266</v>
      </c>
      <c r="I554" s="37">
        <v>45733</v>
      </c>
      <c r="J554" s="37">
        <v>45737</v>
      </c>
      <c r="K554" s="22" t="s">
        <v>35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>SUM(O554:Q554)</f>
        <v>21</v>
      </c>
      <c r="S554" s="22">
        <v>20</v>
      </c>
      <c r="T554" s="20" t="s">
        <v>211</v>
      </c>
    </row>
    <row r="555" spans="1:20" ht="23.25" hidden="1" customHeight="1" x14ac:dyDescent="0.25">
      <c r="A555" s="21" t="s">
        <v>2267</v>
      </c>
      <c r="B555" s="24">
        <v>2025</v>
      </c>
      <c r="C555" s="92" t="s">
        <v>21</v>
      </c>
      <c r="D555" s="24" t="s">
        <v>2268</v>
      </c>
      <c r="E555" s="30" t="s">
        <v>2269</v>
      </c>
      <c r="F555" s="31" t="s">
        <v>81</v>
      </c>
      <c r="G555" s="21" t="s">
        <v>72</v>
      </c>
      <c r="H555" s="38" t="s">
        <v>2270</v>
      </c>
      <c r="I555" s="39">
        <v>45733</v>
      </c>
      <c r="J555" s="39">
        <v>45737</v>
      </c>
      <c r="K555" s="24" t="s">
        <v>220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>SUM(O555:Q555)</f>
        <v>38</v>
      </c>
      <c r="S555" s="24">
        <v>12</v>
      </c>
      <c r="T555" s="21" t="s">
        <v>2159</v>
      </c>
    </row>
    <row r="556" spans="1:20" ht="23.25" hidden="1" customHeight="1" x14ac:dyDescent="0.25">
      <c r="A556" s="20" t="s">
        <v>2271</v>
      </c>
      <c r="B556" s="22">
        <v>2025</v>
      </c>
      <c r="C556" s="90" t="s">
        <v>21</v>
      </c>
      <c r="D556" s="22"/>
      <c r="E556" s="27" t="s">
        <v>2272</v>
      </c>
      <c r="F556" s="29" t="s">
        <v>81</v>
      </c>
      <c r="G556" s="20" t="s">
        <v>72</v>
      </c>
      <c r="H556" s="36" t="s">
        <v>2273</v>
      </c>
      <c r="I556" s="37">
        <v>45736</v>
      </c>
      <c r="J556" s="37">
        <v>45737</v>
      </c>
      <c r="K556" s="22" t="s">
        <v>26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>SUM(O556:Q556)</f>
        <v>97</v>
      </c>
      <c r="S556" s="22">
        <v>16</v>
      </c>
      <c r="T556" s="20" t="s">
        <v>2274</v>
      </c>
    </row>
    <row r="557" spans="1:20" ht="23.25" hidden="1" customHeight="1" x14ac:dyDescent="0.25">
      <c r="A557" s="21" t="s">
        <v>2275</v>
      </c>
      <c r="B557" s="24">
        <v>2025</v>
      </c>
      <c r="C557" s="90" t="s">
        <v>21</v>
      </c>
      <c r="D557" s="24" t="s">
        <v>2276</v>
      </c>
      <c r="E557" s="30" t="s">
        <v>2277</v>
      </c>
      <c r="F557" s="31" t="s">
        <v>81</v>
      </c>
      <c r="G557" s="21" t="s">
        <v>72</v>
      </c>
      <c r="H557" s="38" t="s">
        <v>2278</v>
      </c>
      <c r="I557" s="39">
        <v>45740</v>
      </c>
      <c r="J557" s="39">
        <v>45744</v>
      </c>
      <c r="K557" s="24" t="s">
        <v>220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>SUM(O557:Q557)</f>
        <v>38</v>
      </c>
      <c r="S557" s="24">
        <v>12</v>
      </c>
      <c r="T557" s="21" t="s">
        <v>2159</v>
      </c>
    </row>
    <row r="558" spans="1:20" ht="23.25" hidden="1" customHeight="1" x14ac:dyDescent="0.25">
      <c r="A558" s="20" t="s">
        <v>2279</v>
      </c>
      <c r="B558" s="22">
        <v>2025</v>
      </c>
      <c r="C558" s="92" t="s">
        <v>21</v>
      </c>
      <c r="D558" s="22" t="s">
        <v>2280</v>
      </c>
      <c r="E558" s="27" t="s">
        <v>2281</v>
      </c>
      <c r="F558" s="29" t="s">
        <v>23</v>
      </c>
      <c r="G558" s="20" t="s">
        <v>364</v>
      </c>
      <c r="H558" s="36" t="s">
        <v>2282</v>
      </c>
      <c r="I558" s="37">
        <v>45743</v>
      </c>
      <c r="J558" s="37">
        <v>45744</v>
      </c>
      <c r="K558" s="22" t="s">
        <v>35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>SUM(O558:Q558)</f>
        <v>8</v>
      </c>
      <c r="S558" s="22">
        <v>8</v>
      </c>
      <c r="T558" s="20" t="s">
        <v>472</v>
      </c>
    </row>
    <row r="559" spans="1:20" ht="23.25" hidden="1" customHeight="1" x14ac:dyDescent="0.25">
      <c r="A559" s="21" t="s">
        <v>2283</v>
      </c>
      <c r="B559" s="24">
        <v>2025</v>
      </c>
      <c r="C559" s="92" t="s">
        <v>21</v>
      </c>
      <c r="D559" s="24" t="s">
        <v>2196</v>
      </c>
      <c r="E559" s="30" t="s">
        <v>1332</v>
      </c>
      <c r="F559" s="31" t="s">
        <v>62</v>
      </c>
      <c r="G559" s="21" t="s">
        <v>72</v>
      </c>
      <c r="H559" s="38" t="s">
        <v>2284</v>
      </c>
      <c r="I559" s="39">
        <v>45747</v>
      </c>
      <c r="J559" s="39">
        <v>45751</v>
      </c>
      <c r="K559" s="24" t="s">
        <v>35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>SUM(O559:Q559)</f>
        <v>23</v>
      </c>
      <c r="S559" s="24">
        <v>20</v>
      </c>
      <c r="T559" s="21" t="s">
        <v>74</v>
      </c>
    </row>
    <row r="560" spans="1:20" ht="23.25" hidden="1" customHeight="1" x14ac:dyDescent="0.25">
      <c r="A560" s="20" t="s">
        <v>2285</v>
      </c>
      <c r="B560" s="22">
        <v>2025</v>
      </c>
      <c r="C560" s="92" t="s">
        <v>21</v>
      </c>
      <c r="D560" s="22" t="s">
        <v>2286</v>
      </c>
      <c r="E560" s="27" t="s">
        <v>2287</v>
      </c>
      <c r="F560" s="29" t="s">
        <v>23</v>
      </c>
      <c r="G560" s="20" t="s">
        <v>24</v>
      </c>
      <c r="H560" s="36" t="s">
        <v>2288</v>
      </c>
      <c r="I560" s="37">
        <v>45748</v>
      </c>
      <c r="J560" s="37">
        <v>45758</v>
      </c>
      <c r="K560" s="22" t="s">
        <v>35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>SUM(O560:Q560)</f>
        <v>20</v>
      </c>
      <c r="S560" s="22">
        <v>16</v>
      </c>
      <c r="T560" s="20" t="s">
        <v>2289</v>
      </c>
    </row>
    <row r="561" spans="1:20" ht="23.25" hidden="1" customHeight="1" x14ac:dyDescent="0.25">
      <c r="A561" s="21" t="s">
        <v>2290</v>
      </c>
      <c r="B561" s="24">
        <v>2025</v>
      </c>
      <c r="C561" s="90" t="s">
        <v>21</v>
      </c>
      <c r="D561" s="24" t="s">
        <v>2291</v>
      </c>
      <c r="E561" s="30" t="s">
        <v>2292</v>
      </c>
      <c r="F561" s="31" t="s">
        <v>23</v>
      </c>
      <c r="G561" s="21" t="s">
        <v>38</v>
      </c>
      <c r="H561" s="38" t="s">
        <v>2293</v>
      </c>
      <c r="I561" s="39">
        <v>45748</v>
      </c>
      <c r="J561" s="39">
        <v>45870</v>
      </c>
      <c r="K561" s="24" t="s">
        <v>26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>SUM(O561:Q561)</f>
        <v>13</v>
      </c>
      <c r="S561" s="24">
        <v>16</v>
      </c>
      <c r="T561" s="21" t="s">
        <v>2294</v>
      </c>
    </row>
    <row r="562" spans="1:20" ht="23.25" hidden="1" customHeight="1" x14ac:dyDescent="0.25">
      <c r="A562" s="20" t="s">
        <v>2295</v>
      </c>
      <c r="B562" s="22">
        <v>2025</v>
      </c>
      <c r="C562" s="90" t="s">
        <v>21</v>
      </c>
      <c r="D562" s="22" t="s">
        <v>2296</v>
      </c>
      <c r="E562" s="27" t="s">
        <v>2297</v>
      </c>
      <c r="F562" s="29" t="s">
        <v>62</v>
      </c>
      <c r="G562" s="20" t="s">
        <v>72</v>
      </c>
      <c r="H562" s="36" t="s">
        <v>2298</v>
      </c>
      <c r="I562" s="37">
        <v>45750</v>
      </c>
      <c r="J562" s="37">
        <v>45751</v>
      </c>
      <c r="K562" s="22" t="s">
        <v>220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>SUM(O562:Q562)</f>
        <v>250</v>
      </c>
      <c r="S562" s="22">
        <v>12</v>
      </c>
      <c r="T562" s="20" t="s">
        <v>472</v>
      </c>
    </row>
    <row r="563" spans="1:20" ht="23.25" hidden="1" customHeight="1" x14ac:dyDescent="0.25">
      <c r="A563" s="21" t="s">
        <v>2299</v>
      </c>
      <c r="B563" s="24">
        <v>2025</v>
      </c>
      <c r="C563" s="90" t="s">
        <v>21</v>
      </c>
      <c r="D563" s="24" t="s">
        <v>2300</v>
      </c>
      <c r="E563" s="30" t="s">
        <v>2156</v>
      </c>
      <c r="F563" s="31" t="s">
        <v>62</v>
      </c>
      <c r="G563" s="21" t="s">
        <v>72</v>
      </c>
      <c r="H563" s="38" t="s">
        <v>2301</v>
      </c>
      <c r="I563" s="39">
        <v>45754</v>
      </c>
      <c r="J563" s="39">
        <v>45757</v>
      </c>
      <c r="K563" s="24" t="s">
        <v>35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>SUM(O563:Q563)</f>
        <v>32</v>
      </c>
      <c r="S563" s="24">
        <v>16</v>
      </c>
      <c r="T563" s="21" t="s">
        <v>710</v>
      </c>
    </row>
    <row r="564" spans="1:20" ht="23.25" hidden="1" customHeight="1" x14ac:dyDescent="0.25">
      <c r="A564" s="20" t="s">
        <v>2302</v>
      </c>
      <c r="B564" s="22">
        <v>2025</v>
      </c>
      <c r="C564" s="90" t="s">
        <v>21</v>
      </c>
      <c r="D564" s="22" t="s">
        <v>2303</v>
      </c>
      <c r="E564" s="27" t="s">
        <v>2304</v>
      </c>
      <c r="F564" s="29" t="s">
        <v>62</v>
      </c>
      <c r="G564" s="20" t="s">
        <v>72</v>
      </c>
      <c r="H564" s="77" t="s">
        <v>2305</v>
      </c>
      <c r="I564" s="37">
        <v>45757</v>
      </c>
      <c r="J564" s="37">
        <v>45762</v>
      </c>
      <c r="K564" s="22" t="s">
        <v>26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>SUM(O564:Q564)</f>
        <v>41</v>
      </c>
      <c r="S564" s="22">
        <v>16</v>
      </c>
      <c r="T564" s="20" t="s">
        <v>2154</v>
      </c>
    </row>
    <row r="565" spans="1:20" ht="23.25" hidden="1" customHeight="1" x14ac:dyDescent="0.25">
      <c r="A565" s="21" t="s">
        <v>2306</v>
      </c>
      <c r="B565" s="24">
        <v>2025</v>
      </c>
      <c r="C565" s="90" t="s">
        <v>21</v>
      </c>
      <c r="D565" s="24" t="s">
        <v>2307</v>
      </c>
      <c r="E565" s="30" t="s">
        <v>2308</v>
      </c>
      <c r="F565" s="31" t="s">
        <v>23</v>
      </c>
      <c r="G565" s="21" t="s">
        <v>33</v>
      </c>
      <c r="H565" s="38" t="s">
        <v>2309</v>
      </c>
      <c r="I565" s="39">
        <v>45757</v>
      </c>
      <c r="J565" s="39">
        <v>45757</v>
      </c>
      <c r="K565" s="24" t="s">
        <v>26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>SUM(O565:Q565)</f>
        <v>75</v>
      </c>
      <c r="S565" s="24">
        <v>2</v>
      </c>
      <c r="T565" s="21" t="s">
        <v>2310</v>
      </c>
    </row>
    <row r="566" spans="1:20" ht="23.25" hidden="1" customHeight="1" x14ac:dyDescent="0.25">
      <c r="A566" s="20" t="s">
        <v>2311</v>
      </c>
      <c r="B566" s="22">
        <v>2025</v>
      </c>
      <c r="C566" s="92" t="s">
        <v>21</v>
      </c>
      <c r="D566" s="22" t="s">
        <v>2312</v>
      </c>
      <c r="E566" s="27" t="s">
        <v>2313</v>
      </c>
      <c r="F566" s="29" t="s">
        <v>62</v>
      </c>
      <c r="G566" s="20" t="s">
        <v>33</v>
      </c>
      <c r="H566" s="36" t="s">
        <v>2314</v>
      </c>
      <c r="I566" s="37">
        <v>45758</v>
      </c>
      <c r="J566" s="37">
        <v>45758</v>
      </c>
      <c r="K566" s="22" t="s">
        <v>26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>SUM(O566:Q566)</f>
        <v>100</v>
      </c>
      <c r="S566" s="22">
        <v>1</v>
      </c>
      <c r="T566" s="20" t="s">
        <v>2315</v>
      </c>
    </row>
    <row r="567" spans="1:20" ht="23.25" hidden="1" customHeight="1" x14ac:dyDescent="0.25">
      <c r="A567" s="21" t="s">
        <v>2316</v>
      </c>
      <c r="B567" s="24">
        <v>2025</v>
      </c>
      <c r="C567" s="90" t="s">
        <v>21</v>
      </c>
      <c r="D567" s="24" t="s">
        <v>2247</v>
      </c>
      <c r="E567" s="30" t="s">
        <v>2317</v>
      </c>
      <c r="F567" s="31" t="s">
        <v>23</v>
      </c>
      <c r="G567" s="21" t="s">
        <v>38</v>
      </c>
      <c r="H567" s="38" t="s">
        <v>2318</v>
      </c>
      <c r="I567" s="39">
        <v>45761</v>
      </c>
      <c r="J567" s="39">
        <v>45762</v>
      </c>
      <c r="K567" s="24" t="s">
        <v>26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>SUM(O567:Q567)</f>
        <v>20</v>
      </c>
      <c r="S567" s="24">
        <v>8</v>
      </c>
      <c r="T567" s="21" t="s">
        <v>2250</v>
      </c>
    </row>
    <row r="568" spans="1:20" ht="23.25" hidden="1" customHeight="1" x14ac:dyDescent="0.25">
      <c r="A568" s="20" t="s">
        <v>2319</v>
      </c>
      <c r="B568" s="22">
        <v>2025</v>
      </c>
      <c r="C568" s="90" t="s">
        <v>21</v>
      </c>
      <c r="D568" s="22" t="s">
        <v>2303</v>
      </c>
      <c r="E568" s="27" t="s">
        <v>2320</v>
      </c>
      <c r="F568" s="29" t="s">
        <v>62</v>
      </c>
      <c r="G568" s="20" t="s">
        <v>72</v>
      </c>
      <c r="H568" s="77" t="s">
        <v>2321</v>
      </c>
      <c r="I568" s="37">
        <v>45769</v>
      </c>
      <c r="J568" s="37">
        <v>45777</v>
      </c>
      <c r="K568" s="22" t="s">
        <v>26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>SUM(O568:Q568)</f>
        <v>40</v>
      </c>
      <c r="S568" s="22">
        <v>16</v>
      </c>
      <c r="T568" s="20" t="s">
        <v>2154</v>
      </c>
    </row>
    <row r="569" spans="1:20" ht="23.25" hidden="1" customHeight="1" x14ac:dyDescent="0.25">
      <c r="A569" s="21" t="s">
        <v>2322</v>
      </c>
      <c r="B569" s="24">
        <v>2025</v>
      </c>
      <c r="C569" s="90" t="s">
        <v>21</v>
      </c>
      <c r="D569" s="24" t="s">
        <v>2323</v>
      </c>
      <c r="E569" s="30" t="s">
        <v>2324</v>
      </c>
      <c r="F569" s="31" t="s">
        <v>62</v>
      </c>
      <c r="G569" s="21" t="s">
        <v>72</v>
      </c>
      <c r="H569" s="38" t="s">
        <v>2325</v>
      </c>
      <c r="I569" s="39">
        <v>45770</v>
      </c>
      <c r="J569" s="39">
        <v>45772</v>
      </c>
      <c r="K569" s="24" t="s">
        <v>35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>SUM(O569:Q569)</f>
        <v>48</v>
      </c>
      <c r="S569" s="24">
        <v>12</v>
      </c>
      <c r="T569" s="21" t="s">
        <v>1055</v>
      </c>
    </row>
    <row r="570" spans="1:20" ht="23.25" hidden="1" customHeight="1" x14ac:dyDescent="0.25">
      <c r="A570" s="20" t="s">
        <v>2326</v>
      </c>
      <c r="B570" s="22">
        <v>2025</v>
      </c>
      <c r="C570" s="92" t="s">
        <v>21</v>
      </c>
      <c r="D570" s="22" t="s">
        <v>2327</v>
      </c>
      <c r="E570" s="27" t="s">
        <v>2328</v>
      </c>
      <c r="F570" s="29" t="s">
        <v>23</v>
      </c>
      <c r="G570" s="20" t="s">
        <v>38</v>
      </c>
      <c r="H570" s="36" t="s">
        <v>2329</v>
      </c>
      <c r="I570" s="37">
        <v>45771</v>
      </c>
      <c r="J570" s="37">
        <v>45777</v>
      </c>
      <c r="K570" s="22" t="s">
        <v>35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>SUM(O570:Q570)</f>
        <v>16</v>
      </c>
      <c r="S570" s="22">
        <v>20</v>
      </c>
      <c r="T570" s="20" t="s">
        <v>1785</v>
      </c>
    </row>
    <row r="571" spans="1:20" ht="23.25" hidden="1" customHeight="1" x14ac:dyDescent="0.25">
      <c r="A571" s="21" t="s">
        <v>2330</v>
      </c>
      <c r="B571" s="24">
        <v>2025</v>
      </c>
      <c r="C571" s="90" t="s">
        <v>21</v>
      </c>
      <c r="D571" s="24" t="s">
        <v>2331</v>
      </c>
      <c r="E571" s="30" t="s">
        <v>2332</v>
      </c>
      <c r="F571" s="31" t="s">
        <v>23</v>
      </c>
      <c r="G571" s="46" t="s">
        <v>199</v>
      </c>
      <c r="H571" s="38" t="s">
        <v>2333</v>
      </c>
      <c r="I571" s="39">
        <v>45772</v>
      </c>
      <c r="J571" s="39">
        <v>45772</v>
      </c>
      <c r="K571" s="24" t="s">
        <v>35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>SUM(O571:Q571)</f>
        <v>170</v>
      </c>
      <c r="S571" s="24">
        <v>2</v>
      </c>
      <c r="T571" s="20" t="s">
        <v>2334</v>
      </c>
    </row>
    <row r="572" spans="1:20" ht="23.25" hidden="1" customHeight="1" x14ac:dyDescent="0.25">
      <c r="A572" s="20" t="s">
        <v>2335</v>
      </c>
      <c r="B572" s="22">
        <v>2025</v>
      </c>
      <c r="C572" s="90" t="s">
        <v>21</v>
      </c>
      <c r="D572" s="22" t="s">
        <v>2336</v>
      </c>
      <c r="E572" s="27" t="s">
        <v>2337</v>
      </c>
      <c r="F572" s="29" t="s">
        <v>23</v>
      </c>
      <c r="G572" s="54" t="s">
        <v>199</v>
      </c>
      <c r="H572" s="36" t="s">
        <v>2338</v>
      </c>
      <c r="I572" s="37">
        <v>45775</v>
      </c>
      <c r="J572" s="37">
        <v>45775</v>
      </c>
      <c r="K572" s="22" t="s">
        <v>35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>SUM(O572:Q572)</f>
        <v>80</v>
      </c>
      <c r="S572" s="22">
        <v>1</v>
      </c>
      <c r="T572" s="20"/>
    </row>
    <row r="573" spans="1:20" ht="23.25" hidden="1" customHeight="1" x14ac:dyDescent="0.25">
      <c r="A573" s="21" t="s">
        <v>2339</v>
      </c>
      <c r="B573" s="24">
        <v>2025</v>
      </c>
      <c r="C573" s="90" t="s">
        <v>21</v>
      </c>
      <c r="D573" s="47" t="s">
        <v>2340</v>
      </c>
      <c r="E573" s="30" t="s">
        <v>1723</v>
      </c>
      <c r="F573" s="31" t="s">
        <v>62</v>
      </c>
      <c r="G573" s="21" t="s">
        <v>72</v>
      </c>
      <c r="H573" s="38" t="s">
        <v>2341</v>
      </c>
      <c r="I573" s="39">
        <v>45776</v>
      </c>
      <c r="J573" s="39">
        <v>45776</v>
      </c>
      <c r="K573" s="24" t="s">
        <v>26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>SUM(O573:Q573)</f>
        <v>176</v>
      </c>
      <c r="S573" s="24">
        <v>4</v>
      </c>
      <c r="T573" s="21" t="s">
        <v>472</v>
      </c>
    </row>
    <row r="574" spans="1:20" ht="24.75" hidden="1" customHeight="1" x14ac:dyDescent="0.25">
      <c r="A574" s="20" t="s">
        <v>2342</v>
      </c>
      <c r="B574" s="22">
        <v>2025</v>
      </c>
      <c r="C574" s="92" t="s">
        <v>21</v>
      </c>
      <c r="D574" s="22" t="s">
        <v>2343</v>
      </c>
      <c r="E574" s="27" t="s">
        <v>2344</v>
      </c>
      <c r="F574" s="29" t="s">
        <v>23</v>
      </c>
      <c r="G574" s="20" t="s">
        <v>457</v>
      </c>
      <c r="H574" s="36" t="s">
        <v>2345</v>
      </c>
      <c r="I574" s="37">
        <v>45778</v>
      </c>
      <c r="J574" s="37">
        <v>45778</v>
      </c>
      <c r="K574" s="22" t="s">
        <v>26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>SUM(O574:Q574)</f>
        <v>0</v>
      </c>
      <c r="S574" s="22"/>
      <c r="T574" s="20" t="s">
        <v>966</v>
      </c>
    </row>
    <row r="575" spans="1:20" ht="23.25" hidden="1" customHeight="1" x14ac:dyDescent="0.25">
      <c r="A575" s="21" t="s">
        <v>2346</v>
      </c>
      <c r="B575" s="24">
        <v>2025</v>
      </c>
      <c r="C575" s="90" t="s">
        <v>21</v>
      </c>
      <c r="D575" s="24" t="s">
        <v>2243</v>
      </c>
      <c r="E575" s="30" t="s">
        <v>2347</v>
      </c>
      <c r="F575" s="31" t="s">
        <v>62</v>
      </c>
      <c r="G575" s="21" t="s">
        <v>72</v>
      </c>
      <c r="H575" s="38" t="s">
        <v>2348</v>
      </c>
      <c r="I575" s="39">
        <v>45782</v>
      </c>
      <c r="J575" s="39">
        <v>45786</v>
      </c>
      <c r="K575" s="24" t="s">
        <v>35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>SUM(O575:Q575)</f>
        <v>44</v>
      </c>
      <c r="S575" s="24">
        <v>20</v>
      </c>
      <c r="T575" s="21" t="s">
        <v>74</v>
      </c>
    </row>
    <row r="576" spans="1:20" ht="23.25" hidden="1" customHeight="1" x14ac:dyDescent="0.25">
      <c r="A576" s="20" t="s">
        <v>2349</v>
      </c>
      <c r="B576" s="22">
        <v>2025</v>
      </c>
      <c r="C576" s="90" t="s">
        <v>21</v>
      </c>
      <c r="D576" s="22" t="s">
        <v>2350</v>
      </c>
      <c r="E576" s="27" t="s">
        <v>2351</v>
      </c>
      <c r="F576" s="29" t="s">
        <v>81</v>
      </c>
      <c r="G576" s="20" t="s">
        <v>72</v>
      </c>
      <c r="H576" s="36" t="s">
        <v>2352</v>
      </c>
      <c r="I576" s="37">
        <v>45789</v>
      </c>
      <c r="J576" s="37">
        <v>45793</v>
      </c>
      <c r="K576" s="22" t="s">
        <v>35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>SUM(O576:Q576)</f>
        <v>41</v>
      </c>
      <c r="S576" s="22">
        <v>12</v>
      </c>
      <c r="T576" s="20" t="s">
        <v>2159</v>
      </c>
    </row>
    <row r="577" spans="1:20" ht="23.25" hidden="1" customHeight="1" x14ac:dyDescent="0.25">
      <c r="A577" s="21" t="s">
        <v>2353</v>
      </c>
      <c r="B577" s="24">
        <v>2025</v>
      </c>
      <c r="C577" s="90" t="s">
        <v>21</v>
      </c>
      <c r="D577" s="24" t="s">
        <v>2354</v>
      </c>
      <c r="E577" s="30" t="s">
        <v>2355</v>
      </c>
      <c r="F577" s="31" t="s">
        <v>23</v>
      </c>
      <c r="G577" s="46" t="s">
        <v>199</v>
      </c>
      <c r="H577" s="38" t="s">
        <v>2356</v>
      </c>
      <c r="I577" s="39">
        <v>45797</v>
      </c>
      <c r="J577" s="39">
        <v>45797</v>
      </c>
      <c r="K577" s="24" t="s">
        <v>35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>SUM(O577:Q577)</f>
        <v>170</v>
      </c>
      <c r="S577" s="24">
        <v>2</v>
      </c>
      <c r="T577" s="21" t="s">
        <v>2357</v>
      </c>
    </row>
    <row r="578" spans="1:20" ht="23.25" hidden="1" customHeight="1" x14ac:dyDescent="0.25">
      <c r="A578" s="20" t="s">
        <v>2358</v>
      </c>
      <c r="B578" s="22">
        <v>2025</v>
      </c>
      <c r="C578" s="90" t="s">
        <v>21</v>
      </c>
      <c r="D578" s="22" t="s">
        <v>2359</v>
      </c>
      <c r="E578" s="27" t="s">
        <v>2360</v>
      </c>
      <c r="F578" s="29" t="s">
        <v>81</v>
      </c>
      <c r="G578" s="20" t="s">
        <v>72</v>
      </c>
      <c r="H578" s="36" t="s">
        <v>2361</v>
      </c>
      <c r="I578" s="37">
        <v>45799</v>
      </c>
      <c r="J578" s="37">
        <v>45799</v>
      </c>
      <c r="K578" s="22" t="s">
        <v>35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>SUM(O578:Q578)</f>
        <v>40</v>
      </c>
      <c r="S578" s="22">
        <v>3</v>
      </c>
      <c r="T578" s="43" t="s">
        <v>2362</v>
      </c>
    </row>
    <row r="579" spans="1:20" ht="23.25" hidden="1" customHeight="1" x14ac:dyDescent="0.25">
      <c r="A579" s="21" t="s">
        <v>2363</v>
      </c>
      <c r="B579" s="24">
        <v>2025</v>
      </c>
      <c r="C579" s="90" t="s">
        <v>21</v>
      </c>
      <c r="D579" s="24" t="s">
        <v>2359</v>
      </c>
      <c r="E579" s="30" t="s">
        <v>2364</v>
      </c>
      <c r="F579" s="31" t="s">
        <v>81</v>
      </c>
      <c r="G579" s="21" t="s">
        <v>72</v>
      </c>
      <c r="H579" s="76" t="s">
        <v>2365</v>
      </c>
      <c r="I579" s="39">
        <v>45800</v>
      </c>
      <c r="J579" s="39">
        <v>45800</v>
      </c>
      <c r="K579" s="24" t="s">
        <v>35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>SUM(O579:Q579)</f>
        <v>40</v>
      </c>
      <c r="S579" s="24">
        <v>3</v>
      </c>
      <c r="T579" s="44" t="s">
        <v>2362</v>
      </c>
    </row>
    <row r="580" spans="1:20" ht="23.25" hidden="1" customHeight="1" x14ac:dyDescent="0.25">
      <c r="A580" s="20" t="s">
        <v>2366</v>
      </c>
      <c r="B580" s="22">
        <v>2025</v>
      </c>
      <c r="C580" s="90" t="s">
        <v>21</v>
      </c>
      <c r="D580" s="22" t="s">
        <v>2367</v>
      </c>
      <c r="E580" s="27" t="s">
        <v>2368</v>
      </c>
      <c r="F580" s="29" t="s">
        <v>23</v>
      </c>
      <c r="G580" s="20" t="s">
        <v>38</v>
      </c>
      <c r="H580" s="36" t="s">
        <v>2369</v>
      </c>
      <c r="I580" s="37">
        <v>45803</v>
      </c>
      <c r="J580" s="37">
        <v>45807</v>
      </c>
      <c r="K580" s="22" t="s">
        <v>35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>SUM(O580:Q580)</f>
        <v>18</v>
      </c>
      <c r="S580" s="22">
        <v>12</v>
      </c>
      <c r="T580" s="20" t="s">
        <v>2370</v>
      </c>
    </row>
    <row r="581" spans="1:20" ht="23.25" hidden="1" customHeight="1" x14ac:dyDescent="0.25">
      <c r="A581" s="21" t="s">
        <v>2371</v>
      </c>
      <c r="B581" s="24">
        <v>2025</v>
      </c>
      <c r="C581" s="92" t="s">
        <v>21</v>
      </c>
      <c r="D581" s="24" t="s">
        <v>2372</v>
      </c>
      <c r="E581" s="30" t="s">
        <v>2373</v>
      </c>
      <c r="F581" s="31" t="s">
        <v>23</v>
      </c>
      <c r="G581" s="46" t="s">
        <v>68</v>
      </c>
      <c r="H581" s="38" t="s">
        <v>2374</v>
      </c>
      <c r="I581" s="39">
        <v>45804</v>
      </c>
      <c r="J581" s="39">
        <v>45807</v>
      </c>
      <c r="K581" s="24" t="s">
        <v>35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>SUM(O581:Q581)</f>
        <v>18</v>
      </c>
      <c r="S581" s="24">
        <v>12</v>
      </c>
      <c r="T581" s="21" t="s">
        <v>2102</v>
      </c>
    </row>
    <row r="582" spans="1:20" ht="23.25" hidden="1" customHeight="1" x14ac:dyDescent="0.25">
      <c r="A582" s="20" t="s">
        <v>2375</v>
      </c>
      <c r="B582" s="22">
        <v>2025</v>
      </c>
      <c r="C582" s="90" t="s">
        <v>21</v>
      </c>
      <c r="D582" s="22" t="s">
        <v>2376</v>
      </c>
      <c r="E582" s="27" t="s">
        <v>2377</v>
      </c>
      <c r="F582" s="29" t="s">
        <v>23</v>
      </c>
      <c r="G582" s="20" t="s">
        <v>457</v>
      </c>
      <c r="H582" s="36" t="s">
        <v>2378</v>
      </c>
      <c r="I582" s="37">
        <v>45805</v>
      </c>
      <c r="J582" s="37">
        <v>45811</v>
      </c>
      <c r="K582" s="22" t="s">
        <v>26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>SUM(O582:Q582)</f>
        <v>38</v>
      </c>
      <c r="S582" s="22">
        <v>16</v>
      </c>
      <c r="T582" s="20" t="s">
        <v>966</v>
      </c>
    </row>
    <row r="583" spans="1:20" ht="23.25" hidden="1" customHeight="1" x14ac:dyDescent="0.25">
      <c r="A583" s="21" t="s">
        <v>2379</v>
      </c>
      <c r="B583" s="24">
        <v>2025</v>
      </c>
      <c r="C583" s="92" t="s">
        <v>21</v>
      </c>
      <c r="D583" s="24" t="s">
        <v>2223</v>
      </c>
      <c r="E583" s="30" t="s">
        <v>2380</v>
      </c>
      <c r="F583" s="31" t="s">
        <v>23</v>
      </c>
      <c r="G583" s="21" t="s">
        <v>1729</v>
      </c>
      <c r="H583" s="38" t="s">
        <v>2381</v>
      </c>
      <c r="I583" s="39">
        <v>45809</v>
      </c>
      <c r="J583" s="39">
        <v>45809</v>
      </c>
      <c r="K583" s="24" t="s">
        <v>26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>SUM(O583:Q583)</f>
        <v>15</v>
      </c>
      <c r="S583" s="24">
        <v>12</v>
      </c>
      <c r="T583" s="21" t="s">
        <v>1752</v>
      </c>
    </row>
    <row r="584" spans="1:20" ht="36" hidden="1" customHeight="1" x14ac:dyDescent="0.25">
      <c r="A584" s="20" t="s">
        <v>2382</v>
      </c>
      <c r="B584" s="22">
        <v>2025</v>
      </c>
      <c r="C584" s="90" t="s">
        <v>21</v>
      </c>
      <c r="D584" s="22" t="s">
        <v>2383</v>
      </c>
      <c r="E584" s="27" t="s">
        <v>2384</v>
      </c>
      <c r="F584" s="29" t="s">
        <v>81</v>
      </c>
      <c r="G584" s="20" t="s">
        <v>72</v>
      </c>
      <c r="H584" s="36" t="s">
        <v>2385</v>
      </c>
      <c r="I584" s="37">
        <v>45810</v>
      </c>
      <c r="J584" s="37">
        <v>45814</v>
      </c>
      <c r="K584" s="22" t="s">
        <v>35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>SUM(O584:Q584)</f>
        <v>31</v>
      </c>
      <c r="S584" s="22">
        <v>12</v>
      </c>
      <c r="T584" s="20" t="s">
        <v>2159</v>
      </c>
    </row>
    <row r="585" spans="1:20" ht="23.25" hidden="1" customHeight="1" x14ac:dyDescent="0.25">
      <c r="A585" s="21" t="s">
        <v>2386</v>
      </c>
      <c r="B585" s="24">
        <v>2025</v>
      </c>
      <c r="C585" s="92" t="s">
        <v>21</v>
      </c>
      <c r="D585" s="24" t="s">
        <v>2387</v>
      </c>
      <c r="E585" s="30" t="s">
        <v>2388</v>
      </c>
      <c r="F585" s="31" t="s">
        <v>23</v>
      </c>
      <c r="G585" s="46" t="s">
        <v>68</v>
      </c>
      <c r="H585" s="38" t="s">
        <v>2389</v>
      </c>
      <c r="I585" s="39">
        <v>45810</v>
      </c>
      <c r="J585" s="39">
        <v>45820</v>
      </c>
      <c r="K585" s="24" t="s">
        <v>26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>SUM(O585:Q585)</f>
        <v>29</v>
      </c>
      <c r="S585" s="24">
        <v>25</v>
      </c>
      <c r="T585" s="21" t="s">
        <v>69</v>
      </c>
    </row>
    <row r="586" spans="1:20" ht="23.25" hidden="1" customHeight="1" x14ac:dyDescent="0.25">
      <c r="A586" s="20" t="s">
        <v>2390</v>
      </c>
      <c r="B586" s="22">
        <v>2025</v>
      </c>
      <c r="C586" s="90" t="s">
        <v>21</v>
      </c>
      <c r="D586" s="22" t="s">
        <v>2391</v>
      </c>
      <c r="E586" s="27" t="s">
        <v>2046</v>
      </c>
      <c r="F586" s="29" t="s">
        <v>81</v>
      </c>
      <c r="G586" s="20" t="s">
        <v>72</v>
      </c>
      <c r="H586" s="36" t="s">
        <v>2392</v>
      </c>
      <c r="I586" s="37">
        <v>45812</v>
      </c>
      <c r="J586" s="37">
        <v>45812</v>
      </c>
      <c r="K586" s="22" t="s">
        <v>35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>SUM(O586:Q586)</f>
        <v>30</v>
      </c>
      <c r="S586" s="22">
        <v>3</v>
      </c>
      <c r="T586" s="264" t="s">
        <v>2048</v>
      </c>
    </row>
    <row r="587" spans="1:20" ht="23.25" hidden="1" customHeight="1" x14ac:dyDescent="0.25">
      <c r="A587" s="21" t="s">
        <v>2393</v>
      </c>
      <c r="B587" s="24">
        <v>2025</v>
      </c>
      <c r="C587" s="92" t="s">
        <v>21</v>
      </c>
      <c r="D587" s="24" t="s">
        <v>2327</v>
      </c>
      <c r="E587" s="30" t="s">
        <v>2394</v>
      </c>
      <c r="F587" s="31" t="s">
        <v>23</v>
      </c>
      <c r="G587" s="21" t="s">
        <v>38</v>
      </c>
      <c r="H587" s="38" t="s">
        <v>2395</v>
      </c>
      <c r="I587" s="39">
        <v>45817</v>
      </c>
      <c r="J587" s="39">
        <v>45825</v>
      </c>
      <c r="K587" s="24" t="s">
        <v>35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>SUM(O587:Q587)</f>
        <v>14</v>
      </c>
      <c r="S587" s="24">
        <v>20</v>
      </c>
      <c r="T587" s="265" t="s">
        <v>1785</v>
      </c>
    </row>
    <row r="588" spans="1:20" ht="23.25" hidden="1" customHeight="1" x14ac:dyDescent="0.25">
      <c r="A588" s="20" t="s">
        <v>2396</v>
      </c>
      <c r="B588" s="22">
        <v>2025</v>
      </c>
      <c r="C588" s="92" t="s">
        <v>21</v>
      </c>
      <c r="D588" s="22" t="s">
        <v>2397</v>
      </c>
      <c r="E588" s="27" t="s">
        <v>2398</v>
      </c>
      <c r="F588" s="29" t="s">
        <v>23</v>
      </c>
      <c r="G588" s="20" t="s">
        <v>364</v>
      </c>
      <c r="H588" s="36" t="s">
        <v>2399</v>
      </c>
      <c r="I588" s="37">
        <v>45817</v>
      </c>
      <c r="J588" s="37">
        <v>45818</v>
      </c>
      <c r="K588" s="22" t="s">
        <v>26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>SUM(O588:Q588)</f>
        <v>27</v>
      </c>
      <c r="S588" s="22">
        <v>8</v>
      </c>
      <c r="T588" s="264" t="s">
        <v>2400</v>
      </c>
    </row>
    <row r="589" spans="1:20" ht="23.25" hidden="1" customHeight="1" x14ac:dyDescent="0.25">
      <c r="A589" s="21" t="s">
        <v>2401</v>
      </c>
      <c r="B589" s="24">
        <v>2025</v>
      </c>
      <c r="C589" s="92" t="s">
        <v>21</v>
      </c>
      <c r="D589" s="24" t="s">
        <v>2402</v>
      </c>
      <c r="E589" s="30" t="s">
        <v>2403</v>
      </c>
      <c r="F589" s="31" t="s">
        <v>23</v>
      </c>
      <c r="G589" s="46" t="s">
        <v>68</v>
      </c>
      <c r="H589" s="38" t="s">
        <v>2404</v>
      </c>
      <c r="I589" s="39">
        <v>45820</v>
      </c>
      <c r="J589" s="39">
        <v>45821</v>
      </c>
      <c r="K589" s="24" t="s">
        <v>35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>SUM(O589:Q589)</f>
        <v>14</v>
      </c>
      <c r="S589" s="24">
        <v>8</v>
      </c>
      <c r="T589" s="265" t="s">
        <v>211</v>
      </c>
    </row>
    <row r="590" spans="1:20" ht="23.25" hidden="1" customHeight="1" x14ac:dyDescent="0.25">
      <c r="A590" s="20" t="s">
        <v>2405</v>
      </c>
      <c r="B590" s="22">
        <v>2025</v>
      </c>
      <c r="C590" s="92" t="s">
        <v>21</v>
      </c>
      <c r="D590" s="22" t="s">
        <v>2406</v>
      </c>
      <c r="E590" s="27" t="s">
        <v>2407</v>
      </c>
      <c r="F590" s="29" t="s">
        <v>23</v>
      </c>
      <c r="G590" s="54" t="s">
        <v>68</v>
      </c>
      <c r="H590" s="36" t="s">
        <v>2408</v>
      </c>
      <c r="I590" s="37">
        <v>45824</v>
      </c>
      <c r="J590" s="37">
        <v>45826</v>
      </c>
      <c r="K590" s="22" t="s">
        <v>26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>SUM(O590:Q590)</f>
        <v>33</v>
      </c>
      <c r="S590" s="22">
        <v>15</v>
      </c>
      <c r="T590" s="20" t="s">
        <v>2409</v>
      </c>
    </row>
    <row r="591" spans="1:20" ht="23.25" hidden="1" customHeight="1" x14ac:dyDescent="0.25">
      <c r="A591" s="21" t="s">
        <v>2410</v>
      </c>
      <c r="B591" s="24">
        <v>2025</v>
      </c>
      <c r="C591" s="90" t="s">
        <v>21</v>
      </c>
      <c r="D591" s="24" t="s">
        <v>2411</v>
      </c>
      <c r="E591" s="30" t="s">
        <v>2412</v>
      </c>
      <c r="F591" s="31" t="s">
        <v>81</v>
      </c>
      <c r="G591" s="21" t="s">
        <v>72</v>
      </c>
      <c r="H591" s="38" t="s">
        <v>2413</v>
      </c>
      <c r="I591" s="39">
        <v>45831</v>
      </c>
      <c r="J591" s="39">
        <v>45835</v>
      </c>
      <c r="K591" s="24" t="s">
        <v>35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>SUM(O591:Q591)</f>
        <v>42</v>
      </c>
      <c r="S591" s="24">
        <v>20</v>
      </c>
      <c r="T591" s="21" t="s">
        <v>418</v>
      </c>
    </row>
    <row r="592" spans="1:20" ht="23.25" hidden="1" customHeight="1" x14ac:dyDescent="0.25">
      <c r="A592" s="20" t="s">
        <v>2414</v>
      </c>
      <c r="B592" s="22">
        <v>2025</v>
      </c>
      <c r="C592" s="92" t="s">
        <v>21</v>
      </c>
      <c r="D592" s="22" t="s">
        <v>2415</v>
      </c>
      <c r="E592" s="27" t="s">
        <v>2416</v>
      </c>
      <c r="F592" s="29" t="s">
        <v>23</v>
      </c>
      <c r="G592" s="20" t="s">
        <v>33</v>
      </c>
      <c r="H592" s="36" t="s">
        <v>2417</v>
      </c>
      <c r="I592" s="37">
        <v>45832</v>
      </c>
      <c r="J592" s="37">
        <v>45834</v>
      </c>
      <c r="K592" s="22" t="s">
        <v>35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>SUM(O592:Q592)</f>
        <v>22</v>
      </c>
      <c r="S592" s="22">
        <v>8</v>
      </c>
      <c r="T592" s="20" t="s">
        <v>2418</v>
      </c>
    </row>
    <row r="593" spans="1:20" ht="23.25" hidden="1" customHeight="1" x14ac:dyDescent="0.25">
      <c r="A593" s="21" t="s">
        <v>2419</v>
      </c>
      <c r="B593" s="24">
        <v>2025</v>
      </c>
      <c r="C593" s="90" t="s">
        <v>21</v>
      </c>
      <c r="D593" s="24" t="s">
        <v>2420</v>
      </c>
      <c r="E593" s="30" t="s">
        <v>2421</v>
      </c>
      <c r="F593" s="31" t="s">
        <v>23</v>
      </c>
      <c r="G593" s="21" t="s">
        <v>38</v>
      </c>
      <c r="H593" s="78" t="s">
        <v>2422</v>
      </c>
      <c r="I593" s="39">
        <v>45832</v>
      </c>
      <c r="J593" s="39">
        <v>45841</v>
      </c>
      <c r="K593" s="24" t="s">
        <v>35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>SUM(O593:Q593)</f>
        <v>9</v>
      </c>
      <c r="S593" s="24">
        <v>16</v>
      </c>
      <c r="T593" s="21" t="s">
        <v>2423</v>
      </c>
    </row>
    <row r="594" spans="1:20" ht="23.25" hidden="1" customHeight="1" x14ac:dyDescent="0.25">
      <c r="A594" s="20" t="s">
        <v>2424</v>
      </c>
      <c r="B594" s="22">
        <v>2025</v>
      </c>
      <c r="C594" s="92" t="s">
        <v>21</v>
      </c>
      <c r="D594" s="22" t="s">
        <v>2425</v>
      </c>
      <c r="E594" s="27" t="s">
        <v>2426</v>
      </c>
      <c r="F594" s="29" t="s">
        <v>62</v>
      </c>
      <c r="G594" s="20" t="s">
        <v>72</v>
      </c>
      <c r="H594" s="36" t="s">
        <v>2427</v>
      </c>
      <c r="I594" s="37">
        <v>45833</v>
      </c>
      <c r="J594" s="37">
        <v>45833</v>
      </c>
      <c r="K594" s="22" t="s">
        <v>35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>SUM(O594:Q594)</f>
        <v>20</v>
      </c>
      <c r="S594" s="22">
        <v>4</v>
      </c>
      <c r="T594" s="20" t="s">
        <v>2428</v>
      </c>
    </row>
    <row r="595" spans="1:20" ht="23.25" hidden="1" customHeight="1" x14ac:dyDescent="0.25">
      <c r="A595" s="21" t="s">
        <v>2429</v>
      </c>
      <c r="B595" s="24">
        <v>2025</v>
      </c>
      <c r="C595" s="90" t="s">
        <v>21</v>
      </c>
      <c r="D595" s="24" t="s">
        <v>2430</v>
      </c>
      <c r="E595" s="30" t="s">
        <v>2431</v>
      </c>
      <c r="F595" s="31" t="s">
        <v>81</v>
      </c>
      <c r="G595" s="21" t="s">
        <v>72</v>
      </c>
      <c r="H595" s="38" t="s">
        <v>2432</v>
      </c>
      <c r="I595" s="39">
        <v>45838</v>
      </c>
      <c r="J595" s="39">
        <v>45842</v>
      </c>
      <c r="K595" s="24" t="s">
        <v>35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>SUM(O595:Q595)</f>
        <v>25</v>
      </c>
      <c r="S595" s="24">
        <v>5</v>
      </c>
      <c r="T595" s="21" t="s">
        <v>1023</v>
      </c>
    </row>
    <row r="596" spans="1:20" ht="23.25" hidden="1" customHeight="1" x14ac:dyDescent="0.25">
      <c r="A596" s="20" t="s">
        <v>2433</v>
      </c>
      <c r="B596" s="22">
        <v>2025</v>
      </c>
      <c r="C596" s="91" t="s">
        <v>21</v>
      </c>
      <c r="D596" s="70" t="s">
        <v>2434</v>
      </c>
      <c r="E596" s="65" t="s">
        <v>2186</v>
      </c>
      <c r="F596" s="29" t="s">
        <v>81</v>
      </c>
      <c r="G596" s="67" t="s">
        <v>72</v>
      </c>
      <c r="H596" s="68" t="s">
        <v>2435</v>
      </c>
      <c r="I596" s="69">
        <v>45842</v>
      </c>
      <c r="J596" s="69">
        <v>45842</v>
      </c>
      <c r="K596" s="70" t="s">
        <v>35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>SUM(O596:Q596)</f>
        <v>24</v>
      </c>
      <c r="S596" s="70">
        <v>4</v>
      </c>
      <c r="T596" s="79" t="s">
        <v>2436</v>
      </c>
    </row>
    <row r="597" spans="1:20" ht="23.25" hidden="1" customHeight="1" x14ac:dyDescent="0.25">
      <c r="A597" s="21" t="s">
        <v>2437</v>
      </c>
      <c r="B597" s="24">
        <v>2025</v>
      </c>
      <c r="C597" s="91" t="s">
        <v>21</v>
      </c>
      <c r="D597" s="24" t="s">
        <v>2438</v>
      </c>
      <c r="E597" s="30" t="s">
        <v>2439</v>
      </c>
      <c r="F597" s="31" t="s">
        <v>62</v>
      </c>
      <c r="G597" s="21" t="s">
        <v>72</v>
      </c>
      <c r="H597" s="38" t="s">
        <v>2440</v>
      </c>
      <c r="I597" s="39">
        <v>45842</v>
      </c>
      <c r="J597" s="39">
        <v>45904</v>
      </c>
      <c r="K597" s="24" t="s">
        <v>35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>SUM(O597:Q597)</f>
        <v>46</v>
      </c>
      <c r="S597" s="24">
        <v>12</v>
      </c>
      <c r="T597" s="21" t="s">
        <v>1472</v>
      </c>
    </row>
    <row r="598" spans="1:20" ht="23.25" hidden="1" customHeight="1" x14ac:dyDescent="0.25">
      <c r="A598" s="20" t="s">
        <v>2441</v>
      </c>
      <c r="B598" s="22">
        <v>2025</v>
      </c>
      <c r="C598" s="93" t="s">
        <v>21</v>
      </c>
      <c r="D598" s="70" t="s">
        <v>2442</v>
      </c>
      <c r="E598" s="65" t="s">
        <v>2443</v>
      </c>
      <c r="F598" s="66" t="s">
        <v>81</v>
      </c>
      <c r="G598" s="67" t="s">
        <v>72</v>
      </c>
      <c r="H598" s="68" t="s">
        <v>2444</v>
      </c>
      <c r="I598" s="69">
        <v>45845</v>
      </c>
      <c r="J598" s="69">
        <v>45849</v>
      </c>
      <c r="K598" s="70" t="s">
        <v>35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>SUM(O598:Q598)</f>
        <v>37</v>
      </c>
      <c r="S598" s="70">
        <v>12</v>
      </c>
      <c r="T598" s="67" t="s">
        <v>2445</v>
      </c>
    </row>
    <row r="599" spans="1:20" ht="23.25" hidden="1" customHeight="1" x14ac:dyDescent="0.25">
      <c r="A599" s="21" t="s">
        <v>2446</v>
      </c>
      <c r="B599" s="24">
        <v>2025</v>
      </c>
      <c r="C599" s="91" t="s">
        <v>21</v>
      </c>
      <c r="D599" s="64" t="s">
        <v>2447</v>
      </c>
      <c r="E599" s="58" t="s">
        <v>2448</v>
      </c>
      <c r="F599" s="74" t="s">
        <v>23</v>
      </c>
      <c r="G599" s="80" t="s">
        <v>68</v>
      </c>
      <c r="H599" s="59" t="s">
        <v>2449</v>
      </c>
      <c r="I599" s="60">
        <v>45848</v>
      </c>
      <c r="J599" s="60">
        <v>45945</v>
      </c>
      <c r="K599" s="64" t="s">
        <v>26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>SUM(O599:Q599)</f>
        <v>24</v>
      </c>
      <c r="S599" s="64">
        <v>20</v>
      </c>
      <c r="T599" s="106" t="s">
        <v>2450</v>
      </c>
    </row>
    <row r="600" spans="1:20" ht="23.25" hidden="1" customHeight="1" x14ac:dyDescent="0.25">
      <c r="A600" s="20" t="s">
        <v>2451</v>
      </c>
      <c r="B600" s="22">
        <v>2025</v>
      </c>
      <c r="C600" s="93" t="s">
        <v>21</v>
      </c>
      <c r="D600" s="70" t="s">
        <v>2452</v>
      </c>
      <c r="E600" s="65" t="s">
        <v>2453</v>
      </c>
      <c r="F600" s="66" t="s">
        <v>62</v>
      </c>
      <c r="G600" s="67" t="s">
        <v>72</v>
      </c>
      <c r="H600" s="262" t="s">
        <v>2454</v>
      </c>
      <c r="I600" s="69">
        <v>45859</v>
      </c>
      <c r="J600" s="69">
        <v>45867</v>
      </c>
      <c r="K600" s="70" t="s">
        <v>35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>SUM(O600:Q600)</f>
        <v>30</v>
      </c>
      <c r="S600" s="70">
        <v>16</v>
      </c>
      <c r="T600" s="67" t="s">
        <v>2455</v>
      </c>
    </row>
    <row r="601" spans="1:20" ht="23.25" hidden="1" customHeight="1" x14ac:dyDescent="0.25">
      <c r="A601" s="21" t="s">
        <v>2456</v>
      </c>
      <c r="B601" s="24">
        <v>2025</v>
      </c>
      <c r="C601" s="93" t="s">
        <v>21</v>
      </c>
      <c r="D601" s="64" t="s">
        <v>2415</v>
      </c>
      <c r="E601" s="58" t="s">
        <v>2457</v>
      </c>
      <c r="F601" s="74" t="s">
        <v>23</v>
      </c>
      <c r="G601" s="45" t="s">
        <v>33</v>
      </c>
      <c r="H601" s="59" t="s">
        <v>2458</v>
      </c>
      <c r="I601" s="60">
        <v>45860</v>
      </c>
      <c r="J601" s="60">
        <v>45862</v>
      </c>
      <c r="K601" s="64" t="s">
        <v>35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>SUM(O601:Q601)</f>
        <v>21</v>
      </c>
      <c r="S601" s="64">
        <v>8</v>
      </c>
      <c r="T601" s="45" t="s">
        <v>2418</v>
      </c>
    </row>
    <row r="602" spans="1:20" ht="23.25" hidden="1" customHeight="1" x14ac:dyDescent="0.25">
      <c r="A602" s="20" t="s">
        <v>2459</v>
      </c>
      <c r="B602" s="22">
        <v>2025</v>
      </c>
      <c r="C602" s="93" t="s">
        <v>21</v>
      </c>
      <c r="D602" s="22" t="s">
        <v>2460</v>
      </c>
      <c r="E602" s="27" t="s">
        <v>2461</v>
      </c>
      <c r="F602" s="66" t="s">
        <v>23</v>
      </c>
      <c r="G602" s="79" t="s">
        <v>68</v>
      </c>
      <c r="H602" s="36" t="s">
        <v>2462</v>
      </c>
      <c r="I602" s="37">
        <v>45869</v>
      </c>
      <c r="J602" s="37">
        <v>45870</v>
      </c>
      <c r="K602" s="70" t="s">
        <v>35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>SUM(O602:Q602)</f>
        <v>27</v>
      </c>
      <c r="S602" s="22">
        <v>8</v>
      </c>
      <c r="T602" s="20" t="s">
        <v>2014</v>
      </c>
    </row>
    <row r="603" spans="1:20" ht="23.25" hidden="1" customHeight="1" x14ac:dyDescent="0.25">
      <c r="A603" s="21" t="s">
        <v>2463</v>
      </c>
      <c r="B603" s="24">
        <v>2025</v>
      </c>
      <c r="C603" s="93" t="s">
        <v>21</v>
      </c>
      <c r="D603" s="24" t="s">
        <v>2464</v>
      </c>
      <c r="E603" s="30" t="s">
        <v>2465</v>
      </c>
      <c r="F603" s="74" t="s">
        <v>23</v>
      </c>
      <c r="G603" s="45" t="s">
        <v>68</v>
      </c>
      <c r="H603" s="76" t="s">
        <v>2466</v>
      </c>
      <c r="I603" s="39">
        <v>45873</v>
      </c>
      <c r="J603" s="39">
        <v>45898</v>
      </c>
      <c r="K603" s="64" t="s">
        <v>35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>SUM(O603:Q603)</f>
        <v>26</v>
      </c>
      <c r="S603" s="24">
        <v>36</v>
      </c>
      <c r="T603" s="21" t="s">
        <v>571</v>
      </c>
    </row>
    <row r="604" spans="1:20" ht="23.25" hidden="1" customHeight="1" x14ac:dyDescent="0.25">
      <c r="A604" s="20" t="s">
        <v>2467</v>
      </c>
      <c r="B604" s="22">
        <v>2025</v>
      </c>
      <c r="C604" s="93" t="s">
        <v>21</v>
      </c>
      <c r="D604" s="22" t="s">
        <v>2468</v>
      </c>
      <c r="E604" s="27" t="s">
        <v>2469</v>
      </c>
      <c r="F604" s="66" t="s">
        <v>23</v>
      </c>
      <c r="G604" s="67" t="s">
        <v>38</v>
      </c>
      <c r="H604" s="77" t="s">
        <v>2470</v>
      </c>
      <c r="I604" s="37">
        <v>45874</v>
      </c>
      <c r="J604" s="37">
        <v>45904</v>
      </c>
      <c r="K604" s="70" t="s">
        <v>26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>SUM(O604:Q604)</f>
        <v>28</v>
      </c>
      <c r="S604" s="22">
        <v>40</v>
      </c>
      <c r="T604" s="20" t="s">
        <v>2471</v>
      </c>
    </row>
    <row r="605" spans="1:20" ht="23.25" hidden="1" customHeight="1" x14ac:dyDescent="0.25">
      <c r="A605" s="21" t="s">
        <v>2472</v>
      </c>
      <c r="B605" s="24">
        <v>2025</v>
      </c>
      <c r="C605" s="92" t="s">
        <v>21</v>
      </c>
      <c r="D605" s="24" t="s">
        <v>2425</v>
      </c>
      <c r="E605" s="30" t="s">
        <v>2473</v>
      </c>
      <c r="F605" s="31" t="s">
        <v>62</v>
      </c>
      <c r="G605" s="21" t="s">
        <v>72</v>
      </c>
      <c r="H605" s="38" t="s">
        <v>2474</v>
      </c>
      <c r="I605" s="39">
        <v>45876</v>
      </c>
      <c r="J605" s="39">
        <v>45876</v>
      </c>
      <c r="K605" s="64" t="s">
        <v>35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>SUM(O605:Q605)</f>
        <v>20</v>
      </c>
      <c r="S605" s="24">
        <v>4</v>
      </c>
      <c r="T605" s="21" t="s">
        <v>2475</v>
      </c>
    </row>
    <row r="606" spans="1:20" ht="23.25" hidden="1" customHeight="1" x14ac:dyDescent="0.25">
      <c r="A606" s="20" t="s">
        <v>2476</v>
      </c>
      <c r="B606" s="22">
        <v>2025</v>
      </c>
      <c r="C606" s="92" t="s">
        <v>21</v>
      </c>
      <c r="D606" s="22" t="s">
        <v>2477</v>
      </c>
      <c r="E606" s="27" t="s">
        <v>2478</v>
      </c>
      <c r="F606" s="29" t="s">
        <v>23</v>
      </c>
      <c r="G606" s="54" t="s">
        <v>199</v>
      </c>
      <c r="H606" s="36" t="s">
        <v>2479</v>
      </c>
      <c r="I606" s="37">
        <v>45877</v>
      </c>
      <c r="J606" s="37">
        <v>45877</v>
      </c>
      <c r="K606" s="70" t="s">
        <v>35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>SUM(O606:Q606)</f>
        <v>170</v>
      </c>
      <c r="S606" s="22">
        <v>2</v>
      </c>
      <c r="T606" s="54" t="s">
        <v>2480</v>
      </c>
    </row>
    <row r="607" spans="1:20" ht="23.25" hidden="1" customHeight="1" x14ac:dyDescent="0.25">
      <c r="A607" s="21" t="s">
        <v>2481</v>
      </c>
      <c r="B607" s="24">
        <v>2025</v>
      </c>
      <c r="C607" s="92" t="s">
        <v>21</v>
      </c>
      <c r="D607" s="24" t="s">
        <v>2477</v>
      </c>
      <c r="E607" s="30" t="s">
        <v>2482</v>
      </c>
      <c r="F607" s="31" t="s">
        <v>23</v>
      </c>
      <c r="G607" s="21" t="s">
        <v>199</v>
      </c>
      <c r="H607" s="81">
        <v>45877</v>
      </c>
      <c r="I607" s="39">
        <v>45877</v>
      </c>
      <c r="J607" s="39">
        <v>45877</v>
      </c>
      <c r="K607" s="24" t="s">
        <v>35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>SUM(O607:Q607)</f>
        <v>170</v>
      </c>
      <c r="S607" s="24">
        <v>2</v>
      </c>
      <c r="T607" s="46" t="s">
        <v>2483</v>
      </c>
    </row>
    <row r="608" spans="1:20" ht="23.25" hidden="1" customHeight="1" x14ac:dyDescent="0.25">
      <c r="A608" s="20" t="s">
        <v>2484</v>
      </c>
      <c r="B608" s="22">
        <v>2025</v>
      </c>
      <c r="C608" s="92" t="s">
        <v>21</v>
      </c>
      <c r="D608" s="22" t="s">
        <v>2485</v>
      </c>
      <c r="E608" s="27" t="s">
        <v>2486</v>
      </c>
      <c r="F608" s="29" t="s">
        <v>23</v>
      </c>
      <c r="G608" s="54" t="s">
        <v>199</v>
      </c>
      <c r="H608" s="36" t="s">
        <v>2487</v>
      </c>
      <c r="I608" s="37">
        <v>45880</v>
      </c>
      <c r="J608" s="37">
        <v>45884</v>
      </c>
      <c r="K608" s="70" t="s">
        <v>26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>SUM(O608:Q608)</f>
        <v>19</v>
      </c>
      <c r="S608" s="22">
        <v>20</v>
      </c>
      <c r="T608" s="20" t="s">
        <v>796</v>
      </c>
    </row>
    <row r="609" spans="1:20" ht="23.25" hidden="1" customHeight="1" x14ac:dyDescent="0.25">
      <c r="A609" s="21" t="s">
        <v>2488</v>
      </c>
      <c r="B609" s="24">
        <v>2025</v>
      </c>
      <c r="C609" s="92" t="s">
        <v>21</v>
      </c>
      <c r="D609" s="24" t="s">
        <v>2489</v>
      </c>
      <c r="E609" s="30" t="s">
        <v>2490</v>
      </c>
      <c r="F609" s="31" t="s">
        <v>23</v>
      </c>
      <c r="G609" s="21" t="s">
        <v>24</v>
      </c>
      <c r="H609" s="38" t="s">
        <v>2491</v>
      </c>
      <c r="I609" s="39">
        <v>45881</v>
      </c>
      <c r="J609" s="39">
        <v>45884</v>
      </c>
      <c r="K609" s="64" t="s">
        <v>35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>SUM(O609:Q609)</f>
        <v>19</v>
      </c>
      <c r="S609" s="24">
        <v>12</v>
      </c>
      <c r="T609" s="21" t="s">
        <v>2492</v>
      </c>
    </row>
    <row r="610" spans="1:20" ht="23.25" hidden="1" customHeight="1" x14ac:dyDescent="0.25">
      <c r="A610" s="20" t="s">
        <v>2493</v>
      </c>
      <c r="B610" s="22">
        <v>2025</v>
      </c>
      <c r="C610" s="90" t="s">
        <v>21</v>
      </c>
      <c r="D610" s="22" t="s">
        <v>2391</v>
      </c>
      <c r="E610" s="82" t="s">
        <v>2494</v>
      </c>
      <c r="F610" s="29" t="s">
        <v>81</v>
      </c>
      <c r="G610" s="20" t="s">
        <v>72</v>
      </c>
      <c r="H610" s="36" t="s">
        <v>2495</v>
      </c>
      <c r="I610" s="37">
        <v>45881</v>
      </c>
      <c r="J610" s="37">
        <v>45881</v>
      </c>
      <c r="K610" s="22" t="s">
        <v>35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>SUM(O610:Q610)</f>
        <v>31</v>
      </c>
      <c r="S610" s="22">
        <v>3</v>
      </c>
      <c r="T610" s="20" t="s">
        <v>2048</v>
      </c>
    </row>
    <row r="611" spans="1:20" ht="23.25" hidden="1" customHeight="1" x14ac:dyDescent="0.25">
      <c r="A611" s="21" t="s">
        <v>2496</v>
      </c>
      <c r="B611" s="24">
        <v>2025</v>
      </c>
      <c r="C611" s="90" t="s">
        <v>21</v>
      </c>
      <c r="D611" s="24" t="s">
        <v>2497</v>
      </c>
      <c r="E611" s="30" t="s">
        <v>2498</v>
      </c>
      <c r="F611" s="74" t="s">
        <v>23</v>
      </c>
      <c r="G611" s="45" t="s">
        <v>38</v>
      </c>
      <c r="H611" s="38" t="s">
        <v>2499</v>
      </c>
      <c r="I611" s="39">
        <v>45885</v>
      </c>
      <c r="J611" s="39">
        <v>45886</v>
      </c>
      <c r="K611" s="24" t="s">
        <v>26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>SUM(O611:Q611)</f>
        <v>15</v>
      </c>
      <c r="S611" s="24">
        <v>16</v>
      </c>
      <c r="T611" s="265" t="s">
        <v>2500</v>
      </c>
    </row>
    <row r="612" spans="1:20" ht="23.25" hidden="1" customHeight="1" x14ac:dyDescent="0.25">
      <c r="A612" s="20" t="s">
        <v>2501</v>
      </c>
      <c r="B612" s="22">
        <v>2025</v>
      </c>
      <c r="C612" s="92" t="s">
        <v>21</v>
      </c>
      <c r="D612" s="22" t="s">
        <v>2502</v>
      </c>
      <c r="E612" s="27" t="s">
        <v>2503</v>
      </c>
      <c r="F612" s="83" t="s">
        <v>23</v>
      </c>
      <c r="G612" s="54" t="s">
        <v>199</v>
      </c>
      <c r="H612" s="36" t="s">
        <v>2504</v>
      </c>
      <c r="I612" s="37">
        <v>45887</v>
      </c>
      <c r="J612" s="37">
        <v>45887</v>
      </c>
      <c r="K612" s="22" t="s">
        <v>26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>SUM(O612:Q612)</f>
        <v>100</v>
      </c>
      <c r="S612" s="22">
        <v>1.5</v>
      </c>
      <c r="T612" s="20" t="s">
        <v>2505</v>
      </c>
    </row>
    <row r="613" spans="1:20" ht="23.25" hidden="1" customHeight="1" x14ac:dyDescent="0.25">
      <c r="A613" s="21" t="s">
        <v>2506</v>
      </c>
      <c r="B613" s="24">
        <v>2025</v>
      </c>
      <c r="C613" s="92" t="s">
        <v>21</v>
      </c>
      <c r="D613" s="24" t="s">
        <v>2502</v>
      </c>
      <c r="E613" s="30" t="s">
        <v>2507</v>
      </c>
      <c r="F613" s="31" t="s">
        <v>23</v>
      </c>
      <c r="G613" s="21" t="s">
        <v>199</v>
      </c>
      <c r="H613" s="24" t="s">
        <v>2504</v>
      </c>
      <c r="I613" s="39">
        <v>45887</v>
      </c>
      <c r="J613" s="39">
        <v>45887</v>
      </c>
      <c r="K613" s="24" t="s">
        <v>220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>SUM(O613:Q613)</f>
        <v>114</v>
      </c>
      <c r="S613" s="24">
        <v>3</v>
      </c>
      <c r="T613" s="46" t="s">
        <v>2508</v>
      </c>
    </row>
    <row r="614" spans="1:20" ht="23.25" hidden="1" customHeight="1" x14ac:dyDescent="0.25">
      <c r="A614" s="20" t="s">
        <v>2509</v>
      </c>
      <c r="B614" s="22">
        <v>2025</v>
      </c>
      <c r="C614" s="92" t="s">
        <v>21</v>
      </c>
      <c r="D614" s="22" t="s">
        <v>2510</v>
      </c>
      <c r="E614" s="27" t="s">
        <v>2511</v>
      </c>
      <c r="F614" s="29" t="s">
        <v>62</v>
      </c>
      <c r="G614" s="20" t="s">
        <v>72</v>
      </c>
      <c r="H614" s="36" t="s">
        <v>2512</v>
      </c>
      <c r="I614" s="37">
        <v>45890</v>
      </c>
      <c r="J614" s="37">
        <v>45891</v>
      </c>
      <c r="K614" s="22" t="s">
        <v>35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>SUM(O614:Q614)</f>
        <v>491</v>
      </c>
      <c r="S614" s="22">
        <v>8</v>
      </c>
      <c r="T614" s="20" t="s">
        <v>472</v>
      </c>
    </row>
    <row r="615" spans="1:20" ht="23.25" hidden="1" customHeight="1" x14ac:dyDescent="0.25">
      <c r="A615" s="21" t="s">
        <v>2513</v>
      </c>
      <c r="B615" s="24">
        <v>2025</v>
      </c>
      <c r="C615" s="92" t="s">
        <v>21</v>
      </c>
      <c r="D615" s="24" t="s">
        <v>2514</v>
      </c>
      <c r="E615" s="75" t="s">
        <v>2515</v>
      </c>
      <c r="F615" s="31" t="s">
        <v>62</v>
      </c>
      <c r="G615" s="21" t="s">
        <v>72</v>
      </c>
      <c r="H615" s="38" t="s">
        <v>2516</v>
      </c>
      <c r="I615" s="39">
        <v>45894</v>
      </c>
      <c r="J615" s="39">
        <v>45895</v>
      </c>
      <c r="K615" s="24" t="s">
        <v>35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>SUM(O615:Q615)</f>
        <v>27</v>
      </c>
      <c r="S615" s="24">
        <v>8</v>
      </c>
      <c r="T615" s="21" t="s">
        <v>1472</v>
      </c>
    </row>
    <row r="616" spans="1:20" ht="23.25" hidden="1" customHeight="1" x14ac:dyDescent="0.25">
      <c r="A616" s="20" t="s">
        <v>2517</v>
      </c>
      <c r="B616" s="22">
        <v>2025</v>
      </c>
      <c r="C616" s="92" t="s">
        <v>21</v>
      </c>
      <c r="D616" s="22" t="s">
        <v>2452</v>
      </c>
      <c r="E616" s="82" t="s">
        <v>2518</v>
      </c>
      <c r="F616" s="29" t="s">
        <v>62</v>
      </c>
      <c r="G616" s="20" t="s">
        <v>72</v>
      </c>
      <c r="H616" s="36" t="s">
        <v>2519</v>
      </c>
      <c r="I616" s="37">
        <v>45894</v>
      </c>
      <c r="J616" s="37">
        <v>45905</v>
      </c>
      <c r="K616" s="22" t="s">
        <v>35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>SUM(O616:Q616)</f>
        <v>63</v>
      </c>
      <c r="S616" s="22">
        <v>16</v>
      </c>
      <c r="T616" s="104" t="s">
        <v>2455</v>
      </c>
    </row>
    <row r="617" spans="1:20" ht="23.25" hidden="1" customHeight="1" x14ac:dyDescent="0.25">
      <c r="A617" s="21" t="s">
        <v>2520</v>
      </c>
      <c r="B617" s="24">
        <v>2025</v>
      </c>
      <c r="C617" s="92" t="s">
        <v>21</v>
      </c>
      <c r="D617" s="24" t="s">
        <v>2521</v>
      </c>
      <c r="E617" s="30" t="s">
        <v>2522</v>
      </c>
      <c r="F617" s="31" t="s">
        <v>62</v>
      </c>
      <c r="G617" s="21" t="s">
        <v>72</v>
      </c>
      <c r="H617" s="38" t="s">
        <v>2523</v>
      </c>
      <c r="I617" s="39">
        <v>45896</v>
      </c>
      <c r="J617" s="39">
        <v>45896</v>
      </c>
      <c r="K617" s="24" t="s">
        <v>35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>SUM(O617:Q617)</f>
        <v>42</v>
      </c>
      <c r="S617" s="24">
        <v>4</v>
      </c>
      <c r="T617" s="21" t="s">
        <v>2524</v>
      </c>
    </row>
    <row r="618" spans="1:20" ht="23.25" hidden="1" customHeight="1" x14ac:dyDescent="0.25">
      <c r="A618" s="20" t="s">
        <v>2525</v>
      </c>
      <c r="B618" s="22">
        <v>2025</v>
      </c>
      <c r="C618" s="90" t="s">
        <v>21</v>
      </c>
      <c r="D618" s="22" t="s">
        <v>2526</v>
      </c>
      <c r="E618" s="27" t="s">
        <v>2527</v>
      </c>
      <c r="F618" s="29" t="s">
        <v>62</v>
      </c>
      <c r="G618" s="20" t="s">
        <v>72</v>
      </c>
      <c r="H618" s="36" t="s">
        <v>2528</v>
      </c>
      <c r="I618" s="37">
        <v>45897</v>
      </c>
      <c r="J618" s="37">
        <v>45897</v>
      </c>
      <c r="K618" s="22" t="s">
        <v>35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>SUM(O618:Q618)</f>
        <v>27</v>
      </c>
      <c r="S618" s="22">
        <v>4</v>
      </c>
      <c r="T618" s="104" t="s">
        <v>2529</v>
      </c>
    </row>
    <row r="619" spans="1:20" ht="23.25" hidden="1" customHeight="1" x14ac:dyDescent="0.25">
      <c r="A619" s="21" t="s">
        <v>2530</v>
      </c>
      <c r="B619" s="24">
        <v>2025</v>
      </c>
      <c r="C619" s="92" t="s">
        <v>21</v>
      </c>
      <c r="D619" s="24" t="s">
        <v>2531</v>
      </c>
      <c r="E619" s="30" t="s">
        <v>2532</v>
      </c>
      <c r="F619" s="31" t="s">
        <v>62</v>
      </c>
      <c r="G619" s="21" t="s">
        <v>72</v>
      </c>
      <c r="H619" s="38" t="s">
        <v>2528</v>
      </c>
      <c r="I619" s="39">
        <v>45897</v>
      </c>
      <c r="J619" s="39">
        <v>45897</v>
      </c>
      <c r="K619" s="24" t="s">
        <v>35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>SUM(O619:Q619)</f>
        <v>40</v>
      </c>
      <c r="S619" s="24">
        <v>4</v>
      </c>
      <c r="T619" s="21" t="s">
        <v>1951</v>
      </c>
    </row>
    <row r="620" spans="1:20" ht="23.25" hidden="1" customHeight="1" x14ac:dyDescent="0.25">
      <c r="A620" s="20" t="s">
        <v>2533</v>
      </c>
      <c r="B620" s="22">
        <v>2025</v>
      </c>
      <c r="C620" s="92" t="s">
        <v>21</v>
      </c>
      <c r="D620" s="22" t="s">
        <v>2534</v>
      </c>
      <c r="E620" s="27" t="s">
        <v>2535</v>
      </c>
      <c r="F620" s="29" t="s">
        <v>62</v>
      </c>
      <c r="G620" s="20" t="s">
        <v>72</v>
      </c>
      <c r="H620" s="36" t="s">
        <v>2536</v>
      </c>
      <c r="I620" s="37">
        <v>45902</v>
      </c>
      <c r="J620" s="37">
        <v>45904</v>
      </c>
      <c r="K620" s="22" t="s">
        <v>35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>SUM(O620:Q620)</f>
        <v>47</v>
      </c>
      <c r="S620" s="22">
        <v>12</v>
      </c>
      <c r="T620" s="20" t="s">
        <v>2102</v>
      </c>
    </row>
    <row r="621" spans="1:20" ht="23.25" hidden="1" customHeight="1" x14ac:dyDescent="0.25">
      <c r="A621" s="21" t="s">
        <v>2537</v>
      </c>
      <c r="B621" s="24">
        <v>2025</v>
      </c>
      <c r="C621" s="90" t="s">
        <v>21</v>
      </c>
      <c r="D621" s="24" t="s">
        <v>2538</v>
      </c>
      <c r="E621" s="30" t="s">
        <v>2539</v>
      </c>
      <c r="F621" s="31" t="s">
        <v>23</v>
      </c>
      <c r="G621" s="46" t="s">
        <v>199</v>
      </c>
      <c r="H621" s="38" t="s">
        <v>2540</v>
      </c>
      <c r="I621" s="39">
        <v>45905</v>
      </c>
      <c r="J621" s="39">
        <v>45905</v>
      </c>
      <c r="K621" s="24" t="s">
        <v>35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>SUM(O621:Q621)</f>
        <v>23</v>
      </c>
      <c r="S621" s="24">
        <v>4</v>
      </c>
      <c r="T621" s="46" t="s">
        <v>2541</v>
      </c>
    </row>
    <row r="622" spans="1:20" ht="23.25" hidden="1" customHeight="1" x14ac:dyDescent="0.25">
      <c r="A622" s="20" t="s">
        <v>2542</v>
      </c>
      <c r="B622" s="22">
        <v>2025</v>
      </c>
      <c r="C622" s="92" t="s">
        <v>21</v>
      </c>
      <c r="D622" s="22" t="s">
        <v>2397</v>
      </c>
      <c r="E622" s="27" t="s">
        <v>2543</v>
      </c>
      <c r="F622" s="29" t="s">
        <v>23</v>
      </c>
      <c r="G622" s="20" t="s">
        <v>364</v>
      </c>
      <c r="H622" s="36" t="s">
        <v>2544</v>
      </c>
      <c r="I622" s="37">
        <v>45908</v>
      </c>
      <c r="J622" s="37">
        <v>45909</v>
      </c>
      <c r="K622" s="22" t="s">
        <v>35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>SUM(O622:Q622)</f>
        <v>21</v>
      </c>
      <c r="S622" s="22">
        <v>8</v>
      </c>
      <c r="T622" s="20" t="s">
        <v>2400</v>
      </c>
    </row>
    <row r="623" spans="1:20" ht="23.25" hidden="1" customHeight="1" x14ac:dyDescent="0.25">
      <c r="A623" s="21" t="s">
        <v>2545</v>
      </c>
      <c r="B623" s="24">
        <v>2025</v>
      </c>
      <c r="C623" s="92" t="s">
        <v>21</v>
      </c>
      <c r="D623" s="24" t="s">
        <v>2546</v>
      </c>
      <c r="E623" s="30" t="s">
        <v>2547</v>
      </c>
      <c r="F623" s="31" t="s">
        <v>23</v>
      </c>
      <c r="G623" s="21" t="s">
        <v>38</v>
      </c>
      <c r="H623" s="38" t="s">
        <v>2548</v>
      </c>
      <c r="I623" s="39">
        <v>45910</v>
      </c>
      <c r="J623" s="39">
        <v>45911</v>
      </c>
      <c r="K623" s="24" t="s">
        <v>26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>SUM(O623:Q623)</f>
        <v>26</v>
      </c>
      <c r="S623" s="24">
        <v>6</v>
      </c>
      <c r="T623" s="21" t="s">
        <v>2549</v>
      </c>
    </row>
    <row r="624" spans="1:20" ht="23.25" hidden="1" customHeight="1" x14ac:dyDescent="0.25">
      <c r="A624" s="20" t="s">
        <v>2550</v>
      </c>
      <c r="B624" s="22">
        <v>2025</v>
      </c>
      <c r="C624" s="92" t="s">
        <v>21</v>
      </c>
      <c r="D624" s="22" t="s">
        <v>2359</v>
      </c>
      <c r="E624" s="27" t="s">
        <v>2551</v>
      </c>
      <c r="F624" s="83" t="s">
        <v>81</v>
      </c>
      <c r="G624" s="54" t="s">
        <v>72</v>
      </c>
      <c r="H624" s="36" t="s">
        <v>2552</v>
      </c>
      <c r="I624" s="37">
        <v>45911</v>
      </c>
      <c r="J624" s="37">
        <v>45911</v>
      </c>
      <c r="K624" s="22" t="s">
        <v>35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>SUM(O624:Q624)</f>
        <v>88</v>
      </c>
      <c r="S624" s="22">
        <v>3</v>
      </c>
      <c r="T624" s="43" t="s">
        <v>2362</v>
      </c>
    </row>
    <row r="625" spans="1:20" ht="23.25" hidden="1" customHeight="1" x14ac:dyDescent="0.25">
      <c r="A625" s="21" t="s">
        <v>2553</v>
      </c>
      <c r="B625" s="24">
        <v>2025</v>
      </c>
      <c r="C625" s="90" t="s">
        <v>21</v>
      </c>
      <c r="D625" s="24" t="s">
        <v>2434</v>
      </c>
      <c r="E625" s="30" t="s">
        <v>2554</v>
      </c>
      <c r="F625" s="31" t="s">
        <v>81</v>
      </c>
      <c r="G625" s="21" t="s">
        <v>72</v>
      </c>
      <c r="H625" s="38" t="s">
        <v>2555</v>
      </c>
      <c r="I625" s="39">
        <v>45912</v>
      </c>
      <c r="J625" s="39">
        <v>45912</v>
      </c>
      <c r="K625" s="24" t="s">
        <v>35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>SUM(O625:Q625)</f>
        <v>33</v>
      </c>
      <c r="S625" s="24">
        <v>4</v>
      </c>
      <c r="T625" s="46" t="s">
        <v>2436</v>
      </c>
    </row>
    <row r="626" spans="1:20" ht="23.25" hidden="1" customHeight="1" x14ac:dyDescent="0.25">
      <c r="A626" s="20" t="s">
        <v>2556</v>
      </c>
      <c r="B626" s="22">
        <v>2025</v>
      </c>
      <c r="C626" s="92" t="s">
        <v>21</v>
      </c>
      <c r="D626" s="22" t="s">
        <v>2359</v>
      </c>
      <c r="E626" s="27" t="s">
        <v>2557</v>
      </c>
      <c r="F626" s="29" t="s">
        <v>81</v>
      </c>
      <c r="G626" s="54" t="s">
        <v>72</v>
      </c>
      <c r="H626" s="36" t="s">
        <v>2555</v>
      </c>
      <c r="I626" s="37">
        <v>45912</v>
      </c>
      <c r="J626" s="37">
        <v>45912</v>
      </c>
      <c r="K626" s="22" t="s">
        <v>35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>SUM(O626:Q626)</f>
        <v>128</v>
      </c>
      <c r="S626" s="22">
        <v>3</v>
      </c>
      <c r="T626" s="43" t="s">
        <v>2362</v>
      </c>
    </row>
    <row r="627" spans="1:20" ht="23.25" hidden="1" customHeight="1" x14ac:dyDescent="0.25">
      <c r="A627" s="21" t="s">
        <v>2558</v>
      </c>
      <c r="B627" s="24">
        <v>2025</v>
      </c>
      <c r="C627" s="92" t="s">
        <v>21</v>
      </c>
      <c r="D627" s="24" t="s">
        <v>2559</v>
      </c>
      <c r="E627" s="30" t="s">
        <v>2560</v>
      </c>
      <c r="F627" s="84" t="s">
        <v>23</v>
      </c>
      <c r="G627" s="46" t="s">
        <v>199</v>
      </c>
      <c r="H627" s="38" t="s">
        <v>2561</v>
      </c>
      <c r="I627" s="39">
        <v>45916</v>
      </c>
      <c r="J627" s="39">
        <v>45916</v>
      </c>
      <c r="K627" s="24" t="s">
        <v>35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>SUM(O627:Q627)</f>
        <v>80</v>
      </c>
      <c r="S627" s="24">
        <v>2</v>
      </c>
      <c r="T627" s="21"/>
    </row>
    <row r="628" spans="1:20" ht="23.25" hidden="1" customHeight="1" x14ac:dyDescent="0.25">
      <c r="A628" s="20" t="s">
        <v>2562</v>
      </c>
      <c r="B628" s="22">
        <v>2025</v>
      </c>
      <c r="C628" s="90" t="s">
        <v>21</v>
      </c>
      <c r="D628" s="22" t="s">
        <v>2563</v>
      </c>
      <c r="E628" s="27" t="s">
        <v>2564</v>
      </c>
      <c r="F628" s="29" t="s">
        <v>23</v>
      </c>
      <c r="G628" s="20" t="s">
        <v>38</v>
      </c>
      <c r="H628" s="36" t="s">
        <v>2565</v>
      </c>
      <c r="I628" s="37">
        <v>45922</v>
      </c>
      <c r="J628" s="37">
        <v>45926</v>
      </c>
      <c r="K628" s="22" t="s">
        <v>26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>SUM(O628:Q628)</f>
        <v>23</v>
      </c>
      <c r="S628" s="22" t="s">
        <v>2566</v>
      </c>
      <c r="T628" s="20" t="s">
        <v>2567</v>
      </c>
    </row>
    <row r="629" spans="1:20" ht="23.25" hidden="1" customHeight="1" x14ac:dyDescent="0.25">
      <c r="A629" s="21" t="s">
        <v>2568</v>
      </c>
      <c r="B629" s="24">
        <v>2025</v>
      </c>
      <c r="C629" s="92" t="s">
        <v>21</v>
      </c>
      <c r="D629" s="24" t="s">
        <v>2569</v>
      </c>
      <c r="E629" s="30" t="s">
        <v>2570</v>
      </c>
      <c r="F629" s="31" t="s">
        <v>62</v>
      </c>
      <c r="G629" s="21" t="s">
        <v>72</v>
      </c>
      <c r="H629" s="38" t="s">
        <v>2571</v>
      </c>
      <c r="I629" s="39">
        <v>45924</v>
      </c>
      <c r="J629" s="39">
        <v>45931</v>
      </c>
      <c r="K629" s="24" t="s">
        <v>35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>SUM(O629:Q629)</f>
        <v>49</v>
      </c>
      <c r="S629" s="24">
        <v>16</v>
      </c>
      <c r="T629" s="21" t="s">
        <v>2572</v>
      </c>
    </row>
    <row r="630" spans="1:20" ht="23.25" hidden="1" customHeight="1" x14ac:dyDescent="0.25">
      <c r="A630" s="20" t="s">
        <v>2573</v>
      </c>
      <c r="B630" s="22">
        <v>2025</v>
      </c>
      <c r="C630" s="92" t="s">
        <v>21</v>
      </c>
      <c r="D630" s="22" t="s">
        <v>2574</v>
      </c>
      <c r="E630" s="27" t="s">
        <v>2575</v>
      </c>
      <c r="F630" s="29" t="s">
        <v>81</v>
      </c>
      <c r="G630" s="20" t="s">
        <v>72</v>
      </c>
      <c r="H630" s="36" t="s">
        <v>2576</v>
      </c>
      <c r="I630" s="37">
        <v>45925</v>
      </c>
      <c r="J630" s="37">
        <v>45926</v>
      </c>
      <c r="K630" s="22" t="s">
        <v>220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>SUM(O630:Q630)</f>
        <v>228</v>
      </c>
      <c r="S630" s="22">
        <v>14</v>
      </c>
      <c r="T630" s="20" t="s">
        <v>472</v>
      </c>
    </row>
    <row r="631" spans="1:20" ht="23.25" hidden="1" customHeight="1" x14ac:dyDescent="0.25">
      <c r="A631" s="21" t="s">
        <v>2577</v>
      </c>
      <c r="B631" s="24">
        <v>2025</v>
      </c>
      <c r="C631" s="92" t="s">
        <v>21</v>
      </c>
      <c r="D631" s="24" t="s">
        <v>2460</v>
      </c>
      <c r="E631" s="30" t="s">
        <v>2578</v>
      </c>
      <c r="F631" s="31" t="s">
        <v>23</v>
      </c>
      <c r="G631" s="46" t="s">
        <v>68</v>
      </c>
      <c r="H631" s="38" t="s">
        <v>2579</v>
      </c>
      <c r="I631" s="39">
        <v>45932</v>
      </c>
      <c r="J631" s="39">
        <v>45933</v>
      </c>
      <c r="K631" s="24" t="s">
        <v>35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>SUM(O631:Q631)</f>
        <v>28</v>
      </c>
      <c r="S631" s="24">
        <v>8</v>
      </c>
      <c r="T631" s="21" t="s">
        <v>2014</v>
      </c>
    </row>
    <row r="632" spans="1:20" ht="23.25" hidden="1" customHeight="1" x14ac:dyDescent="0.25">
      <c r="A632" s="20" t="s">
        <v>2580</v>
      </c>
      <c r="B632" s="22">
        <v>2025</v>
      </c>
      <c r="C632" s="90" t="s">
        <v>21</v>
      </c>
      <c r="D632" s="22" t="s">
        <v>2581</v>
      </c>
      <c r="E632" s="82" t="s">
        <v>2582</v>
      </c>
      <c r="F632" s="29" t="s">
        <v>23</v>
      </c>
      <c r="G632" s="20" t="s">
        <v>38</v>
      </c>
      <c r="H632" s="77" t="s">
        <v>2583</v>
      </c>
      <c r="I632" s="37">
        <v>45932</v>
      </c>
      <c r="J632" s="37">
        <v>45947</v>
      </c>
      <c r="K632" s="22" t="s">
        <v>35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>SUM(O632:Q632)</f>
        <v>16</v>
      </c>
      <c r="S632" s="22">
        <v>48</v>
      </c>
      <c r="T632" s="54" t="s">
        <v>2584</v>
      </c>
    </row>
    <row r="633" spans="1:20" ht="23.25" hidden="1" customHeight="1" x14ac:dyDescent="0.25">
      <c r="A633" s="21" t="s">
        <v>2585</v>
      </c>
      <c r="B633" s="24">
        <v>2025</v>
      </c>
      <c r="C633" s="90" t="s">
        <v>21</v>
      </c>
      <c r="D633" s="24" t="s">
        <v>2586</v>
      </c>
      <c r="E633" s="30" t="s">
        <v>2587</v>
      </c>
      <c r="F633" s="31" t="s">
        <v>62</v>
      </c>
      <c r="G633" s="21" t="s">
        <v>72</v>
      </c>
      <c r="H633" s="38" t="s">
        <v>2588</v>
      </c>
      <c r="I633" s="39">
        <v>45932</v>
      </c>
      <c r="J633" s="39">
        <v>45936</v>
      </c>
      <c r="K633" s="24" t="s">
        <v>35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>SUM(O633:Q633)</f>
        <v>40</v>
      </c>
      <c r="S633" s="24">
        <v>12</v>
      </c>
      <c r="T633" s="21" t="s">
        <v>2445</v>
      </c>
    </row>
    <row r="634" spans="1:20" ht="23.25" hidden="1" customHeight="1" x14ac:dyDescent="0.25">
      <c r="A634" s="20" t="s">
        <v>2589</v>
      </c>
      <c r="B634" s="22">
        <v>2025</v>
      </c>
      <c r="C634" s="92" t="s">
        <v>21</v>
      </c>
      <c r="D634" s="22" t="s">
        <v>2590</v>
      </c>
      <c r="E634" s="27" t="s">
        <v>2591</v>
      </c>
      <c r="F634" s="83" t="s">
        <v>23</v>
      </c>
      <c r="G634" s="54" t="s">
        <v>199</v>
      </c>
      <c r="H634" s="36" t="s">
        <v>2592</v>
      </c>
      <c r="I634" s="37">
        <v>45933</v>
      </c>
      <c r="J634" s="37">
        <v>45933</v>
      </c>
      <c r="K634" s="22" t="s">
        <v>26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>SUM(O634:Q634)</f>
        <v>80</v>
      </c>
      <c r="S634" s="22">
        <v>4</v>
      </c>
      <c r="T634" s="20"/>
    </row>
    <row r="635" spans="1:20" ht="23.25" hidden="1" customHeight="1" x14ac:dyDescent="0.25">
      <c r="A635" s="21" t="s">
        <v>2593</v>
      </c>
      <c r="B635" s="24">
        <v>2025</v>
      </c>
      <c r="C635" s="92" t="s">
        <v>21</v>
      </c>
      <c r="D635" s="24" t="s">
        <v>2312</v>
      </c>
      <c r="E635" s="30" t="s">
        <v>2594</v>
      </c>
      <c r="F635" s="31" t="s">
        <v>62</v>
      </c>
      <c r="G635" s="21" t="s">
        <v>33</v>
      </c>
      <c r="H635" s="38" t="s">
        <v>2595</v>
      </c>
      <c r="I635" s="39">
        <v>45936</v>
      </c>
      <c r="J635" s="39">
        <v>45936</v>
      </c>
      <c r="K635" s="24" t="s">
        <v>26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>SUM(O635:Q635)</f>
        <v>70</v>
      </c>
      <c r="S635" s="24">
        <v>1</v>
      </c>
      <c r="T635" s="271" t="s">
        <v>2315</v>
      </c>
    </row>
    <row r="636" spans="1:20" ht="31.5" hidden="1" customHeight="1" x14ac:dyDescent="0.25">
      <c r="A636" s="20" t="s">
        <v>2596</v>
      </c>
      <c r="B636" s="22">
        <v>2025</v>
      </c>
      <c r="C636" s="90" t="s">
        <v>21</v>
      </c>
      <c r="D636" s="22" t="s">
        <v>2597</v>
      </c>
      <c r="E636" s="82" t="s">
        <v>2598</v>
      </c>
      <c r="F636" s="29" t="s">
        <v>62</v>
      </c>
      <c r="G636" s="20" t="s">
        <v>72</v>
      </c>
      <c r="H636" s="36" t="s">
        <v>2599</v>
      </c>
      <c r="I636" s="37">
        <v>45938</v>
      </c>
      <c r="J636" s="37">
        <v>45940</v>
      </c>
      <c r="K636" s="22" t="s">
        <v>35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>SUM(O636:Q636)</f>
        <v>28</v>
      </c>
      <c r="S636" s="22">
        <v>12</v>
      </c>
      <c r="T636" s="20" t="s">
        <v>2600</v>
      </c>
    </row>
    <row r="637" spans="1:20" ht="23.25" hidden="1" customHeight="1" x14ac:dyDescent="0.25">
      <c r="A637" s="21" t="s">
        <v>2601</v>
      </c>
      <c r="B637" s="24">
        <v>2025</v>
      </c>
      <c r="C637" s="90" t="s">
        <v>21</v>
      </c>
      <c r="D637" s="24" t="s">
        <v>2602</v>
      </c>
      <c r="E637" s="30" t="s">
        <v>2603</v>
      </c>
      <c r="F637" s="31" t="s">
        <v>81</v>
      </c>
      <c r="G637" s="21" t="s">
        <v>72</v>
      </c>
      <c r="H637" s="263" t="s">
        <v>2604</v>
      </c>
      <c r="I637" s="39">
        <v>45944</v>
      </c>
      <c r="J637" s="39">
        <v>45946</v>
      </c>
      <c r="K637" s="24" t="s">
        <v>35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>SUM(O637:Q637)</f>
        <v>30</v>
      </c>
      <c r="S637" s="24">
        <v>12</v>
      </c>
      <c r="T637" s="21" t="s">
        <v>2605</v>
      </c>
    </row>
    <row r="638" spans="1:20" ht="23.25" hidden="1" customHeight="1" x14ac:dyDescent="0.25">
      <c r="A638" s="20" t="s">
        <v>2606</v>
      </c>
      <c r="B638" s="22">
        <v>2025</v>
      </c>
      <c r="C638" s="90" t="s">
        <v>21</v>
      </c>
      <c r="D638" s="22" t="s">
        <v>2607</v>
      </c>
      <c r="E638" s="27" t="s">
        <v>2608</v>
      </c>
      <c r="F638" s="29" t="s">
        <v>23</v>
      </c>
      <c r="G638" s="20" t="s">
        <v>33</v>
      </c>
      <c r="H638" s="36" t="s">
        <v>2609</v>
      </c>
      <c r="I638" s="37">
        <v>45950</v>
      </c>
      <c r="J638" s="37">
        <v>45954</v>
      </c>
      <c r="K638" s="22" t="s">
        <v>26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>SUM(O638:Q638)</f>
        <v>21</v>
      </c>
      <c r="S638" s="22" t="s">
        <v>2566</v>
      </c>
      <c r="T638" s="20" t="s">
        <v>2567</v>
      </c>
    </row>
    <row r="639" spans="1:20" ht="23.25" hidden="1" customHeight="1" x14ac:dyDescent="0.25">
      <c r="A639" s="21" t="s">
        <v>2610</v>
      </c>
      <c r="B639" s="24">
        <v>2025</v>
      </c>
      <c r="C639" s="90" t="s">
        <v>21</v>
      </c>
      <c r="D639" s="24" t="s">
        <v>2611</v>
      </c>
      <c r="E639" s="30" t="s">
        <v>2612</v>
      </c>
      <c r="F639" s="31" t="s">
        <v>81</v>
      </c>
      <c r="G639" s="46" t="s">
        <v>72</v>
      </c>
      <c r="H639" s="38" t="s">
        <v>2613</v>
      </c>
      <c r="I639" s="39">
        <v>45950</v>
      </c>
      <c r="J639" s="39">
        <v>45951</v>
      </c>
      <c r="K639" s="24" t="s">
        <v>220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>SUM(O639:Q639)</f>
        <v>179</v>
      </c>
      <c r="S639" s="24">
        <v>14</v>
      </c>
      <c r="T639" s="21" t="s">
        <v>472</v>
      </c>
    </row>
    <row r="640" spans="1:20" ht="23.25" hidden="1" customHeight="1" x14ac:dyDescent="0.25">
      <c r="A640" s="20" t="s">
        <v>2614</v>
      </c>
      <c r="B640" s="22">
        <v>2025</v>
      </c>
      <c r="C640" s="92" t="s">
        <v>21</v>
      </c>
      <c r="D640" s="22" t="s">
        <v>2615</v>
      </c>
      <c r="E640" s="27" t="s">
        <v>2616</v>
      </c>
      <c r="F640" s="83" t="s">
        <v>23</v>
      </c>
      <c r="G640" s="54" t="s">
        <v>199</v>
      </c>
      <c r="H640" s="36" t="s">
        <v>2617</v>
      </c>
      <c r="I640" s="37">
        <v>45953</v>
      </c>
      <c r="J640" s="37">
        <v>45953</v>
      </c>
      <c r="K640" s="22" t="s">
        <v>35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>SUM(O640:Q640)</f>
        <v>0</v>
      </c>
      <c r="S640" s="22">
        <v>2</v>
      </c>
      <c r="T640" s="20"/>
    </row>
    <row r="641" spans="1:20" ht="23.25" hidden="1" customHeight="1" x14ac:dyDescent="0.25">
      <c r="A641" s="21" t="s">
        <v>2618</v>
      </c>
      <c r="B641" s="24">
        <v>2025</v>
      </c>
      <c r="C641" s="90" t="s">
        <v>21</v>
      </c>
      <c r="D641" s="24" t="s">
        <v>2619</v>
      </c>
      <c r="E641" s="30" t="s">
        <v>2431</v>
      </c>
      <c r="F641" s="31" t="s">
        <v>81</v>
      </c>
      <c r="G641" s="78" t="s">
        <v>72</v>
      </c>
      <c r="H641" s="76" t="s">
        <v>2620</v>
      </c>
      <c r="I641" s="39">
        <v>45954</v>
      </c>
      <c r="J641" s="39">
        <v>45989</v>
      </c>
      <c r="K641" s="24" t="s">
        <v>35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2621</v>
      </c>
    </row>
    <row r="642" spans="1:20" ht="23.25" hidden="1" customHeight="1" x14ac:dyDescent="0.25">
      <c r="A642" s="20" t="s">
        <v>2622</v>
      </c>
      <c r="B642" s="22">
        <v>2025</v>
      </c>
      <c r="C642" s="90" t="s">
        <v>21</v>
      </c>
      <c r="D642" s="22" t="s">
        <v>2623</v>
      </c>
      <c r="E642" s="27" t="s">
        <v>2269</v>
      </c>
      <c r="F642" s="29" t="s">
        <v>81</v>
      </c>
      <c r="G642" s="20" t="s">
        <v>72</v>
      </c>
      <c r="H642" s="36" t="s">
        <v>2624</v>
      </c>
      <c r="I642" s="37">
        <v>45964</v>
      </c>
      <c r="J642" s="37">
        <v>45968</v>
      </c>
      <c r="K642" s="22" t="s">
        <v>35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>SUM(O642:Q642)</f>
        <v>33</v>
      </c>
      <c r="S642" s="22">
        <v>20</v>
      </c>
      <c r="T642" s="20" t="s">
        <v>2159</v>
      </c>
    </row>
    <row r="643" spans="1:20" ht="23.25" hidden="1" customHeight="1" x14ac:dyDescent="0.25">
      <c r="A643" s="21" t="s">
        <v>2625</v>
      </c>
      <c r="B643" s="24">
        <v>2025</v>
      </c>
      <c r="C643" s="92" t="s">
        <v>21</v>
      </c>
      <c r="D643" s="24" t="s">
        <v>2359</v>
      </c>
      <c r="E643" s="30" t="s">
        <v>2626</v>
      </c>
      <c r="F643" s="31" t="s">
        <v>81</v>
      </c>
      <c r="G643" s="21" t="s">
        <v>72</v>
      </c>
      <c r="H643" s="38" t="s">
        <v>2627</v>
      </c>
      <c r="I643" s="39">
        <v>45967</v>
      </c>
      <c r="J643" s="39">
        <v>45967</v>
      </c>
      <c r="K643" s="24" t="s">
        <v>35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>SUM(O643:Q643)</f>
        <v>39</v>
      </c>
      <c r="S643" s="24">
        <v>4</v>
      </c>
      <c r="T643" s="44" t="s">
        <v>2362</v>
      </c>
    </row>
    <row r="644" spans="1:20" ht="23.25" hidden="1" customHeight="1" x14ac:dyDescent="0.25">
      <c r="A644" s="20" t="s">
        <v>2628</v>
      </c>
      <c r="B644" s="22">
        <v>2025</v>
      </c>
      <c r="C644" s="90" t="s">
        <v>21</v>
      </c>
      <c r="D644" s="22" t="s">
        <v>2629</v>
      </c>
      <c r="E644" s="27" t="s">
        <v>2551</v>
      </c>
      <c r="F644" s="29" t="s">
        <v>81</v>
      </c>
      <c r="G644" s="20" t="s">
        <v>72</v>
      </c>
      <c r="H644" s="36" t="s">
        <v>2627</v>
      </c>
      <c r="I644" s="37">
        <v>45967</v>
      </c>
      <c r="J644" s="37">
        <v>45967</v>
      </c>
      <c r="K644" s="22" t="s">
        <v>35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>SUM(O644:Q644)</f>
        <v>39</v>
      </c>
      <c r="S644" s="22">
        <v>4</v>
      </c>
      <c r="T644" s="43" t="s">
        <v>2630</v>
      </c>
    </row>
    <row r="645" spans="1:20" ht="32.25" hidden="1" customHeight="1" x14ac:dyDescent="0.25">
      <c r="A645" s="21" t="s">
        <v>2631</v>
      </c>
      <c r="B645" s="24">
        <v>2025</v>
      </c>
      <c r="C645" s="92" t="s">
        <v>21</v>
      </c>
      <c r="D645" s="24" t="s">
        <v>2632</v>
      </c>
      <c r="E645" s="30" t="s">
        <v>2633</v>
      </c>
      <c r="F645" s="84" t="s">
        <v>23</v>
      </c>
      <c r="G645" s="46" t="s">
        <v>199</v>
      </c>
      <c r="H645" s="38" t="s">
        <v>2634</v>
      </c>
      <c r="I645" s="39">
        <v>45968</v>
      </c>
      <c r="J645" s="39">
        <v>45968</v>
      </c>
      <c r="K645" s="24" t="s">
        <v>35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>SUM(O645:Q645)</f>
        <v>170</v>
      </c>
      <c r="S645" s="24">
        <v>2</v>
      </c>
      <c r="T645" s="46" t="s">
        <v>2605</v>
      </c>
    </row>
    <row r="646" spans="1:20" ht="23.25" hidden="1" customHeight="1" x14ac:dyDescent="0.25">
      <c r="A646" s="20" t="s">
        <v>2635</v>
      </c>
      <c r="B646" s="22">
        <v>2025</v>
      </c>
      <c r="C646" s="92" t="s">
        <v>21</v>
      </c>
      <c r="D646" s="22" t="s">
        <v>2485</v>
      </c>
      <c r="E646" s="27" t="s">
        <v>2636</v>
      </c>
      <c r="F646" s="29" t="s">
        <v>23</v>
      </c>
      <c r="G646" s="54" t="s">
        <v>199</v>
      </c>
      <c r="H646" s="36" t="s">
        <v>2637</v>
      </c>
      <c r="I646" s="37">
        <v>45971</v>
      </c>
      <c r="J646" s="37">
        <v>45975</v>
      </c>
      <c r="K646" s="22" t="s">
        <v>26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>SUM(O646:Q646)</f>
        <v>13</v>
      </c>
      <c r="S646" s="22">
        <v>20</v>
      </c>
      <c r="T646" s="20" t="s">
        <v>796</v>
      </c>
    </row>
    <row r="647" spans="1:20" ht="23.25" hidden="1" customHeight="1" x14ac:dyDescent="0.25">
      <c r="A647" s="21" t="s">
        <v>2638</v>
      </c>
      <c r="B647" s="24">
        <v>2025</v>
      </c>
      <c r="C647" s="90" t="s">
        <v>21</v>
      </c>
      <c r="D647" s="24" t="s">
        <v>2639</v>
      </c>
      <c r="E647" s="30" t="s">
        <v>2228</v>
      </c>
      <c r="F647" s="31" t="s">
        <v>62</v>
      </c>
      <c r="G647" s="21" t="s">
        <v>72</v>
      </c>
      <c r="H647" s="76" t="s">
        <v>2640</v>
      </c>
      <c r="I647" s="39">
        <v>45972</v>
      </c>
      <c r="J647" s="39">
        <v>45980</v>
      </c>
      <c r="K647" s="24" t="s">
        <v>35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>SUM(O647:Q647)</f>
        <v>34</v>
      </c>
      <c r="S647" s="24">
        <v>20</v>
      </c>
      <c r="T647" s="21" t="s">
        <v>2019</v>
      </c>
    </row>
    <row r="648" spans="1:20" ht="23.25" hidden="1" customHeight="1" x14ac:dyDescent="0.25">
      <c r="A648" s="20" t="s">
        <v>2641</v>
      </c>
      <c r="B648" s="22">
        <v>2025</v>
      </c>
      <c r="C648" s="90" t="s">
        <v>21</v>
      </c>
      <c r="D648" s="266" t="s">
        <v>2642</v>
      </c>
      <c r="E648" s="27" t="s">
        <v>2643</v>
      </c>
      <c r="F648" s="29" t="s">
        <v>62</v>
      </c>
      <c r="G648" s="20" t="s">
        <v>72</v>
      </c>
      <c r="H648" s="262" t="s">
        <v>2644</v>
      </c>
      <c r="I648" s="37">
        <v>45978</v>
      </c>
      <c r="J648" s="37">
        <v>45980</v>
      </c>
      <c r="K648" s="22" t="s">
        <v>35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>SUM(O648:Q648)</f>
        <v>45</v>
      </c>
      <c r="S648" s="22">
        <v>12</v>
      </c>
      <c r="T648" s="20" t="s">
        <v>2455</v>
      </c>
    </row>
    <row r="649" spans="1:20" ht="23.25" hidden="1" customHeight="1" x14ac:dyDescent="0.25">
      <c r="A649" s="21" t="s">
        <v>2645</v>
      </c>
      <c r="B649" s="24">
        <v>2025</v>
      </c>
      <c r="C649" s="92" t="s">
        <v>21</v>
      </c>
      <c r="D649" s="24" t="s">
        <v>2646</v>
      </c>
      <c r="E649" s="30" t="s">
        <v>2647</v>
      </c>
      <c r="F649" s="31" t="s">
        <v>23</v>
      </c>
      <c r="G649" s="46" t="s">
        <v>199</v>
      </c>
      <c r="H649" s="263" t="s">
        <v>2648</v>
      </c>
      <c r="I649" s="39">
        <v>45978</v>
      </c>
      <c r="J649" s="39">
        <v>45979</v>
      </c>
      <c r="K649" s="24" t="s">
        <v>35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>SUM(O649:Q649)</f>
        <v>72</v>
      </c>
      <c r="S649" s="24">
        <v>8</v>
      </c>
      <c r="T649" s="46" t="s">
        <v>2649</v>
      </c>
    </row>
    <row r="650" spans="1:20" ht="23.25" hidden="1" customHeight="1" x14ac:dyDescent="0.25">
      <c r="A650" s="20" t="s">
        <v>2650</v>
      </c>
      <c r="B650" s="22">
        <v>2025</v>
      </c>
      <c r="C650" s="92" t="s">
        <v>21</v>
      </c>
      <c r="D650" s="22" t="s">
        <v>2651</v>
      </c>
      <c r="E650" s="82" t="s">
        <v>2652</v>
      </c>
      <c r="F650" s="29" t="s">
        <v>23</v>
      </c>
      <c r="G650" s="20" t="s">
        <v>38</v>
      </c>
      <c r="H650" s="36" t="s">
        <v>2653</v>
      </c>
      <c r="I650" s="37">
        <v>45985</v>
      </c>
      <c r="J650" s="37">
        <v>45987</v>
      </c>
      <c r="K650" s="22" t="s">
        <v>35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2654</v>
      </c>
    </row>
    <row r="651" spans="1:20" ht="23.25" hidden="1" customHeight="1" x14ac:dyDescent="0.25">
      <c r="A651" s="21" t="s">
        <v>2655</v>
      </c>
      <c r="B651" s="24">
        <v>2025</v>
      </c>
      <c r="C651" s="92" t="s">
        <v>21</v>
      </c>
      <c r="D651" s="24" t="s">
        <v>2656</v>
      </c>
      <c r="E651" s="30" t="s">
        <v>2657</v>
      </c>
      <c r="F651" s="31" t="s">
        <v>23</v>
      </c>
      <c r="G651" s="21" t="s">
        <v>24</v>
      </c>
      <c r="H651" s="76" t="s">
        <v>2658</v>
      </c>
      <c r="I651" s="39">
        <v>45985</v>
      </c>
      <c r="J651" s="39">
        <v>45989</v>
      </c>
      <c r="K651" s="24" t="s">
        <v>26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2659</v>
      </c>
    </row>
    <row r="652" spans="1:20" ht="23.25" hidden="1" customHeight="1" x14ac:dyDescent="0.25">
      <c r="A652" s="20" t="s">
        <v>2660</v>
      </c>
      <c r="B652" s="22">
        <v>2025</v>
      </c>
      <c r="C652" s="90" t="s">
        <v>21</v>
      </c>
      <c r="D652" s="22" t="s">
        <v>2661</v>
      </c>
      <c r="E652" s="82" t="s">
        <v>2662</v>
      </c>
      <c r="F652" s="29" t="s">
        <v>81</v>
      </c>
      <c r="G652" s="20" t="s">
        <v>72</v>
      </c>
      <c r="H652" s="77" t="s">
        <v>2658</v>
      </c>
      <c r="I652" s="37">
        <v>45985</v>
      </c>
      <c r="J652" s="37">
        <v>45989</v>
      </c>
      <c r="K652" s="22" t="s">
        <v>35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1207</v>
      </c>
    </row>
    <row r="653" spans="1:20" ht="23.25" hidden="1" customHeight="1" x14ac:dyDescent="0.25">
      <c r="A653" s="21" t="s">
        <v>2663</v>
      </c>
      <c r="B653" s="24">
        <v>2025</v>
      </c>
      <c r="C653" s="92" t="s">
        <v>2664</v>
      </c>
      <c r="D653" s="24" t="s">
        <v>2665</v>
      </c>
      <c r="E653" s="30" t="s">
        <v>2193</v>
      </c>
      <c r="F653" s="31" t="s">
        <v>23</v>
      </c>
      <c r="G653" s="21" t="s">
        <v>33</v>
      </c>
      <c r="H653" s="38" t="s">
        <v>2666</v>
      </c>
      <c r="I653" s="39">
        <v>45992</v>
      </c>
      <c r="J653" s="39">
        <v>45992</v>
      </c>
      <c r="K653" s="24" t="s">
        <v>26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472</v>
      </c>
    </row>
    <row r="654" spans="1:20" ht="23.25" hidden="1" customHeight="1" x14ac:dyDescent="0.25">
      <c r="A654" s="20" t="s">
        <v>2667</v>
      </c>
      <c r="B654" s="22">
        <v>2025</v>
      </c>
      <c r="C654" s="90" t="s">
        <v>21</v>
      </c>
      <c r="D654" s="22" t="s">
        <v>2668</v>
      </c>
      <c r="E654" s="27" t="s">
        <v>2669</v>
      </c>
      <c r="F654" s="29" t="s">
        <v>23</v>
      </c>
      <c r="G654" s="20" t="s">
        <v>38</v>
      </c>
      <c r="H654" s="77" t="s">
        <v>2670</v>
      </c>
      <c r="I654" s="37">
        <v>45994</v>
      </c>
      <c r="J654" s="37">
        <v>46001</v>
      </c>
      <c r="K654" s="22" t="s">
        <v>35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1785</v>
      </c>
    </row>
    <row r="655" spans="1:20" ht="23.25" hidden="1" customHeight="1" x14ac:dyDescent="0.25">
      <c r="A655" s="21" t="s">
        <v>2671</v>
      </c>
      <c r="B655" s="24">
        <v>2025</v>
      </c>
      <c r="C655" s="90" t="s">
        <v>21</v>
      </c>
      <c r="D655" s="24" t="s">
        <v>2672</v>
      </c>
      <c r="E655" s="30" t="s">
        <v>2673</v>
      </c>
      <c r="F655" s="31" t="s">
        <v>23</v>
      </c>
      <c r="G655" s="21" t="s">
        <v>199</v>
      </c>
      <c r="H655" s="38" t="s">
        <v>2674</v>
      </c>
      <c r="I655" s="39">
        <v>46006</v>
      </c>
      <c r="J655" s="39">
        <v>46006</v>
      </c>
      <c r="K655" s="24" t="s">
        <v>26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hidden="1" customHeight="1" x14ac:dyDescent="0.25">
      <c r="A656" s="20" t="s">
        <v>2675</v>
      </c>
      <c r="B656" s="22">
        <v>2025</v>
      </c>
      <c r="C656" s="90" t="s">
        <v>21</v>
      </c>
      <c r="D656" s="22" t="s">
        <v>2676</v>
      </c>
      <c r="E656" s="27" t="s">
        <v>2677</v>
      </c>
      <c r="F656" s="29" t="s">
        <v>81</v>
      </c>
      <c r="G656" s="20" t="s">
        <v>72</v>
      </c>
      <c r="H656" s="50" t="s">
        <v>2678</v>
      </c>
      <c r="I656" s="37">
        <v>46011</v>
      </c>
      <c r="J656" s="37">
        <v>46011</v>
      </c>
      <c r="K656" s="22" t="s">
        <v>35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1023</v>
      </c>
    </row>
    <row r="657" spans="1:20" ht="23.25" hidden="1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21</v>
      </c>
      <c r="D657" s="24" t="s">
        <v>2679</v>
      </c>
      <c r="E657" s="30" t="s">
        <v>2131</v>
      </c>
      <c r="F657" s="31" t="s">
        <v>62</v>
      </c>
      <c r="G657" s="21" t="s">
        <v>72</v>
      </c>
      <c r="H657" s="38" t="s">
        <v>2680</v>
      </c>
      <c r="I657" s="39">
        <v>46042</v>
      </c>
      <c r="J657" s="39">
        <v>46044</v>
      </c>
      <c r="K657" s="24" t="s">
        <v>35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1472</v>
      </c>
    </row>
    <row r="658" spans="1:20" ht="23.25" hidden="1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21</v>
      </c>
      <c r="D658" s="22" t="s">
        <v>2681</v>
      </c>
      <c r="E658" s="27" t="s">
        <v>2682</v>
      </c>
      <c r="F658" s="29" t="s">
        <v>23</v>
      </c>
      <c r="G658" s="20" t="s">
        <v>199</v>
      </c>
      <c r="H658" s="36" t="s">
        <v>2683</v>
      </c>
      <c r="I658" s="37">
        <v>46045</v>
      </c>
      <c r="J658" s="37">
        <v>46045</v>
      </c>
      <c r="K658" s="22" t="s">
        <v>35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2684</v>
      </c>
    </row>
    <row r="659" spans="1:20" ht="23.25" hidden="1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21</v>
      </c>
      <c r="D659" s="24" t="s">
        <v>2685</v>
      </c>
      <c r="E659" s="30" t="s">
        <v>2686</v>
      </c>
      <c r="F659" s="31" t="s">
        <v>23</v>
      </c>
      <c r="G659" s="21" t="s">
        <v>38</v>
      </c>
      <c r="H659" s="76" t="s">
        <v>2687</v>
      </c>
      <c r="I659" s="39">
        <v>46048</v>
      </c>
      <c r="J659" s="39">
        <v>46063</v>
      </c>
      <c r="K659" s="24" t="s">
        <v>26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2688</v>
      </c>
    </row>
    <row r="660" spans="1:20" ht="23.25" hidden="1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21</v>
      </c>
      <c r="D660" s="22" t="s">
        <v>2689</v>
      </c>
      <c r="E660" s="27" t="s">
        <v>2690</v>
      </c>
      <c r="F660" s="29" t="s">
        <v>62</v>
      </c>
      <c r="G660" s="20" t="s">
        <v>2691</v>
      </c>
      <c r="H660" s="36" t="s">
        <v>2692</v>
      </c>
      <c r="I660" s="37">
        <v>46078</v>
      </c>
      <c r="J660" s="37">
        <v>46080</v>
      </c>
      <c r="K660" s="22" t="s">
        <v>35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2693</v>
      </c>
    </row>
    <row r="661" spans="1:20" ht="23.25" hidden="1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21</v>
      </c>
      <c r="D661" s="38" t="s">
        <v>2694</v>
      </c>
      <c r="E661" s="30" t="s">
        <v>2695</v>
      </c>
      <c r="F661" s="31" t="s">
        <v>23</v>
      </c>
      <c r="G661" s="46" t="s">
        <v>2696</v>
      </c>
      <c r="H661" s="38" t="s">
        <v>2697</v>
      </c>
      <c r="I661" s="39">
        <v>46078</v>
      </c>
      <c r="J661" s="39">
        <v>46083</v>
      </c>
      <c r="K661" s="24" t="s">
        <v>35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2698</v>
      </c>
    </row>
    <row r="662" spans="1:20" ht="23.25" hidden="1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21</v>
      </c>
      <c r="D662" s="22" t="s">
        <v>2699</v>
      </c>
      <c r="E662" s="27" t="s">
        <v>2700</v>
      </c>
      <c r="F662" s="29" t="s">
        <v>62</v>
      </c>
      <c r="G662" s="20" t="s">
        <v>2691</v>
      </c>
      <c r="H662" s="165" t="s">
        <v>2701</v>
      </c>
      <c r="I662" s="37">
        <v>46085</v>
      </c>
      <c r="J662" s="37">
        <v>46087</v>
      </c>
      <c r="K662" s="22" t="s">
        <v>35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>SUM(O662:Q662)</f>
        <v>20</v>
      </c>
      <c r="S662" s="22">
        <v>12</v>
      </c>
      <c r="T662" s="54" t="s">
        <v>2702</v>
      </c>
    </row>
    <row r="663" spans="1:20" ht="23.25" hidden="1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21</v>
      </c>
      <c r="D663" s="38" t="s">
        <v>2703</v>
      </c>
      <c r="E663" s="30" t="s">
        <v>2704</v>
      </c>
      <c r="F663" s="31" t="s">
        <v>62</v>
      </c>
      <c r="G663" s="21" t="s">
        <v>72</v>
      </c>
      <c r="H663" s="38" t="s">
        <v>2705</v>
      </c>
      <c r="I663" s="39">
        <v>46090</v>
      </c>
      <c r="J663" s="39">
        <v>46094</v>
      </c>
      <c r="K663" s="24" t="s">
        <v>35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>SUM(O663:Q663)</f>
        <v>19</v>
      </c>
      <c r="S663" s="24">
        <v>20</v>
      </c>
      <c r="T663" s="21" t="s">
        <v>74</v>
      </c>
    </row>
    <row r="664" spans="1:20" ht="23.25" hidden="1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21</v>
      </c>
      <c r="D664" s="22" t="s">
        <v>2706</v>
      </c>
      <c r="E664" s="27" t="s">
        <v>2707</v>
      </c>
      <c r="F664" s="29" t="s">
        <v>23</v>
      </c>
      <c r="G664" s="54" t="s">
        <v>364</v>
      </c>
      <c r="H664" s="36" t="s">
        <v>2708</v>
      </c>
      <c r="I664" s="37">
        <v>46097</v>
      </c>
      <c r="J664" s="37">
        <v>46101</v>
      </c>
      <c r="K664" s="22" t="s">
        <v>35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>SUM(O664:Q664)</f>
        <v>33</v>
      </c>
      <c r="S664" s="22">
        <v>20</v>
      </c>
      <c r="T664" s="54" t="s">
        <v>2709</v>
      </c>
    </row>
    <row r="665" spans="1:20" ht="23.25" hidden="1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21</v>
      </c>
      <c r="D665" s="24" t="s">
        <v>2710</v>
      </c>
      <c r="E665" s="30" t="s">
        <v>2711</v>
      </c>
      <c r="F665" s="31" t="s">
        <v>23</v>
      </c>
      <c r="G665" s="46" t="s">
        <v>2712</v>
      </c>
      <c r="H665" s="38" t="s">
        <v>2713</v>
      </c>
      <c r="I665" s="39">
        <v>46098</v>
      </c>
      <c r="J665" s="39">
        <v>46100</v>
      </c>
      <c r="K665" s="24" t="s">
        <v>35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>SUM(O665:Q665)</f>
        <v>20</v>
      </c>
      <c r="S665" s="24">
        <v>8</v>
      </c>
      <c r="T665" s="21" t="s">
        <v>2714</v>
      </c>
    </row>
    <row r="666" spans="1:20" ht="32.25" hidden="1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21</v>
      </c>
      <c r="D666" s="36" t="s">
        <v>2703</v>
      </c>
      <c r="E666" s="27" t="s">
        <v>2715</v>
      </c>
      <c r="F666" s="29" t="s">
        <v>62</v>
      </c>
      <c r="G666" s="20" t="s">
        <v>72</v>
      </c>
      <c r="H666" s="36" t="s">
        <v>2716</v>
      </c>
      <c r="I666" s="37">
        <v>46104</v>
      </c>
      <c r="J666" s="37">
        <v>46108</v>
      </c>
      <c r="K666" s="22" t="s">
        <v>35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>SUM(O666:Q666)</f>
        <v>20</v>
      </c>
      <c r="S666" s="22">
        <v>20</v>
      </c>
      <c r="T666" s="20" t="s">
        <v>74</v>
      </c>
    </row>
    <row r="667" spans="1:20" ht="23.25" hidden="1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21</v>
      </c>
      <c r="D667" s="24" t="s">
        <v>2717</v>
      </c>
      <c r="E667" s="30" t="s">
        <v>2718</v>
      </c>
      <c r="F667" s="31" t="s">
        <v>62</v>
      </c>
      <c r="G667" s="21" t="s">
        <v>72</v>
      </c>
      <c r="H667" s="24" t="s">
        <v>2719</v>
      </c>
      <c r="I667" s="39">
        <v>46105</v>
      </c>
      <c r="J667" s="39">
        <v>46105</v>
      </c>
      <c r="K667" s="24" t="s">
        <v>26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>SUM(O667:Q667)</f>
        <v>127</v>
      </c>
      <c r="S667" s="24">
        <v>4</v>
      </c>
      <c r="T667" s="21" t="s">
        <v>472</v>
      </c>
    </row>
    <row r="668" spans="1:20" ht="33" hidden="1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21</v>
      </c>
      <c r="D668" s="22" t="s">
        <v>2720</v>
      </c>
      <c r="E668" s="27" t="s">
        <v>2721</v>
      </c>
      <c r="F668" s="29" t="s">
        <v>62</v>
      </c>
      <c r="G668" s="20" t="s">
        <v>72</v>
      </c>
      <c r="H668" s="36" t="s">
        <v>2722</v>
      </c>
      <c r="I668" s="37">
        <v>46111</v>
      </c>
      <c r="J668" s="37">
        <v>46112</v>
      </c>
      <c r="K668" s="22" t="s">
        <v>26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>SUM(O668:Q668)</f>
        <v>192</v>
      </c>
      <c r="S668" s="22">
        <v>14</v>
      </c>
      <c r="T668" s="20" t="s">
        <v>472</v>
      </c>
    </row>
    <row r="669" spans="1:20" ht="23.25" hidden="1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21</v>
      </c>
      <c r="D669" s="166" t="s">
        <v>2723</v>
      </c>
      <c r="E669" s="30" t="s">
        <v>2724</v>
      </c>
      <c r="F669" s="31" t="s">
        <v>62</v>
      </c>
      <c r="G669" s="167" t="s">
        <v>2691</v>
      </c>
      <c r="H669" s="168" t="s">
        <v>2725</v>
      </c>
      <c r="I669" s="169">
        <v>46120</v>
      </c>
      <c r="J669" s="169">
        <v>46122</v>
      </c>
      <c r="K669" s="24" t="s">
        <v>35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2702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21</v>
      </c>
      <c r="D670" s="172" t="s">
        <v>2726</v>
      </c>
      <c r="E670" s="173" t="s">
        <v>2727</v>
      </c>
      <c r="F670" s="29" t="s">
        <v>81</v>
      </c>
      <c r="G670" s="20" t="s">
        <v>2728</v>
      </c>
      <c r="H670" s="174" t="s">
        <v>2729</v>
      </c>
      <c r="I670" s="175">
        <v>46125</v>
      </c>
      <c r="J670" s="175">
        <v>46128</v>
      </c>
      <c r="K670" s="22" t="s">
        <v>26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2115</v>
      </c>
    </row>
    <row r="671" spans="1:20" ht="23.25" hidden="1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21</v>
      </c>
      <c r="D671" s="24" t="s">
        <v>2710</v>
      </c>
      <c r="E671" s="30" t="s">
        <v>2730</v>
      </c>
      <c r="F671" s="31" t="s">
        <v>23</v>
      </c>
      <c r="G671" s="46" t="s">
        <v>2712</v>
      </c>
      <c r="H671" s="38" t="s">
        <v>2731</v>
      </c>
      <c r="I671" s="39">
        <v>46127</v>
      </c>
      <c r="J671" s="39">
        <v>46129</v>
      </c>
      <c r="K671" s="24" t="s">
        <v>35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>SUM(O671:Q671)</f>
        <v>22</v>
      </c>
      <c r="S671" s="24">
        <v>8</v>
      </c>
      <c r="T671" s="21" t="s">
        <v>2732</v>
      </c>
    </row>
    <row r="672" spans="1:20" ht="23.25" hidden="1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21</v>
      </c>
      <c r="D672" s="172" t="s">
        <v>2733</v>
      </c>
      <c r="E672" s="173" t="s">
        <v>2734</v>
      </c>
      <c r="F672" s="29" t="s">
        <v>23</v>
      </c>
      <c r="G672" s="54" t="s">
        <v>2712</v>
      </c>
      <c r="H672" s="174" t="s">
        <v>2735</v>
      </c>
      <c r="I672" s="175">
        <v>46128</v>
      </c>
      <c r="J672" s="175">
        <v>46128</v>
      </c>
      <c r="K672" s="22" t="s">
        <v>35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>SUM(O672:Q672)</f>
        <v>1</v>
      </c>
      <c r="S672" s="172">
        <v>2</v>
      </c>
      <c r="T672" s="20" t="s">
        <v>2732</v>
      </c>
    </row>
    <row r="673" spans="1:20" ht="23.25" hidden="1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21</v>
      </c>
      <c r="D673" s="24" t="s">
        <v>2736</v>
      </c>
      <c r="E673" s="30" t="s">
        <v>2737</v>
      </c>
      <c r="F673" s="31" t="s">
        <v>23</v>
      </c>
      <c r="G673" s="21" t="s">
        <v>199</v>
      </c>
      <c r="H673" s="59" t="s">
        <v>2738</v>
      </c>
      <c r="I673" s="39">
        <v>46132</v>
      </c>
      <c r="J673" s="39">
        <v>46142</v>
      </c>
      <c r="K673" s="24" t="s">
        <v>35</v>
      </c>
      <c r="L673" s="199"/>
      <c r="M673" s="195"/>
      <c r="N673" s="40"/>
      <c r="O673" s="25"/>
      <c r="P673" s="25"/>
      <c r="Q673" s="25"/>
      <c r="R673" s="25">
        <f>SUM(O673:Q673)</f>
        <v>0</v>
      </c>
      <c r="S673" s="24"/>
      <c r="T673" s="46" t="s">
        <v>2739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21</v>
      </c>
      <c r="D674" s="22" t="s">
        <v>2740</v>
      </c>
      <c r="E674" s="27" t="s">
        <v>2626</v>
      </c>
      <c r="F674" s="29" t="s">
        <v>81</v>
      </c>
      <c r="G674" s="48" t="s">
        <v>2728</v>
      </c>
      <c r="H674" s="36" t="s">
        <v>2741</v>
      </c>
      <c r="I674" s="37">
        <v>46136</v>
      </c>
      <c r="J674" s="37">
        <v>46136</v>
      </c>
      <c r="K674" s="22" t="s">
        <v>35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>SUM(O674:Q674)</f>
        <v>80</v>
      </c>
      <c r="S674" s="22">
        <v>4</v>
      </c>
      <c r="T674" s="43" t="s">
        <v>2742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21</v>
      </c>
      <c r="D675" s="22" t="s">
        <v>2740</v>
      </c>
      <c r="E675" s="27" t="s">
        <v>2626</v>
      </c>
      <c r="F675" s="29" t="s">
        <v>81</v>
      </c>
      <c r="G675" s="48" t="s">
        <v>2728</v>
      </c>
      <c r="H675" s="300" t="s">
        <v>2743</v>
      </c>
      <c r="I675" s="301">
        <v>46150</v>
      </c>
      <c r="J675" s="301">
        <v>46150</v>
      </c>
      <c r="K675" s="22" t="s">
        <v>35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>SUM(O675:Q675)</f>
        <v>80</v>
      </c>
      <c r="S675" s="22">
        <v>4</v>
      </c>
      <c r="T675" s="43" t="s">
        <v>2742</v>
      </c>
    </row>
    <row r="676" spans="1:20" ht="23.25" hidden="1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2744</v>
      </c>
      <c r="D676" s="24" t="s">
        <v>2745</v>
      </c>
      <c r="E676" s="30" t="s">
        <v>2746</v>
      </c>
      <c r="F676" s="31" t="s">
        <v>23</v>
      </c>
      <c r="G676" s="21" t="s">
        <v>2696</v>
      </c>
      <c r="H676" s="38" t="s">
        <v>2747</v>
      </c>
      <c r="I676" s="39">
        <v>46160</v>
      </c>
      <c r="J676" s="39">
        <v>46163</v>
      </c>
      <c r="K676" s="24" t="s">
        <v>35</v>
      </c>
      <c r="L676" s="199">
        <v>0</v>
      </c>
      <c r="M676" s="195"/>
      <c r="N676" s="25"/>
      <c r="O676" s="25"/>
      <c r="P676" s="25"/>
      <c r="Q676" s="25"/>
      <c r="R676" s="25">
        <f>SUM(O676:Q676)</f>
        <v>0</v>
      </c>
      <c r="S676" s="24">
        <v>16</v>
      </c>
      <c r="T676" s="21" t="s">
        <v>2698</v>
      </c>
    </row>
    <row r="677" spans="1:20" ht="23.25" hidden="1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21</v>
      </c>
      <c r="D677" s="186" t="s">
        <v>2748</v>
      </c>
      <c r="E677" s="274" t="s">
        <v>2749</v>
      </c>
      <c r="F677" s="188" t="s">
        <v>23</v>
      </c>
      <c r="G677" s="194" t="s">
        <v>38</v>
      </c>
      <c r="H677" s="189" t="s">
        <v>2750</v>
      </c>
      <c r="I677" s="190">
        <v>46163</v>
      </c>
      <c r="J677" s="190">
        <v>46164</v>
      </c>
      <c r="K677" s="166" t="s">
        <v>26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>SUM(O677:Q677)</f>
        <v>100</v>
      </c>
      <c r="S677" s="186">
        <v>8</v>
      </c>
      <c r="T677" s="167" t="s">
        <v>472</v>
      </c>
    </row>
    <row r="678" spans="1:20" ht="23.25" hidden="1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21</v>
      </c>
      <c r="D678" s="64" t="s">
        <v>2751</v>
      </c>
      <c r="E678" s="30" t="s">
        <v>2752</v>
      </c>
      <c r="F678" s="31" t="s">
        <v>23</v>
      </c>
      <c r="G678" s="45" t="s">
        <v>24</v>
      </c>
      <c r="H678" s="189" t="s">
        <v>2753</v>
      </c>
      <c r="I678" s="60">
        <v>46181</v>
      </c>
      <c r="J678" s="60">
        <v>46185</v>
      </c>
      <c r="K678" s="24" t="s">
        <v>35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>SUM(O678:Q678)</f>
        <v>17</v>
      </c>
      <c r="S678" s="64">
        <v>20</v>
      </c>
      <c r="T678" s="46" t="s">
        <v>2754</v>
      </c>
    </row>
    <row r="679" spans="1:20" ht="23.25" hidden="1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21</v>
      </c>
      <c r="D679" s="180" t="s">
        <v>2755</v>
      </c>
      <c r="E679" s="275" t="s">
        <v>2756</v>
      </c>
      <c r="F679" s="29" t="s">
        <v>62</v>
      </c>
      <c r="G679" s="179" t="s">
        <v>2691</v>
      </c>
      <c r="H679" s="182" t="s">
        <v>2757</v>
      </c>
      <c r="I679" s="183">
        <v>46182</v>
      </c>
      <c r="J679" s="183">
        <v>46184</v>
      </c>
      <c r="K679" s="22" t="s">
        <v>35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>SUM(O679:Q679)</f>
        <v>32</v>
      </c>
      <c r="S679" s="180">
        <v>12</v>
      </c>
      <c r="T679" s="67" t="s">
        <v>2693</v>
      </c>
    </row>
    <row r="680" spans="1:20" ht="23.25" hidden="1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21</v>
      </c>
      <c r="D680" s="186" t="s">
        <v>2755</v>
      </c>
      <c r="E680" s="272" t="s">
        <v>2761</v>
      </c>
      <c r="F680" s="31" t="s">
        <v>62</v>
      </c>
      <c r="G680" s="167" t="s">
        <v>2691</v>
      </c>
      <c r="H680" s="189" t="s">
        <v>2762</v>
      </c>
      <c r="I680" s="190">
        <v>46189</v>
      </c>
      <c r="J680" s="190">
        <v>46191</v>
      </c>
      <c r="K680" s="24" t="s">
        <v>35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>SUM(O680:Q680)</f>
        <v>44</v>
      </c>
      <c r="S680" s="186">
        <v>12</v>
      </c>
      <c r="T680" s="21" t="s">
        <v>2693</v>
      </c>
    </row>
    <row r="681" spans="1:20" ht="23.25" hidden="1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21</v>
      </c>
      <c r="D681" s="180" t="s">
        <v>2763</v>
      </c>
      <c r="E681" s="164" t="s">
        <v>2764</v>
      </c>
      <c r="F681" s="29" t="s">
        <v>62</v>
      </c>
      <c r="G681" s="181" t="s">
        <v>2691</v>
      </c>
      <c r="H681" s="182" t="s">
        <v>2765</v>
      </c>
      <c r="I681" s="183">
        <v>46195</v>
      </c>
      <c r="J681" s="183">
        <v>46196</v>
      </c>
      <c r="K681" s="22" t="s">
        <v>26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>SUM(O681:Q681)</f>
        <v>196</v>
      </c>
      <c r="S681" s="180">
        <v>14</v>
      </c>
      <c r="T681" s="20" t="s">
        <v>472</v>
      </c>
    </row>
    <row r="682" spans="1:20" ht="23.25" hidden="1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2758</v>
      </c>
      <c r="D682" s="70" t="s">
        <v>2745</v>
      </c>
      <c r="E682" s="65" t="s">
        <v>2759</v>
      </c>
      <c r="F682" s="29" t="s">
        <v>23</v>
      </c>
      <c r="G682" s="67" t="s">
        <v>2696</v>
      </c>
      <c r="H682" s="68" t="s">
        <v>2760</v>
      </c>
      <c r="I682" s="69">
        <v>46272</v>
      </c>
      <c r="J682" s="69">
        <v>46212</v>
      </c>
      <c r="K682" s="22" t="s">
        <v>35</v>
      </c>
      <c r="L682" s="299">
        <v>0</v>
      </c>
      <c r="M682" s="198"/>
      <c r="N682" s="73"/>
      <c r="O682" s="73"/>
      <c r="P682" s="73"/>
      <c r="Q682" s="73"/>
      <c r="R682" s="73">
        <f>SUM(O682:Q682)</f>
        <v>0</v>
      </c>
      <c r="S682" s="70">
        <v>12</v>
      </c>
      <c r="T682" s="20" t="s">
        <v>2698</v>
      </c>
    </row>
    <row r="683" spans="1:20" ht="23.25" hidden="1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2758</v>
      </c>
      <c r="D683" s="186" t="s">
        <v>2766</v>
      </c>
      <c r="E683" s="187" t="s">
        <v>2767</v>
      </c>
      <c r="F683" s="31" t="s">
        <v>62</v>
      </c>
      <c r="G683" s="21" t="s">
        <v>72</v>
      </c>
      <c r="H683" s="189" t="s">
        <v>2768</v>
      </c>
      <c r="I683" s="190">
        <v>46335</v>
      </c>
      <c r="J683" s="190">
        <v>46335</v>
      </c>
      <c r="K683" s="24" t="s">
        <v>26</v>
      </c>
      <c r="L683" s="202"/>
      <c r="M683" s="197"/>
      <c r="N683" s="192">
        <v>170</v>
      </c>
      <c r="O683" s="193"/>
      <c r="P683" s="193"/>
      <c r="Q683" s="193"/>
      <c r="R683" s="193">
        <f>SUM(O683:Q683)</f>
        <v>0</v>
      </c>
      <c r="S683" s="186">
        <v>14</v>
      </c>
      <c r="T683" s="21" t="s">
        <v>472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2769</v>
      </c>
      <c r="D684" s="70" t="s">
        <v>2770</v>
      </c>
      <c r="E684" s="164" t="s">
        <v>2771</v>
      </c>
      <c r="F684" s="66" t="s">
        <v>81</v>
      </c>
      <c r="G684" s="67" t="s">
        <v>2728</v>
      </c>
      <c r="H684" s="68"/>
      <c r="I684" s="69"/>
      <c r="J684" s="69"/>
      <c r="K684" s="70" t="s">
        <v>26</v>
      </c>
      <c r="L684" s="71">
        <v>25200</v>
      </c>
      <c r="M684" s="198"/>
      <c r="N684" s="72">
        <v>60</v>
      </c>
      <c r="O684" s="73"/>
      <c r="P684" s="73"/>
      <c r="Q684" s="73"/>
      <c r="R684" s="73">
        <f>SUM(O684:Q684)</f>
        <v>0</v>
      </c>
      <c r="S684" s="70">
        <v>32</v>
      </c>
      <c r="T684" s="67" t="s">
        <v>2772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2758</v>
      </c>
      <c r="D685" s="209" t="s">
        <v>2773</v>
      </c>
      <c r="E685" s="210" t="s">
        <v>2774</v>
      </c>
      <c r="F685" s="211" t="s">
        <v>62</v>
      </c>
      <c r="G685" s="208" t="s">
        <v>72</v>
      </c>
      <c r="H685" s="212" t="s">
        <v>2775</v>
      </c>
      <c r="I685" s="213">
        <v>46321</v>
      </c>
      <c r="J685" s="213">
        <v>46322</v>
      </c>
      <c r="K685" s="24" t="s">
        <v>26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0">IF(B685="","",SUM(O685:Q685))</f>
        <v>0</v>
      </c>
      <c r="S685" s="209">
        <v>14</v>
      </c>
      <c r="T685" s="21" t="s">
        <v>472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2758</v>
      </c>
      <c r="D686" s="218" t="s">
        <v>2776</v>
      </c>
      <c r="E686" s="239" t="s">
        <v>2777</v>
      </c>
      <c r="F686" s="220" t="s">
        <v>23</v>
      </c>
      <c r="G686" s="217" t="s">
        <v>68</v>
      </c>
      <c r="H686" s="221" t="s">
        <v>2778</v>
      </c>
      <c r="I686" s="222">
        <v>46223</v>
      </c>
      <c r="J686" s="222">
        <v>46233</v>
      </c>
      <c r="K686" s="218" t="s">
        <v>35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0"/>
        <v>0</v>
      </c>
      <c r="S686" s="218">
        <v>24</v>
      </c>
      <c r="T686" s="217" t="s">
        <v>2754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2744</v>
      </c>
      <c r="D687" s="209" t="s">
        <v>2779</v>
      </c>
      <c r="E687" s="210" t="s">
        <v>2780</v>
      </c>
      <c r="F687" s="211" t="s">
        <v>23</v>
      </c>
      <c r="G687" s="208" t="s">
        <v>68</v>
      </c>
      <c r="H687" s="212" t="s">
        <v>2781</v>
      </c>
      <c r="I687" s="213">
        <v>46174</v>
      </c>
      <c r="J687" s="213">
        <v>46387</v>
      </c>
      <c r="K687" s="209" t="s">
        <v>26</v>
      </c>
      <c r="L687" s="223">
        <v>105000</v>
      </c>
      <c r="M687" s="214"/>
      <c r="N687" s="215"/>
      <c r="O687" s="216"/>
      <c r="P687" s="216"/>
      <c r="Q687" s="216"/>
      <c r="R687" s="216">
        <f t="shared" si="0"/>
        <v>0</v>
      </c>
      <c r="S687" s="209">
        <v>25</v>
      </c>
      <c r="T687" t="s">
        <v>2782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21</v>
      </c>
      <c r="D688" s="218" t="s">
        <v>2783</v>
      </c>
      <c r="E688" s="239" t="s">
        <v>2784</v>
      </c>
      <c r="F688" s="220" t="s">
        <v>81</v>
      </c>
      <c r="G688" s="217" t="s">
        <v>2728</v>
      </c>
      <c r="H688" s="221" t="s">
        <v>2785</v>
      </c>
      <c r="I688" s="222">
        <v>46204</v>
      </c>
      <c r="J688" s="222">
        <v>46206</v>
      </c>
      <c r="K688" s="218" t="s">
        <v>35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2445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21</v>
      </c>
      <c r="D689" s="209" t="s">
        <v>2786</v>
      </c>
      <c r="E689" s="244" t="s">
        <v>2787</v>
      </c>
      <c r="F689" s="211" t="s">
        <v>23</v>
      </c>
      <c r="G689" s="208" t="s">
        <v>2712</v>
      </c>
      <c r="H689" s="246" t="s">
        <v>2788</v>
      </c>
      <c r="I689" s="213">
        <v>46154</v>
      </c>
      <c r="J689" s="213">
        <v>46156</v>
      </c>
      <c r="K689" s="209" t="s">
        <v>35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0"/>
        <v>22</v>
      </c>
      <c r="S689" s="209">
        <v>8</v>
      </c>
      <c r="T689" s="105" t="s">
        <v>2732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21</v>
      </c>
      <c r="D690" s="218" t="s">
        <v>2786</v>
      </c>
      <c r="E690" s="245" t="s">
        <v>2789</v>
      </c>
      <c r="F690" s="220" t="s">
        <v>23</v>
      </c>
      <c r="G690" s="217" t="s">
        <v>2712</v>
      </c>
      <c r="H690" s="247" t="s">
        <v>2790</v>
      </c>
      <c r="I690" s="222">
        <v>46196</v>
      </c>
      <c r="J690" s="222">
        <v>46198</v>
      </c>
      <c r="K690" s="218" t="s">
        <v>35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0"/>
        <v>24</v>
      </c>
      <c r="S690" s="218">
        <v>8</v>
      </c>
      <c r="T690" s="104" t="s">
        <v>2732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21</v>
      </c>
      <c r="D691" s="209" t="s">
        <v>2791</v>
      </c>
      <c r="E691" s="244" t="s">
        <v>2669</v>
      </c>
      <c r="F691" s="211" t="s">
        <v>23</v>
      </c>
      <c r="G691" s="208" t="s">
        <v>38</v>
      </c>
      <c r="H691" s="212" t="s">
        <v>2792</v>
      </c>
      <c r="I691" s="213">
        <v>46160</v>
      </c>
      <c r="J691" s="213">
        <v>46167</v>
      </c>
      <c r="K691" s="209" t="s">
        <v>35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0"/>
        <v>21</v>
      </c>
      <c r="S691" s="209">
        <v>16</v>
      </c>
      <c r="T691" s="208" t="s">
        <v>1785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21</v>
      </c>
      <c r="D692" s="218" t="s">
        <v>2793</v>
      </c>
      <c r="E692" s="245" t="s">
        <v>2794</v>
      </c>
      <c r="F692" s="220" t="s">
        <v>23</v>
      </c>
      <c r="G692" s="217" t="s">
        <v>364</v>
      </c>
      <c r="H692" s="221" t="s">
        <v>2795</v>
      </c>
      <c r="I692" s="222">
        <v>46140</v>
      </c>
      <c r="J692" s="222">
        <v>46147</v>
      </c>
      <c r="K692" s="218" t="s">
        <v>35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0"/>
        <v>30</v>
      </c>
      <c r="S692" s="218">
        <v>20</v>
      </c>
      <c r="T692" s="217" t="s">
        <v>472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21</v>
      </c>
      <c r="D693" s="209" t="s">
        <v>2796</v>
      </c>
      <c r="E693" s="244" t="s">
        <v>2797</v>
      </c>
      <c r="F693" s="211" t="s">
        <v>23</v>
      </c>
      <c r="G693" s="208" t="s">
        <v>24</v>
      </c>
      <c r="H693" s="212" t="s">
        <v>2798</v>
      </c>
      <c r="I693" s="213">
        <v>46148</v>
      </c>
      <c r="J693" s="213">
        <v>46150</v>
      </c>
      <c r="K693" s="209" t="s">
        <v>35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0"/>
        <v>30</v>
      </c>
      <c r="S693" s="209">
        <v>12</v>
      </c>
      <c r="T693" s="208" t="s">
        <v>2799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2758</v>
      </c>
      <c r="D694" s="218" t="s">
        <v>2800</v>
      </c>
      <c r="E694" s="219" t="s">
        <v>2801</v>
      </c>
      <c r="F694" s="220" t="s">
        <v>62</v>
      </c>
      <c r="G694" s="217" t="s">
        <v>2691</v>
      </c>
      <c r="H694" s="221" t="s">
        <v>2802</v>
      </c>
      <c r="I694" s="222">
        <v>46157</v>
      </c>
      <c r="J694" s="222">
        <v>46387</v>
      </c>
      <c r="K694" s="218" t="s">
        <v>35</v>
      </c>
      <c r="L694" s="223"/>
      <c r="M694" s="214"/>
      <c r="N694" s="225"/>
      <c r="O694" s="224"/>
      <c r="P694" s="224"/>
      <c r="Q694" s="224"/>
      <c r="R694" s="224">
        <f t="shared" si="0"/>
        <v>0</v>
      </c>
      <c r="S694" s="218">
        <v>85</v>
      </c>
      <c r="T694" s="217" t="s">
        <v>2693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2758</v>
      </c>
      <c r="D695" s="209" t="s">
        <v>2803</v>
      </c>
      <c r="E695" s="210" t="s">
        <v>2804</v>
      </c>
      <c r="F695" s="211" t="s">
        <v>81</v>
      </c>
      <c r="G695" s="260" t="s">
        <v>2728</v>
      </c>
      <c r="H695" s="212" t="s">
        <v>2805</v>
      </c>
      <c r="I695" s="213">
        <v>46223</v>
      </c>
      <c r="J695" s="213">
        <v>46227</v>
      </c>
      <c r="K695" s="209" t="s">
        <v>35</v>
      </c>
      <c r="L695" s="223"/>
      <c r="M695" s="214"/>
      <c r="N695" s="215"/>
      <c r="O695" s="216"/>
      <c r="P695" s="216"/>
      <c r="Q695" s="216"/>
      <c r="R695" s="216">
        <f t="shared" si="0"/>
        <v>0</v>
      </c>
      <c r="S695" s="209">
        <v>20</v>
      </c>
      <c r="T695" s="208" t="s">
        <v>418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21</v>
      </c>
      <c r="D696" s="218" t="s">
        <v>2806</v>
      </c>
      <c r="E696" s="219" t="s">
        <v>2807</v>
      </c>
      <c r="F696" s="220" t="s">
        <v>81</v>
      </c>
      <c r="G696" s="269" t="s">
        <v>2728</v>
      </c>
      <c r="H696" s="221" t="s">
        <v>2808</v>
      </c>
      <c r="I696" s="222">
        <v>46167</v>
      </c>
      <c r="J696" s="222">
        <v>46171</v>
      </c>
      <c r="K696" s="218" t="s">
        <v>35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0"/>
        <v>25</v>
      </c>
      <c r="S696" s="218">
        <v>4</v>
      </c>
      <c r="T696" s="217" t="s">
        <v>1023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21</v>
      </c>
      <c r="D697" s="209" t="s">
        <v>2809</v>
      </c>
      <c r="E697" s="210" t="s">
        <v>2810</v>
      </c>
      <c r="F697" s="211" t="s">
        <v>81</v>
      </c>
      <c r="G697" s="260" t="s">
        <v>2728</v>
      </c>
      <c r="H697" s="212" t="s">
        <v>2811</v>
      </c>
      <c r="I697" s="213">
        <v>46148</v>
      </c>
      <c r="J697" s="213">
        <v>46148</v>
      </c>
      <c r="K697" s="209" t="s">
        <v>35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0"/>
        <v>50</v>
      </c>
      <c r="S697" s="209">
        <v>3</v>
      </c>
      <c r="T697" s="208" t="s">
        <v>2812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2758</v>
      </c>
      <c r="D698" s="218" t="s">
        <v>2813</v>
      </c>
      <c r="E698" s="219" t="s">
        <v>2814</v>
      </c>
      <c r="F698" s="220" t="s">
        <v>23</v>
      </c>
      <c r="G698" s="217" t="s">
        <v>24</v>
      </c>
      <c r="H698" s="221" t="s">
        <v>2802</v>
      </c>
      <c r="I698" s="222">
        <v>46204</v>
      </c>
      <c r="J698" s="222">
        <v>46387</v>
      </c>
      <c r="K698" s="218" t="s">
        <v>35</v>
      </c>
      <c r="L698" s="223"/>
      <c r="M698" s="214"/>
      <c r="N698" s="225"/>
      <c r="O698" s="224"/>
      <c r="P698" s="224"/>
      <c r="Q698" s="224"/>
      <c r="R698" s="224">
        <f t="shared" si="0"/>
        <v>0</v>
      </c>
      <c r="S698" s="218">
        <v>16</v>
      </c>
      <c r="T698" s="217" t="s">
        <v>549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2758</v>
      </c>
      <c r="D699" s="209" t="s">
        <v>2815</v>
      </c>
      <c r="E699" s="210" t="s">
        <v>2816</v>
      </c>
      <c r="F699" s="211" t="s">
        <v>23</v>
      </c>
      <c r="G699" s="208" t="s">
        <v>68</v>
      </c>
      <c r="H699" s="212" t="s">
        <v>2817</v>
      </c>
      <c r="I699" s="213">
        <v>46244</v>
      </c>
      <c r="J699" s="213">
        <v>46245</v>
      </c>
      <c r="K699" s="209" t="s">
        <v>26</v>
      </c>
      <c r="L699" s="223">
        <v>13000</v>
      </c>
      <c r="M699" s="214"/>
      <c r="N699" s="215"/>
      <c r="O699" s="216"/>
      <c r="P699" s="216"/>
      <c r="Q699" s="216"/>
      <c r="R699" s="216">
        <f t="shared" si="0"/>
        <v>0</v>
      </c>
      <c r="S699" s="209">
        <v>10</v>
      </c>
      <c r="T699" s="208" t="s">
        <v>2818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2758</v>
      </c>
      <c r="D700" s="218" t="s">
        <v>2819</v>
      </c>
      <c r="E700" s="219" t="s">
        <v>2820</v>
      </c>
      <c r="F700" s="220" t="s">
        <v>62</v>
      </c>
      <c r="G700" s="217" t="s">
        <v>72</v>
      </c>
      <c r="H700" s="221" t="s">
        <v>2821</v>
      </c>
      <c r="I700" s="222">
        <v>46223</v>
      </c>
      <c r="J700" s="222">
        <v>46223</v>
      </c>
      <c r="K700" s="218" t="s">
        <v>35</v>
      </c>
      <c r="L700" s="223">
        <v>0</v>
      </c>
      <c r="M700" s="214"/>
      <c r="N700" s="225"/>
      <c r="O700" s="224"/>
      <c r="P700" s="224"/>
      <c r="Q700" s="224"/>
      <c r="R700" s="224">
        <f t="shared" si="0"/>
        <v>0</v>
      </c>
      <c r="S700" s="218">
        <v>4</v>
      </c>
      <c r="T700" s="217" t="s">
        <v>472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2758</v>
      </c>
      <c r="D701" s="209" t="s">
        <v>2822</v>
      </c>
      <c r="E701" s="210" t="s">
        <v>2823</v>
      </c>
      <c r="F701" s="211" t="s">
        <v>62</v>
      </c>
      <c r="G701" s="208" t="s">
        <v>72</v>
      </c>
      <c r="H701" s="212" t="s">
        <v>2824</v>
      </c>
      <c r="I701" s="213">
        <v>46237</v>
      </c>
      <c r="J701" s="213">
        <v>46238</v>
      </c>
      <c r="K701" s="209" t="s">
        <v>35</v>
      </c>
      <c r="L701" s="223"/>
      <c r="M701" s="214"/>
      <c r="N701" s="215">
        <v>400</v>
      </c>
      <c r="O701" s="216"/>
      <c r="P701" s="216"/>
      <c r="Q701" s="216"/>
      <c r="R701" s="216">
        <f t="shared" si="0"/>
        <v>0</v>
      </c>
      <c r="S701" s="209">
        <v>8</v>
      </c>
      <c r="T701" s="208" t="s">
        <v>2825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21</v>
      </c>
      <c r="D702" s="218" t="s">
        <v>2826</v>
      </c>
      <c r="E702" s="219" t="s">
        <v>2827</v>
      </c>
      <c r="F702" s="220" t="s">
        <v>23</v>
      </c>
      <c r="G702" s="217" t="s">
        <v>24</v>
      </c>
      <c r="H702" s="221" t="s">
        <v>2828</v>
      </c>
      <c r="I702" s="222">
        <v>46189</v>
      </c>
      <c r="J702" s="222">
        <v>46191</v>
      </c>
      <c r="K702" s="218" t="s">
        <v>35</v>
      </c>
      <c r="L702" s="223">
        <v>9746.07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0"/>
        <v>20</v>
      </c>
      <c r="S702" s="218">
        <v>12</v>
      </c>
      <c r="T702" s="217" t="s">
        <v>2829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2758</v>
      </c>
      <c r="D703" s="209" t="s">
        <v>2830</v>
      </c>
      <c r="E703" s="210" t="s">
        <v>2831</v>
      </c>
      <c r="F703" s="211" t="s">
        <v>62</v>
      </c>
      <c r="G703" s="208" t="s">
        <v>72</v>
      </c>
      <c r="H703" s="212" t="s">
        <v>2802</v>
      </c>
      <c r="I703" s="212" t="s">
        <v>2832</v>
      </c>
      <c r="J703" s="212" t="s">
        <v>2833</v>
      </c>
      <c r="K703" s="209" t="s">
        <v>35</v>
      </c>
      <c r="L703" s="223"/>
      <c r="M703" s="214"/>
      <c r="N703" s="215"/>
      <c r="O703" s="216"/>
      <c r="P703" s="216"/>
      <c r="Q703" s="216"/>
      <c r="R703" s="216">
        <f t="shared" si="0"/>
        <v>0</v>
      </c>
      <c r="S703" s="209">
        <v>17.45</v>
      </c>
      <c r="T703" s="208" t="s">
        <v>2834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21</v>
      </c>
      <c r="D704" s="218" t="s">
        <v>2835</v>
      </c>
      <c r="E704" s="219" t="s">
        <v>2836</v>
      </c>
      <c r="F704" s="220" t="s">
        <v>62</v>
      </c>
      <c r="G704" s="217" t="s">
        <v>72</v>
      </c>
      <c r="H704" s="221" t="s">
        <v>2837</v>
      </c>
      <c r="I704" s="222">
        <v>46203</v>
      </c>
      <c r="J704" s="222">
        <v>46205</v>
      </c>
      <c r="K704" s="218" t="s">
        <v>35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/>
      <c r="Q704" s="224">
        <v>0</v>
      </c>
      <c r="R704" s="224">
        <f t="shared" si="0"/>
        <v>2</v>
      </c>
      <c r="S704" s="218">
        <v>8</v>
      </c>
      <c r="T704" s="104" t="s">
        <v>2732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2758</v>
      </c>
      <c r="D705" s="209" t="s">
        <v>2740</v>
      </c>
      <c r="E705" s="210" t="s">
        <v>2838</v>
      </c>
      <c r="F705" s="211" t="s">
        <v>81</v>
      </c>
      <c r="G705" s="260" t="s">
        <v>2728</v>
      </c>
      <c r="H705" s="276" t="s">
        <v>2839</v>
      </c>
      <c r="I705" s="213">
        <v>46254</v>
      </c>
      <c r="J705" s="213">
        <v>46254</v>
      </c>
      <c r="K705" s="209" t="s">
        <v>35</v>
      </c>
      <c r="L705" s="223"/>
      <c r="M705" s="214"/>
      <c r="N705" s="215">
        <v>80</v>
      </c>
      <c r="O705" s="216"/>
      <c r="P705" s="216"/>
      <c r="Q705" s="216"/>
      <c r="R705" s="216">
        <f t="shared" si="0"/>
        <v>0</v>
      </c>
      <c r="S705" s="209">
        <v>4</v>
      </c>
      <c r="T705" s="43" t="s">
        <v>2840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2758</v>
      </c>
      <c r="D706" s="209" t="s">
        <v>2740</v>
      </c>
      <c r="E706" s="210" t="s">
        <v>2838</v>
      </c>
      <c r="F706" s="220" t="s">
        <v>81</v>
      </c>
      <c r="G706" s="269" t="s">
        <v>2728</v>
      </c>
      <c r="H706" s="277" t="s">
        <v>2841</v>
      </c>
      <c r="I706" s="222">
        <v>46255</v>
      </c>
      <c r="J706" s="222">
        <v>46255</v>
      </c>
      <c r="K706" s="218" t="s">
        <v>35</v>
      </c>
      <c r="L706" s="223"/>
      <c r="M706" s="214"/>
      <c r="N706" s="225">
        <v>80</v>
      </c>
      <c r="O706" s="224"/>
      <c r="P706" s="224"/>
      <c r="Q706" s="224"/>
      <c r="R706" s="224">
        <f t="shared" si="0"/>
        <v>0</v>
      </c>
      <c r="S706" s="218">
        <v>4</v>
      </c>
      <c r="T706" s="278" t="s">
        <v>2842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2758</v>
      </c>
      <c r="D707" s="209" t="s">
        <v>2740</v>
      </c>
      <c r="E707" s="210" t="s">
        <v>2838</v>
      </c>
      <c r="F707" s="211" t="s">
        <v>81</v>
      </c>
      <c r="G707" s="260" t="s">
        <v>2728</v>
      </c>
      <c r="H707" s="276" t="s">
        <v>2843</v>
      </c>
      <c r="I707" s="213">
        <v>46289</v>
      </c>
      <c r="J707" s="213">
        <v>46289</v>
      </c>
      <c r="K707" s="209" t="s">
        <v>35</v>
      </c>
      <c r="L707" s="223"/>
      <c r="M707" s="214"/>
      <c r="N707" s="215">
        <v>80</v>
      </c>
      <c r="O707" s="216"/>
      <c r="P707" s="216"/>
      <c r="Q707" s="216"/>
      <c r="R707" s="216">
        <f t="shared" si="0"/>
        <v>0</v>
      </c>
      <c r="S707" s="209">
        <v>4</v>
      </c>
      <c r="T707" s="278" t="s">
        <v>2842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2758</v>
      </c>
      <c r="D708" s="209" t="s">
        <v>2740</v>
      </c>
      <c r="E708" s="210" t="s">
        <v>2838</v>
      </c>
      <c r="F708" s="220" t="s">
        <v>81</v>
      </c>
      <c r="G708" s="269" t="s">
        <v>2728</v>
      </c>
      <c r="H708" s="277" t="s">
        <v>2844</v>
      </c>
      <c r="I708" s="222">
        <v>46290</v>
      </c>
      <c r="J708" s="222">
        <v>46290</v>
      </c>
      <c r="K708" s="218" t="s">
        <v>35</v>
      </c>
      <c r="L708" s="223"/>
      <c r="M708" s="214"/>
      <c r="N708" s="225">
        <v>80</v>
      </c>
      <c r="O708" s="224"/>
      <c r="P708" s="224"/>
      <c r="Q708" s="224"/>
      <c r="R708" s="224">
        <f t="shared" si="0"/>
        <v>0</v>
      </c>
      <c r="S708" s="218">
        <v>4</v>
      </c>
      <c r="T708" s="278" t="s">
        <v>2842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2758</v>
      </c>
      <c r="D709" s="209" t="s">
        <v>2845</v>
      </c>
      <c r="E709" s="210" t="s">
        <v>2846</v>
      </c>
      <c r="F709" s="211" t="s">
        <v>23</v>
      </c>
      <c r="G709" s="208" t="s">
        <v>2712</v>
      </c>
      <c r="H709" s="212" t="s">
        <v>2802</v>
      </c>
      <c r="I709" s="213">
        <v>46143</v>
      </c>
      <c r="J709" s="213"/>
      <c r="K709" s="209" t="s">
        <v>26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0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2758</v>
      </c>
      <c r="D710" s="218" t="s">
        <v>2847</v>
      </c>
      <c r="E710" s="210" t="s">
        <v>2848</v>
      </c>
      <c r="F710" s="220" t="s">
        <v>62</v>
      </c>
      <c r="G710" s="217" t="s">
        <v>72</v>
      </c>
      <c r="H710" s="221" t="s">
        <v>2817</v>
      </c>
      <c r="I710" s="222">
        <v>46244</v>
      </c>
      <c r="J710" s="222">
        <v>46245</v>
      </c>
      <c r="K710" s="218" t="s">
        <v>35</v>
      </c>
      <c r="L710" s="223"/>
      <c r="M710" s="214"/>
      <c r="N710" s="225">
        <v>40</v>
      </c>
      <c r="O710" s="224"/>
      <c r="P710" s="224"/>
      <c r="Q710" s="224"/>
      <c r="R710" s="224">
        <f t="shared" si="0"/>
        <v>0</v>
      </c>
      <c r="S710" s="218">
        <v>8</v>
      </c>
      <c r="T710" s="259" t="s">
        <v>2849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2758</v>
      </c>
      <c r="D711" s="209" t="s">
        <v>2740</v>
      </c>
      <c r="E711" s="210" t="s">
        <v>2838</v>
      </c>
      <c r="F711" s="211" t="s">
        <v>81</v>
      </c>
      <c r="G711" s="260" t="s">
        <v>2728</v>
      </c>
      <c r="H711" s="212" t="s">
        <v>2850</v>
      </c>
      <c r="I711" s="213">
        <v>46303</v>
      </c>
      <c r="J711" s="213">
        <v>46303</v>
      </c>
      <c r="K711" s="209" t="s">
        <v>35</v>
      </c>
      <c r="L711" s="223"/>
      <c r="M711" s="214"/>
      <c r="N711" s="215"/>
      <c r="O711" s="216"/>
      <c r="P711" s="216"/>
      <c r="Q711" s="216"/>
      <c r="R711" s="216">
        <f t="shared" si="0"/>
        <v>0</v>
      </c>
      <c r="S711" s="209">
        <v>4</v>
      </c>
      <c r="T711" s="278" t="s">
        <v>2842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2758</v>
      </c>
      <c r="D712" s="218" t="s">
        <v>2740</v>
      </c>
      <c r="E712" s="210" t="s">
        <v>2838</v>
      </c>
      <c r="F712" s="220" t="s">
        <v>81</v>
      </c>
      <c r="G712" s="269" t="s">
        <v>2728</v>
      </c>
      <c r="H712" s="221" t="s">
        <v>2851</v>
      </c>
      <c r="I712" s="222">
        <v>46304</v>
      </c>
      <c r="J712" s="222">
        <v>46274</v>
      </c>
      <c r="K712" s="218" t="s">
        <v>35</v>
      </c>
      <c r="L712" s="223"/>
      <c r="M712" s="214"/>
      <c r="N712" s="225"/>
      <c r="O712" s="224"/>
      <c r="P712" s="224"/>
      <c r="Q712" s="224"/>
      <c r="R712" s="224">
        <f t="shared" si="0"/>
        <v>0</v>
      </c>
      <c r="S712" s="218">
        <v>4</v>
      </c>
      <c r="T712" s="278" t="s">
        <v>2842</v>
      </c>
    </row>
    <row r="713" spans="1:21" ht="23.25" hidden="1" customHeight="1" x14ac:dyDescent="0.25">
      <c r="A713" s="208"/>
      <c r="B713" s="209"/>
      <c r="C713" s="218"/>
      <c r="D713" s="209"/>
      <c r="E713" s="244"/>
      <c r="F713" s="211"/>
      <c r="G713" s="208"/>
      <c r="H713" s="212"/>
      <c r="I713" s="213"/>
      <c r="J713" s="213"/>
      <c r="K713" s="209"/>
      <c r="L713" s="223"/>
      <c r="M713" s="214"/>
      <c r="N713" s="215"/>
      <c r="O713" s="216"/>
      <c r="P713" s="216"/>
      <c r="Q713" s="216"/>
      <c r="R713" s="216" t="str">
        <f t="shared" si="0"/>
        <v/>
      </c>
      <c r="S713" s="209"/>
      <c r="T713" s="208"/>
    </row>
    <row r="714" spans="1:21" ht="23.25" hidden="1" customHeight="1" x14ac:dyDescent="0.25">
      <c r="A714" s="217" t="str">
        <f>IF(B714="","",B714&amp;"-"&amp;TEXT(COUNTIF(B$2:B714,B714),"000"))</f>
        <v/>
      </c>
      <c r="B714" s="218"/>
      <c r="C714" s="218"/>
      <c r="D714" s="218"/>
      <c r="E714" s="219"/>
      <c r="F714" s="220"/>
      <c r="G714" s="217"/>
      <c r="H714" s="221"/>
      <c r="I714" s="222"/>
      <c r="J714" s="222"/>
      <c r="K714" s="218"/>
      <c r="L714" s="223"/>
      <c r="M714" s="214"/>
      <c r="N714" s="225"/>
      <c r="O714" s="224"/>
      <c r="P714" s="224"/>
      <c r="Q714" s="224"/>
      <c r="R714" s="224" t="str">
        <f t="shared" si="0"/>
        <v/>
      </c>
      <c r="S714" s="218"/>
      <c r="T714" s="217"/>
    </row>
    <row r="715" spans="1:21" ht="23.25" hidden="1" customHeight="1" x14ac:dyDescent="0.25">
      <c r="A715" s="208" t="str">
        <f>IF(B715="","",B715&amp;"-"&amp;TEXT(COUNTIF(B$2:B715,B715),"000"))</f>
        <v/>
      </c>
      <c r="B715" s="209"/>
      <c r="C715" s="218"/>
      <c r="D715" s="209"/>
      <c r="E715" s="210"/>
      <c r="F715" s="211"/>
      <c r="G715" s="208"/>
      <c r="H715" s="212"/>
      <c r="I715" s="213"/>
      <c r="J715" s="213"/>
      <c r="K715" s="209"/>
      <c r="L715" s="223"/>
      <c r="M715" s="214"/>
      <c r="N715" s="215"/>
      <c r="O715" s="216"/>
      <c r="P715" s="216"/>
      <c r="Q715" s="216"/>
      <c r="R715" s="216" t="str">
        <f t="shared" si="0"/>
        <v/>
      </c>
      <c r="S715" s="209"/>
      <c r="T715" s="208"/>
    </row>
    <row r="716" spans="1:21" ht="23.25" hidden="1" customHeight="1" x14ac:dyDescent="0.25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0"/>
        <v/>
      </c>
      <c r="S716" s="218"/>
      <c r="T716" s="217"/>
    </row>
    <row r="717" spans="1:21" ht="23.25" hidden="1" customHeight="1" x14ac:dyDescent="0.25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0"/>
        <v/>
      </c>
      <c r="S717" s="209"/>
      <c r="T717" s="208"/>
    </row>
    <row r="718" spans="1:21" ht="23.25" hidden="1" customHeight="1" x14ac:dyDescent="0.25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0"/>
        <v/>
      </c>
      <c r="S718" s="218"/>
      <c r="T718" s="217"/>
    </row>
    <row r="719" spans="1:21" ht="23.25" hidden="1" customHeight="1" x14ac:dyDescent="0.25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0"/>
        <v/>
      </c>
      <c r="S719" s="209"/>
      <c r="T719" s="208"/>
    </row>
    <row r="720" spans="1:21" ht="23.25" hidden="1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0"/>
        <v/>
      </c>
      <c r="S720" s="218"/>
      <c r="T720" s="217"/>
    </row>
    <row r="721" spans="1:20" ht="23.25" hidden="1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0"/>
        <v/>
      </c>
      <c r="S721" s="209"/>
      <c r="T721" s="208"/>
    </row>
    <row r="722" spans="1:20" ht="23.25" hidden="1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0"/>
        <v/>
      </c>
      <c r="S722" s="218"/>
      <c r="T722" s="217"/>
    </row>
    <row r="723" spans="1:20" ht="23.25" hidden="1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0"/>
        <v/>
      </c>
      <c r="S723" s="209"/>
      <c r="T723" s="208"/>
    </row>
    <row r="724" spans="1:20" ht="23.25" hidden="1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0"/>
        <v/>
      </c>
      <c r="S724" s="218"/>
      <c r="T724" s="217"/>
    </row>
    <row r="725" spans="1:20" ht="23.25" hidden="1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0"/>
        <v/>
      </c>
      <c r="S725" s="209"/>
      <c r="T725" s="208"/>
    </row>
    <row r="726" spans="1:20" ht="23.25" hidden="1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0"/>
        <v/>
      </c>
      <c r="S726" s="218"/>
      <c r="T726" s="217"/>
    </row>
    <row r="727" spans="1:20" ht="23.25" hidden="1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0"/>
        <v/>
      </c>
      <c r="S727" s="209"/>
      <c r="T727" s="208"/>
    </row>
    <row r="728" spans="1:20" ht="23.25" hidden="1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0"/>
        <v/>
      </c>
      <c r="S728" s="218"/>
      <c r="T728" s="217"/>
    </row>
    <row r="729" spans="1:20" ht="23.25" hidden="1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0"/>
        <v/>
      </c>
      <c r="S729" s="209"/>
      <c r="T729" s="208"/>
    </row>
    <row r="730" spans="1:20" ht="23.25" hidden="1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0"/>
        <v/>
      </c>
      <c r="S730" s="218"/>
      <c r="T730" s="217"/>
    </row>
    <row r="731" spans="1:20" ht="23.25" hidden="1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0"/>
        <v/>
      </c>
      <c r="S731" s="209"/>
      <c r="T731" s="208"/>
    </row>
    <row r="732" spans="1:20" ht="23.25" hidden="1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0"/>
        <v/>
      </c>
      <c r="S732" s="218"/>
      <c r="T732" s="217"/>
    </row>
    <row r="733" spans="1:20" ht="23.25" hidden="1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0"/>
        <v/>
      </c>
      <c r="S733" s="209"/>
      <c r="T733" s="208"/>
    </row>
    <row r="734" spans="1:20" ht="23.25" hidden="1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0"/>
        <v/>
      </c>
      <c r="S734" s="218"/>
      <c r="T734" s="217"/>
    </row>
    <row r="735" spans="1:20" ht="23.25" hidden="1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0"/>
        <v/>
      </c>
      <c r="S735" s="209"/>
      <c r="T735" s="208"/>
    </row>
    <row r="736" spans="1:20" ht="23.25" hidden="1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0"/>
        <v/>
      </c>
      <c r="S736" s="218"/>
      <c r="T736" s="217"/>
    </row>
    <row r="737" spans="1:20" ht="23.25" hidden="1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0"/>
        <v/>
      </c>
      <c r="S737" s="209"/>
      <c r="T737" s="208"/>
    </row>
    <row r="738" spans="1:20" ht="23.25" hidden="1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0"/>
        <v/>
      </c>
      <c r="S738" s="218"/>
      <c r="T738" s="217"/>
    </row>
    <row r="739" spans="1:20" ht="23.25" hidden="1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0"/>
        <v/>
      </c>
      <c r="S739" s="209"/>
      <c r="T739" s="208"/>
    </row>
    <row r="740" spans="1:20" ht="23.25" hidden="1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0"/>
        <v/>
      </c>
      <c r="S740" s="218"/>
      <c r="T740" s="217"/>
    </row>
    <row r="741" spans="1:20" ht="23.25" hidden="1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0"/>
        <v/>
      </c>
      <c r="S741" s="209"/>
      <c r="T741" s="208"/>
    </row>
    <row r="742" spans="1:20" ht="23.25" hidden="1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0"/>
        <v/>
      </c>
      <c r="S742" s="218"/>
      <c r="T742" s="217"/>
    </row>
    <row r="743" spans="1:20" ht="23.25" hidden="1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0"/>
        <v/>
      </c>
      <c r="S743" s="209"/>
      <c r="T743" s="208"/>
    </row>
    <row r="744" spans="1:20" ht="23.25" hidden="1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0"/>
        <v/>
      </c>
      <c r="S744" s="218"/>
      <c r="T744" s="217"/>
    </row>
    <row r="745" spans="1:20" ht="23.25" hidden="1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0"/>
        <v/>
      </c>
      <c r="S745" s="209"/>
      <c r="T745" s="208"/>
    </row>
    <row r="746" spans="1:20" ht="23.25" hidden="1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0"/>
        <v/>
      </c>
      <c r="S746" s="218"/>
      <c r="T746" s="217"/>
    </row>
    <row r="747" spans="1:20" ht="23.25" hidden="1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0"/>
        <v/>
      </c>
      <c r="S747" s="209"/>
      <c r="T747" s="208"/>
    </row>
    <row r="748" spans="1:20" ht="23.25" hidden="1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>
    <filterColumn colId="0">
      <filters>
        <filter val="2026-001"/>
        <filter val="2026-002"/>
        <filter val="2026-003"/>
        <filter val="2026-004"/>
        <filter val="2026-005"/>
        <filter val="2026-006"/>
        <filter val="2026-007"/>
        <filter val="2026-008"/>
        <filter val="2026-009"/>
        <filter val="2026-010"/>
        <filter val="2026-011"/>
        <filter val="2026-012"/>
        <filter val="2026-013"/>
        <filter val="2026-014"/>
        <filter val="2026-015"/>
        <filter val="2026-016"/>
        <filter val="2026-017"/>
        <filter val="2026-018"/>
        <filter val="2026-019"/>
        <filter val="2026-020"/>
        <filter val="2026-021"/>
        <filter val="2026-022"/>
        <filter val="2026-023"/>
        <filter val="2026-024"/>
        <filter val="2026-025"/>
        <filter val="2026-026"/>
        <filter val="2026-027"/>
        <filter val="2026-028"/>
        <filter val="2026-029"/>
        <filter val="2026-030"/>
        <filter val="2026-031"/>
        <filter val="2026-032"/>
        <filter val="2026-033"/>
        <filter val="2026-034"/>
        <filter val="2026-035"/>
        <filter val="2026-036"/>
        <filter val="2026-037"/>
        <filter val="2026-038"/>
        <filter val="2026-039"/>
        <filter val="2026-040"/>
        <filter val="2026-041"/>
        <filter val="2026-042"/>
        <filter val="2026-043"/>
        <filter val="2026-044"/>
        <filter val="2026-045"/>
        <filter val="2026-046"/>
        <filter val="2026-047"/>
        <filter val="2026-048"/>
        <filter val="2026-049"/>
        <filter val="2026-050"/>
        <filter val="2026-051"/>
        <filter val="2026-052"/>
        <filter val="2026-053"/>
        <filter val="2026-054"/>
        <filter val="2026-055"/>
        <filter val="2026-056"/>
      </filters>
    </filterColumn>
  </autoFilter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7"/>
  <sheetViews>
    <sheetView topLeftCell="A6" workbookViewId="0">
      <selection activeCell="M19" sqref="M1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2852</v>
      </c>
      <c r="F1" s="280" t="s">
        <v>2853</v>
      </c>
    </row>
    <row r="2" spans="1:6" x14ac:dyDescent="0.25">
      <c r="F2" s="281" t="s">
        <v>2854</v>
      </c>
    </row>
    <row r="3" spans="1:6" x14ac:dyDescent="0.25">
      <c r="A3" t="s">
        <v>0</v>
      </c>
      <c r="B3" t="s">
        <v>19</v>
      </c>
      <c r="C3" t="s">
        <v>2855</v>
      </c>
      <c r="D3" t="s">
        <v>2856</v>
      </c>
      <c r="F3" s="281" t="s">
        <v>2857</v>
      </c>
    </row>
    <row r="4" spans="1:6" x14ac:dyDescent="0.25">
      <c r="A4">
        <v>1</v>
      </c>
      <c r="B4" t="s">
        <v>2858</v>
      </c>
      <c r="D4" t="s">
        <v>2859</v>
      </c>
      <c r="F4" s="281" t="s">
        <v>2860</v>
      </c>
    </row>
    <row r="5" spans="1:6" x14ac:dyDescent="0.25">
      <c r="A5">
        <v>2</v>
      </c>
      <c r="B5" t="s">
        <v>2500</v>
      </c>
      <c r="D5" t="s">
        <v>2859</v>
      </c>
      <c r="F5" s="281" t="s">
        <v>2861</v>
      </c>
    </row>
    <row r="6" spans="1:6" x14ac:dyDescent="0.25">
      <c r="A6">
        <v>3</v>
      </c>
      <c r="B6" t="s">
        <v>1023</v>
      </c>
      <c r="D6" t="s">
        <v>2859</v>
      </c>
    </row>
    <row r="7" spans="1:6" x14ac:dyDescent="0.25">
      <c r="A7">
        <v>4</v>
      </c>
      <c r="B7" t="s">
        <v>2862</v>
      </c>
      <c r="D7" t="s">
        <v>2859</v>
      </c>
      <c r="F7" s="281" t="s">
        <v>2863</v>
      </c>
    </row>
    <row r="8" spans="1:6" x14ac:dyDescent="0.25">
      <c r="A8">
        <v>5</v>
      </c>
      <c r="B8" t="s">
        <v>2864</v>
      </c>
      <c r="D8" t="s">
        <v>2859</v>
      </c>
    </row>
    <row r="9" spans="1:6" x14ac:dyDescent="0.25">
      <c r="A9">
        <v>6</v>
      </c>
      <c r="B9" t="s">
        <v>2310</v>
      </c>
      <c r="D9" t="s">
        <v>2859</v>
      </c>
    </row>
    <row r="10" spans="1:6" x14ac:dyDescent="0.25">
      <c r="A10">
        <v>7</v>
      </c>
      <c r="B10" t="s">
        <v>2409</v>
      </c>
      <c r="D10" t="s">
        <v>2859</v>
      </c>
    </row>
    <row r="11" spans="1:6" x14ac:dyDescent="0.25">
      <c r="A11">
        <v>8</v>
      </c>
      <c r="B11" t="s">
        <v>2471</v>
      </c>
      <c r="D11" t="s">
        <v>2859</v>
      </c>
    </row>
    <row r="12" spans="1:6" x14ac:dyDescent="0.25">
      <c r="A12">
        <v>10</v>
      </c>
      <c r="B12" t="s">
        <v>2714</v>
      </c>
      <c r="D12" t="s">
        <v>2859</v>
      </c>
    </row>
    <row r="13" spans="1:6" x14ac:dyDescent="0.25">
      <c r="A13">
        <v>11</v>
      </c>
      <c r="B13" t="s">
        <v>2274</v>
      </c>
      <c r="D13" t="s">
        <v>2859</v>
      </c>
    </row>
    <row r="14" spans="1:6" x14ac:dyDescent="0.25">
      <c r="A14">
        <v>12</v>
      </c>
      <c r="B14" t="s">
        <v>2370</v>
      </c>
      <c r="D14" t="s">
        <v>2859</v>
      </c>
    </row>
    <row r="15" spans="1:6" x14ac:dyDescent="0.25">
      <c r="A15">
        <v>13</v>
      </c>
      <c r="B15" t="s">
        <v>2688</v>
      </c>
      <c r="D15" t="s">
        <v>2859</v>
      </c>
    </row>
    <row r="16" spans="1:6" x14ac:dyDescent="0.25">
      <c r="A16">
        <v>14</v>
      </c>
      <c r="B16" t="s">
        <v>1902</v>
      </c>
      <c r="D16" t="s">
        <v>2859</v>
      </c>
    </row>
    <row r="17" spans="1:4" x14ac:dyDescent="0.25">
      <c r="A17">
        <v>15</v>
      </c>
      <c r="B17" t="s">
        <v>571</v>
      </c>
      <c r="D17" t="s">
        <v>2859</v>
      </c>
    </row>
    <row r="18" spans="1:4" x14ac:dyDescent="0.25">
      <c r="A18">
        <v>16</v>
      </c>
      <c r="B18" t="s">
        <v>1951</v>
      </c>
      <c r="D18" t="s">
        <v>2859</v>
      </c>
    </row>
    <row r="19" spans="1:4" x14ac:dyDescent="0.25">
      <c r="A19">
        <v>17</v>
      </c>
      <c r="B19" t="s">
        <v>1785</v>
      </c>
      <c r="D19" t="s">
        <v>2859</v>
      </c>
    </row>
    <row r="20" spans="1:4" x14ac:dyDescent="0.25">
      <c r="A20">
        <v>18</v>
      </c>
      <c r="B20" t="s">
        <v>2115</v>
      </c>
      <c r="D20" t="s">
        <v>2859</v>
      </c>
    </row>
    <row r="21" spans="1:4" x14ac:dyDescent="0.25">
      <c r="A21">
        <v>19</v>
      </c>
      <c r="B21" t="s">
        <v>1343</v>
      </c>
      <c r="D21" t="s">
        <v>2859</v>
      </c>
    </row>
    <row r="22" spans="1:4" x14ac:dyDescent="0.25">
      <c r="A22">
        <v>20</v>
      </c>
      <c r="B22" t="s">
        <v>2255</v>
      </c>
      <c r="D22" t="s">
        <v>2859</v>
      </c>
    </row>
    <row r="23" spans="1:4" x14ac:dyDescent="0.25">
      <c r="A23">
        <v>21</v>
      </c>
      <c r="B23" t="s">
        <v>2865</v>
      </c>
      <c r="D23" t="s">
        <v>2859</v>
      </c>
    </row>
    <row r="24" spans="1:4" x14ac:dyDescent="0.25">
      <c r="A24">
        <v>22</v>
      </c>
      <c r="B24" t="s">
        <v>584</v>
      </c>
      <c r="D24" t="s">
        <v>2859</v>
      </c>
    </row>
    <row r="25" spans="1:4" x14ac:dyDescent="0.25">
      <c r="A25">
        <v>23</v>
      </c>
      <c r="B25" t="s">
        <v>2866</v>
      </c>
      <c r="D25" t="s">
        <v>2859</v>
      </c>
    </row>
    <row r="26" spans="1:4" x14ac:dyDescent="0.25">
      <c r="A26">
        <v>24</v>
      </c>
      <c r="B26" t="s">
        <v>2867</v>
      </c>
      <c r="D26" t="s">
        <v>2859</v>
      </c>
    </row>
    <row r="27" spans="1:4" x14ac:dyDescent="0.25">
      <c r="A27">
        <v>25</v>
      </c>
      <c r="B27" t="s">
        <v>472</v>
      </c>
      <c r="D27" t="s">
        <v>2859</v>
      </c>
    </row>
    <row r="28" spans="1:4" x14ac:dyDescent="0.25">
      <c r="A28">
        <v>26</v>
      </c>
      <c r="B28" t="s">
        <v>69</v>
      </c>
      <c r="D28" t="s">
        <v>2859</v>
      </c>
    </row>
    <row r="29" spans="1:4" x14ac:dyDescent="0.25">
      <c r="A29">
        <v>27</v>
      </c>
      <c r="B29" t="s">
        <v>2868</v>
      </c>
      <c r="D29" t="s">
        <v>2859</v>
      </c>
    </row>
    <row r="30" spans="1:4" x14ac:dyDescent="0.25">
      <c r="A30">
        <v>28</v>
      </c>
      <c r="B30" t="s">
        <v>2102</v>
      </c>
      <c r="D30" t="s">
        <v>2859</v>
      </c>
    </row>
    <row r="31" spans="1:4" x14ac:dyDescent="0.25">
      <c r="A31">
        <v>29</v>
      </c>
      <c r="B31" t="s">
        <v>2250</v>
      </c>
      <c r="D31" t="s">
        <v>2859</v>
      </c>
    </row>
    <row r="32" spans="1:4" x14ac:dyDescent="0.25">
      <c r="A32">
        <v>30</v>
      </c>
      <c r="B32" t="s">
        <v>2505</v>
      </c>
      <c r="D32" t="s">
        <v>2859</v>
      </c>
    </row>
    <row r="33" spans="1:4" x14ac:dyDescent="0.25">
      <c r="A33">
        <v>31</v>
      </c>
      <c r="B33" t="s">
        <v>2869</v>
      </c>
      <c r="D33" t="s">
        <v>2859</v>
      </c>
    </row>
    <row r="34" spans="1:4" x14ac:dyDescent="0.25">
      <c r="A34">
        <v>32</v>
      </c>
      <c r="B34" t="s">
        <v>2870</v>
      </c>
      <c r="D34" t="s">
        <v>2859</v>
      </c>
    </row>
    <row r="35" spans="1:4" x14ac:dyDescent="0.25">
      <c r="A35">
        <v>33</v>
      </c>
      <c r="B35" t="s">
        <v>1367</v>
      </c>
      <c r="D35" t="s">
        <v>2859</v>
      </c>
    </row>
    <row r="36" spans="1:4" x14ac:dyDescent="0.25">
      <c r="A36">
        <v>34</v>
      </c>
      <c r="B36" t="s">
        <v>1472</v>
      </c>
      <c r="D36" t="s">
        <v>2859</v>
      </c>
    </row>
    <row r="37" spans="1:4" x14ac:dyDescent="0.25">
      <c r="A37">
        <v>35</v>
      </c>
      <c r="B37" t="s">
        <v>549</v>
      </c>
      <c r="D37" t="s">
        <v>2859</v>
      </c>
    </row>
    <row r="38" spans="1:4" x14ac:dyDescent="0.25">
      <c r="A38">
        <v>36</v>
      </c>
      <c r="B38" t="s">
        <v>2871</v>
      </c>
      <c r="D38" t="s">
        <v>2859</v>
      </c>
    </row>
    <row r="39" spans="1:4" x14ac:dyDescent="0.25">
      <c r="A39">
        <v>37</v>
      </c>
      <c r="B39" t="s">
        <v>2147</v>
      </c>
      <c r="D39" t="s">
        <v>2859</v>
      </c>
    </row>
    <row r="40" spans="1:4" x14ac:dyDescent="0.25">
      <c r="A40">
        <v>38</v>
      </c>
      <c r="B40" t="s">
        <v>2872</v>
      </c>
      <c r="D40" t="s">
        <v>2859</v>
      </c>
    </row>
    <row r="41" spans="1:4" x14ac:dyDescent="0.25">
      <c r="A41">
        <v>39</v>
      </c>
      <c r="B41" t="s">
        <v>2572</v>
      </c>
      <c r="D41" t="s">
        <v>2859</v>
      </c>
    </row>
    <row r="42" spans="1:4" x14ac:dyDescent="0.25">
      <c r="A42">
        <v>40</v>
      </c>
      <c r="B42" t="s">
        <v>2873</v>
      </c>
      <c r="D42" t="s">
        <v>2859</v>
      </c>
    </row>
    <row r="43" spans="1:4" x14ac:dyDescent="0.25">
      <c r="A43">
        <v>41</v>
      </c>
      <c r="B43" t="s">
        <v>855</v>
      </c>
      <c r="D43" t="s">
        <v>2859</v>
      </c>
    </row>
    <row r="44" spans="1:4" x14ac:dyDescent="0.25">
      <c r="A44">
        <v>42</v>
      </c>
      <c r="B44" t="s">
        <v>710</v>
      </c>
      <c r="D44" t="s">
        <v>2859</v>
      </c>
    </row>
    <row r="45" spans="1:4" x14ac:dyDescent="0.25">
      <c r="A45">
        <v>43</v>
      </c>
      <c r="B45" t="s">
        <v>2874</v>
      </c>
      <c r="D45" t="s">
        <v>2859</v>
      </c>
    </row>
    <row r="46" spans="1:4" x14ac:dyDescent="0.25">
      <c r="A46">
        <v>44</v>
      </c>
      <c r="B46" t="s">
        <v>2154</v>
      </c>
      <c r="D46" t="s">
        <v>2859</v>
      </c>
    </row>
    <row r="47" spans="1:4" x14ac:dyDescent="0.25">
      <c r="A47">
        <v>45</v>
      </c>
      <c r="B47" t="s">
        <v>211</v>
      </c>
      <c r="D47" t="s">
        <v>2859</v>
      </c>
    </row>
    <row r="48" spans="1:4" x14ac:dyDescent="0.25">
      <c r="A48">
        <v>46</v>
      </c>
      <c r="B48" t="s">
        <v>966</v>
      </c>
      <c r="D48" t="s">
        <v>2859</v>
      </c>
    </row>
    <row r="49" spans="1:4" x14ac:dyDescent="0.25">
      <c r="A49">
        <v>47</v>
      </c>
      <c r="B49" t="s">
        <v>1400</v>
      </c>
      <c r="D49" t="s">
        <v>2859</v>
      </c>
    </row>
    <row r="50" spans="1:4" x14ac:dyDescent="0.25">
      <c r="A50">
        <v>48</v>
      </c>
      <c r="B50" t="s">
        <v>2875</v>
      </c>
      <c r="D50" t="s">
        <v>2859</v>
      </c>
    </row>
    <row r="51" spans="1:4" x14ac:dyDescent="0.25">
      <c r="A51">
        <v>49</v>
      </c>
      <c r="B51" t="s">
        <v>2772</v>
      </c>
      <c r="D51" t="s">
        <v>2859</v>
      </c>
    </row>
    <row r="52" spans="1:4" x14ac:dyDescent="0.25">
      <c r="A52">
        <v>50</v>
      </c>
      <c r="B52" t="s">
        <v>2876</v>
      </c>
      <c r="D52" t="s">
        <v>2859</v>
      </c>
    </row>
    <row r="53" spans="1:4" x14ac:dyDescent="0.25">
      <c r="A53">
        <v>51</v>
      </c>
      <c r="B53" t="s">
        <v>1055</v>
      </c>
      <c r="D53" t="s">
        <v>2859</v>
      </c>
    </row>
    <row r="54" spans="1:4" x14ac:dyDescent="0.25">
      <c r="A54">
        <v>52</v>
      </c>
      <c r="B54" t="s">
        <v>1752</v>
      </c>
      <c r="D54" t="s">
        <v>2859</v>
      </c>
    </row>
    <row r="55" spans="1:4" x14ac:dyDescent="0.25">
      <c r="A55">
        <v>53</v>
      </c>
      <c r="B55" t="s">
        <v>2877</v>
      </c>
      <c r="D55" t="s">
        <v>2859</v>
      </c>
    </row>
    <row r="56" spans="1:4" x14ac:dyDescent="0.25">
      <c r="A56">
        <v>54</v>
      </c>
      <c r="B56" t="s">
        <v>74</v>
      </c>
      <c r="D56" t="s">
        <v>2859</v>
      </c>
    </row>
    <row r="57" spans="1:4" x14ac:dyDescent="0.25">
      <c r="A57">
        <v>55</v>
      </c>
      <c r="B57" t="s">
        <v>1096</v>
      </c>
      <c r="D57" t="s">
        <v>2859</v>
      </c>
    </row>
    <row r="58" spans="1:4" x14ac:dyDescent="0.25">
      <c r="A58">
        <v>56</v>
      </c>
      <c r="B58" t="s">
        <v>2048</v>
      </c>
      <c r="D58" t="s">
        <v>2859</v>
      </c>
    </row>
    <row r="59" spans="1:4" x14ac:dyDescent="0.25">
      <c r="A59">
        <v>57</v>
      </c>
      <c r="B59" t="s">
        <v>2878</v>
      </c>
      <c r="D59" t="s">
        <v>2859</v>
      </c>
    </row>
    <row r="60" spans="1:4" x14ac:dyDescent="0.25">
      <c r="A60">
        <v>58</v>
      </c>
      <c r="B60" t="s">
        <v>1873</v>
      </c>
      <c r="D60" t="s">
        <v>2859</v>
      </c>
    </row>
    <row r="61" spans="1:4" x14ac:dyDescent="0.25">
      <c r="A61">
        <v>59</v>
      </c>
      <c r="B61" t="s">
        <v>2082</v>
      </c>
      <c r="D61" t="s">
        <v>2859</v>
      </c>
    </row>
    <row r="62" spans="1:4" x14ac:dyDescent="0.25">
      <c r="A62">
        <v>60</v>
      </c>
      <c r="B62" t="s">
        <v>2014</v>
      </c>
      <c r="D62" t="s">
        <v>2859</v>
      </c>
    </row>
    <row r="63" spans="1:4" x14ac:dyDescent="0.25">
      <c r="A63">
        <v>61</v>
      </c>
      <c r="B63" t="s">
        <v>2879</v>
      </c>
      <c r="D63" t="s">
        <v>2859</v>
      </c>
    </row>
    <row r="64" spans="1:4" x14ac:dyDescent="0.25">
      <c r="A64">
        <v>62</v>
      </c>
      <c r="B64" t="s">
        <v>2880</v>
      </c>
      <c r="D64" t="s">
        <v>2859</v>
      </c>
    </row>
    <row r="65" spans="1:4" x14ac:dyDescent="0.25">
      <c r="A65">
        <v>63</v>
      </c>
      <c r="B65" t="s">
        <v>2881</v>
      </c>
      <c r="D65" t="s">
        <v>2859</v>
      </c>
    </row>
    <row r="66" spans="1:4" x14ac:dyDescent="0.25">
      <c r="A66">
        <v>64</v>
      </c>
      <c r="B66" t="s">
        <v>2882</v>
      </c>
      <c r="D66" t="s">
        <v>2859</v>
      </c>
    </row>
    <row r="67" spans="1:4" x14ac:dyDescent="0.25">
      <c r="A67">
        <v>65</v>
      </c>
      <c r="B67" t="s">
        <v>2698</v>
      </c>
      <c r="D67" t="s">
        <v>2859</v>
      </c>
    </row>
    <row r="68" spans="1:4" x14ac:dyDescent="0.25">
      <c r="A68">
        <v>66</v>
      </c>
      <c r="B68" t="s">
        <v>2549</v>
      </c>
      <c r="D68" t="s">
        <v>2859</v>
      </c>
    </row>
    <row r="69" spans="1:4" x14ac:dyDescent="0.25">
      <c r="A69">
        <v>67</v>
      </c>
      <c r="B69" t="s">
        <v>2883</v>
      </c>
      <c r="D69" t="s">
        <v>2859</v>
      </c>
    </row>
    <row r="70" spans="1:4" x14ac:dyDescent="0.25">
      <c r="A70">
        <v>68</v>
      </c>
      <c r="B70" t="s">
        <v>2884</v>
      </c>
      <c r="D70" t="s">
        <v>2859</v>
      </c>
    </row>
    <row r="71" spans="1:4" x14ac:dyDescent="0.25">
      <c r="A71">
        <v>69</v>
      </c>
      <c r="B71" t="s">
        <v>2450</v>
      </c>
      <c r="D71" t="s">
        <v>2859</v>
      </c>
    </row>
    <row r="72" spans="1:4" x14ac:dyDescent="0.25">
      <c r="A72">
        <v>70</v>
      </c>
      <c r="B72" t="s">
        <v>2885</v>
      </c>
      <c r="D72" t="s">
        <v>2859</v>
      </c>
    </row>
    <row r="73" spans="1:4" x14ac:dyDescent="0.25">
      <c r="A73">
        <v>71</v>
      </c>
      <c r="B73" t="s">
        <v>2659</v>
      </c>
      <c r="D73" t="s">
        <v>2859</v>
      </c>
    </row>
    <row r="74" spans="1:4" x14ac:dyDescent="0.25">
      <c r="A74">
        <v>72</v>
      </c>
      <c r="B74" t="s">
        <v>2315</v>
      </c>
      <c r="D74" t="s">
        <v>2859</v>
      </c>
    </row>
    <row r="75" spans="1:4" x14ac:dyDescent="0.25">
      <c r="A75">
        <v>73</v>
      </c>
      <c r="B75" t="s">
        <v>2294</v>
      </c>
      <c r="D75" t="s">
        <v>2859</v>
      </c>
    </row>
    <row r="76" spans="1:4" x14ac:dyDescent="0.25">
      <c r="A76">
        <v>74</v>
      </c>
      <c r="B76" t="s">
        <v>2886</v>
      </c>
      <c r="D76" t="s">
        <v>2859</v>
      </c>
    </row>
    <row r="77" spans="1:4" x14ac:dyDescent="0.25">
      <c r="A77">
        <v>75</v>
      </c>
      <c r="B77" t="s">
        <v>108</v>
      </c>
      <c r="D77" t="s">
        <v>2859</v>
      </c>
    </row>
    <row r="78" spans="1:4" x14ac:dyDescent="0.25">
      <c r="A78">
        <v>76</v>
      </c>
      <c r="B78" t="s">
        <v>935</v>
      </c>
      <c r="D78" t="s">
        <v>2859</v>
      </c>
    </row>
    <row r="79" spans="1:4" x14ac:dyDescent="0.25">
      <c r="A79">
        <v>77</v>
      </c>
      <c r="B79" t="s">
        <v>796</v>
      </c>
      <c r="D79" t="s">
        <v>2859</v>
      </c>
    </row>
    <row r="80" spans="1:4" x14ac:dyDescent="0.25">
      <c r="A80">
        <v>78</v>
      </c>
      <c r="B80" t="s">
        <v>418</v>
      </c>
      <c r="D80" t="s">
        <v>2859</v>
      </c>
    </row>
    <row r="81" spans="1:4" x14ac:dyDescent="0.25">
      <c r="A81">
        <v>79</v>
      </c>
      <c r="B81" t="s">
        <v>2887</v>
      </c>
      <c r="D81" t="s">
        <v>2859</v>
      </c>
    </row>
    <row r="82" spans="1:4" x14ac:dyDescent="0.25">
      <c r="A82">
        <v>80</v>
      </c>
      <c r="B82" t="s">
        <v>2888</v>
      </c>
      <c r="D82" t="s">
        <v>2859</v>
      </c>
    </row>
    <row r="83" spans="1:4" x14ac:dyDescent="0.25">
      <c r="A83">
        <v>81</v>
      </c>
      <c r="B83" t="s">
        <v>2889</v>
      </c>
      <c r="D83" t="s">
        <v>2859</v>
      </c>
    </row>
    <row r="84" spans="1:4" x14ac:dyDescent="0.25">
      <c r="A84">
        <v>82</v>
      </c>
      <c r="B84" t="s">
        <v>2890</v>
      </c>
      <c r="D84" t="s">
        <v>2859</v>
      </c>
    </row>
    <row r="85" spans="1:4" x14ac:dyDescent="0.25">
      <c r="A85">
        <v>83</v>
      </c>
      <c r="B85" t="s">
        <v>2475</v>
      </c>
      <c r="D85" t="s">
        <v>2859</v>
      </c>
    </row>
    <row r="86" spans="1:4" x14ac:dyDescent="0.25">
      <c r="A86">
        <v>84</v>
      </c>
      <c r="B86" t="s">
        <v>2891</v>
      </c>
      <c r="D86" t="s">
        <v>2859</v>
      </c>
    </row>
    <row r="87" spans="1:4" x14ac:dyDescent="0.25">
      <c r="A87">
        <v>85</v>
      </c>
      <c r="B87" t="s">
        <v>2567</v>
      </c>
      <c r="D87" t="s">
        <v>2859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5" activePane="bottomLeft" state="frozen"/>
      <selection pane="bottomLeft" activeCell="U83" sqref="U83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2892</v>
      </c>
      <c r="C1" s="96" t="s">
        <v>2893</v>
      </c>
      <c r="D1" s="96" t="s">
        <v>4</v>
      </c>
      <c r="E1" s="96" t="s">
        <v>2894</v>
      </c>
      <c r="F1" s="96" t="s">
        <v>19</v>
      </c>
      <c r="G1" s="96" t="s">
        <v>2895</v>
      </c>
      <c r="H1" s="96" t="s">
        <v>2896</v>
      </c>
      <c r="I1" s="96" t="s">
        <v>2897</v>
      </c>
      <c r="J1" s="96" t="s">
        <v>2898</v>
      </c>
      <c r="L1" s="129" t="s">
        <v>2899</v>
      </c>
      <c r="M1" s="100">
        <v>2026</v>
      </c>
      <c r="U1" s="162" t="s">
        <v>2900</v>
      </c>
      <c r="V1" s="161"/>
      <c r="X1" s="159" t="s">
        <v>2901</v>
      </c>
      <c r="Y1" s="107"/>
      <c r="Z1" s="107"/>
      <c r="AA1" s="107"/>
      <c r="AC1" s="253" t="s">
        <v>2902</v>
      </c>
    </row>
    <row r="2" spans="1:31" x14ac:dyDescent="0.25">
      <c r="A2" s="98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2903</v>
      </c>
      <c r="M2" s="283" t="s">
        <v>2904</v>
      </c>
      <c r="X2" s="160" t="s">
        <v>2892</v>
      </c>
      <c r="Y2" s="160" t="s">
        <v>19</v>
      </c>
      <c r="Z2" s="160" t="s">
        <v>2905</v>
      </c>
      <c r="AA2" s="160" t="s">
        <v>2906</v>
      </c>
      <c r="AC2" s="254" t="s">
        <v>1</v>
      </c>
      <c r="AD2" s="254" t="s">
        <v>2907</v>
      </c>
      <c r="AE2" s="254" t="s">
        <v>2908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2909</v>
      </c>
      <c r="M3" s="19" t="s">
        <v>2910</v>
      </c>
      <c r="N3" s="19" t="s">
        <v>2911</v>
      </c>
      <c r="O3" s="19" t="s">
        <v>2912</v>
      </c>
      <c r="P3" s="19" t="s">
        <v>2913</v>
      </c>
      <c r="Q3" s="19" t="s">
        <v>2914</v>
      </c>
      <c r="R3" s="19" t="s">
        <v>2915</v>
      </c>
      <c r="S3" s="19" t="s">
        <v>2916</v>
      </c>
      <c r="T3" s="19" t="s">
        <v>2917</v>
      </c>
      <c r="X3" t="s">
        <v>2918</v>
      </c>
      <c r="Y3" t="s">
        <v>2698</v>
      </c>
      <c r="Z3">
        <v>0</v>
      </c>
      <c r="AA3">
        <v>0</v>
      </c>
      <c r="AC3" s="248">
        <v>2026</v>
      </c>
      <c r="AD3" s="95" t="s">
        <v>1785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4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48">_xlfn.VSTACK(0,_xlfn._xlws.FILTER(S4:S200,S4:S200&lt;&gt;""))</f>
        <v>0</v>
      </c>
      <c r="X4" t="s">
        <v>2919</v>
      </c>
      <c r="Y4" t="s">
        <v>2698</v>
      </c>
      <c r="Z4">
        <v>0</v>
      </c>
      <c r="AA4">
        <v>0</v>
      </c>
      <c r="AC4" s="248">
        <v>2026</v>
      </c>
      <c r="AD4" s="95" t="s">
        <v>247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2920</v>
      </c>
      <c r="Y5" t="s">
        <v>2714</v>
      </c>
      <c r="Z5">
        <v>1</v>
      </c>
      <c r="AA5">
        <v>0.6</v>
      </c>
      <c r="AC5" s="248">
        <v>2026</v>
      </c>
      <c r="AD5" s="95" t="s">
        <v>2921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2920</v>
      </c>
      <c r="Y6" t="s">
        <v>2872</v>
      </c>
      <c r="Z6">
        <v>1</v>
      </c>
      <c r="AA6">
        <v>0</v>
      </c>
      <c r="AC6" s="248">
        <v>2026</v>
      </c>
      <c r="AD6" s="95" t="s">
        <v>2922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2923</v>
      </c>
      <c r="Y7" t="s">
        <v>2698</v>
      </c>
      <c r="Z7">
        <v>0</v>
      </c>
      <c r="AA7">
        <v>0</v>
      </c>
      <c r="AC7" s="248">
        <v>2026</v>
      </c>
      <c r="AD7" s="95" t="s">
        <v>108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2924</v>
      </c>
      <c r="Y8" s="95" t="s">
        <v>1343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2924</v>
      </c>
      <c r="Y9" s="95" t="s">
        <v>1023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2924</v>
      </c>
      <c r="Y10" s="95" t="s">
        <v>1367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2924</v>
      </c>
      <c r="Y11" s="95" t="s">
        <v>2866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2924</v>
      </c>
      <c r="Y12" s="95" t="s">
        <v>2925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2926</v>
      </c>
      <c r="Y13" s="95" t="s">
        <v>1343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2926</v>
      </c>
      <c r="Y14" s="95" t="s">
        <v>1023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2926</v>
      </c>
      <c r="Y15" s="95" t="s">
        <v>1367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2926</v>
      </c>
      <c r="Y16" s="95" t="s">
        <v>2866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2926</v>
      </c>
      <c r="Y17" s="95" t="s">
        <v>2925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2927</v>
      </c>
      <c r="Y18" s="95" t="s">
        <v>1343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2927</v>
      </c>
      <c r="Y19" s="95" t="s">
        <v>1023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2927</v>
      </c>
      <c r="Y20" s="95" t="s">
        <v>1367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2927</v>
      </c>
      <c r="Y21" s="95" t="s">
        <v>2866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2927</v>
      </c>
      <c r="Y22" s="95" t="s">
        <v>2925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A realizar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2928</v>
      </c>
      <c r="Y23" s="95" t="s">
        <v>2714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2928</v>
      </c>
      <c r="Y24" s="95" t="s">
        <v>2872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2929</v>
      </c>
      <c r="Y25" s="95" t="s">
        <v>855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2929</v>
      </c>
      <c r="Y26" s="95" t="s">
        <v>2877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2930</v>
      </c>
      <c r="Y27" s="95" t="s">
        <v>2714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2930</v>
      </c>
      <c r="Y28" s="95" t="s">
        <v>2872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2931</v>
      </c>
      <c r="Y29" s="95" t="s">
        <v>2714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Formação Inicial para Novos Auditores do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2931</v>
      </c>
      <c r="Y30" s="95" t="s">
        <v>2872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2932</v>
      </c>
      <c r="Y31" s="95" t="s">
        <v>472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2933</v>
      </c>
      <c r="Y32" t="s">
        <v>1343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2933</v>
      </c>
      <c r="Y33" t="s">
        <v>2885</v>
      </c>
      <c r="Z33">
        <v>4</v>
      </c>
      <c r="AA33">
        <v>0.6</v>
      </c>
      <c r="AC33" s="250"/>
      <c r="AD33" s="251" t="s">
        <v>2934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2933</v>
      </c>
      <c r="Y34" t="s">
        <v>2886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2933</v>
      </c>
      <c r="Y35" t="s">
        <v>108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2933</v>
      </c>
      <c r="Y36" t="s">
        <v>549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2935</v>
      </c>
      <c r="Y37" t="s">
        <v>418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2935</v>
      </c>
      <c r="Y38" s="259" t="s">
        <v>1096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2936</v>
      </c>
      <c r="Y39" t="s">
        <v>549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2937</v>
      </c>
      <c r="Y40" t="s">
        <v>472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2938</v>
      </c>
      <c r="Y41" t="s">
        <v>1472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A realizar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2938</v>
      </c>
      <c r="Y42" t="s">
        <v>2849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2939</v>
      </c>
      <c r="Y43" s="95" t="s">
        <v>2714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2939</v>
      </c>
      <c r="Y44" s="95" t="s">
        <v>2872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2940</v>
      </c>
      <c r="Y45" t="s">
        <v>2941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2940</v>
      </c>
      <c r="Y46" t="s">
        <v>2942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2940</v>
      </c>
      <c r="Y47" t="s">
        <v>2943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R48" t="str">
        <v/>
      </c>
      <c r="S48" t="str">
        <v/>
      </c>
      <c r="T48">
        <v>112</v>
      </c>
      <c r="X48" t="s">
        <v>2940</v>
      </c>
      <c r="Y48" t="s">
        <v>2944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R49" t="str">
        <v/>
      </c>
      <c r="S49" t="str">
        <v/>
      </c>
      <c r="X49" t="s">
        <v>2940</v>
      </c>
      <c r="Y49" t="s">
        <v>2945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R50" t="str">
        <v/>
      </c>
      <c r="S50" t="str">
        <v/>
      </c>
      <c r="X50" t="s">
        <v>2940</v>
      </c>
      <c r="Y50" t="s">
        <v>935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X51" t="s">
        <v>2940</v>
      </c>
      <c r="Y51" t="s">
        <v>2946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2940</v>
      </c>
      <c r="Y52" t="s">
        <v>1343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Formação Inicial para Novos Auditores do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2940</v>
      </c>
      <c r="Y53" t="s">
        <v>2947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Formação Inicial para Novos Auditores do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2940</v>
      </c>
      <c r="Y54" t="s">
        <v>2948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Formação Inicial para Novos Auditores do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Formação Inicial para Novos Auditores do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Formação Inicial para Novos Auditores do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6" t="s">
        <v>2949</v>
      </c>
      <c r="B1" s="286"/>
      <c r="C1" s="286"/>
      <c r="D1" s="286"/>
      <c r="E1" s="286"/>
      <c r="F1" s="286"/>
      <c r="G1" s="286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7" t="s">
        <v>2950</v>
      </c>
      <c r="B4" s="288"/>
      <c r="D4" s="289" t="s">
        <v>2951</v>
      </c>
      <c r="E4" s="290"/>
      <c r="G4" s="125" t="s">
        <v>2952</v>
      </c>
    </row>
    <row r="5" spans="1:7" ht="54.95" customHeight="1" thickBot="1" x14ac:dyDescent="0.75">
      <c r="A5" s="115">
        <f>COUNTIF('Ações InCompany'!B:B,2026)</f>
        <v>56</v>
      </c>
      <c r="B5" s="116" t="s">
        <v>2953</v>
      </c>
      <c r="D5" s="123">
        <f>COUNTIFS('Ações InCompany'!B:B,2026,'Ações InCompany'!C:C,"Realizado")</f>
        <v>34</v>
      </c>
      <c r="E5" s="124" t="s">
        <v>2953</v>
      </c>
      <c r="G5" s="126">
        <f>COUNTIFS('Ações InCompany'!B:B,2026,'Ações InCompany'!C:C,"A realizar")</f>
        <v>19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4" t="s">
        <v>2954</v>
      </c>
      <c r="B8" s="284"/>
      <c r="D8" s="284" t="s">
        <v>2955</v>
      </c>
      <c r="E8" s="284"/>
    </row>
    <row r="9" spans="1:7" ht="5.0999999999999996" customHeight="1" x14ac:dyDescent="0.25">
      <c r="A9" s="285"/>
      <c r="B9" s="285"/>
      <c r="D9" s="285"/>
      <c r="E9" s="285"/>
    </row>
    <row r="10" spans="1:7" ht="24.95" customHeight="1" x14ac:dyDescent="0.25">
      <c r="A10" s="108" t="s">
        <v>5</v>
      </c>
      <c r="B10" s="108" t="s">
        <v>2956</v>
      </c>
      <c r="D10" s="108" t="s">
        <v>2957</v>
      </c>
      <c r="E10" s="108" t="s">
        <v>2958</v>
      </c>
    </row>
    <row r="11" spans="1:7" ht="27.95" customHeight="1" x14ac:dyDescent="0.3">
      <c r="A11" s="109" t="s">
        <v>23</v>
      </c>
      <c r="B11" s="110">
        <f>COUNTIFS('Ações InCompany'!B:B,2026,'Ações InCompany'!C:C,"Realizado",'Ações InCompany'!F:F,"Servidores do TCDF")</f>
        <v>16</v>
      </c>
      <c r="D11" s="109" t="s">
        <v>2959</v>
      </c>
      <c r="E11" s="110">
        <f>SUMIFS('Ações InCompany'!O:O,'Ações InCompany'!B:B,2026,'Ações InCompany'!C:C,"Realizado")</f>
        <v>504</v>
      </c>
    </row>
    <row r="12" spans="1:7" ht="27.95" customHeight="1" x14ac:dyDescent="0.3">
      <c r="A12" s="111" t="s">
        <v>62</v>
      </c>
      <c r="B12" s="112">
        <f>COUNTIFS('Ações InCompany'!B:B,2026,'Ações InCompany'!C:C,"Realizado",'Ações InCompany'!F:F,"Jurisdicionados")</f>
        <v>12</v>
      </c>
      <c r="D12" s="111" t="s">
        <v>2960</v>
      </c>
      <c r="E12" s="112">
        <f>SUMIFS('Ações InCompany'!P:P,'Ações InCompany'!B:B,2026,'Ações InCompany'!C:C,"Realizado")</f>
        <v>603</v>
      </c>
    </row>
    <row r="13" spans="1:7" ht="27.95" customHeight="1" x14ac:dyDescent="0.3">
      <c r="A13" s="109" t="s">
        <v>81</v>
      </c>
      <c r="B13" s="110">
        <f>COUNTIFS('Ações InCompany'!B:B,2026,'Ações InCompany'!C:C,"Realizado",'Ações InCompany'!F:F,"Sociedade")</f>
        <v>6</v>
      </c>
      <c r="D13" s="109" t="s">
        <v>2961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2962</v>
      </c>
      <c r="B14" s="114">
        <f>SUM(B11:B13)</f>
        <v>34</v>
      </c>
      <c r="D14" s="113" t="s">
        <v>2963</v>
      </c>
      <c r="E14" s="114">
        <f>SUM(E11:E13)</f>
        <v>1518</v>
      </c>
    </row>
    <row r="30" spans="1:5" ht="17.25" x14ac:dyDescent="0.3">
      <c r="A30" s="284" t="s">
        <v>2964</v>
      </c>
      <c r="B30" s="284"/>
      <c r="C30" s="284"/>
      <c r="D30" s="284"/>
      <c r="E30" s="284"/>
    </row>
    <row r="31" spans="1:5" ht="5.0999999999999996" customHeight="1" x14ac:dyDescent="0.25">
      <c r="A31" s="285"/>
      <c r="B31" s="285"/>
      <c r="C31" s="285"/>
      <c r="D31" s="285"/>
      <c r="E31" s="285"/>
    </row>
    <row r="32" spans="1:5" ht="24.95" customHeight="1" x14ac:dyDescent="0.25">
      <c r="A32" s="108" t="s">
        <v>6</v>
      </c>
      <c r="B32" s="108" t="s">
        <v>2965</v>
      </c>
      <c r="C32" s="108" t="s">
        <v>2966</v>
      </c>
      <c r="D32" s="108" t="s">
        <v>2967</v>
      </c>
      <c r="E32" s="108" t="s">
        <v>2968</v>
      </c>
    </row>
    <row r="33" spans="1:5" ht="24" customHeight="1" x14ac:dyDescent="0.25">
      <c r="A33" s="109" t="s">
        <v>72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6</v>
      </c>
      <c r="D33" s="117">
        <f t="shared" ref="D33:D44" si="0">B33+C33</f>
        <v>12</v>
      </c>
      <c r="E33" s="118">
        <f t="shared" ref="E33:E44" si="1">D33/$D$45</f>
        <v>0.22641509433962265</v>
      </c>
    </row>
    <row r="34" spans="1:5" ht="24" customHeight="1" x14ac:dyDescent="0.25">
      <c r="A34" s="111" t="s">
        <v>38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5.6603773584905662E-2</v>
      </c>
    </row>
    <row r="35" spans="1:5" ht="24" customHeight="1" x14ac:dyDescent="0.25">
      <c r="A35" s="109" t="s">
        <v>2712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0.11320754716981132</v>
      </c>
    </row>
    <row r="36" spans="1:5" ht="24" customHeight="1" x14ac:dyDescent="0.25">
      <c r="A36" s="111" t="s">
        <v>2696</v>
      </c>
      <c r="B36" s="119">
        <f>COUNTIFS('Ações InCompany'!B:B,2026,'Ações InCompany'!C:C,"Realizado",'Ações InCompany'!G:G,A36)</f>
        <v>1</v>
      </c>
      <c r="C36" s="128">
        <f>COUNTIFS('Ações InCompany'!B:B,2026,'Ações InCompany'!C:C,"A realizar",'Ações InCompany'!G:G,A36)</f>
        <v>1</v>
      </c>
      <c r="D36" s="119">
        <f t="shared" si="0"/>
        <v>2</v>
      </c>
      <c r="E36" s="120">
        <f t="shared" si="1"/>
        <v>3.7735849056603772E-2</v>
      </c>
    </row>
    <row r="37" spans="1:5" ht="24" customHeight="1" x14ac:dyDescent="0.25">
      <c r="A37" s="109" t="s">
        <v>199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3.7735849056603772E-2</v>
      </c>
    </row>
    <row r="38" spans="1:5" ht="24" customHeight="1" x14ac:dyDescent="0.25">
      <c r="A38" s="111" t="s">
        <v>2728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0.24528301886792453</v>
      </c>
    </row>
    <row r="39" spans="1:5" ht="24" customHeight="1" x14ac:dyDescent="0.25">
      <c r="A39" s="144" t="s">
        <v>24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7.5471698113207544E-2</v>
      </c>
    </row>
    <row r="40" spans="1:5" ht="24" customHeight="1" x14ac:dyDescent="0.25">
      <c r="A40" s="156" t="s">
        <v>68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3.7735849056603772E-2</v>
      </c>
    </row>
    <row r="41" spans="1:5" ht="24" customHeight="1" x14ac:dyDescent="0.25">
      <c r="A41" s="155" t="s">
        <v>2691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0.13207547169811321</v>
      </c>
    </row>
    <row r="42" spans="1:5" ht="24" customHeight="1" x14ac:dyDescent="0.25">
      <c r="A42" s="156" t="s">
        <v>2969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364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3.7735849056603772E-2</v>
      </c>
    </row>
    <row r="44" spans="1:5" ht="24" customHeight="1" x14ac:dyDescent="0.25">
      <c r="A44" s="148" t="s">
        <v>2970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2962</v>
      </c>
      <c r="B45" s="121">
        <f>SUM(B33:B44)</f>
        <v>34</v>
      </c>
      <c r="C45" s="121">
        <f>SUM(C33:C44)</f>
        <v>19</v>
      </c>
      <c r="D45" s="121">
        <f>SUM(D33:D44)</f>
        <v>53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2971</v>
      </c>
      <c r="B1" s="12" t="s">
        <v>2972</v>
      </c>
      <c r="C1" s="13" t="s">
        <v>2973</v>
      </c>
      <c r="D1" s="13" t="s">
        <v>2974</v>
      </c>
      <c r="E1" s="13" t="s">
        <v>2975</v>
      </c>
    </row>
    <row r="2" spans="1:5" ht="18" customHeight="1" x14ac:dyDescent="0.25">
      <c r="A2" s="12" t="s">
        <v>2976</v>
      </c>
      <c r="B2" s="12" t="s">
        <v>2977</v>
      </c>
      <c r="C2" s="12" t="s">
        <v>1729</v>
      </c>
      <c r="D2" s="12" t="s">
        <v>2978</v>
      </c>
      <c r="E2" s="12" t="s">
        <v>2979</v>
      </c>
    </row>
    <row r="3" spans="1:5" ht="18" customHeight="1" x14ac:dyDescent="0.25">
      <c r="A3" s="12" t="s">
        <v>2976</v>
      </c>
      <c r="B3" s="12" t="s">
        <v>2977</v>
      </c>
      <c r="C3" s="14" t="s">
        <v>24</v>
      </c>
      <c r="D3" s="12" t="s">
        <v>2980</v>
      </c>
      <c r="E3" s="12" t="s">
        <v>2981</v>
      </c>
    </row>
    <row r="4" spans="1:5" ht="18" customHeight="1" x14ac:dyDescent="0.25">
      <c r="A4" s="12" t="s">
        <v>2976</v>
      </c>
      <c r="B4" s="12" t="s">
        <v>2977</v>
      </c>
      <c r="C4" s="12" t="s">
        <v>68</v>
      </c>
      <c r="D4" s="12" t="s">
        <v>2978</v>
      </c>
      <c r="E4" s="12" t="s">
        <v>2982</v>
      </c>
    </row>
    <row r="5" spans="1:5" ht="18" customHeight="1" x14ac:dyDescent="0.25">
      <c r="A5" s="12" t="s">
        <v>2976</v>
      </c>
      <c r="B5" s="12" t="s">
        <v>2977</v>
      </c>
      <c r="C5" s="12" t="s">
        <v>72</v>
      </c>
      <c r="D5" s="12" t="s">
        <v>2983</v>
      </c>
      <c r="E5" s="12" t="s">
        <v>2984</v>
      </c>
    </row>
    <row r="6" spans="1:5" ht="18" customHeight="1" x14ac:dyDescent="0.25">
      <c r="A6" s="12" t="s">
        <v>2976</v>
      </c>
      <c r="B6" s="12" t="s">
        <v>2977</v>
      </c>
      <c r="C6" s="12" t="s">
        <v>2728</v>
      </c>
      <c r="D6" s="12" t="s">
        <v>2985</v>
      </c>
      <c r="E6" s="12" t="s">
        <v>2986</v>
      </c>
    </row>
    <row r="7" spans="1:5" ht="18" customHeight="1" x14ac:dyDescent="0.25">
      <c r="A7" s="12" t="s">
        <v>2976</v>
      </c>
      <c r="B7" s="12" t="s">
        <v>2987</v>
      </c>
      <c r="C7" s="12" t="s">
        <v>33</v>
      </c>
      <c r="D7" s="12" t="s">
        <v>2988</v>
      </c>
      <c r="E7" s="12" t="s">
        <v>2989</v>
      </c>
    </row>
    <row r="8" spans="1:5" ht="18" customHeight="1" x14ac:dyDescent="0.25">
      <c r="A8" s="12" t="s">
        <v>2976</v>
      </c>
      <c r="B8" s="12" t="s">
        <v>2987</v>
      </c>
      <c r="C8" s="12" t="s">
        <v>38</v>
      </c>
      <c r="D8" s="12" t="s">
        <v>2990</v>
      </c>
      <c r="E8" s="12" t="s">
        <v>2991</v>
      </c>
    </row>
    <row r="9" spans="1:5" ht="18" customHeight="1" x14ac:dyDescent="0.25">
      <c r="A9" s="12" t="s">
        <v>2976</v>
      </c>
      <c r="B9" s="12" t="s">
        <v>2992</v>
      </c>
      <c r="C9" s="12" t="s">
        <v>457</v>
      </c>
      <c r="D9" s="12" t="s">
        <v>2993</v>
      </c>
      <c r="E9" s="12" t="s">
        <v>2994</v>
      </c>
    </row>
    <row r="10" spans="1:5" ht="18" customHeight="1" x14ac:dyDescent="0.25">
      <c r="A10" s="12" t="s">
        <v>2976</v>
      </c>
      <c r="B10" s="12" t="s">
        <v>2992</v>
      </c>
      <c r="C10" s="12" t="s">
        <v>199</v>
      </c>
      <c r="D10" s="12" t="s">
        <v>23</v>
      </c>
      <c r="E10" s="12" t="s">
        <v>2995</v>
      </c>
    </row>
    <row r="11" spans="1:5" ht="18" customHeight="1" x14ac:dyDescent="0.25">
      <c r="A11" s="12" t="s">
        <v>2976</v>
      </c>
      <c r="B11" s="12" t="s">
        <v>2992</v>
      </c>
      <c r="C11" s="12" t="s">
        <v>364</v>
      </c>
      <c r="D11" s="12" t="s">
        <v>23</v>
      </c>
      <c r="E11" s="12" t="s">
        <v>2996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2997</v>
      </c>
      <c r="B1" s="5" t="s">
        <v>10</v>
      </c>
      <c r="C1" s="15" t="s">
        <v>2998</v>
      </c>
      <c r="D1" s="15" t="s">
        <v>2893</v>
      </c>
    </row>
    <row r="2" spans="1:4" ht="21" customHeight="1" x14ac:dyDescent="0.25">
      <c r="A2" s="258" t="s">
        <v>23</v>
      </c>
      <c r="B2" s="258" t="s">
        <v>35</v>
      </c>
      <c r="C2" s="12" t="s">
        <v>2999</v>
      </c>
      <c r="D2" s="12" t="s">
        <v>2758</v>
      </c>
    </row>
    <row r="3" spans="1:4" ht="21" customHeight="1" x14ac:dyDescent="0.25">
      <c r="A3" s="12" t="s">
        <v>62</v>
      </c>
      <c r="B3" s="258" t="s">
        <v>26</v>
      </c>
      <c r="C3" s="12" t="s">
        <v>3000</v>
      </c>
      <c r="D3" s="12" t="s">
        <v>2664</v>
      </c>
    </row>
    <row r="4" spans="1:4" ht="21" customHeight="1" x14ac:dyDescent="0.25">
      <c r="A4" s="14" t="s">
        <v>81</v>
      </c>
      <c r="B4" s="258" t="s">
        <v>220</v>
      </c>
      <c r="D4" s="12" t="s">
        <v>2744</v>
      </c>
    </row>
    <row r="5" spans="1:4" ht="21" customHeight="1" x14ac:dyDescent="0.25">
      <c r="A5" s="12" t="s">
        <v>225</v>
      </c>
      <c r="D5" s="12" t="s">
        <v>21</v>
      </c>
    </row>
    <row r="6" spans="1:4" ht="21" customHeight="1" x14ac:dyDescent="0.25">
      <c r="D6" s="12" t="s">
        <v>2769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2971</v>
      </c>
      <c r="B1" s="12" t="s">
        <v>2972</v>
      </c>
      <c r="C1" s="13" t="s">
        <v>2973</v>
      </c>
      <c r="D1" s="13" t="s">
        <v>2974</v>
      </c>
      <c r="E1" s="13" t="s">
        <v>2975</v>
      </c>
    </row>
    <row r="2" spans="1:5" ht="18" customHeight="1" x14ac:dyDescent="0.25">
      <c r="A2" s="12" t="s">
        <v>3001</v>
      </c>
      <c r="B2" s="12" t="s">
        <v>2977</v>
      </c>
      <c r="C2" s="14" t="s">
        <v>24</v>
      </c>
      <c r="D2" s="12" t="s">
        <v>2978</v>
      </c>
      <c r="E2" s="18" t="s">
        <v>3002</v>
      </c>
    </row>
    <row r="3" spans="1:5" ht="18" customHeight="1" x14ac:dyDescent="0.25">
      <c r="A3" s="12" t="s">
        <v>3001</v>
      </c>
      <c r="B3" s="12" t="s">
        <v>2977</v>
      </c>
      <c r="C3" s="12" t="s">
        <v>68</v>
      </c>
      <c r="D3" s="12" t="s">
        <v>2980</v>
      </c>
      <c r="E3" s="12" t="s">
        <v>3003</v>
      </c>
    </row>
    <row r="4" spans="1:5" ht="18" customHeight="1" x14ac:dyDescent="0.25">
      <c r="A4" s="12" t="s">
        <v>3001</v>
      </c>
      <c r="B4" s="12" t="s">
        <v>2977</v>
      </c>
      <c r="C4" s="12" t="s">
        <v>72</v>
      </c>
      <c r="D4" s="12" t="s">
        <v>2983</v>
      </c>
      <c r="E4" s="12" t="s">
        <v>3004</v>
      </c>
    </row>
    <row r="5" spans="1:5" ht="27.75" customHeight="1" x14ac:dyDescent="0.25">
      <c r="A5" s="12" t="s">
        <v>3001</v>
      </c>
      <c r="B5" s="12" t="s">
        <v>2977</v>
      </c>
      <c r="C5" s="12" t="s">
        <v>2691</v>
      </c>
      <c r="D5" s="18" t="s">
        <v>3005</v>
      </c>
      <c r="E5" s="12" t="s">
        <v>3006</v>
      </c>
    </row>
    <row r="6" spans="1:5" ht="18" customHeight="1" x14ac:dyDescent="0.25">
      <c r="A6" s="12" t="s">
        <v>3001</v>
      </c>
      <c r="B6" s="12" t="s">
        <v>2977</v>
      </c>
      <c r="C6" s="12" t="s">
        <v>2728</v>
      </c>
      <c r="D6" s="12" t="s">
        <v>2985</v>
      </c>
      <c r="E6" s="12" t="s">
        <v>2986</v>
      </c>
    </row>
    <row r="7" spans="1:5" ht="18" customHeight="1" x14ac:dyDescent="0.25">
      <c r="A7" s="12" t="s">
        <v>3001</v>
      </c>
      <c r="B7" s="12" t="s">
        <v>2987</v>
      </c>
      <c r="C7" s="12" t="s">
        <v>2712</v>
      </c>
      <c r="D7" s="12" t="s">
        <v>3007</v>
      </c>
      <c r="E7" s="12" t="s">
        <v>3008</v>
      </c>
    </row>
    <row r="8" spans="1:5" ht="18" customHeight="1" x14ac:dyDescent="0.25">
      <c r="A8" s="12" t="s">
        <v>3001</v>
      </c>
      <c r="B8" s="12" t="s">
        <v>2987</v>
      </c>
      <c r="C8" s="12" t="s">
        <v>38</v>
      </c>
      <c r="D8" s="12" t="s">
        <v>2990</v>
      </c>
      <c r="E8" s="12" t="s">
        <v>2991</v>
      </c>
    </row>
    <row r="9" spans="1:5" ht="18" customHeight="1" x14ac:dyDescent="0.25">
      <c r="A9" s="12" t="s">
        <v>3001</v>
      </c>
      <c r="B9" s="12" t="s">
        <v>2987</v>
      </c>
      <c r="C9" s="12" t="s">
        <v>2696</v>
      </c>
      <c r="D9" s="12" t="s">
        <v>3009</v>
      </c>
      <c r="E9" s="18" t="s">
        <v>3010</v>
      </c>
    </row>
    <row r="10" spans="1:5" ht="18" customHeight="1" x14ac:dyDescent="0.25">
      <c r="A10" s="12" t="s">
        <v>3001</v>
      </c>
      <c r="B10" s="12" t="s">
        <v>3011</v>
      </c>
      <c r="C10" s="12" t="s">
        <v>2969</v>
      </c>
      <c r="D10" s="12" t="s">
        <v>3012</v>
      </c>
      <c r="E10" s="18" t="s">
        <v>3013</v>
      </c>
    </row>
    <row r="11" spans="1:5" ht="18" customHeight="1" x14ac:dyDescent="0.25">
      <c r="A11" s="12" t="s">
        <v>3001</v>
      </c>
      <c r="B11" s="12" t="s">
        <v>3011</v>
      </c>
      <c r="C11" s="12" t="s">
        <v>199</v>
      </c>
      <c r="D11" s="12" t="s">
        <v>23</v>
      </c>
      <c r="E11" s="12" t="s">
        <v>2995</v>
      </c>
    </row>
    <row r="12" spans="1:5" ht="18" customHeight="1" x14ac:dyDescent="0.25">
      <c r="A12" s="12" t="s">
        <v>3001</v>
      </c>
      <c r="B12" s="12" t="s">
        <v>3011</v>
      </c>
      <c r="C12" s="12" t="s">
        <v>364</v>
      </c>
      <c r="D12" s="12" t="s">
        <v>23</v>
      </c>
      <c r="E12" s="12" t="s">
        <v>2996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1" t="s">
        <v>3014</v>
      </c>
      <c r="B1" s="291"/>
      <c r="C1" s="291"/>
      <c r="D1" s="291"/>
      <c r="E1" s="291"/>
      <c r="F1" s="291"/>
      <c r="G1" s="291"/>
      <c r="H1" s="291"/>
    </row>
    <row r="2" spans="1:8" x14ac:dyDescent="0.25">
      <c r="A2" s="130" t="s">
        <v>3015</v>
      </c>
    </row>
    <row r="4" spans="1:8" ht="21.95" customHeight="1" x14ac:dyDescent="0.25">
      <c r="A4" s="292" t="s">
        <v>3016</v>
      </c>
      <c r="B4" s="293"/>
      <c r="D4" s="292" t="s">
        <v>3017</v>
      </c>
      <c r="E4" s="293"/>
      <c r="G4" s="292" t="s">
        <v>3018</v>
      </c>
      <c r="H4" s="293"/>
    </row>
    <row r="5" spans="1:8" ht="35.1" customHeight="1" x14ac:dyDescent="0.25">
      <c r="A5" s="296">
        <f>COUNTIF('Ações InCompany'!E:E,"*maratona*")</f>
        <v>13</v>
      </c>
      <c r="B5" s="295"/>
      <c r="D5" s="294">
        <f>SUM(H8:H100)</f>
        <v>1762</v>
      </c>
      <c r="E5" s="295"/>
      <c r="G5" s="294">
        <f>IFERROR(ROUND(D5/A5,0),"-")</f>
        <v>136</v>
      </c>
      <c r="H5" s="295"/>
    </row>
    <row r="6" spans="1:8" ht="9.9499999999999993" customHeight="1" x14ac:dyDescent="0.25"/>
    <row r="7" spans="1:8" ht="24.95" customHeight="1" thickBot="1" x14ac:dyDescent="0.3">
      <c r="A7" s="143" t="s">
        <v>3019</v>
      </c>
      <c r="B7" s="143" t="s">
        <v>3020</v>
      </c>
      <c r="C7" s="143" t="s">
        <v>1</v>
      </c>
      <c r="D7" s="143" t="s">
        <v>3021</v>
      </c>
      <c r="E7" s="143" t="s">
        <v>3022</v>
      </c>
      <c r="F7" s="143" t="s">
        <v>2893</v>
      </c>
      <c r="G7" s="143" t="s">
        <v>5</v>
      </c>
      <c r="H7" s="143" t="s">
        <v>3023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K18" sqref="K1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7" t="s">
        <v>3024</v>
      </c>
      <c r="B1" s="297"/>
      <c r="C1" s="297"/>
      <c r="D1" s="297"/>
      <c r="E1" s="297"/>
      <c r="F1" s="297"/>
    </row>
    <row r="2" spans="1:7" x14ac:dyDescent="0.25">
      <c r="A2" s="298" t="s">
        <v>3025</v>
      </c>
      <c r="B2" s="298"/>
      <c r="C2" s="298"/>
      <c r="D2" s="298"/>
      <c r="E2" s="298"/>
      <c r="F2" s="298"/>
    </row>
    <row r="4" spans="1:7" x14ac:dyDescent="0.25">
      <c r="A4" s="102" t="s">
        <v>19</v>
      </c>
      <c r="B4" s="102" t="s">
        <v>2896</v>
      </c>
      <c r="C4" s="102" t="s">
        <v>2897</v>
      </c>
      <c r="D4" s="102" t="s">
        <v>3026</v>
      </c>
      <c r="E4" s="102" t="s">
        <v>2898</v>
      </c>
      <c r="F4" s="102" t="s">
        <v>3027</v>
      </c>
    </row>
    <row r="5" spans="1:7" x14ac:dyDescent="0.25">
      <c r="A5" t="str" cm="1">
        <f t="array" ref="A5:A44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Carolina Pereira de Oliveira</v>
      </c>
      <c r="B9" s="103">
        <f>IF($A9="","",SUMIFS('GECC 2026'!H$2:H$200,'GECC 2026'!F$2:F$200,$A9))</f>
        <v>1</v>
      </c>
      <c r="C9" s="103">
        <f>IF($A9="","",SUMIFS('GECC 2026'!I$2:I$200,'GECC 2026'!F$2:F$200,$A9))</f>
        <v>0.3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1.3</v>
      </c>
      <c r="F9" s="101">
        <f>IF($A9="","",COUNTIFS('GECC 2026'!F$2:F$200,$A9))</f>
        <v>1</v>
      </c>
    </row>
    <row r="10" spans="1:7" x14ac:dyDescent="0.25">
      <c r="A10" t="str">
        <v>Cássio Murilo Alves Costa Filho</v>
      </c>
      <c r="B10" s="103">
        <f>IF($A10="","",SUMIFS('GECC 2026'!H$2:H$200,'GECC 2026'!F$2:F$200,$A10))</f>
        <v>16</v>
      </c>
      <c r="C10" s="103">
        <f>IF($A10="","",SUMIFS('GECC 2026'!I$2:I$200,'GECC 2026'!F$2:F$200,$A10))</f>
        <v>4.8</v>
      </c>
      <c r="D10" s="255">
        <f>IF($A10="","",SUMIFS('GECC 2026'!$AE$3:$AE$32,'GECC 2026'!$AD$3:$AD$32,$A10))</f>
        <v>16</v>
      </c>
      <c r="E10" s="240">
        <f>IF($A10="","",SUMIFS('GECC 2026'!J$2:J$200,'GECC 2026'!F$2:F$200,$A10)+SUMIFS('GECC 2026'!$AE$3:$AE$32,'GECC 2026'!$AD$3:$AD$32,$A10))</f>
        <v>36.799999999999997</v>
      </c>
      <c r="F10" s="101">
        <f>IF($A10="","",COUNTIFS('GECC 2026'!F$2:F$200,$A10))</f>
        <v>1</v>
      </c>
    </row>
    <row r="11" spans="1:7" x14ac:dyDescent="0.25">
      <c r="A11" t="str">
        <v>Cinthia Thais de Carvalho Luz Thomazi</v>
      </c>
      <c r="B11" s="103">
        <f>IF($A11="","",SUMIFS('GECC 2026'!H$2:H$200,'GECC 2026'!F$2:F$200,$A11))</f>
        <v>61</v>
      </c>
      <c r="C11" s="103">
        <f>IF($A11="","",SUMIFS('GECC 2026'!I$2:I$200,'GECC 2026'!F$2:F$200,$A11))</f>
        <v>7.9800000000000013</v>
      </c>
      <c r="D11" s="255">
        <f>IF($A11="","",SUMIFS('GECC 2026'!$AE$3:$AE$32,'GECC 2026'!$AD$3:$AD$32,$A11))</f>
        <v>0</v>
      </c>
      <c r="E11" s="240">
        <f>IF($A11="","",SUMIFS('GECC 2026'!J$2:J$200,'GECC 2026'!F$2:F$200,$A11)+SUMIFS('GECC 2026'!$AE$3:$AE$32,'GECC 2026'!$AD$3:$AD$32,$A11))</f>
        <v>68.98</v>
      </c>
      <c r="F11" s="101">
        <f>IF($A11="","",COUNTIFS('GECC 2026'!F$2:F$200,$A11))</f>
        <v>12</v>
      </c>
    </row>
    <row r="12" spans="1:7" x14ac:dyDescent="0.25">
      <c r="A12" t="str">
        <v>Davi Assunção Salvador Nery de Castro</v>
      </c>
      <c r="B12" s="103">
        <f>IF($A12="","",SUMIFS('GECC 2026'!H$2:H$200,'GECC 2026'!F$2:F$200,$A12))</f>
        <v>12</v>
      </c>
      <c r="C12" s="103">
        <f>IF($A12="","",SUMIFS('GECC 2026'!I$2:I$200,'GECC 2026'!F$2:F$200,$A12))</f>
        <v>1.2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13.2</v>
      </c>
      <c r="F12" s="101">
        <f>IF($A12="","",COUNTIFS('GECC 2026'!F$2:F$200,$A12))</f>
        <v>1</v>
      </c>
    </row>
    <row r="13" spans="1:7" x14ac:dyDescent="0.25">
      <c r="A13" t="str">
        <v>David da Silva de Araújo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Denise Duarte Guirra Kuhlmann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2.6399999999999997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14.64</v>
      </c>
      <c r="F14" s="101">
        <f>IF($A14="","",COUNTIFS('GECC 2026'!F$2:F$200,$A14))</f>
        <v>3</v>
      </c>
    </row>
    <row r="15" spans="1:7" x14ac:dyDescent="0.25">
      <c r="A15" t="str">
        <v>Diversos</v>
      </c>
      <c r="B15" s="103">
        <f>IF($A15="","",SUMIFS('GECC 2026'!H$2:H$200,'GECC 2026'!F$2:F$200,$A15))</f>
        <v>0</v>
      </c>
      <c r="C15" s="103">
        <f>IF($A15="","",SUMIFS('GECC 2026'!I$2:I$200,'GECC 2026'!F$2:F$200,$A15))</f>
        <v>0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0</v>
      </c>
      <c r="F15" s="101">
        <f>IF($A15="","",COUNTIFS('GECC 2026'!F$2:F$200,$A15))</f>
        <v>2</v>
      </c>
    </row>
    <row r="16" spans="1:7" x14ac:dyDescent="0.25">
      <c r="A16" t="str">
        <v>Eustáquio Rabelo de Souza</v>
      </c>
      <c r="B16" s="103">
        <f>IF($A16="","",SUMIFS('GECC 2026'!H$2:H$200,'GECC 2026'!F$2:F$200,$A16))</f>
        <v>1</v>
      </c>
      <c r="C16" s="103">
        <f>IF($A16="","",SUMIFS('GECC 2026'!I$2:I$200,'GECC 2026'!F$2:F$200,$A16))</f>
        <v>0.3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1.3</v>
      </c>
      <c r="F16" s="101">
        <f>IF($A16="","",COUNTIFS('GECC 2026'!F$2:F$200,$A16))</f>
        <v>1</v>
      </c>
    </row>
    <row r="17" spans="1:6" x14ac:dyDescent="0.25">
      <c r="A17" t="str">
        <v>Felipe da Costa Malaquias</v>
      </c>
      <c r="B17" s="103">
        <f>IF($A17="","",SUMIFS('GECC 2026'!H$2:H$200,'GECC 2026'!F$2:F$200,$A17))</f>
        <v>8</v>
      </c>
      <c r="C17" s="103">
        <f>IF($A17="","",SUMIFS('GECC 2026'!I$2:I$200,'GECC 2026'!F$2:F$200,$A17))</f>
        <v>37.299999999999997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45.3</v>
      </c>
      <c r="F17" s="101">
        <f>IF($A17="","",COUNTIFS('GECC 2026'!F$2:F$200,$A17))</f>
        <v>2</v>
      </c>
    </row>
    <row r="18" spans="1:6" x14ac:dyDescent="0.25">
      <c r="A18" t="str">
        <v>Felipe Ramos Barbosa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Fernanda Viana de Souza</v>
      </c>
      <c r="B19" s="103">
        <f>IF($A19="","",SUMIFS('GECC 2026'!H$2:H$200,'GECC 2026'!F$2:F$200,$A19))</f>
        <v>39</v>
      </c>
      <c r="C19" s="103">
        <f>IF($A19="","",SUMIFS('GECC 2026'!I$2:I$200,'GECC 2026'!F$2:F$200,$A19))</f>
        <v>4.5300000000000011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43.530000000000008</v>
      </c>
      <c r="F19" s="101">
        <f>IF($A19="","",COUNTIFS('GECC 2026'!F$2:F$200,$A19))</f>
        <v>10</v>
      </c>
    </row>
    <row r="20" spans="1:6" x14ac:dyDescent="0.25">
      <c r="A20" t="str">
        <v>Flávio José Fonseca de Souza</v>
      </c>
      <c r="B20" s="103">
        <f>IF($A20="","",SUMIFS('GECC 2026'!H$2:H$200,'GECC 2026'!F$2:F$200,$A20))</f>
        <v>8</v>
      </c>
      <c r="C20" s="103">
        <f>IF($A20="","",SUMIFS('GECC 2026'!I$2:I$200,'GECC 2026'!F$2:F$200,$A20))</f>
        <v>37.299999999999997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45.3</v>
      </c>
      <c r="F20" s="101">
        <f>IF($A20="","",COUNTIFS('GECC 2026'!F$2:F$200,$A20))</f>
        <v>2</v>
      </c>
    </row>
    <row r="21" spans="1:6" x14ac:dyDescent="0.25">
      <c r="A21" t="str">
        <v>Gabriel Heller</v>
      </c>
      <c r="B21" s="103">
        <f>IF($A21="","",SUMIFS('GECC 2026'!H$2:H$200,'GECC 2026'!F$2:F$200,$A21))</f>
        <v>4</v>
      </c>
      <c r="C21" s="103">
        <f>IF($A21="","",SUMIFS('GECC 2026'!I$2:I$200,'GECC 2026'!F$2:F$200,$A21))</f>
        <v>33.200000000000003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37.200000000000003</v>
      </c>
      <c r="F21" s="101">
        <f>IF($A21="","",COUNTIFS('GECC 2026'!F$2:F$200,$A21))</f>
        <v>2</v>
      </c>
    </row>
    <row r="22" spans="1:6" x14ac:dyDescent="0.25">
      <c r="A22" t="str">
        <v>Guilherme Bride Fernandes</v>
      </c>
      <c r="B22" s="103">
        <f>IF($A22="","",SUMIFS('GECC 2026'!H$2:H$200,'GECC 2026'!F$2:F$200,$A22))</f>
        <v>0</v>
      </c>
      <c r="C22" s="103">
        <f>IF($A22="","",SUMIFS('GECC 2026'!I$2:I$200,'GECC 2026'!F$2:F$200,$A22))</f>
        <v>0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0</v>
      </c>
      <c r="F22" s="101">
        <f>IF($A22="","",COUNTIFS('GECC 2026'!F$2:F$200,$A22))</f>
        <v>1</v>
      </c>
    </row>
    <row r="23" spans="1:6" x14ac:dyDescent="0.25">
      <c r="A23" t="str">
        <v>Gustavo Takahashi</v>
      </c>
      <c r="B23" s="103">
        <f>IF($A23="","",SUMIFS('GECC 2026'!H$2:H$200,'GECC 2026'!F$2:F$200,$A23))</f>
        <v>33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33</v>
      </c>
      <c r="F23" s="101">
        <f>IF($A23="","",COUNTIFS('GECC 2026'!F$2:F$200,$A23))</f>
        <v>5</v>
      </c>
    </row>
    <row r="24" spans="1:6" x14ac:dyDescent="0.25">
      <c r="A24" t="str">
        <v>Hamilton de Jesus Lopes Neto</v>
      </c>
      <c r="B24" s="103">
        <f>IF($A24="","",SUMIFS('GECC 2026'!H$2:H$200,'GECC 2026'!F$2:F$200,$A24))</f>
        <v>12</v>
      </c>
      <c r="C24" s="103">
        <f>IF($A24="","",SUMIFS('GECC 2026'!I$2:I$200,'GECC 2026'!F$2:F$200,$A24))</f>
        <v>1.2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13.2</v>
      </c>
      <c r="F24" s="101">
        <f>IF($A24="","",COUNTIFS('GECC 2026'!F$2:F$200,$A24))</f>
        <v>1</v>
      </c>
    </row>
    <row r="25" spans="1:6" x14ac:dyDescent="0.25">
      <c r="A25" t="str">
        <v>Igor Queiroz</v>
      </c>
      <c r="B25" s="103">
        <f>IF($A25="","",SUMIFS('GECC 2026'!H$2:H$200,'GECC 2026'!F$2:F$200,$A25))</f>
        <v>1</v>
      </c>
      <c r="C25" s="103">
        <f>IF($A25="","",SUMIFS('GECC 2026'!I$2:I$200,'GECC 2026'!F$2:F$200,$A25))</f>
        <v>0.3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1.3</v>
      </c>
      <c r="F25" s="101">
        <f>IF($A25="","",COUNTIFS('GECC 2026'!F$2:F$200,$A25))</f>
        <v>1</v>
      </c>
    </row>
    <row r="26" spans="1:6" x14ac:dyDescent="0.25">
      <c r="A26" t="str">
        <v>Indio Artiaga do Brasil Rabelo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3.6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15.6</v>
      </c>
      <c r="F26" s="101">
        <f>IF($A26="","",COUNTIFS('GECC 2026'!F$2:F$200,$A26))</f>
        <v>1</v>
      </c>
    </row>
    <row r="27" spans="1:6" x14ac:dyDescent="0.25">
      <c r="A27" t="str">
        <v>José Roberto Alcuri Júnior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Leonardo de Melo</v>
      </c>
      <c r="B28" s="103">
        <f>IF($A28="","",SUMIFS('GECC 2026'!H$2:H$200,'GECC 2026'!F$2:F$200,$A28))</f>
        <v>0</v>
      </c>
      <c r="C28" s="103">
        <f>IF($A28="","",SUMIFS('GECC 2026'!I$2:I$200,'GECC 2026'!F$2:F$200,$A28))</f>
        <v>0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0</v>
      </c>
      <c r="F28" s="101">
        <f>IF($A28="","",COUNTIFS('GECC 2026'!F$2:F$200,$A28))</f>
        <v>1</v>
      </c>
    </row>
    <row r="29" spans="1:6" x14ac:dyDescent="0.25">
      <c r="A29" t="str">
        <v>Leonardo José Alves Leal Neri</v>
      </c>
      <c r="B29" s="103">
        <f>IF($A29="","",SUMIFS('GECC 2026'!H$2:H$200,'GECC 2026'!F$2:F$200,$A29))</f>
        <v>40</v>
      </c>
      <c r="C29" s="103">
        <f>IF($A29="","",SUMIFS('GECC 2026'!I$2:I$200,'GECC 2026'!F$2:F$200,$A29))</f>
        <v>12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52</v>
      </c>
      <c r="F29" s="101">
        <f>IF($A29="","",COUNTIFS('GECC 2026'!F$2:F$200,$A29))</f>
        <v>2</v>
      </c>
    </row>
    <row r="30" spans="1:6" x14ac:dyDescent="0.25">
      <c r="A30" t="str">
        <v>Luciana Alvim</v>
      </c>
      <c r="B30" s="103">
        <f>IF($A30="","",SUMIFS('GECC 2026'!H$2:H$200,'GECC 2026'!F$2:F$200,$A30))</f>
        <v>60</v>
      </c>
      <c r="C30" s="103">
        <f>IF($A30="","",SUMIFS('GECC 2026'!I$2:I$200,'GECC 2026'!F$2:F$200,$A30))</f>
        <v>94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154</v>
      </c>
      <c r="F30" s="101">
        <f>IF($A30="","",COUNTIFS('GECC 2026'!F$2:F$200,$A30))</f>
        <v>6</v>
      </c>
    </row>
    <row r="31" spans="1:6" x14ac:dyDescent="0.25">
      <c r="A31" t="str">
        <v>Luiz Felipe Tenório de Lima Gondim</v>
      </c>
      <c r="B31" s="103">
        <f>IF($A31="","",SUMIFS('GECC 2026'!H$2:H$200,'GECC 2026'!F$2:F$200,$A31))</f>
        <v>24</v>
      </c>
      <c r="C31" s="103">
        <f>IF($A31="","",SUMIFS('GECC 2026'!I$2:I$200,'GECC 2026'!F$2:F$200,$A31))</f>
        <v>1.44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25.440000000000005</v>
      </c>
      <c r="F31" s="101">
        <f>IF($A31="","",COUNTIFS('GECC 2026'!F$2:F$200,$A31))</f>
        <v>6</v>
      </c>
    </row>
    <row r="32" spans="1:6" x14ac:dyDescent="0.25">
      <c r="A32" t="str">
        <v>Marcelo Bálbio Moraes</v>
      </c>
      <c r="B32" s="103">
        <f>IF($A32="","",SUMIFS('GECC 2026'!H$2:H$200,'GECC 2026'!F$2:F$200,$A32))</f>
        <v>0</v>
      </c>
      <c r="C32" s="103">
        <f>IF($A32="","",SUMIFS('GECC 2026'!I$2:I$200,'GECC 2026'!F$2:F$200,$A32))</f>
        <v>0</v>
      </c>
      <c r="D32" s="255">
        <f>IF($A32="","",SUMIFS('GECC 2026'!$AE$3:$AE$32,'GECC 2026'!$AD$3:$AD$32,$A32))</f>
        <v>16</v>
      </c>
      <c r="E32" s="240">
        <f>IF($A32="","",SUMIFS('GECC 2026'!J$2:J$200,'GECC 2026'!F$2:F$200,$A32)+SUMIFS('GECC 2026'!$AE$3:$AE$32,'GECC 2026'!$AD$3:$AD$32,$A32))</f>
        <v>16</v>
      </c>
      <c r="F32" s="101">
        <f>IF($A32="","",COUNTIFS('GECC 2026'!F$2:F$200,$A32))</f>
        <v>0</v>
      </c>
    </row>
    <row r="33" spans="1:6" x14ac:dyDescent="0.25">
      <c r="A33" t="str">
        <v>Marcelo Santana</v>
      </c>
      <c r="B33" s="103">
        <f>IF($A33="","",SUMIFS('GECC 2026'!H$2:H$200,'GECC 2026'!F$2:F$200,$A33))</f>
        <v>1</v>
      </c>
      <c r="C33" s="103">
        <f>IF($A33="","",SUMIFS('GECC 2026'!I$2:I$200,'GECC 2026'!F$2:F$200,$A33))</f>
        <v>0.3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1.3</v>
      </c>
      <c r="F33" s="101">
        <f>IF($A33="","",COUNTIFS('GECC 2026'!F$2:F$200,$A33))</f>
        <v>1</v>
      </c>
    </row>
    <row r="34" spans="1:6" x14ac:dyDescent="0.25">
      <c r="A34" t="str">
        <v>Mauri Siqueira Montessi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Michel Martins de Morais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Paulo José Góes Daltro</v>
      </c>
      <c r="B36" s="103">
        <f>IF($A36="","",SUMIFS('GECC 2026'!H$2:H$200,'GECC 2026'!F$2:F$200,$A36))</f>
        <v>28</v>
      </c>
      <c r="C36" s="103">
        <f>IF($A36="","",SUMIFS('GECC 2026'!I$2:I$200,'GECC 2026'!F$2:F$200,$A36))</f>
        <v>8.3999999999999986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36.4</v>
      </c>
      <c r="F36" s="101">
        <f>IF($A36="","",COUNTIFS('GECC 2026'!F$2:F$200,$A36))</f>
        <v>3</v>
      </c>
    </row>
    <row r="37" spans="1:6" x14ac:dyDescent="0.25">
      <c r="A37" t="str">
        <v>Priscila Nolasco de Oliveira</v>
      </c>
      <c r="B37" s="103">
        <f>IF($A37="","",SUMIFS('GECC 2026'!H$2:H$200,'GECC 2026'!F$2:F$200,$A37))</f>
        <v>36</v>
      </c>
      <c r="C37" s="103">
        <f>IF($A37="","",SUMIFS('GECC 2026'!I$2:I$200,'GECC 2026'!F$2:F$200,$A37))</f>
        <v>2.16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38.160000000000011</v>
      </c>
      <c r="F37" s="101">
        <f>IF($A37="","",COUNTIFS('GECC 2026'!F$2:F$200,$A37))</f>
        <v>9</v>
      </c>
    </row>
    <row r="38" spans="1:6" x14ac:dyDescent="0.25">
      <c r="A38" t="str">
        <v>Reinaldo Alencar</v>
      </c>
      <c r="B38" s="103">
        <f>IF($A38="","",SUMIFS('GECC 2026'!H$2:H$200,'GECC 2026'!F$2:F$200,$A38))</f>
        <v>48</v>
      </c>
      <c r="C38" s="103">
        <f>IF($A38="","",SUMIFS('GECC 2026'!I$2:I$200,'GECC 2026'!F$2:F$200,$A38))</f>
        <v>7.1999999999999993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55.2</v>
      </c>
      <c r="F38" s="101">
        <f>IF($A38="","",COUNTIFS('GECC 2026'!F$2:F$200,$A38))</f>
        <v>3</v>
      </c>
    </row>
    <row r="39" spans="1:6" x14ac:dyDescent="0.25">
      <c r="A39" t="str">
        <v>Rogério Ribeiro</v>
      </c>
      <c r="B39" s="103">
        <f>IF($A39="","",SUMIFS('GECC 2026'!H$2:H$200,'GECC 2026'!F$2:F$200,$A39))</f>
        <v>48</v>
      </c>
      <c r="C39" s="103">
        <f>IF($A39="","",SUMIFS('GECC 2026'!I$2:I$200,'GECC 2026'!F$2:F$200,$A39))</f>
        <v>7.1999999999999993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55.2</v>
      </c>
      <c r="F39" s="101">
        <f>IF($A39="","",COUNTIFS('GECC 2026'!F$2:F$200,$A39))</f>
        <v>3</v>
      </c>
    </row>
    <row r="40" spans="1:6" x14ac:dyDescent="0.25">
      <c r="A40" t="str">
        <v>Rômulo Miranda Alvim</v>
      </c>
      <c r="B40" s="103">
        <f>IF($A40="","",SUMIFS('GECC 2026'!H$2:H$200,'GECC 2026'!F$2:F$200,$A40))</f>
        <v>24</v>
      </c>
      <c r="C40" s="103">
        <f>IF($A40="","",SUMIFS('GECC 2026'!I$2:I$200,'GECC 2026'!F$2:F$200,$A40))</f>
        <v>3.6</v>
      </c>
      <c r="D40" s="255">
        <f>IF($A40="","",SUMIFS('GECC 2026'!$AE$3:$AE$32,'GECC 2026'!$AD$3:$AD$32,$A40))</f>
        <v>16</v>
      </c>
      <c r="E40" s="240">
        <f>IF($A40="","",SUMIFS('GECC 2026'!J$2:J$200,'GECC 2026'!F$2:F$200,$A40)+SUMIFS('GECC 2026'!$AE$3:$AE$32,'GECC 2026'!$AD$3:$AD$32,$A40))</f>
        <v>43.6</v>
      </c>
      <c r="F40" s="101">
        <f>IF($A40="","",COUNTIFS('GECC 2026'!F$2:F$200,$A40))</f>
        <v>2</v>
      </c>
    </row>
    <row r="41" spans="1:6" x14ac:dyDescent="0.25">
      <c r="A41" t="str">
        <v>Servidores, colaboradores e estagiários do TCDF</v>
      </c>
      <c r="B41" s="103">
        <f>IF($A41="","",SUMIFS('GECC 2026'!H$2:H$200,'GECC 2026'!F$2:F$200,$A41))</f>
        <v>0</v>
      </c>
      <c r="C41" s="103">
        <f>IF($A41="","",SUMIFS('GECC 2026'!I$2:I$200,'GECC 2026'!F$2:F$200,$A41))</f>
        <v>0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0</v>
      </c>
      <c r="F41" s="101">
        <f>IF($A41="","",COUNTIFS('GECC 2026'!F$2:F$200,$A41))</f>
        <v>1</v>
      </c>
    </row>
    <row r="42" spans="1:6" x14ac:dyDescent="0.25">
      <c r="A42" t="str">
        <v>Silvia Lima Damasceno Carvalho</v>
      </c>
      <c r="B42" s="103">
        <f>IF($A42="","",SUMIFS('GECC 2026'!H$2:H$200,'GECC 2026'!F$2:F$200,$A42))</f>
        <v>1</v>
      </c>
      <c r="C42" s="103">
        <f>IF($A42="","",SUMIFS('GECC 2026'!I$2:I$200,'GECC 2026'!F$2:F$200,$A42))</f>
        <v>0.3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1.3</v>
      </c>
      <c r="F42" s="101">
        <f>IF($A42="","",COUNTIFS('GECC 2026'!F$2:F$200,$A42))</f>
        <v>1</v>
      </c>
    </row>
    <row r="43" spans="1:6" x14ac:dyDescent="0.25">
      <c r="A43" t="str">
        <v>Tarsila Firmino Ely</v>
      </c>
      <c r="B43" s="103">
        <f>IF($A43="","",SUMIFS('GECC 2026'!H$2:H$200,'GECC 2026'!F$2:F$200,$A43))</f>
        <v>56</v>
      </c>
      <c r="C43" s="103">
        <f>IF($A43="","",SUMIFS('GECC 2026'!I$2:I$200,'GECC 2026'!F$2:F$200,$A43))</f>
        <v>96.4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152.4</v>
      </c>
      <c r="F43" s="101">
        <f>IF($A43="","",COUNTIFS('GECC 2026'!F$2:F$200,$A43))</f>
        <v>5</v>
      </c>
    </row>
    <row r="44" spans="1:6" x14ac:dyDescent="0.25">
      <c r="A44" t="str">
        <v>Túllio Herbeth Teixeira Moraes</v>
      </c>
      <c r="B44" s="103">
        <f>IF($A44="","",SUMIFS('GECC 2026'!H$2:H$200,'GECC 2026'!F$2:F$200,$A44))</f>
        <v>3</v>
      </c>
      <c r="C44" s="103">
        <f>IF($A44="","",SUMIFS('GECC 2026'!I$2:I$200,'GECC 2026'!F$2:F$200,$A44))</f>
        <v>0.44999999999999996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3.45</v>
      </c>
      <c r="F44" s="101">
        <f>IF($A44="","",COUNTIFS('GECC 2026'!F$2:F$200,$A44))</f>
        <v>1</v>
      </c>
    </row>
    <row r="45" spans="1:6" x14ac:dyDescent="0.25">
      <c r="B45" s="103" t="str">
        <f>IF($A45="","",SUMIFS('GECC 2026'!H$2:H$200,'GECC 2026'!F$2:F$200,$A45))</f>
        <v/>
      </c>
      <c r="C45" s="103" t="str">
        <f>IF($A45="","",SUMIFS('GECC 2026'!I$2:I$200,'GECC 2026'!F$2:F$200,$A45))</f>
        <v/>
      </c>
      <c r="D45" s="255" t="str">
        <f>IF($A45="","",SUMIFS('GECC 2026'!$AE$3:$AE$32,'GECC 2026'!$AD$3:$AD$32,$A45))</f>
        <v/>
      </c>
      <c r="E45" s="240" t="str">
        <f>IF($A45="","",SUMIFS('GECC 2026'!J$2:J$200,'GECC 2026'!F$2:F$200,$A45)+SUMIFS('GECC 2026'!$AE$3:$AE$32,'GECC 2026'!$AD$3:$AD$32,$A45))</f>
        <v/>
      </c>
      <c r="F45" s="101" t="str">
        <f>IF($A45="","",COUNTIFS('GECC 2026'!F$2:F$200,$A45))</f>
        <v/>
      </c>
    </row>
    <row r="46" spans="1:6" x14ac:dyDescent="0.25">
      <c r="B46" s="103" t="str">
        <f>IF($A46="","",SUMIFS('GECC 2026'!H$2:H$200,'GECC 2026'!F$2:F$200,$A46))</f>
        <v/>
      </c>
      <c r="C46" s="103" t="str">
        <f>IF($A46="","",SUMIFS('GECC 2026'!I$2:I$200,'GECC 2026'!F$2:F$200,$A46))</f>
        <v/>
      </c>
      <c r="D46" s="255" t="str">
        <f>IF($A46="","",SUMIFS('GECC 2026'!$AE$3:$AE$32,'GECC 2026'!$AD$3:$AD$32,$A46))</f>
        <v/>
      </c>
      <c r="E46" s="240" t="str">
        <f>IF($A46="","",SUMIFS('GECC 2026'!J$2:J$200,'GECC 2026'!F$2:F$200,$A46)+SUMIFS('GECC 2026'!$AE$3:$AE$32,'GECC 2026'!$AD$3:$AD$32,$A46))</f>
        <v/>
      </c>
      <c r="F46" s="101" t="str">
        <f>IF($A46="","",COUNTIFS('GECC 2026'!F$2:F$200,$A46))</f>
        <v/>
      </c>
    </row>
    <row r="47" spans="1:6" x14ac:dyDescent="0.25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 x14ac:dyDescent="0.25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2963</v>
      </c>
      <c r="B105" s="242">
        <f>SUM(B5:B100)</f>
        <v>708</v>
      </c>
      <c r="C105" s="242">
        <f>SUM(C5:C100)</f>
        <v>391.38000000000005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www.w3.org/XML/1998/namespace"/>
    <ds:schemaRef ds:uri="fe686eaa-0658-4f15-b230-9e46c4d089fd"/>
    <ds:schemaRef ds:uri="http://purl.org/dc/terms/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Renato Coelho Martins Salgado</cp:lastModifiedBy>
  <cp:revision/>
  <dcterms:created xsi:type="dcterms:W3CDTF">2024-04-02T18:43:15Z</dcterms:created>
  <dcterms:modified xsi:type="dcterms:W3CDTF">2026-07-07T19:02:10Z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