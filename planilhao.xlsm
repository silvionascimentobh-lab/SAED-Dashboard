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5" documentId="8_{454372C2-A99E-4E47-A759-72B38925853E}" xr6:coauthVersionLast="47" xr6:coauthVersionMax="47" xr10:uidLastSave="{6985FAAB-C6D2-4176-885F-1401470DA325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<sst xmlns="http://schemas.openxmlformats.org/spreadsheetml/2006/main" count="6156" uniqueCount="2375">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</sst>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1" activePane="bottomLeft" state="frozen"/>
      <selection pane="bottomLeft" activeCell="E705" sqref="E705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2373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2374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2142</v>
      </c>
      <c r="F693" s="211" t="s">
        <v>22</v>
      </c>
      <c r="G693" s="208" t="s">
        <v>23</v>
      </c>
      <c r="H693" s="212" t="s">
        <v>2143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2144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2145</v>
      </c>
      <c r="E694" s="219" t="s">
        <v>2146</v>
      </c>
      <c r="F694" s="220" t="s">
        <v>51</v>
      </c>
      <c r="G694" s="217" t="s">
        <v>2036</v>
      </c>
      <c r="H694" s="221" t="s">
        <v>2147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2148</v>
      </c>
      <c r="E695" s="210" t="s">
        <v>2149</v>
      </c>
      <c r="F695" s="211" t="s">
        <v>66</v>
      </c>
      <c r="G695" s="260" t="s">
        <v>2073</v>
      </c>
      <c r="H695" s="212" t="s">
        <v>2150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2151</v>
      </c>
      <c r="E696" s="219" t="s">
        <v>2152</v>
      </c>
      <c r="F696" s="220" t="s">
        <v>66</v>
      </c>
      <c r="G696" s="269" t="s">
        <v>2073</v>
      </c>
      <c r="H696" s="221" t="s">
        <v>2153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2154</v>
      </c>
      <c r="E697" s="210" t="s">
        <v>2155</v>
      </c>
      <c r="F697" s="211" t="s">
        <v>66</v>
      </c>
      <c r="G697" s="260" t="s">
        <v>2073</v>
      </c>
      <c r="H697" s="212" t="s">
        <v>2156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2157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2158</v>
      </c>
      <c r="E698" s="219" t="s">
        <v>2159</v>
      </c>
      <c r="F698" s="220" t="s">
        <v>22</v>
      </c>
      <c r="G698" s="217" t="s">
        <v>23</v>
      </c>
      <c r="H698" s="221" t="s">
        <v>2147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2160</v>
      </c>
      <c r="E699" s="210" t="s">
        <v>2161</v>
      </c>
      <c r="F699" s="211" t="s">
        <v>22</v>
      </c>
      <c r="G699" s="208" t="s">
        <v>56</v>
      </c>
      <c r="H699" s="212" t="s">
        <v>2162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2163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2164</v>
      </c>
      <c r="E700" s="219" t="s">
        <v>2165</v>
      </c>
      <c r="F700" s="220" t="s">
        <v>51</v>
      </c>
      <c r="G700" s="217" t="s">
        <v>59</v>
      </c>
      <c r="H700" s="221" t="s">
        <v>2166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2167</v>
      </c>
      <c r="E701" s="210" t="s">
        <v>2168</v>
      </c>
      <c r="F701" s="211" t="s">
        <v>51</v>
      </c>
      <c r="G701" s="208" t="s">
        <v>59</v>
      </c>
      <c r="H701" s="212" t="s">
        <v>2169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2170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2171</v>
      </c>
      <c r="E702" s="219" t="s">
        <v>2172</v>
      </c>
      <c r="F702" s="220" t="s">
        <v>22</v>
      </c>
      <c r="G702" s="217" t="s">
        <v>23</v>
      </c>
      <c r="H702" s="221" t="s">
        <v>2173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2174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2175</v>
      </c>
      <c r="E703" s="210" t="s">
        <v>2176</v>
      </c>
      <c r="F703" s="211" t="s">
        <v>51</v>
      </c>
      <c r="G703" s="208" t="s">
        <v>59</v>
      </c>
      <c r="H703" s="212" t="s">
        <v>2147</v>
      </c>
      <c r="I703" s="212" t="s">
        <v>2177</v>
      </c>
      <c r="J703" s="212" t="s">
        <v>2178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2179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2180</v>
      </c>
      <c r="E704" s="219" t="s">
        <v>2181</v>
      </c>
      <c r="F704" s="220" t="s">
        <v>51</v>
      </c>
      <c r="G704" s="217" t="s">
        <v>59</v>
      </c>
      <c r="H704" s="221" t="s">
        <v>2182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2183</v>
      </c>
      <c r="F705" s="211" t="s">
        <v>66</v>
      </c>
      <c r="G705" s="260" t="s">
        <v>2073</v>
      </c>
      <c r="H705" s="276" t="s">
        <v>2184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2185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2183</v>
      </c>
      <c r="F706" s="220" t="s">
        <v>66</v>
      </c>
      <c r="G706" s="269" t="s">
        <v>2073</v>
      </c>
      <c r="H706" s="277" t="s">
        <v>2186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2183</v>
      </c>
      <c r="F707" s="211" t="s">
        <v>66</v>
      </c>
      <c r="G707" s="260" t="s">
        <v>2073</v>
      </c>
      <c r="H707" s="276" t="s">
        <v>2188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2183</v>
      </c>
      <c r="F708" s="220" t="s">
        <v>66</v>
      </c>
      <c r="G708" s="269" t="s">
        <v>2073</v>
      </c>
      <c r="H708" s="277" t="s">
        <v>2189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2190</v>
      </c>
      <c r="E709" s="210" t="s">
        <v>2191</v>
      </c>
      <c r="F709" s="211" t="s">
        <v>22</v>
      </c>
      <c r="G709" s="208" t="s">
        <v>2057</v>
      </c>
      <c r="H709" s="212" t="s">
        <v>2147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2192</v>
      </c>
      <c r="E710" s="210" t="s">
        <v>2193</v>
      </c>
      <c r="F710" s="220" t="s">
        <v>51</v>
      </c>
      <c r="G710" s="217" t="s">
        <v>59</v>
      </c>
      <c r="H710" s="221" t="s">
        <v>2162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2183</v>
      </c>
      <c r="F711" s="211" t="s">
        <v>66</v>
      </c>
      <c r="G711" s="260" t="s">
        <v>2073</v>
      </c>
      <c r="H711" s="212" t="s">
        <v>2195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2183</v>
      </c>
      <c r="F712" s="220" t="s">
        <v>66</v>
      </c>
      <c r="G712" s="269" t="s">
        <v>2073</v>
      </c>
      <c r="H712" s="221" t="s">
        <v>2196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2197</v>
      </c>
      <c r="F1" s="280" t="s">
        <v>2198</v>
      </c>
    </row>
    <row r="2" spans="1:6" x14ac:dyDescent="0.25">
      <c r="F2" s="281" t="s">
        <v>2199</v>
      </c>
    </row>
    <row r="3" spans="1:6" x14ac:dyDescent="0.25">
      <c r="A3" t="s">
        <v>0</v>
      </c>
      <c r="B3" t="s">
        <v>19</v>
      </c>
      <c r="C3" t="s">
        <v>2200</v>
      </c>
      <c r="D3" t="s">
        <v>2201</v>
      </c>
      <c r="F3" s="281" t="s">
        <v>2202</v>
      </c>
    </row>
    <row r="4" spans="1:6" x14ac:dyDescent="0.25">
      <c r="A4">
        <v>1</v>
      </c>
      <c r="B4" t="s">
        <v>2203</v>
      </c>
      <c r="D4" t="s">
        <v>2204</v>
      </c>
      <c r="F4" s="281" t="s">
        <v>2205</v>
      </c>
    </row>
    <row r="5" spans="1:6" x14ac:dyDescent="0.25">
      <c r="A5">
        <v>2</v>
      </c>
      <c r="B5" t="s">
        <v>1890</v>
      </c>
      <c r="D5" t="s">
        <v>2204</v>
      </c>
      <c r="F5" s="281" t="s">
        <v>2206</v>
      </c>
    </row>
    <row r="6" spans="1:6" x14ac:dyDescent="0.25">
      <c r="A6">
        <v>3</v>
      </c>
      <c r="B6" t="s">
        <v>784</v>
      </c>
      <c r="D6" t="s">
        <v>2204</v>
      </c>
    </row>
    <row r="7" spans="1:6" x14ac:dyDescent="0.25">
      <c r="A7">
        <v>4</v>
      </c>
      <c r="B7" t="s">
        <v>2207</v>
      </c>
      <c r="D7" t="s">
        <v>2204</v>
      </c>
      <c r="F7" s="281" t="s">
        <v>2208</v>
      </c>
    </row>
    <row r="8" spans="1:6" x14ac:dyDescent="0.25">
      <c r="A8">
        <v>5</v>
      </c>
      <c r="B8" t="s">
        <v>2209</v>
      </c>
      <c r="D8" t="s">
        <v>2204</v>
      </c>
    </row>
    <row r="9" spans="1:6" x14ac:dyDescent="0.25">
      <c r="A9">
        <v>6</v>
      </c>
      <c r="B9" t="s">
        <v>1746</v>
      </c>
      <c r="D9" t="s">
        <v>2204</v>
      </c>
    </row>
    <row r="10" spans="1:6" x14ac:dyDescent="0.25">
      <c r="A10">
        <v>7</v>
      </c>
      <c r="B10" t="s">
        <v>1820</v>
      </c>
      <c r="D10" t="s">
        <v>2204</v>
      </c>
    </row>
    <row r="11" spans="1:6" x14ac:dyDescent="0.25">
      <c r="A11">
        <v>8</v>
      </c>
      <c r="B11" t="s">
        <v>1868</v>
      </c>
      <c r="D11" t="s">
        <v>2204</v>
      </c>
    </row>
    <row r="12" spans="1:6" x14ac:dyDescent="0.25">
      <c r="A12">
        <v>10</v>
      </c>
      <c r="B12" t="s">
        <v>2059</v>
      </c>
      <c r="D12" t="s">
        <v>2204</v>
      </c>
    </row>
    <row r="13" spans="1:6" x14ac:dyDescent="0.25">
      <c r="A13">
        <v>11</v>
      </c>
      <c r="B13" t="s">
        <v>1719</v>
      </c>
      <c r="D13" t="s">
        <v>2204</v>
      </c>
    </row>
    <row r="14" spans="1:6" x14ac:dyDescent="0.25">
      <c r="A14">
        <v>12</v>
      </c>
      <c r="B14" t="s">
        <v>1791</v>
      </c>
      <c r="D14" t="s">
        <v>2204</v>
      </c>
    </row>
    <row r="15" spans="1:6" x14ac:dyDescent="0.25">
      <c r="A15">
        <v>13</v>
      </c>
      <c r="B15" t="s">
        <v>2033</v>
      </c>
      <c r="D15" t="s">
        <v>2204</v>
      </c>
    </row>
    <row r="16" spans="1:6" x14ac:dyDescent="0.25">
      <c r="A16">
        <v>14</v>
      </c>
      <c r="B16" t="s">
        <v>1441</v>
      </c>
      <c r="D16" t="s">
        <v>2204</v>
      </c>
    </row>
    <row r="17" spans="1:4" x14ac:dyDescent="0.25">
      <c r="A17">
        <v>15</v>
      </c>
      <c r="B17" t="s">
        <v>441</v>
      </c>
      <c r="D17" t="s">
        <v>2204</v>
      </c>
    </row>
    <row r="18" spans="1:4" x14ac:dyDescent="0.25">
      <c r="A18">
        <v>16</v>
      </c>
      <c r="B18" t="s">
        <v>1478</v>
      </c>
      <c r="D18" t="s">
        <v>2204</v>
      </c>
    </row>
    <row r="19" spans="1:4" x14ac:dyDescent="0.25">
      <c r="A19">
        <v>17</v>
      </c>
      <c r="B19" t="s">
        <v>1359</v>
      </c>
      <c r="D19" t="s">
        <v>2204</v>
      </c>
    </row>
    <row r="20" spans="1:4" x14ac:dyDescent="0.25">
      <c r="A20">
        <v>18</v>
      </c>
      <c r="B20" t="s">
        <v>1601</v>
      </c>
      <c r="D20" t="s">
        <v>2204</v>
      </c>
    </row>
    <row r="21" spans="1:4" x14ac:dyDescent="0.25">
      <c r="A21">
        <v>19</v>
      </c>
      <c r="B21" t="s">
        <v>1028</v>
      </c>
      <c r="D21" t="s">
        <v>2204</v>
      </c>
    </row>
    <row r="22" spans="1:4" x14ac:dyDescent="0.25">
      <c r="A22">
        <v>20</v>
      </c>
      <c r="B22" t="s">
        <v>1705</v>
      </c>
      <c r="D22" t="s">
        <v>2204</v>
      </c>
    </row>
    <row r="23" spans="1:4" x14ac:dyDescent="0.25">
      <c r="A23">
        <v>21</v>
      </c>
      <c r="B23" t="s">
        <v>2210</v>
      </c>
      <c r="D23" t="s">
        <v>2204</v>
      </c>
    </row>
    <row r="24" spans="1:4" x14ac:dyDescent="0.25">
      <c r="A24">
        <v>22</v>
      </c>
      <c r="B24" t="s">
        <v>451</v>
      </c>
      <c r="D24" t="s">
        <v>2204</v>
      </c>
    </row>
    <row r="25" spans="1:4" x14ac:dyDescent="0.25">
      <c r="A25">
        <v>23</v>
      </c>
      <c r="B25" t="s">
        <v>2211</v>
      </c>
      <c r="D25" t="s">
        <v>2204</v>
      </c>
    </row>
    <row r="26" spans="1:4" x14ac:dyDescent="0.25">
      <c r="A26">
        <v>24</v>
      </c>
      <c r="B26" t="s">
        <v>2212</v>
      </c>
      <c r="D26" t="s">
        <v>2204</v>
      </c>
    </row>
    <row r="27" spans="1:4" x14ac:dyDescent="0.25">
      <c r="A27">
        <v>25</v>
      </c>
      <c r="B27" t="s">
        <v>365</v>
      </c>
      <c r="D27" t="s">
        <v>2204</v>
      </c>
    </row>
    <row r="28" spans="1:4" x14ac:dyDescent="0.25">
      <c r="A28">
        <v>26</v>
      </c>
      <c r="B28" t="s">
        <v>57</v>
      </c>
      <c r="D28" t="s">
        <v>2204</v>
      </c>
    </row>
    <row r="29" spans="1:4" x14ac:dyDescent="0.25">
      <c r="A29">
        <v>27</v>
      </c>
      <c r="B29" t="s">
        <v>2213</v>
      </c>
      <c r="D29" t="s">
        <v>2204</v>
      </c>
    </row>
    <row r="30" spans="1:4" x14ac:dyDescent="0.25">
      <c r="A30">
        <v>28</v>
      </c>
      <c r="B30" t="s">
        <v>1591</v>
      </c>
      <c r="D30" t="s">
        <v>2204</v>
      </c>
    </row>
    <row r="31" spans="1:4" x14ac:dyDescent="0.25">
      <c r="A31">
        <v>29</v>
      </c>
      <c r="B31" t="s">
        <v>1701</v>
      </c>
      <c r="D31" t="s">
        <v>2204</v>
      </c>
    </row>
    <row r="32" spans="1:4" x14ac:dyDescent="0.25">
      <c r="A32">
        <v>30</v>
      </c>
      <c r="B32" t="s">
        <v>1894</v>
      </c>
      <c r="D32" t="s">
        <v>2204</v>
      </c>
    </row>
    <row r="33" spans="1:4" x14ac:dyDescent="0.25">
      <c r="A33">
        <v>31</v>
      </c>
      <c r="B33" t="s">
        <v>2214</v>
      </c>
      <c r="D33" t="s">
        <v>2204</v>
      </c>
    </row>
    <row r="34" spans="1:4" x14ac:dyDescent="0.25">
      <c r="A34">
        <v>32</v>
      </c>
      <c r="B34" t="s">
        <v>2215</v>
      </c>
      <c r="D34" t="s">
        <v>2204</v>
      </c>
    </row>
    <row r="35" spans="1:4" x14ac:dyDescent="0.25">
      <c r="A35">
        <v>33</v>
      </c>
      <c r="B35" t="s">
        <v>1046</v>
      </c>
      <c r="D35" t="s">
        <v>2204</v>
      </c>
    </row>
    <row r="36" spans="1:4" x14ac:dyDescent="0.25">
      <c r="A36">
        <v>34</v>
      </c>
      <c r="B36" t="s">
        <v>1125</v>
      </c>
      <c r="D36" t="s">
        <v>2204</v>
      </c>
    </row>
    <row r="37" spans="1:4" x14ac:dyDescent="0.25">
      <c r="A37">
        <v>35</v>
      </c>
      <c r="B37" t="s">
        <v>425</v>
      </c>
      <c r="D37" t="s">
        <v>2204</v>
      </c>
    </row>
    <row r="38" spans="1:4" x14ac:dyDescent="0.25">
      <c r="A38">
        <v>36</v>
      </c>
      <c r="B38" t="s">
        <v>2216</v>
      </c>
      <c r="D38" t="s">
        <v>2204</v>
      </c>
    </row>
    <row r="39" spans="1:4" x14ac:dyDescent="0.25">
      <c r="A39">
        <v>37</v>
      </c>
      <c r="B39" t="s">
        <v>1625</v>
      </c>
      <c r="D39" t="s">
        <v>2204</v>
      </c>
    </row>
    <row r="40" spans="1:4" x14ac:dyDescent="0.25">
      <c r="A40">
        <v>38</v>
      </c>
      <c r="B40" t="s">
        <v>2217</v>
      </c>
      <c r="D40" t="s">
        <v>2204</v>
      </c>
    </row>
    <row r="41" spans="1:4" x14ac:dyDescent="0.25">
      <c r="A41">
        <v>39</v>
      </c>
      <c r="B41" t="s">
        <v>1944</v>
      </c>
      <c r="D41" t="s">
        <v>2204</v>
      </c>
    </row>
    <row r="42" spans="1:4" x14ac:dyDescent="0.25">
      <c r="A42">
        <v>40</v>
      </c>
      <c r="B42" t="s">
        <v>2218</v>
      </c>
      <c r="D42" t="s">
        <v>2204</v>
      </c>
    </row>
    <row r="43" spans="1:4" x14ac:dyDescent="0.25">
      <c r="A43">
        <v>41</v>
      </c>
      <c r="B43" t="s">
        <v>656</v>
      </c>
      <c r="D43" t="s">
        <v>2204</v>
      </c>
    </row>
    <row r="44" spans="1:4" x14ac:dyDescent="0.25">
      <c r="A44">
        <v>42</v>
      </c>
      <c r="B44" t="s">
        <v>546</v>
      </c>
      <c r="D44" t="s">
        <v>2204</v>
      </c>
    </row>
    <row r="45" spans="1:4" x14ac:dyDescent="0.25">
      <c r="A45">
        <v>43</v>
      </c>
      <c r="B45" t="s">
        <v>2219</v>
      </c>
      <c r="D45" t="s">
        <v>2204</v>
      </c>
    </row>
    <row r="46" spans="1:4" x14ac:dyDescent="0.25">
      <c r="A46">
        <v>44</v>
      </c>
      <c r="B46" t="s">
        <v>1630</v>
      </c>
      <c r="D46" t="s">
        <v>2204</v>
      </c>
    </row>
    <row r="47" spans="1:4" x14ac:dyDescent="0.25">
      <c r="A47">
        <v>45</v>
      </c>
      <c r="B47" t="s">
        <v>167</v>
      </c>
      <c r="D47" t="s">
        <v>2204</v>
      </c>
    </row>
    <row r="48" spans="1:4" x14ac:dyDescent="0.25">
      <c r="A48">
        <v>46</v>
      </c>
      <c r="B48" t="s">
        <v>741</v>
      </c>
      <c r="D48" t="s">
        <v>2204</v>
      </c>
    </row>
    <row r="49" spans="1:4" x14ac:dyDescent="0.25">
      <c r="A49">
        <v>47</v>
      </c>
      <c r="B49" t="s">
        <v>1070</v>
      </c>
      <c r="D49" t="s">
        <v>2204</v>
      </c>
    </row>
    <row r="50" spans="1:4" x14ac:dyDescent="0.25">
      <c r="A50">
        <v>48</v>
      </c>
      <c r="B50" t="s">
        <v>2220</v>
      </c>
      <c r="D50" t="s">
        <v>2204</v>
      </c>
    </row>
    <row r="51" spans="1:4" x14ac:dyDescent="0.25">
      <c r="A51">
        <v>49</v>
      </c>
      <c r="B51" t="s">
        <v>2117</v>
      </c>
      <c r="D51" t="s">
        <v>2204</v>
      </c>
    </row>
    <row r="52" spans="1:4" x14ac:dyDescent="0.25">
      <c r="A52">
        <v>50</v>
      </c>
      <c r="B52" t="s">
        <v>2221</v>
      </c>
      <c r="D52" t="s">
        <v>2204</v>
      </c>
    </row>
    <row r="53" spans="1:4" x14ac:dyDescent="0.25">
      <c r="A53">
        <v>51</v>
      </c>
      <c r="B53" t="s">
        <v>808</v>
      </c>
      <c r="D53" t="s">
        <v>2204</v>
      </c>
    </row>
    <row r="54" spans="1:4" x14ac:dyDescent="0.25">
      <c r="A54">
        <v>52</v>
      </c>
      <c r="B54" t="s">
        <v>1334</v>
      </c>
      <c r="D54" t="s">
        <v>2204</v>
      </c>
    </row>
    <row r="55" spans="1:4" x14ac:dyDescent="0.25">
      <c r="A55">
        <v>53</v>
      </c>
      <c r="B55" t="s">
        <v>2222</v>
      </c>
      <c r="D55" t="s">
        <v>2204</v>
      </c>
    </row>
    <row r="56" spans="1:4" x14ac:dyDescent="0.25">
      <c r="A56">
        <v>54</v>
      </c>
      <c r="B56" t="s">
        <v>61</v>
      </c>
      <c r="D56" t="s">
        <v>2204</v>
      </c>
    </row>
    <row r="57" spans="1:4" x14ac:dyDescent="0.25">
      <c r="A57">
        <v>55</v>
      </c>
      <c r="B57" t="s">
        <v>840</v>
      </c>
      <c r="D57" t="s">
        <v>2204</v>
      </c>
    </row>
    <row r="58" spans="1:4" x14ac:dyDescent="0.25">
      <c r="A58">
        <v>56</v>
      </c>
      <c r="B58" t="s">
        <v>1550</v>
      </c>
      <c r="D58" t="s">
        <v>2204</v>
      </c>
    </row>
    <row r="59" spans="1:4" x14ac:dyDescent="0.25">
      <c r="A59">
        <v>57</v>
      </c>
      <c r="B59" t="s">
        <v>2223</v>
      </c>
      <c r="D59" t="s">
        <v>2204</v>
      </c>
    </row>
    <row r="60" spans="1:4" x14ac:dyDescent="0.25">
      <c r="A60">
        <v>58</v>
      </c>
      <c r="B60" t="s">
        <v>1420</v>
      </c>
      <c r="D60" t="s">
        <v>2204</v>
      </c>
    </row>
    <row r="61" spans="1:4" x14ac:dyDescent="0.25">
      <c r="A61">
        <v>59</v>
      </c>
      <c r="B61" t="s">
        <v>1576</v>
      </c>
      <c r="D61" t="s">
        <v>2204</v>
      </c>
    </row>
    <row r="62" spans="1:4" x14ac:dyDescent="0.25">
      <c r="A62">
        <v>60</v>
      </c>
      <c r="B62" t="s">
        <v>1524</v>
      </c>
      <c r="D62" t="s">
        <v>2204</v>
      </c>
    </row>
    <row r="63" spans="1:4" x14ac:dyDescent="0.25">
      <c r="A63">
        <v>61</v>
      </c>
      <c r="B63" t="s">
        <v>2224</v>
      </c>
      <c r="D63" t="s">
        <v>2204</v>
      </c>
    </row>
    <row r="64" spans="1:4" x14ac:dyDescent="0.25">
      <c r="A64">
        <v>62</v>
      </c>
      <c r="B64" t="s">
        <v>2225</v>
      </c>
      <c r="D64" t="s">
        <v>2204</v>
      </c>
    </row>
    <row r="65" spans="1:4" x14ac:dyDescent="0.25">
      <c r="A65">
        <v>63</v>
      </c>
      <c r="B65" t="s">
        <v>2226</v>
      </c>
      <c r="D65" t="s">
        <v>2204</v>
      </c>
    </row>
    <row r="66" spans="1:4" x14ac:dyDescent="0.25">
      <c r="A66">
        <v>64</v>
      </c>
      <c r="B66" t="s">
        <v>2227</v>
      </c>
      <c r="D66" t="s">
        <v>2204</v>
      </c>
    </row>
    <row r="67" spans="1:4" x14ac:dyDescent="0.25">
      <c r="A67">
        <v>65</v>
      </c>
      <c r="B67" t="s">
        <v>2043</v>
      </c>
      <c r="D67" t="s">
        <v>2204</v>
      </c>
    </row>
    <row r="68" spans="1:4" x14ac:dyDescent="0.25">
      <c r="A68">
        <v>66</v>
      </c>
      <c r="B68" t="s">
        <v>1927</v>
      </c>
      <c r="D68" t="s">
        <v>2204</v>
      </c>
    </row>
    <row r="69" spans="1:4" x14ac:dyDescent="0.25">
      <c r="A69">
        <v>67</v>
      </c>
      <c r="B69" t="s">
        <v>2228</v>
      </c>
      <c r="D69" t="s">
        <v>2204</v>
      </c>
    </row>
    <row r="70" spans="1:4" x14ac:dyDescent="0.25">
      <c r="A70">
        <v>68</v>
      </c>
      <c r="B70" t="s">
        <v>2229</v>
      </c>
      <c r="D70" t="s">
        <v>2204</v>
      </c>
    </row>
    <row r="71" spans="1:4" x14ac:dyDescent="0.25">
      <c r="A71">
        <v>69</v>
      </c>
      <c r="B71" t="s">
        <v>1852</v>
      </c>
      <c r="D71" t="s">
        <v>2204</v>
      </c>
    </row>
    <row r="72" spans="1:4" x14ac:dyDescent="0.25">
      <c r="A72">
        <v>70</v>
      </c>
      <c r="B72" t="s">
        <v>2230</v>
      </c>
      <c r="D72" t="s">
        <v>2204</v>
      </c>
    </row>
    <row r="73" spans="1:4" x14ac:dyDescent="0.25">
      <c r="A73">
        <v>71</v>
      </c>
      <c r="B73" t="s">
        <v>2009</v>
      </c>
      <c r="D73" t="s">
        <v>2204</v>
      </c>
    </row>
    <row r="74" spans="1:4" x14ac:dyDescent="0.25">
      <c r="A74">
        <v>72</v>
      </c>
      <c r="B74" t="s">
        <v>1750</v>
      </c>
      <c r="D74" t="s">
        <v>2204</v>
      </c>
    </row>
    <row r="75" spans="1:4" x14ac:dyDescent="0.25">
      <c r="A75">
        <v>73</v>
      </c>
      <c r="B75" t="s">
        <v>1734</v>
      </c>
      <c r="D75" t="s">
        <v>2204</v>
      </c>
    </row>
    <row r="76" spans="1:4" x14ac:dyDescent="0.25">
      <c r="A76">
        <v>74</v>
      </c>
      <c r="B76" t="s">
        <v>2231</v>
      </c>
      <c r="D76" t="s">
        <v>2204</v>
      </c>
    </row>
    <row r="77" spans="1:4" x14ac:dyDescent="0.25">
      <c r="A77">
        <v>75</v>
      </c>
      <c r="B77" t="s">
        <v>88</v>
      </c>
      <c r="D77" t="s">
        <v>2204</v>
      </c>
    </row>
    <row r="78" spans="1:4" x14ac:dyDescent="0.25">
      <c r="A78">
        <v>76</v>
      </c>
      <c r="B78" t="s">
        <v>717</v>
      </c>
      <c r="D78" t="s">
        <v>2204</v>
      </c>
    </row>
    <row r="79" spans="1:4" x14ac:dyDescent="0.25">
      <c r="A79">
        <v>77</v>
      </c>
      <c r="B79" t="s">
        <v>611</v>
      </c>
      <c r="D79" t="s">
        <v>2204</v>
      </c>
    </row>
    <row r="80" spans="1:4" x14ac:dyDescent="0.25">
      <c r="A80">
        <v>78</v>
      </c>
      <c r="B80" t="s">
        <v>324</v>
      </c>
      <c r="D80" t="s">
        <v>2204</v>
      </c>
    </row>
    <row r="81" spans="1:4" x14ac:dyDescent="0.25">
      <c r="A81">
        <v>79</v>
      </c>
      <c r="B81" t="s">
        <v>2232</v>
      </c>
      <c r="D81" t="s">
        <v>2204</v>
      </c>
    </row>
    <row r="82" spans="1:4" x14ac:dyDescent="0.25">
      <c r="A82">
        <v>80</v>
      </c>
      <c r="B82" t="s">
        <v>2233</v>
      </c>
      <c r="D82" t="s">
        <v>2204</v>
      </c>
    </row>
    <row r="83" spans="1:4" x14ac:dyDescent="0.25">
      <c r="A83">
        <v>81</v>
      </c>
      <c r="B83" t="s">
        <v>2234</v>
      </c>
      <c r="D83" t="s">
        <v>2204</v>
      </c>
    </row>
    <row r="84" spans="1:4" x14ac:dyDescent="0.25">
      <c r="A84">
        <v>82</v>
      </c>
      <c r="B84" t="s">
        <v>2235</v>
      </c>
      <c r="D84" t="s">
        <v>2204</v>
      </c>
    </row>
    <row r="85" spans="1:4" x14ac:dyDescent="0.25">
      <c r="A85">
        <v>83</v>
      </c>
      <c r="B85" t="s">
        <v>1871</v>
      </c>
      <c r="D85" t="s">
        <v>2204</v>
      </c>
    </row>
    <row r="86" spans="1:4" x14ac:dyDescent="0.25">
      <c r="A86">
        <v>84</v>
      </c>
      <c r="B86" t="s">
        <v>2236</v>
      </c>
      <c r="D86" t="s">
        <v>2204</v>
      </c>
    </row>
    <row r="87" spans="1:4" x14ac:dyDescent="0.25">
      <c r="A87">
        <v>85</v>
      </c>
      <c r="B87" t="s">
        <v>1940</v>
      </c>
      <c r="D87" t="s">
        <v>2204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2237</v>
      </c>
      <c r="C1" s="96" t="s">
        <v>2238</v>
      </c>
      <c r="D1" s="96" t="s">
        <v>4</v>
      </c>
      <c r="E1" s="96" t="s">
        <v>2239</v>
      </c>
      <c r="F1" s="96" t="s">
        <v>19</v>
      </c>
      <c r="G1" s="96" t="s">
        <v>2240</v>
      </c>
      <c r="H1" s="96" t="s">
        <v>2241</v>
      </c>
      <c r="I1" s="96" t="s">
        <v>2242</v>
      </c>
      <c r="J1" s="96" t="s">
        <v>2243</v>
      </c>
      <c r="L1" s="129" t="s">
        <v>2244</v>
      </c>
      <c r="M1" s="100">
        <v>2026</v>
      </c>
      <c r="U1" s="162" t="s">
        <v>2245</v>
      </c>
      <c r="V1" s="161"/>
      <c r="X1" s="159" t="s">
        <v>2246</v>
      </c>
      <c r="Y1" s="107"/>
      <c r="Z1" s="107"/>
      <c r="AA1" s="107"/>
      <c r="AC1" s="253" t="s">
        <v>2247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2248</v>
      </c>
      <c r="M2" s="283" t="s">
        <v>2249</v>
      </c>
      <c r="X2" s="160" t="s">
        <v>2237</v>
      </c>
      <c r="Y2" s="160" t="s">
        <v>19</v>
      </c>
      <c r="Z2" s="160" t="s">
        <v>2250</v>
      </c>
      <c r="AA2" s="160" t="s">
        <v>2251</v>
      </c>
      <c r="AC2" s="254" t="s">
        <v>1</v>
      </c>
      <c r="AD2" s="254" t="s">
        <v>2252</v>
      </c>
      <c r="AE2" s="254" t="s">
        <v>2253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2254</v>
      </c>
      <c r="M3" s="19" t="s">
        <v>2255</v>
      </c>
      <c r="N3" s="19" t="s">
        <v>2256</v>
      </c>
      <c r="O3" s="19" t="s">
        <v>2257</v>
      </c>
      <c r="P3" s="19" t="s">
        <v>2258</v>
      </c>
      <c r="Q3" s="19" t="s">
        <v>2259</v>
      </c>
      <c r="R3" s="19" t="s">
        <v>2260</v>
      </c>
      <c r="S3" s="19" t="s">
        <v>2261</v>
      </c>
      <c r="T3" s="19" t="s">
        <v>2262</v>
      </c>
      <c r="X3" t="s">
        <v>2263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2264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2265</v>
      </c>
      <c r="Y5" t="s">
        <v>2059</v>
      </c>
      <c r="Z5">
        <v>1</v>
      </c>
      <c r="AA5">
        <v>0.6</v>
      </c>
      <c r="AC5" s="248">
        <v>2026</v>
      </c>
      <c r="AD5" s="95" t="s">
        <v>2266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2265</v>
      </c>
      <c r="Y6" t="s">
        <v>2217</v>
      </c>
      <c r="Z6">
        <v>1</v>
      </c>
      <c r="AA6">
        <v>0</v>
      </c>
      <c r="AC6" s="248">
        <v>2026</v>
      </c>
      <c r="AD6" s="95" t="s">
        <v>2267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2268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2269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2269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2269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2269</v>
      </c>
      <c r="Y11" s="95" t="s">
        <v>2211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2269</v>
      </c>
      <c r="Y12" s="95" t="s">
        <v>2270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2271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2271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2271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2271</v>
      </c>
      <c r="Y16" s="95" t="s">
        <v>2211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2271</v>
      </c>
      <c r="Y17" s="95" t="s">
        <v>2270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2272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2272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2272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2272</v>
      </c>
      <c r="Y21" s="95" t="s">
        <v>2211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2272</v>
      </c>
      <c r="Y22" s="95" t="s">
        <v>2270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2273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2273</v>
      </c>
      <c r="Y24" s="95" t="s">
        <v>2217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2274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2274</v>
      </c>
      <c r="Y26" s="95" t="s">
        <v>2222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2275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2275</v>
      </c>
      <c r="Y28" s="95" t="s">
        <v>2217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2276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2276</v>
      </c>
      <c r="Y30" s="95" t="s">
        <v>2217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2277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2278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2278</v>
      </c>
      <c r="Y33" t="s">
        <v>2230</v>
      </c>
      <c r="Z33">
        <v>4</v>
      </c>
      <c r="AA33">
        <v>0.6</v>
      </c>
      <c r="AC33" s="250"/>
      <c r="AD33" s="251" t="s">
        <v>2279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2278</v>
      </c>
      <c r="Y34" t="s">
        <v>2231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2278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2278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2280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2280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2281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2282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2283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2283</v>
      </c>
      <c r="Y42" t="s">
        <v>2194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2284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2284</v>
      </c>
      <c r="Y44" s="95" t="s">
        <v>2217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2285</v>
      </c>
      <c r="Y45" t="s">
        <v>2286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2285</v>
      </c>
      <c r="Y46" t="s">
        <v>2287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2285</v>
      </c>
      <c r="Y47" t="s">
        <v>2288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2285</v>
      </c>
      <c r="Y48" t="s">
        <v>2289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2285</v>
      </c>
      <c r="Y49" t="s">
        <v>2290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2285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2285</v>
      </c>
      <c r="Y51" t="s">
        <v>2291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2285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2285</v>
      </c>
      <c r="Y53" t="s">
        <v>2292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2285</v>
      </c>
      <c r="Y54" t="s">
        <v>2293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2294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2295</v>
      </c>
      <c r="B4" s="290"/>
      <c r="D4" s="291" t="s">
        <v>2296</v>
      </c>
      <c r="E4" s="292"/>
      <c r="G4" s="125" t="s">
        <v>2297</v>
      </c>
    </row>
    <row r="5" spans="1:7" ht="54.95" customHeight="1" thickBot="1" x14ac:dyDescent="0.75">
      <c r="A5" s="115">
        <f>COUNTIF('Ações InCompany'!B:B,2026)</f>
        <v>56</v>
      </c>
      <c r="B5" s="116" t="s">
        <v>2298</v>
      </c>
      <c r="D5" s="123">
        <f>COUNTIFS('Ações InCompany'!B:B,2026,'Ações InCompany'!C:C,"Realizado")</f>
        <v>34</v>
      </c>
      <c r="E5" s="124" t="s">
        <v>2298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2299</v>
      </c>
      <c r="B8" s="286"/>
      <c r="D8" s="286" t="s">
        <v>2300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2301</v>
      </c>
      <c r="D10" s="108" t="s">
        <v>2302</v>
      </c>
      <c r="E10" s="108" t="s">
        <v>2303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2304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2305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2306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2307</v>
      </c>
      <c r="B14" s="114">
        <f>SUM(B11:B13)</f>
        <v>34</v>
      </c>
      <c r="D14" s="113" t="s">
        <v>2308</v>
      </c>
      <c r="E14" s="114">
        <f>SUM(E11:E13)</f>
        <v>1518</v>
      </c>
    </row>
    <row r="30" spans="1:5" ht="17.25" x14ac:dyDescent="0.3">
      <c r="A30" s="286" t="s">
        <v>2309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2310</v>
      </c>
      <c r="C32" s="108" t="s">
        <v>2311</v>
      </c>
      <c r="D32" s="108" t="s">
        <v>2312</v>
      </c>
      <c r="E32" s="108" t="s">
        <v>2313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2314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2315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2307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2321</v>
      </c>
      <c r="B2" s="12" t="s">
        <v>2322</v>
      </c>
      <c r="C2" s="12" t="s">
        <v>1316</v>
      </c>
      <c r="D2" s="12" t="s">
        <v>2323</v>
      </c>
      <c r="E2" s="12" t="s">
        <v>2324</v>
      </c>
    </row>
    <row r="3" spans="1:5" ht="18" customHeight="1" x14ac:dyDescent="0.25">
      <c r="A3" s="12" t="s">
        <v>2321</v>
      </c>
      <c r="B3" s="12" t="s">
        <v>2322</v>
      </c>
      <c r="C3" s="14" t="s">
        <v>23</v>
      </c>
      <c r="D3" s="12" t="s">
        <v>2325</v>
      </c>
      <c r="E3" s="12" t="s">
        <v>2326</v>
      </c>
    </row>
    <row r="4" spans="1:5" ht="18" customHeight="1" x14ac:dyDescent="0.25">
      <c r="A4" s="12" t="s">
        <v>2321</v>
      </c>
      <c r="B4" s="12" t="s">
        <v>2322</v>
      </c>
      <c r="C4" s="12" t="s">
        <v>56</v>
      </c>
      <c r="D4" s="12" t="s">
        <v>2323</v>
      </c>
      <c r="E4" s="12" t="s">
        <v>2327</v>
      </c>
    </row>
    <row r="5" spans="1:5" ht="18" customHeight="1" x14ac:dyDescent="0.25">
      <c r="A5" s="12" t="s">
        <v>2321</v>
      </c>
      <c r="B5" s="12" t="s">
        <v>2322</v>
      </c>
      <c r="C5" s="12" t="s">
        <v>59</v>
      </c>
      <c r="D5" s="12" t="s">
        <v>2328</v>
      </c>
      <c r="E5" s="12" t="s">
        <v>2329</v>
      </c>
    </row>
    <row r="6" spans="1:5" ht="18" customHeight="1" x14ac:dyDescent="0.25">
      <c r="A6" s="12" t="s">
        <v>2321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2321</v>
      </c>
      <c r="B7" s="12" t="s">
        <v>2332</v>
      </c>
      <c r="C7" s="12" t="s">
        <v>30</v>
      </c>
      <c r="D7" s="12" t="s">
        <v>2333</v>
      </c>
      <c r="E7" s="12" t="s">
        <v>2334</v>
      </c>
    </row>
    <row r="8" spans="1:5" ht="18" customHeight="1" x14ac:dyDescent="0.25">
      <c r="A8" s="12" t="s">
        <v>2321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2321</v>
      </c>
      <c r="B9" s="12" t="s">
        <v>2337</v>
      </c>
      <c r="C9" s="12" t="s">
        <v>353</v>
      </c>
      <c r="D9" s="12" t="s">
        <v>2338</v>
      </c>
      <c r="E9" s="12" t="s">
        <v>2339</v>
      </c>
    </row>
    <row r="10" spans="1:5" ht="18" customHeight="1" x14ac:dyDescent="0.25">
      <c r="A10" s="12" t="s">
        <v>2321</v>
      </c>
      <c r="B10" s="12" t="s">
        <v>2337</v>
      </c>
      <c r="C10" s="12" t="s">
        <v>157</v>
      </c>
      <c r="D10" s="12" t="s">
        <v>22</v>
      </c>
      <c r="E10" s="12" t="s">
        <v>2340</v>
      </c>
    </row>
    <row r="11" spans="1:5" ht="18" customHeight="1" x14ac:dyDescent="0.25">
      <c r="A11" s="12" t="s">
        <v>2321</v>
      </c>
      <c r="B11" s="12" t="s">
        <v>2337</v>
      </c>
      <c r="C11" s="12" t="s">
        <v>283</v>
      </c>
      <c r="D11" s="12" t="s">
        <v>22</v>
      </c>
      <c r="E11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2342</v>
      </c>
      <c r="B1" s="5" t="s">
        <v>10</v>
      </c>
      <c r="C1" s="15" t="s">
        <v>2343</v>
      </c>
      <c r="D1" s="15" t="s">
        <v>2238</v>
      </c>
    </row>
    <row r="2" spans="1:4" ht="21" customHeight="1" x14ac:dyDescent="0.25">
      <c r="A2" s="258" t="s">
        <v>22</v>
      </c>
      <c r="B2" s="258" t="s">
        <v>32</v>
      </c>
      <c r="C2" s="12" t="s">
        <v>2344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2345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2346</v>
      </c>
      <c r="B2" s="12" t="s">
        <v>2322</v>
      </c>
      <c r="C2" s="14" t="s">
        <v>23</v>
      </c>
      <c r="D2" s="12" t="s">
        <v>2323</v>
      </c>
      <c r="E2" s="18" t="s">
        <v>2347</v>
      </c>
    </row>
    <row r="3" spans="1:5" ht="18" customHeight="1" x14ac:dyDescent="0.25">
      <c r="A3" s="12" t="s">
        <v>2346</v>
      </c>
      <c r="B3" s="12" t="s">
        <v>2322</v>
      </c>
      <c r="C3" s="12" t="s">
        <v>56</v>
      </c>
      <c r="D3" s="12" t="s">
        <v>2325</v>
      </c>
      <c r="E3" s="12" t="s">
        <v>2348</v>
      </c>
    </row>
    <row r="4" spans="1:5" ht="18" customHeight="1" x14ac:dyDescent="0.25">
      <c r="A4" s="12" t="s">
        <v>2346</v>
      </c>
      <c r="B4" s="12" t="s">
        <v>2322</v>
      </c>
      <c r="C4" s="12" t="s">
        <v>59</v>
      </c>
      <c r="D4" s="12" t="s">
        <v>2328</v>
      </c>
      <c r="E4" s="12" t="s">
        <v>2349</v>
      </c>
    </row>
    <row r="5" spans="1:5" ht="27.75" customHeight="1" x14ac:dyDescent="0.25">
      <c r="A5" s="12" t="s">
        <v>2346</v>
      </c>
      <c r="B5" s="12" t="s">
        <v>2322</v>
      </c>
      <c r="C5" s="12" t="s">
        <v>2036</v>
      </c>
      <c r="D5" s="18" t="s">
        <v>2350</v>
      </c>
      <c r="E5" s="12" t="s">
        <v>2351</v>
      </c>
    </row>
    <row r="6" spans="1:5" ht="18" customHeight="1" x14ac:dyDescent="0.25">
      <c r="A6" s="12" t="s">
        <v>2346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2346</v>
      </c>
      <c r="B7" s="12" t="s">
        <v>2332</v>
      </c>
      <c r="C7" s="12" t="s">
        <v>2057</v>
      </c>
      <c r="D7" s="12" t="s">
        <v>2352</v>
      </c>
      <c r="E7" s="12" t="s">
        <v>2353</v>
      </c>
    </row>
    <row r="8" spans="1:5" ht="18" customHeight="1" x14ac:dyDescent="0.25">
      <c r="A8" s="12" t="s">
        <v>2346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2346</v>
      </c>
      <c r="B9" s="12" t="s">
        <v>2332</v>
      </c>
      <c r="C9" s="12" t="s">
        <v>2041</v>
      </c>
      <c r="D9" s="12" t="s">
        <v>2354</v>
      </c>
      <c r="E9" s="18" t="s">
        <v>2355</v>
      </c>
    </row>
    <row r="10" spans="1:5" ht="18" customHeight="1" x14ac:dyDescent="0.25">
      <c r="A10" s="12" t="s">
        <v>2346</v>
      </c>
      <c r="B10" s="12" t="s">
        <v>2356</v>
      </c>
      <c r="C10" s="12" t="s">
        <v>2314</v>
      </c>
      <c r="D10" s="12" t="s">
        <v>2357</v>
      </c>
      <c r="E10" s="18" t="s">
        <v>2358</v>
      </c>
    </row>
    <row r="11" spans="1:5" ht="18" customHeight="1" x14ac:dyDescent="0.25">
      <c r="A11" s="12" t="s">
        <v>2346</v>
      </c>
      <c r="B11" s="12" t="s">
        <v>2356</v>
      </c>
      <c r="C11" s="12" t="s">
        <v>157</v>
      </c>
      <c r="D11" s="12" t="s">
        <v>22</v>
      </c>
      <c r="E11" s="12" t="s">
        <v>2340</v>
      </c>
    </row>
    <row r="12" spans="1:5" ht="18" customHeight="1" x14ac:dyDescent="0.25">
      <c r="A12" s="12" t="s">
        <v>2346</v>
      </c>
      <c r="B12" s="12" t="s">
        <v>2356</v>
      </c>
      <c r="C12" s="12" t="s">
        <v>283</v>
      </c>
      <c r="D12" s="12" t="s">
        <v>22</v>
      </c>
      <c r="E12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2359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2360</v>
      </c>
    </row>
    <row r="4" spans="1:8" ht="21.95" customHeight="1" x14ac:dyDescent="0.25">
      <c r="A4" s="294" t="s">
        <v>2361</v>
      </c>
      <c r="B4" s="295"/>
      <c r="D4" s="294" t="s">
        <v>2362</v>
      </c>
      <c r="E4" s="295"/>
      <c r="G4" s="294" t="s">
        <v>2363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2364</v>
      </c>
      <c r="B7" s="143" t="s">
        <v>2365</v>
      </c>
      <c r="C7" s="143" t="s">
        <v>1</v>
      </c>
      <c r="D7" s="143" t="s">
        <v>2366</v>
      </c>
      <c r="E7" s="143" t="s">
        <v>2367</v>
      </c>
      <c r="F7" s="143" t="s">
        <v>2238</v>
      </c>
      <c r="G7" s="143" t="s">
        <v>5</v>
      </c>
      <c r="H7" s="143" t="s">
        <v>2368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2369</v>
      </c>
      <c r="B1" s="299"/>
      <c r="C1" s="299"/>
      <c r="D1" s="299"/>
      <c r="E1" s="299"/>
      <c r="F1" s="299"/>
    </row>
    <row r="2" spans="1:7" x14ac:dyDescent="0.25">
      <c r="A2" s="300" t="s">
        <v>2370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2241</v>
      </c>
      <c r="C4" s="102" t="s">
        <v>2242</v>
      </c>
      <c r="D4" s="102" t="s">
        <v>2371</v>
      </c>
      <c r="E4" s="102" t="s">
        <v>2243</v>
      </c>
      <c r="F4" s="102" t="s">
        <v>2372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2308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www.w3.org/XML/1998/namespace"/>
    <ds:schemaRef ds:uri="fe686eaa-0658-4f15-b230-9e46c4d089fd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2026-07-07T20:41:33Z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