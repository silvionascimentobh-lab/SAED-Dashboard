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85" documentId="13_ncr:1_{6A2CC3E2-FAFB-4D8F-B284-5E8FB5045DFE}" xr6:coauthVersionLast="47" xr6:coauthVersionMax="47" xr10:uidLastSave="{D04F92DE-78A6-40B4-A5B7-0304EF66D47A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<sst xmlns="http://schemas.openxmlformats.org/spreadsheetml/2006/main" count="7307" uniqueCount="3217">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</sst>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4">
      <filters>
        <filter val="Tcendo o Futuro - Edição Especial Filhos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714" activePane="bottomLeft" state="frozen"/>
      <selection pane="bottomLeft" activeCell="T720" sqref="T72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3216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3216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2952</v>
      </c>
    </row>
    <row r="721" spans="1:20" ht="30" x14ac:dyDescent="0.25">
      <c r="A721" s="137" t="s">
        <v>2953</v>
      </c>
      <c r="B721" s="152">
        <v>2026</v>
      </c>
      <c r="C721" s="152" t="s">
        <v>22</v>
      </c>
      <c r="D721" s="152" t="s">
        <v>2930</v>
      </c>
      <c r="E721" s="153" t="s">
        <v>2954</v>
      </c>
      <c r="F721" s="161" t="s">
        <v>88</v>
      </c>
      <c r="G721" s="168" t="s">
        <v>2719</v>
      </c>
      <c r="H721" s="155" t="s">
        <v>2955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2956</v>
      </c>
    </row>
    <row r="722" spans="1:20" ht="30" x14ac:dyDescent="0.25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2956</v>
      </c>
    </row>
    <row r="723" spans="1:20" ht="15" hidden="1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 x14ac:dyDescent="0.25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3020</v>
      </c>
      <c r="H1" s="213" t="s">
        <v>3021</v>
      </c>
    </row>
    <row r="2" spans="1:8" x14ac:dyDescent="0.25">
      <c r="H2" s="212" t="s">
        <v>3022</v>
      </c>
    </row>
    <row r="3" spans="1:8" x14ac:dyDescent="0.25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 x14ac:dyDescent="0.25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 x14ac:dyDescent="0.25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 x14ac:dyDescent="0.25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 x14ac:dyDescent="0.25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3215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2929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8" t="s">
        <v>3035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109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114</v>
      </c>
      <c r="T54">
        <f ca="1"/>
        <v>109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116</v>
      </c>
      <c r="T55">
        <f ca="1"/>
        <v>114</v>
      </c>
      <c r="X55" t="s">
        <v>2785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117</v>
      </c>
      <c r="T56">
        <f ca="1"/>
        <v>116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119</v>
      </c>
      <c r="T57">
        <f ca="1"/>
        <v>117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121</v>
      </c>
      <c r="T58">
        <f ca="1"/>
        <v>119</v>
      </c>
      <c r="X58" t="s">
        <v>2750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124</v>
      </c>
      <c r="T59">
        <f ca="1"/>
        <v>121</v>
      </c>
      <c r="X59" t="s">
        <v>2750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125</v>
      </c>
      <c r="T60">
        <f ca="1"/>
        <v>124</v>
      </c>
      <c r="X60" t="s">
        <v>2750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127</v>
      </c>
      <c r="T61">
        <f ca="1"/>
        <v>125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128</v>
      </c>
      <c r="T62">
        <f ca="1"/>
        <v>127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129</v>
      </c>
      <c r="T63">
        <f ca="1"/>
        <v>128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131</v>
      </c>
      <c r="T64">
        <f ca="1"/>
        <v>129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133</v>
      </c>
      <c r="T65">
        <f ca="1"/>
        <v>131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133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Adriana Cuoco Portugal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Denise Duarte Guirra Kuhlmann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2026-023</v>
      </c>
      <c r="C111" t="str">
        <f ca="1"/>
        <v>Realizado</v>
      </c>
      <c r="D111" t="str">
        <f ca="1"/>
        <v>Tcendo o Futuro 2</v>
      </c>
      <c r="E111">
        <f ca="1"/>
        <v>4</v>
      </c>
      <c r="F111" t="str">
        <f ca="1"/>
        <v>Cinthia Thais de Carvalho Luz Thomazi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Fernanda Viana de Souza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Priscila Nolasco de Oliveira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2026-022</v>
      </c>
      <c r="C116" t="str">
        <f ca="1"/>
        <v>Realizado</v>
      </c>
      <c r="D116" t="str">
        <f ca="1"/>
        <v>UniTCDF: Ciências Contábeis</v>
      </c>
      <c r="E116">
        <f ca="1"/>
        <v>3</v>
      </c>
      <c r="F116" t="str">
        <f ca="1"/>
        <v>Fernanda Viana de Souza</v>
      </c>
      <c r="G116">
        <f ca="1"/>
        <v>2</v>
      </c>
      <c r="H116">
        <f ca="1"/>
        <v>3</v>
      </c>
      <c r="I116">
        <f ca="1"/>
        <v>0.9</v>
      </c>
      <c r="J116">
        <f ca="1"/>
        <v>3.9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2026-022</v>
      </c>
      <c r="C117" t="str">
        <f ca="1"/>
        <v>Realizado</v>
      </c>
      <c r="D117" t="str">
        <f ca="1"/>
        <v>UniTCDF: Ciências Contábeis</v>
      </c>
      <c r="E117">
        <f ca="1"/>
        <v>3</v>
      </c>
      <c r="F117" t="str">
        <f ca="1"/>
        <v>Túllio Herbeth Teixeira Moraes</v>
      </c>
      <c r="G117">
        <f ca="1"/>
        <v>2</v>
      </c>
      <c r="H117">
        <f ca="1"/>
        <v>3</v>
      </c>
      <c r="I117">
        <f ca="1"/>
        <v>0.9</v>
      </c>
      <c r="J117">
        <f ca="1"/>
        <v>3.9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2026-029</v>
      </c>
      <c r="C118" t="str">
        <f ca="1"/>
        <v>Realizado</v>
      </c>
      <c r="D118" t="str">
        <f ca="1"/>
        <v>UniTCDF: TCDF e a Fiscalização de Obras</v>
      </c>
      <c r="E118">
        <f ca="1"/>
        <v>4</v>
      </c>
      <c r="F118" t="str">
        <f ca="1"/>
        <v>Adriana Cuoco Portugal</v>
      </c>
      <c r="G118">
        <f ca="1"/>
        <v>1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2026-069</v>
      </c>
      <c r="C119" t="str">
        <f ca="1"/>
        <v>Realizado</v>
      </c>
      <c r="D119" t="str">
        <f ca="1"/>
        <v xml:space="preserve">UniTCDF: Gestão Pública </v>
      </c>
      <c r="E119">
        <f ca="1"/>
        <v>3</v>
      </c>
      <c r="F119" t="str">
        <f ca="1"/>
        <v>Fernanda Viana de Souza</v>
      </c>
      <c r="G119">
        <f ca="1"/>
        <v>2</v>
      </c>
      <c r="H119">
        <f ca="1"/>
        <v>3</v>
      </c>
      <c r="I119">
        <f ca="1"/>
        <v>0.89999999999999991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2026-069</v>
      </c>
      <c r="C120" t="str">
        <f ca="1"/>
        <v>Realizado</v>
      </c>
      <c r="D120" t="str">
        <f ca="1"/>
        <v xml:space="preserve">UniTCDF: Gestão Pública </v>
      </c>
      <c r="E120">
        <f ca="1"/>
        <v>3</v>
      </c>
      <c r="F120" t="str">
        <f ca="1"/>
        <v>Túllio Herbeth Teixeira Moraes</v>
      </c>
      <c r="G120">
        <f ca="1"/>
        <v>2</v>
      </c>
      <c r="H120">
        <f ca="1"/>
        <v>3</v>
      </c>
      <c r="I120">
        <f ca="1"/>
        <v>0.89999999999999991</v>
      </c>
      <c r="J120">
        <f ca="1"/>
        <v>3.9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2026-072</v>
      </c>
      <c r="C121" t="str">
        <f ca="1"/>
        <v>A realizar</v>
      </c>
      <c r="D121" t="str">
        <f ca="1"/>
        <v>UniTCDF: Gestão Pública e Responsabilidade Fiscal (IESB)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2026-072</v>
      </c>
      <c r="C122" t="str">
        <f ca="1"/>
        <v>A realizar</v>
      </c>
      <c r="D122" t="str">
        <f ca="1"/>
        <v>UniTCDF: Gestão Pública e Responsabilidade Fiscal (IESB)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2026-079</v>
      </c>
      <c r="C123" t="str">
        <f ca="1"/>
        <v>Realizado</v>
      </c>
      <c r="D123" t="str">
        <f ca="1"/>
        <v>Café e Tertúlia: Gincana dos Neurotransmissores</v>
      </c>
      <c r="E123">
        <f ca="1"/>
        <v>2</v>
      </c>
      <c r="F123" t="str">
        <f ca="1"/>
        <v>Isac Mendes Caixeta de Pamplona Araújo</v>
      </c>
      <c r="G123">
        <f ca="1"/>
        <v>3</v>
      </c>
      <c r="H123">
        <f ca="1"/>
        <v>2</v>
      </c>
      <c r="I123">
        <f ca="1"/>
        <v>0.6</v>
      </c>
      <c r="J123">
        <f ca="1"/>
        <v>2.6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2026-079</v>
      </c>
      <c r="C124" t="str">
        <f ca="1"/>
        <v>Realizado</v>
      </c>
      <c r="D124" t="str">
        <f ca="1"/>
        <v>Café e Tertúlia: Gincana dos Neurotransmissores</v>
      </c>
      <c r="E124">
        <f ca="1"/>
        <v>2</v>
      </c>
      <c r="F124" t="str">
        <f ca="1"/>
        <v>Valéria Feitoza</v>
      </c>
      <c r="G124">
        <f ca="1"/>
        <v>3</v>
      </c>
      <c r="H124">
        <f ca="1"/>
        <v>2</v>
      </c>
      <c r="I124">
        <f ca="1"/>
        <v>0.6</v>
      </c>
      <c r="J124">
        <f ca="1"/>
        <v>2.6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Cinthia Thais de Carvalho Luz Thomazi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2026-081</v>
      </c>
      <c r="C126" t="str">
        <f ca="1"/>
        <v>A realizar</v>
      </c>
      <c r="D126" t="str">
        <f ca="1"/>
        <v>Contratações de TIC com base na jurisprudência do TCDF - SGDI</v>
      </c>
      <c r="E126">
        <f ca="1"/>
        <v>8</v>
      </c>
      <c r="F126" t="str">
        <f ca="1"/>
        <v>Felipe da Costa Malaquias</v>
      </c>
      <c r="G126">
        <f ca="1"/>
        <v>1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2026-082</v>
      </c>
      <c r="C127" t="str">
        <f ca="1"/>
        <v>A realizar</v>
      </c>
      <c r="D127" t="str">
        <f ca="1"/>
        <v>Curso de formação para gestores e fiscais de contrato nas unidades hospitalares – Turma 4</v>
      </c>
      <c r="E127">
        <f ca="1"/>
        <v>12</v>
      </c>
      <c r="F127" t="str">
        <f ca="1"/>
        <v>Luciana Alvim</v>
      </c>
      <c r="G127">
        <f ca="1"/>
        <v>2</v>
      </c>
      <c r="H127">
        <f ca="1"/>
        <v>12</v>
      </c>
      <c r="I127">
        <f ca="1"/>
        <v>3.5999999999999996</v>
      </c>
      <c r="J127">
        <f ca="1"/>
        <v>15.6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2026-082</v>
      </c>
      <c r="C128" t="str">
        <f ca="1"/>
        <v>A realizar</v>
      </c>
      <c r="D128" t="str">
        <f ca="1"/>
        <v>Curso de formação para gestores e fiscais de contrato nas unidades hospitalares – Turma 4</v>
      </c>
      <c r="E128">
        <f ca="1"/>
        <v>12</v>
      </c>
      <c r="F128" t="str">
        <f ca="1"/>
        <v>Tarsila Firmino Ely</v>
      </c>
      <c r="G128">
        <f ca="1"/>
        <v>2</v>
      </c>
      <c r="H128">
        <f ca="1"/>
        <v>12</v>
      </c>
      <c r="I128">
        <f ca="1"/>
        <v>3.5999999999999996</v>
      </c>
      <c r="J128">
        <f ca="1"/>
        <v>15.6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2026-083</v>
      </c>
      <c r="C129" t="str">
        <f ca="1"/>
        <v>A realizar</v>
      </c>
      <c r="D129" t="str">
        <f ca="1"/>
        <v>Oficina básica de Power Automate</v>
      </c>
      <c r="E129">
        <f ca="1"/>
        <v>9</v>
      </c>
      <c r="F129" t="str">
        <f ca="1"/>
        <v>Josdeyvi Magalhães Russi</v>
      </c>
      <c r="G129">
        <f ca="1"/>
        <v>1</v>
      </c>
      <c r="H129">
        <f ca="1"/>
        <v>9</v>
      </c>
      <c r="I129">
        <f ca="1"/>
        <v>2.6999999999999997</v>
      </c>
      <c r="J129">
        <f ca="1"/>
        <v>11.7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2026-084</v>
      </c>
      <c r="C130" t="str">
        <f ca="1"/>
        <v>A realizar</v>
      </c>
      <c r="D130" t="str">
        <f ca="1"/>
        <v>Oficina EmentAI: o seu assistente de IA na elaboração de ementas jurisprudenciais</v>
      </c>
      <c r="E130">
        <f ca="1"/>
        <v>4</v>
      </c>
      <c r="F130" t="str">
        <f ca="1"/>
        <v>Caio Filipe</v>
      </c>
      <c r="G130">
        <f ca="1"/>
        <v>1</v>
      </c>
      <c r="H130">
        <f ca="1"/>
        <v>4</v>
      </c>
      <c r="I130">
        <f ca="1"/>
        <v>1.2</v>
      </c>
      <c r="J130">
        <f ca="1"/>
        <v>5.2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2026-085</v>
      </c>
      <c r="C131" t="str">
        <f ca="1"/>
        <v>A realizar</v>
      </c>
      <c r="D131" t="str">
        <f ca="1"/>
        <v xml:space="preserve">Introdução à Engenharia de Prompt – T5 </v>
      </c>
      <c r="E131">
        <f ca="1"/>
        <v>8</v>
      </c>
      <c r="F131" t="str">
        <f ca="1"/>
        <v>Arthur Wú</v>
      </c>
      <c r="G131">
        <f ca="1"/>
        <v>2</v>
      </c>
      <c r="H131">
        <f ca="1"/>
        <v>8</v>
      </c>
      <c r="I131">
        <f ca="1"/>
        <v>2.4</v>
      </c>
      <c r="J131">
        <f ca="1"/>
        <v>10.4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2026-085</v>
      </c>
      <c r="C132" t="str">
        <f ca="1"/>
        <v>A realizar</v>
      </c>
      <c r="D132" t="str">
        <f ca="1"/>
        <v xml:space="preserve">Introdução à Engenharia de Prompt – T5 </v>
      </c>
      <c r="E132">
        <f ca="1"/>
        <v>8</v>
      </c>
      <c r="F132" t="str">
        <f ca="1"/>
        <v>Gustavo Takahashi</v>
      </c>
      <c r="G132">
        <f ca="1"/>
        <v>2</v>
      </c>
      <c r="H132">
        <f ca="1"/>
        <v>8</v>
      </c>
      <c r="I132">
        <f ca="1"/>
        <v>2.4</v>
      </c>
      <c r="J132">
        <f ca="1"/>
        <v>10.4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2026-086</v>
      </c>
      <c r="C133" t="str">
        <f ca="1"/>
        <v>A realizar</v>
      </c>
      <c r="D133" t="str">
        <f ca="1"/>
        <v>Introdução à Engenharia de Prompt – T6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2026-086</v>
      </c>
      <c r="C134" t="str">
        <f ca="1"/>
        <v>A realizar</v>
      </c>
      <c r="D134" t="str">
        <f ca="1"/>
        <v>Introdução à Engenharia de Prompt – T6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R135" t="str">
        <f ca="1"/>
        <v/>
      </c>
      <c r="S135" t="str">
        <f ca="1"/>
        <v/>
      </c>
    </row>
    <row r="136" spans="1:19" x14ac:dyDescent="0.25"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53</v>
      </c>
      <c r="E5" s="44" t="s">
        <v>3111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3117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3118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3119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3120</v>
      </c>
      <c r="B14" s="34">
        <f>SUM(B11:B13)</f>
        <v>51</v>
      </c>
      <c r="D14" s="33" t="s">
        <v>3121</v>
      </c>
      <c r="E14" s="34">
        <f>SUM(E11:E13)</f>
        <v>2814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3120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2719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2795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8</v>
      </c>
      <c r="C41" s="26">
        <f ca="1">IF($A41="","",SUMIFS('GECC 2026'!I$2:I$200,'GECC 2026'!F$2:F$200,$A41))</f>
        <v>2.4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10.4</v>
      </c>
      <c r="F41" s="24">
        <f ca="1">IF($A41="","",COUNTIFS('GECC 2026'!F$2:F$200,$A41))</f>
        <v>2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805</v>
      </c>
      <c r="C105" s="95">
        <f ca="1">SUM(C5:C100)</f>
        <v>361.84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2755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2026-08-28T17:52:25Z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