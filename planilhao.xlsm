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7" documentId="13_ncr:1_{6A2CC3E2-FAFB-4D8F-B284-5E8FB5045DFE}" xr6:coauthVersionLast="47" xr6:coauthVersionMax="47" xr10:uidLastSave="{C83B722E-A611-4041-B6C1-0D5FCE7C14D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s="1" a="1"/>
  <c r="A2" i="20" s="1" a="1"/>
  <c r="A5" i="23" l="1" a="1"/>
  <c r="E105" i="23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<sst xmlns="http://schemas.openxmlformats.org/spreadsheetml/2006/main" count="7250" uniqueCount="3186">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</sst>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17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11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46" dataDxfId="45" totalsRowDxfId="44" totalsRowBorderDxfId="43">
  <autoFilter ref="A1:T2007" xr:uid="{D1BD5F14-CD6F-4B62-85D2-128A9D3B5FF1}"/>
  <tableColumns count="20">
    <tableColumn id="1" xr3:uid="{022FA08A-515E-453B-85A4-E200B40364EE}" name="ID" dataDxfId="42" totalsRowDxfId="41"/>
    <tableColumn id="2" xr3:uid="{19532738-24D5-4BD5-BE04-C19DCC5894A1}" name="Ano" dataDxfId="40" totalsRowDxfId="39"/>
    <tableColumn id="3" xr3:uid="{8DE0B36A-F0DC-47A1-A74E-F4BE63A4FB1D}" name="Status Evento" dataDxfId="38" totalsRowDxfId="37"/>
    <tableColumn id="4" xr3:uid="{C1159FBD-CCD0-4CA2-BB8C-598E3AB5DDD8}" name="Processo" dataDxfId="36" totalsRowDxfId="35"/>
    <tableColumn id="5" xr3:uid="{A32670A4-BE4F-480D-8DE9-8FF18024C829}" name="Curso" dataDxfId="34" totalsRowDxfId="33"/>
    <tableColumn id="8" xr3:uid="{905DEA0A-D099-47EA-972D-1012D71C7792}" name="Público-Alvo" dataDxfId="32" totalsRowDxfId="31"/>
    <tableColumn id="9" xr3:uid="{7DC0A0BE-8030-47CA-AF56-2C13C9FF7AE5}" name="Programa" dataDxfId="30" totalsRowDxfId="29"/>
    <tableColumn id="11" xr3:uid="{2B799ACD-69E4-46A5-9A4F-F7E3D7A47CE9}" name="Data TXT" dataDxfId="28" totalsRowDxfId="27"/>
    <tableColumn id="12" xr3:uid="{62016C67-3729-4C41-B72D-09D6616B7474}" name="Início" dataDxfId="26" totalsRowDxfId="25"/>
    <tableColumn id="13" xr3:uid="{E4F20518-0042-40C0-B590-B7616F2843A5}" name="Término" dataDxfId="24" totalsRowDxfId="23"/>
    <tableColumn id="14" xr3:uid="{4D6C4412-CFEE-4506-830E-F79FD008371B}" name="Modalidade" dataDxfId="22" totalsRowDxfId="21"/>
    <tableColumn id="15" xr3:uid="{12EC931A-E71B-4AEB-B20B-0F9EA63D0C71}" name="Valor instrutoria" dataDxfId="20" totalsRowDxfId="19" dataCellStyle="Moeda"/>
    <tableColumn id="17" xr3:uid="{8FCDFADA-4FA3-41E0-86FF-E623116BAFEB}" name="Nota Av. Reação" dataDxfId="18" totalsRowDxfId="17"/>
    <tableColumn id="19" xr3:uid="{316EB379-BB97-4F60-9566-576B25A26B0E}" name="Qtd Vagas" dataDxfId="16" totalsRowDxfId="15"/>
    <tableColumn id="20" xr3:uid="{59A9FB16-6726-411C-88B5-8165DD520DA3}" name="P. Servidores" dataDxfId="14" totalsRowDxfId="13"/>
    <tableColumn id="21" xr3:uid="{0246E091-ADCD-4F62-8F95-84B21E8A7BE1}" name="P. Jurisdicionados" dataDxfId="12" totalsRowDxfId="11"/>
    <tableColumn id="22" xr3:uid="{1B6DBD6D-C072-4600-81C1-69D6F4422D7D}" name="P. Sociedade" dataDxfId="10" totalsRowDxfId="9"/>
    <tableColumn id="23" xr3:uid="{109F7E4E-776C-4249-88BE-FEC3A375D7D9}" name="Total Part." dataDxfId="8" totalsRowDxfId="7"/>
    <tableColumn id="24" xr3:uid="{C67AA4C6-834C-4EBB-839B-EF0CDD50F649}" name="C.H." dataDxfId="6" totalsRowDxfId="5"/>
    <tableColumn id="26" xr3:uid="{973608F6-3E97-493C-AC61-980F73C13CD6}" name="Instrutor" dataDxfId="4" totalsRowDxfId="3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952" activePane="bottomLeft" state="frozen"/>
      <selection pane="bottomLeft" activeCell="E703" sqref="E703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4" priority="3">
      <formula>TRIM(C2)="Realizado"</formula>
    </cfRule>
  </conditionalFormatting>
  <conditionalFormatting sqref="C2:C2007">
    <cfRule type="expression" dxfId="53" priority="4">
      <formula>TRIM(C2)="Cancelado"</formula>
    </cfRule>
  </conditionalFormatting>
  <conditionalFormatting sqref="C2:C2007">
    <cfRule type="expression" dxfId="52" priority="5">
      <formula>TRIM(C2)="Em andamento"</formula>
    </cfRule>
  </conditionalFormatting>
  <conditionalFormatting sqref="C2:C2007">
    <cfRule type="expression" dxfId="51" priority="6">
      <formula>TRIM(C2)="Adiado"</formula>
    </cfRule>
  </conditionalFormatting>
  <conditionalFormatting sqref="A2:A2007">
    <cfRule type="expression" dxfId="50" priority="7">
      <formula>AND($B2&lt;&gt;"",$A2="")</formula>
    </cfRule>
  </conditionalFormatting>
  <conditionalFormatting sqref="L2:M2007">
    <cfRule type="expression" dxfId="49" priority="8">
      <formula>L2=""</formula>
    </cfRule>
  </conditionalFormatting>
  <conditionalFormatting sqref="A2002:A2006 E2007 A2:T2001">
    <cfRule type="expression" dxfId="48" priority="9">
      <formula>MOD(ROW(),2)=0</formula>
    </cfRule>
  </conditionalFormatting>
  <conditionalFormatting sqref="A2002:A2006 E2007 A2:T2001">
    <cfRule type="expression" dxfId="47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2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Em andamento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Realizado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44</v>
      </c>
      <c r="E5" s="44" t="s">
        <v>3082</v>
      </c>
      <c r="G5" s="46">
        <f>COUNTIFS('Ações InCompany'!B:B,2026,'Ações InCompany'!C:C,"A realizar")</f>
        <v>32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17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42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11</v>
      </c>
      <c r="C33" s="47">
        <f>COUNTIFS('Ações InCompany'!B:B,2026,'Ações InCompany'!C:C,"A realizar",'Ações InCompany'!G:G,A33)</f>
        <v>9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44</v>
      </c>
      <c r="C45" s="41">
        <f>SUM(C33:C44)</f>
        <v>32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58" priority="1">
      <formula>$J2="CORRIGIR"</formula>
    </cfRule>
  </conditionalFormatting>
  <conditionalFormatting sqref="A2:L65">
    <cfRule type="expression" dxfId="57" priority="2">
      <formula>$J2="REVISAR"</formula>
    </cfRule>
  </conditionalFormatting>
  <conditionalFormatting sqref="A2:L65">
    <cfRule type="expression" dxfId="56" priority="3">
      <formula>$J2="OK"</formula>
    </cfRule>
  </conditionalFormatting>
  <conditionalFormatting sqref="I2:I65">
    <cfRule type="containsText" dxfId="55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2026-08-12T20:38:55Z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