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70" documentId="8_{454372C2-A99E-4E47-A759-72B38925853E}" xr6:coauthVersionLast="47" xr6:coauthVersionMax="47" xr10:uidLastSave="{17C1CBF5-0D22-4B99-AC83-516B19D9B593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17" i="29" l="1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S4" i="20" s="1"/>
  <c r="W7" i="3"/>
  <c r="W6" i="3"/>
  <c r="W5" i="3"/>
  <c r="W3" i="3"/>
  <c r="T4" i="20" l="1" a="1"/>
  <c r="T4" i="20" s="1"/>
  <c r="A2" i="20" a="1"/>
  <c r="A5" i="23" l="1" a="1"/>
  <c r="E105" i="23"/>
  <c r="A2" i="20"/>
  <c r="C51" i="23" l="1"/>
  <c r="B39" i="23"/>
  <c r="F26" i="23"/>
  <c r="F35" i="23"/>
  <c r="E52" i="23"/>
  <c r="F43" i="23"/>
  <c r="C24" i="23"/>
  <c r="F45" i="23"/>
  <c r="E39" i="23"/>
  <c r="D11" i="23"/>
  <c r="D37" i="23"/>
  <c r="C36" i="23"/>
  <c r="D12" i="23"/>
  <c r="F48" i="23"/>
  <c r="B17" i="23"/>
  <c r="C29" i="23"/>
  <c r="B33" i="23"/>
  <c r="E28" i="23"/>
  <c r="B13" i="23"/>
  <c r="C6" i="23"/>
  <c r="B44" i="23"/>
  <c r="C49" i="23"/>
  <c r="F41" i="23"/>
  <c r="B51" i="23"/>
  <c r="C46" i="23"/>
  <c r="C12" i="23"/>
  <c r="E50" i="23"/>
  <c r="C27" i="23"/>
  <c r="B10" i="23"/>
  <c r="D16" i="23"/>
  <c r="E16" i="23"/>
  <c r="E18" i="23"/>
  <c r="E45" i="23"/>
  <c r="C33" i="23"/>
  <c r="B8" i="23"/>
  <c r="E15" i="23"/>
  <c r="C30" i="23"/>
  <c r="F12" i="23"/>
  <c r="D50" i="23"/>
  <c r="C22" i="23"/>
  <c r="B50" i="23"/>
  <c r="B24" i="23"/>
  <c r="E56" i="23"/>
  <c r="F10" i="23"/>
  <c r="E17" i="23"/>
  <c r="B27" i="23"/>
  <c r="B11" i="23"/>
  <c r="E37" i="23"/>
  <c r="D46" i="23"/>
  <c r="F17" i="23"/>
  <c r="E46" i="23"/>
  <c r="E41" i="23"/>
  <c r="D47" i="23"/>
  <c r="F29" i="23"/>
  <c r="D19" i="23"/>
  <c r="B18" i="23"/>
  <c r="D30" i="23"/>
  <c r="F8" i="23"/>
  <c r="F32" i="23"/>
  <c r="C35" i="23"/>
  <c r="E27" i="23"/>
  <c r="B40" i="23"/>
  <c r="C7" i="23"/>
  <c r="D42" i="23"/>
  <c r="F33" i="23"/>
  <c r="D14" i="23"/>
  <c r="E51" i="23"/>
  <c r="D52" i="23"/>
  <c r="E8" i="23"/>
  <c r="E31" i="23"/>
  <c r="C9" i="23"/>
  <c r="E33" i="23"/>
  <c r="B46" i="23"/>
  <c r="B16" i="23"/>
  <c r="E19" i="23"/>
  <c r="C25" i="23"/>
  <c r="C55" i="23"/>
  <c r="D32" i="23"/>
  <c r="B23" i="23"/>
  <c r="E34" i="23"/>
  <c r="D39" i="23"/>
  <c r="E11" i="23"/>
  <c r="C17" i="23"/>
  <c r="C26" i="23"/>
  <c r="B7" i="23"/>
  <c r="B48" i="23"/>
  <c r="D10" i="23"/>
  <c r="C11" i="23"/>
  <c r="B25" i="23"/>
  <c r="F44" i="23"/>
  <c r="D35" i="23"/>
  <c r="B36" i="23"/>
  <c r="D38" i="23"/>
  <c r="D55" i="23"/>
  <c r="C18" i="23"/>
  <c r="E14" i="23"/>
  <c r="D51" i="23"/>
  <c r="F24" i="23"/>
  <c r="C20" i="23"/>
  <c r="E22" i="23"/>
  <c r="F53" i="23"/>
  <c r="C23" i="23"/>
  <c r="E43" i="23"/>
  <c r="F13" i="23"/>
  <c r="F34" i="23"/>
  <c r="C56" i="23"/>
  <c r="F28" i="23"/>
  <c r="F39" i="23"/>
  <c r="B49" i="23"/>
  <c r="D49" i="23"/>
  <c r="F42" i="23"/>
  <c r="C21" i="23"/>
  <c r="F56" i="23"/>
  <c r="E6" i="23"/>
  <c r="D6" i="23"/>
  <c r="F50" i="23"/>
  <c r="E47" i="23"/>
  <c r="F49" i="23"/>
  <c r="E13" i="23"/>
  <c r="F38" i="23"/>
  <c r="B14" i="23"/>
  <c r="B28" i="23"/>
  <c r="E35" i="23"/>
  <c r="F6" i="23"/>
  <c r="E42" i="23"/>
  <c r="D56" i="23"/>
  <c r="E9" i="23"/>
  <c r="B35" i="23"/>
  <c r="D15" i="23"/>
  <c r="B31" i="23"/>
  <c r="B34" i="23"/>
  <c r="D41" i="23"/>
  <c r="C50" i="23"/>
  <c r="D24" i="23"/>
  <c r="C41" i="23"/>
  <c r="B37" i="23"/>
  <c r="E49" i="23"/>
  <c r="E53" i="23"/>
  <c r="E12" i="23"/>
  <c r="D40" i="23"/>
  <c r="B26" i="23"/>
  <c r="F31" i="23"/>
  <c r="C54" i="23"/>
  <c r="B22" i="23"/>
  <c r="D8" i="23"/>
  <c r="B19" i="23"/>
  <c r="C45" i="23"/>
  <c r="C37" i="23"/>
  <c r="D26" i="23"/>
  <c r="C39" i="23"/>
  <c r="B30" i="23"/>
  <c r="F16" i="23"/>
  <c r="B38" i="23"/>
  <c r="B55" i="23"/>
  <c r="B32" i="23"/>
  <c r="C38" i="23"/>
  <c r="D34" i="23"/>
  <c r="B29" i="23"/>
  <c r="F21" i="23"/>
  <c r="D33" i="23"/>
  <c r="C14" i="23"/>
  <c r="E44" i="23"/>
  <c r="B43" i="23"/>
  <c r="C34" i="23"/>
  <c r="E32" i="23"/>
  <c r="C19" i="23"/>
  <c r="F54" i="23"/>
  <c r="D48" i="23"/>
  <c r="E48" i="23"/>
  <c r="D43" i="23"/>
  <c r="D36" i="23"/>
  <c r="D23" i="23"/>
  <c r="E10" i="23"/>
  <c r="F30" i="23"/>
  <c r="F37" i="23"/>
  <c r="F52" i="23"/>
  <c r="F36" i="23"/>
  <c r="C10" i="23"/>
  <c r="B54" i="23"/>
  <c r="D21" i="23"/>
  <c r="B20" i="23"/>
  <c r="D27" i="23"/>
  <c r="F46" i="23"/>
  <c r="D22" i="23"/>
  <c r="C32" i="23"/>
  <c r="D13" i="23"/>
  <c r="B15" i="23"/>
  <c r="B42" i="23"/>
  <c r="D29" i="23"/>
  <c r="F11" i="23"/>
  <c r="F55" i="23"/>
  <c r="E24" i="23"/>
  <c r="E36" i="23"/>
  <c r="B47" i="23"/>
  <c r="D28" i="23"/>
  <c r="D53" i="23"/>
  <c r="F27" i="23"/>
  <c r="D20" i="23"/>
  <c r="C40" i="23"/>
  <c r="F14" i="23"/>
  <c r="F22" i="23"/>
  <c r="E7" i="23"/>
  <c r="C43" i="23"/>
  <c r="C48" i="23"/>
  <c r="F18" i="23"/>
  <c r="B6" i="23"/>
  <c r="F7" i="23"/>
  <c r="B41" i="23"/>
  <c r="B12" i="23"/>
  <c r="C15" i="23"/>
  <c r="B45" i="23"/>
  <c r="C28" i="23"/>
  <c r="F47" i="23"/>
  <c r="D18" i="23"/>
  <c r="F15" i="23"/>
  <c r="E54" i="23"/>
  <c r="D7" i="23"/>
  <c r="E26" i="23"/>
  <c r="D45" i="23"/>
  <c r="B53" i="23"/>
  <c r="F9" i="23"/>
  <c r="D31" i="23"/>
  <c r="E20" i="23"/>
  <c r="C47" i="23"/>
  <c r="E55" i="23"/>
  <c r="C8" i="23"/>
  <c r="C31" i="23"/>
  <c r="F51" i="23"/>
  <c r="C53" i="23"/>
  <c r="F40" i="23"/>
  <c r="B52" i="23"/>
  <c r="E21" i="23"/>
  <c r="C52" i="23"/>
  <c r="E38" i="23"/>
  <c r="F19" i="23"/>
  <c r="D9" i="23"/>
  <c r="F25" i="23"/>
  <c r="D25" i="23"/>
  <c r="C16" i="23"/>
  <c r="B56" i="23"/>
  <c r="B9" i="23"/>
  <c r="E29" i="23"/>
  <c r="F20" i="23"/>
  <c r="D54" i="23"/>
  <c r="B21" i="23"/>
  <c r="F23" i="23"/>
  <c r="D17" i="23"/>
  <c r="E30" i="23"/>
  <c r="C44" i="23"/>
  <c r="D44" i="23"/>
  <c r="C42" i="23"/>
  <c r="E25" i="23"/>
  <c r="E23" i="23"/>
  <c r="E40" i="23"/>
  <c r="C13" i="23"/>
  <c r="A5" i="23"/>
  <c r="G5" i="23" l="1"/>
  <c r="D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<sst xmlns="http://schemas.openxmlformats.org/spreadsheetml/2006/main" count="7142" uniqueCount="3166">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</sst>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</numFmts>
  <fonts count="5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7" fontId="31" fillId="0" borderId="2" xfId="0" applyNumberFormat="1" applyFont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3" activePane="bottomLeft" state="frozen"/>
      <selection pane="bottomLeft" activeCell="T710" sqref="T710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customHeight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2">
        <v>2026</v>
      </c>
    </row>
    <row r="3" spans="1:23" ht="22.5" customHeight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customHeight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customHeight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22.5" customHeight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22.5" customHeight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22.5" customHeight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22.5" customHeight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22.5" customHeight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22.5" customHeight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22.5" customHeight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22.5" customHeight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22.5" customHeight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22.5" customHeight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22.5" customHeight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22.5" customHeight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22.5" customHeight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22.5" customHeight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22.5" customHeight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22.5" customHeight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22.5" customHeight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22.5" customHeight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22.5" customHeight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22.5" customHeight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22.5" customHeight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22.5" customHeight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22.5" customHeight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22.5" customHeight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22.5" customHeight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22.5" customHeight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22.5" customHeight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22.5" customHeight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22.5" customHeight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22.5" customHeight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22.5" customHeight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22.5" customHeight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22.5" customHeight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22.5" customHeight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22.5" customHeight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22.5" customHeight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22.5" customHeight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22.5" customHeight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22.5" customHeight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22.5" customHeight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22.5" customHeight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22.5" customHeight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22.5" customHeight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22.5" customHeight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22.5" customHeight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22.5" customHeight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22.5" customHeight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22.5" customHeight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22.5" customHeight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22.5" customHeight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22.5" customHeight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22.5" customHeight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22.5" customHeight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22.5" customHeight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22.5" customHeight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22.5" customHeight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22.5" customHeight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22.5" customHeight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22.5" customHeight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22.5" customHeight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2055</v>
      </c>
    </row>
    <row r="587" spans="1:20" ht="22.5" customHeight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22.5" customHeight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22.5" customHeight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22.5" customHeight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22.5" customHeight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22.5" customHeight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22.5" customHeight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22.5" customHeight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22.5" customHeight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22.5" customHeight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22.5" customHeight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22.5" customHeight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22.5" customHeight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22.5" customHeight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22.5" customHeight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22.5" customHeight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22.5" customHeight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22.5" customHeight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22.5" customHeight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22.5" customHeight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22.5" customHeight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22.5" customHeight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22.5" customHeight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22.5" customHeight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22.5" customHeight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22.5" customHeight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22.5" customHeight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22.5" customHeight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22.5" customHeight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22.5" customHeight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22.5" customHeight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22.5" customHeight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22.5" customHeight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22.5" customHeight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22.5" customHeight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22.5" customHeight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22.5" customHeight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22.5" customHeight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22.5" customHeight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22.5" customHeight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22.5" customHeight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22.5" customHeight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22.5" customHeight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22.5" customHeight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22.5" customHeight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22.5" customHeight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22.5" customHeight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22.5" customHeight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22.5" customHeight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22.5" customHeight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23.25" customHeight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22.5" customHeight="1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22.5" customHeight="1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22.5" customHeight="1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22.5" customHeight="1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22.5" customHeight="1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22.5" customHeight="1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22.5" customHeight="1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22.5" customHeight="1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22.5" customHeight="1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22.5" customHeight="1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22.5" customHeight="1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22.5" customHeight="1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22.5" customHeight="1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22.5" customHeight="1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2787</v>
      </c>
    </row>
    <row r="679" spans="1:20" ht="22.5" customHeight="1">
      <c r="A679" s="137" t="s">
        <v>2788</v>
      </c>
      <c r="B679" s="127">
        <v>2026</v>
      </c>
      <c r="C679" s="152" t="s">
        <v>22</v>
      </c>
      <c r="D679" s="152" t="s">
        <v>2765</v>
      </c>
      <c r="E679" s="153" t="s">
        <v>2789</v>
      </c>
      <c r="F679" s="129" t="s">
        <v>88</v>
      </c>
      <c r="G679" s="164" t="s">
        <v>2749</v>
      </c>
      <c r="H679" s="155" t="s">
        <v>2790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22.5" customHeight="1">
      <c r="A680" s="137" t="s">
        <v>2791</v>
      </c>
      <c r="B680" s="127">
        <v>2026</v>
      </c>
      <c r="C680" s="195" t="s">
        <v>22</v>
      </c>
      <c r="D680" s="195" t="s">
        <v>2792</v>
      </c>
      <c r="E680" s="205" t="s">
        <v>2793</v>
      </c>
      <c r="F680" s="185" t="s">
        <v>24</v>
      </c>
      <c r="G680" s="186" t="s">
        <v>2728</v>
      </c>
      <c r="H680" s="197" t="s">
        <v>2794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22.5" customHeight="1">
      <c r="A681" s="137" t="s">
        <v>2795</v>
      </c>
      <c r="B681" s="127">
        <v>2026</v>
      </c>
      <c r="C681" s="195" t="s">
        <v>2774</v>
      </c>
      <c r="D681" s="195" t="s">
        <v>2796</v>
      </c>
      <c r="E681" s="205" t="s">
        <v>2797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22.5" customHeight="1">
      <c r="A682" s="137" t="s">
        <v>2798</v>
      </c>
      <c r="B682" s="127">
        <v>2026</v>
      </c>
      <c r="C682" s="168" t="s">
        <v>2799</v>
      </c>
      <c r="D682" s="152" t="s">
        <v>2800</v>
      </c>
      <c r="E682" s="153" t="s">
        <v>2801</v>
      </c>
      <c r="F682" s="129" t="s">
        <v>24</v>
      </c>
      <c r="G682" s="154" t="s">
        <v>2708</v>
      </c>
      <c r="H682" s="155" t="s">
        <v>2802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23.25" customHeight="1">
      <c r="A683" s="137" t="s">
        <v>2803</v>
      </c>
      <c r="B683" s="127">
        <v>2026</v>
      </c>
      <c r="C683" s="195" t="s">
        <v>22</v>
      </c>
      <c r="D683" s="195" t="s">
        <v>2804</v>
      </c>
      <c r="E683" s="205" t="s">
        <v>2676</v>
      </c>
      <c r="F683" s="185" t="s">
        <v>24</v>
      </c>
      <c r="G683" s="186" t="s">
        <v>42</v>
      </c>
      <c r="H683" s="197" t="s">
        <v>2805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>
      <c r="A684" s="193" t="s">
        <v>2806</v>
      </c>
      <c r="B684" s="152">
        <v>2026</v>
      </c>
      <c r="C684" s="152" t="s">
        <v>22</v>
      </c>
      <c r="D684" s="209" t="s">
        <v>2807</v>
      </c>
      <c r="E684" s="210" t="s">
        <v>2808</v>
      </c>
      <c r="F684" s="211" t="s">
        <v>24</v>
      </c>
      <c r="G684" s="212" t="s">
        <v>42</v>
      </c>
      <c r="H684" s="213" t="s">
        <v>2809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>
      <c r="A685" s="193" t="s">
        <v>2810</v>
      </c>
      <c r="B685" s="152">
        <v>2026</v>
      </c>
      <c r="C685" s="183" t="s">
        <v>22</v>
      </c>
      <c r="D685" s="183" t="s">
        <v>2811</v>
      </c>
      <c r="E685" s="184" t="s">
        <v>2812</v>
      </c>
      <c r="F685" s="185" t="s">
        <v>88</v>
      </c>
      <c r="G685" s="186" t="s">
        <v>2749</v>
      </c>
      <c r="H685" s="193" t="s">
        <v>2813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>
      <c r="A686" s="193" t="s">
        <v>2814</v>
      </c>
      <c r="B686" s="152">
        <v>2026</v>
      </c>
      <c r="C686" s="183" t="s">
        <v>2799</v>
      </c>
      <c r="D686" s="183" t="s">
        <v>2815</v>
      </c>
      <c r="E686" s="184" t="s">
        <v>2816</v>
      </c>
      <c r="F686" s="185" t="s">
        <v>24</v>
      </c>
      <c r="G686" s="186" t="s">
        <v>75</v>
      </c>
      <c r="H686" s="193" t="s">
        <v>2817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2818</v>
      </c>
    </row>
    <row r="687" spans="1:20" ht="22.5" customHeight="1">
      <c r="A687" s="193" t="s">
        <v>2819</v>
      </c>
      <c r="B687" s="152">
        <v>2026</v>
      </c>
      <c r="C687" s="164" t="s">
        <v>22</v>
      </c>
      <c r="D687" s="127" t="s">
        <v>2820</v>
      </c>
      <c r="E687" s="128" t="s">
        <v>2821</v>
      </c>
      <c r="F687" s="129" t="s">
        <v>24</v>
      </c>
      <c r="G687" s="130" t="s">
        <v>25</v>
      </c>
      <c r="H687" s="175" t="s">
        <v>2822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2823</v>
      </c>
    </row>
    <row r="688" spans="1:20" ht="22.5" customHeight="1">
      <c r="A688" s="193" t="s">
        <v>2824</v>
      </c>
      <c r="B688" s="152">
        <v>2026</v>
      </c>
      <c r="C688" s="127" t="s">
        <v>22</v>
      </c>
      <c r="D688" s="173" t="s">
        <v>2825</v>
      </c>
      <c r="E688" s="180" t="s">
        <v>2826</v>
      </c>
      <c r="F688" s="129" t="s">
        <v>69</v>
      </c>
      <c r="G688" s="174" t="s">
        <v>2702</v>
      </c>
      <c r="H688" s="175" t="s">
        <v>2827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22.5" customHeight="1">
      <c r="A689" s="193" t="s">
        <v>2828</v>
      </c>
      <c r="B689" s="152">
        <v>2026</v>
      </c>
      <c r="C689" s="127" t="s">
        <v>22</v>
      </c>
      <c r="D689" s="173" t="s">
        <v>2825</v>
      </c>
      <c r="E689" s="219" t="s">
        <v>2829</v>
      </c>
      <c r="F689" s="129" t="s">
        <v>69</v>
      </c>
      <c r="G689" s="174" t="s">
        <v>2702</v>
      </c>
      <c r="H689" s="175" t="s">
        <v>2830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22.5" customHeight="1">
      <c r="A690" s="193" t="s">
        <v>2831</v>
      </c>
      <c r="B690" s="152">
        <v>2026</v>
      </c>
      <c r="C690" s="183" t="s">
        <v>22</v>
      </c>
      <c r="D690" s="183" t="s">
        <v>2832</v>
      </c>
      <c r="E690" s="184" t="s">
        <v>2833</v>
      </c>
      <c r="F690" s="185" t="s">
        <v>24</v>
      </c>
      <c r="G690" s="186" t="s">
        <v>25</v>
      </c>
      <c r="H690" s="193" t="s">
        <v>2834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2835</v>
      </c>
    </row>
    <row r="691" spans="1:20" ht="22.5" customHeight="1">
      <c r="A691" s="193" t="s">
        <v>2836</v>
      </c>
      <c r="B691" s="152">
        <v>2026</v>
      </c>
      <c r="C691" s="127" t="s">
        <v>22</v>
      </c>
      <c r="D691" s="173" t="s">
        <v>2837</v>
      </c>
      <c r="E691" s="162" t="s">
        <v>2838</v>
      </c>
      <c r="F691" s="129" t="s">
        <v>69</v>
      </c>
      <c r="G691" s="174" t="s">
        <v>2702</v>
      </c>
      <c r="H691" s="175" t="s">
        <v>2839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>
      <c r="A692" s="193" t="s">
        <v>2840</v>
      </c>
      <c r="B692" s="152">
        <v>2026</v>
      </c>
      <c r="C692" s="183" t="s">
        <v>22</v>
      </c>
      <c r="D692" s="183" t="s">
        <v>2792</v>
      </c>
      <c r="E692" s="184" t="s">
        <v>2841</v>
      </c>
      <c r="F692" s="185" t="s">
        <v>24</v>
      </c>
      <c r="G692" s="186" t="s">
        <v>2728</v>
      </c>
      <c r="H692" s="193" t="s">
        <v>2842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22.5" customHeight="1">
      <c r="A693" s="193" t="s">
        <v>2843</v>
      </c>
      <c r="B693" s="152">
        <v>2026</v>
      </c>
      <c r="C693" s="183" t="s">
        <v>22</v>
      </c>
      <c r="D693" s="183" t="s">
        <v>2844</v>
      </c>
      <c r="E693" s="184" t="s">
        <v>2845</v>
      </c>
      <c r="F693" s="185" t="s">
        <v>69</v>
      </c>
      <c r="G693" s="186" t="s">
        <v>79</v>
      </c>
      <c r="H693" s="193" t="s">
        <v>2846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22.5" customHeight="1">
      <c r="A694" s="193" t="s">
        <v>2847</v>
      </c>
      <c r="B694" s="152">
        <v>2026</v>
      </c>
      <c r="C694" s="183" t="s">
        <v>2774</v>
      </c>
      <c r="D694" s="183" t="s">
        <v>2848</v>
      </c>
      <c r="E694" s="184" t="s">
        <v>2849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>
      <c r="A695" s="193" t="s">
        <v>2850</v>
      </c>
      <c r="B695" s="152">
        <v>2026</v>
      </c>
      <c r="C695" s="183" t="s">
        <v>22</v>
      </c>
      <c r="D695" s="183" t="s">
        <v>2851</v>
      </c>
      <c r="E695" s="184" t="s">
        <v>2852</v>
      </c>
      <c r="F695" s="185" t="s">
        <v>88</v>
      </c>
      <c r="G695" s="186" t="s">
        <v>2749</v>
      </c>
      <c r="H695" s="193" t="s">
        <v>2853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22.5" customHeight="1">
      <c r="A696" s="193" t="s">
        <v>2854</v>
      </c>
      <c r="B696" s="152">
        <v>2026</v>
      </c>
      <c r="C696" s="164" t="s">
        <v>22</v>
      </c>
      <c r="D696" s="127" t="s">
        <v>2800</v>
      </c>
      <c r="E696" s="128" t="s">
        <v>2855</v>
      </c>
      <c r="F696" s="129" t="s">
        <v>24</v>
      </c>
      <c r="G696" s="130" t="s">
        <v>2708</v>
      </c>
      <c r="H696" s="131" t="s">
        <v>2856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22.5" customHeight="1">
      <c r="A697" s="193" t="s">
        <v>2857</v>
      </c>
      <c r="B697" s="152">
        <v>2026</v>
      </c>
      <c r="C697" s="183" t="s">
        <v>2566</v>
      </c>
      <c r="D697" s="183" t="s">
        <v>2858</v>
      </c>
      <c r="E697" s="184" t="s">
        <v>2859</v>
      </c>
      <c r="F697" s="185" t="s">
        <v>24</v>
      </c>
      <c r="G697" s="186" t="s">
        <v>75</v>
      </c>
      <c r="H697" s="193" t="s">
        <v>2860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2823</v>
      </c>
    </row>
    <row r="698" spans="1:20" ht="22.5" customHeight="1">
      <c r="A698" s="193" t="s">
        <v>2861</v>
      </c>
      <c r="B698" s="152">
        <v>2026</v>
      </c>
      <c r="C698" s="183" t="s">
        <v>22</v>
      </c>
      <c r="D698" s="183" t="s">
        <v>2862</v>
      </c>
      <c r="E698" s="184" t="s">
        <v>2863</v>
      </c>
      <c r="F698" s="185" t="s">
        <v>88</v>
      </c>
      <c r="G698" s="186" t="s">
        <v>2749</v>
      </c>
      <c r="H698" s="193" t="s">
        <v>2864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>
      <c r="A699" s="193" t="s">
        <v>2865</v>
      </c>
      <c r="B699" s="152">
        <v>2026</v>
      </c>
      <c r="C699" s="183" t="s">
        <v>22</v>
      </c>
      <c r="D699" s="183" t="s">
        <v>2866</v>
      </c>
      <c r="E699" s="184" t="s">
        <v>2867</v>
      </c>
      <c r="F699" s="185" t="s">
        <v>69</v>
      </c>
      <c r="G699" s="186" t="s">
        <v>79</v>
      </c>
      <c r="H699" s="193" t="s">
        <v>2868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>
      <c r="A700" s="193" t="s">
        <v>2869</v>
      </c>
      <c r="B700" s="152">
        <v>2026</v>
      </c>
      <c r="C700" s="183" t="s">
        <v>2774</v>
      </c>
      <c r="D700" s="183" t="s">
        <v>2870</v>
      </c>
      <c r="E700" s="184" t="s">
        <v>2871</v>
      </c>
      <c r="F700" s="185" t="s">
        <v>69</v>
      </c>
      <c r="G700" s="186" t="s">
        <v>79</v>
      </c>
      <c r="H700" s="193" t="s">
        <v>2872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2873</v>
      </c>
    </row>
    <row r="701" spans="1:20" ht="22.5" customHeight="1">
      <c r="A701" s="193" t="s">
        <v>2874</v>
      </c>
      <c r="B701" s="152">
        <v>2026</v>
      </c>
      <c r="C701" s="183" t="s">
        <v>2799</v>
      </c>
      <c r="D701" s="127" t="s">
        <v>2800</v>
      </c>
      <c r="E701" s="128" t="s">
        <v>2855</v>
      </c>
      <c r="F701" s="185" t="s">
        <v>24</v>
      </c>
      <c r="G701" s="186" t="s">
        <v>2708</v>
      </c>
      <c r="H701" s="193" t="s">
        <v>2875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22.5" customHeight="1">
      <c r="A702" s="193" t="s">
        <v>2876</v>
      </c>
      <c r="B702" s="152">
        <v>2026</v>
      </c>
      <c r="C702" s="183" t="s">
        <v>2774</v>
      </c>
      <c r="D702" s="183" t="s">
        <v>2877</v>
      </c>
      <c r="E702" s="184" t="s">
        <v>2878</v>
      </c>
      <c r="F702" s="185" t="s">
        <v>69</v>
      </c>
      <c r="G702" s="186" t="s">
        <v>79</v>
      </c>
      <c r="H702" s="193" t="s">
        <v>2879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2880</v>
      </c>
    </row>
    <row r="703" spans="1:20" ht="22.5" customHeight="1">
      <c r="A703" s="193" t="s">
        <v>2881</v>
      </c>
      <c r="B703" s="152">
        <v>2026</v>
      </c>
      <c r="C703" s="183" t="s">
        <v>2774</v>
      </c>
      <c r="D703" s="183" t="s">
        <v>2882</v>
      </c>
      <c r="E703" s="184" t="s">
        <v>2883</v>
      </c>
      <c r="F703" s="185" t="s">
        <v>69</v>
      </c>
      <c r="G703" s="186" t="s">
        <v>79</v>
      </c>
      <c r="H703" s="193" t="s">
        <v>2884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22.5" customHeight="1">
      <c r="A704" s="193" t="s">
        <v>2885</v>
      </c>
      <c r="B704" s="152">
        <v>2026</v>
      </c>
      <c r="C704" s="183" t="s">
        <v>2774</v>
      </c>
      <c r="D704" s="183" t="s">
        <v>2886</v>
      </c>
      <c r="E704" s="184" t="s">
        <v>2887</v>
      </c>
      <c r="F704" s="185" t="s">
        <v>69</v>
      </c>
      <c r="G704" s="186" t="s">
        <v>79</v>
      </c>
      <c r="H704" s="193" t="s">
        <v>2884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2888</v>
      </c>
    </row>
    <row r="705" spans="1:21" ht="22.5" customHeight="1">
      <c r="A705" s="193" t="s">
        <v>2889</v>
      </c>
      <c r="B705" s="152">
        <v>2026</v>
      </c>
      <c r="C705" s="183" t="s">
        <v>2774</v>
      </c>
      <c r="D705" s="183" t="s">
        <v>2890</v>
      </c>
      <c r="E705" s="184" t="s">
        <v>2891</v>
      </c>
      <c r="F705" s="185" t="s">
        <v>69</v>
      </c>
      <c r="G705" s="186" t="s">
        <v>79</v>
      </c>
      <c r="H705" s="193" t="s">
        <v>2892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22.5" customHeight="1">
      <c r="A706" s="193" t="s">
        <v>2893</v>
      </c>
      <c r="B706" s="152">
        <v>2026</v>
      </c>
      <c r="C706" s="183" t="s">
        <v>2774</v>
      </c>
      <c r="D706" s="183" t="s">
        <v>2894</v>
      </c>
      <c r="E706" s="184" t="s">
        <v>2895</v>
      </c>
      <c r="F706" s="185" t="s">
        <v>69</v>
      </c>
      <c r="G706" s="186" t="s">
        <v>79</v>
      </c>
      <c r="H706" s="193" t="s">
        <v>2896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22.5" customHeight="1">
      <c r="A707" s="193" t="s">
        <v>2897</v>
      </c>
      <c r="B707" s="152">
        <v>2026</v>
      </c>
      <c r="C707" s="183" t="s">
        <v>2774</v>
      </c>
      <c r="D707" s="183" t="s">
        <v>2898</v>
      </c>
      <c r="E707" s="184" t="s">
        <v>2899</v>
      </c>
      <c r="F707" s="185" t="s">
        <v>69</v>
      </c>
      <c r="G707" s="186" t="s">
        <v>79</v>
      </c>
      <c r="H707" s="193" t="s">
        <v>2896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2900</v>
      </c>
    </row>
    <row r="708" spans="1:21" ht="22.5" customHeight="1">
      <c r="A708" s="193" t="s">
        <v>2901</v>
      </c>
      <c r="B708" s="152">
        <v>2026</v>
      </c>
      <c r="C708" s="183" t="s">
        <v>2774</v>
      </c>
      <c r="D708" s="183" t="s">
        <v>2902</v>
      </c>
      <c r="E708" s="184" t="s">
        <v>2903</v>
      </c>
      <c r="F708" s="185" t="s">
        <v>69</v>
      </c>
      <c r="G708" s="186" t="s">
        <v>79</v>
      </c>
      <c r="H708" s="193" t="s">
        <v>2904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2905</v>
      </c>
    </row>
    <row r="709" spans="1:21" ht="22.5" customHeight="1">
      <c r="A709" s="193" t="s">
        <v>2906</v>
      </c>
      <c r="B709" s="152">
        <v>2026</v>
      </c>
      <c r="C709" s="183" t="s">
        <v>2774</v>
      </c>
      <c r="D709" s="183" t="s">
        <v>2907</v>
      </c>
      <c r="E709" s="184" t="s">
        <v>2908</v>
      </c>
      <c r="F709" s="185" t="s">
        <v>69</v>
      </c>
      <c r="G709" s="186" t="s">
        <v>79</v>
      </c>
      <c r="H709" s="193" t="s">
        <v>2904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2909</v>
      </c>
      <c r="U709" s="108"/>
    </row>
    <row r="710" spans="1:21" ht="22.5" customHeight="1">
      <c r="A710" s="193" t="s">
        <v>2910</v>
      </c>
      <c r="B710" s="152">
        <v>2026</v>
      </c>
      <c r="C710" s="183" t="s">
        <v>2774</v>
      </c>
      <c r="D710" s="183" t="s">
        <v>2911</v>
      </c>
      <c r="E710" s="184" t="s">
        <v>2912</v>
      </c>
      <c r="F710" s="185" t="s">
        <v>24</v>
      </c>
      <c r="G710" s="186" t="s">
        <v>206</v>
      </c>
      <c r="H710" s="193" t="s">
        <v>2913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2914</v>
      </c>
    </row>
    <row r="711" spans="1:21" ht="22.5" customHeight="1">
      <c r="A711" s="193" t="s">
        <v>2915</v>
      </c>
      <c r="B711" s="152">
        <v>2026</v>
      </c>
      <c r="C711" s="183" t="s">
        <v>2774</v>
      </c>
      <c r="D711" s="183" t="s">
        <v>2765</v>
      </c>
      <c r="E711" s="184" t="s">
        <v>2916</v>
      </c>
      <c r="F711" s="185" t="s">
        <v>88</v>
      </c>
      <c r="G711" s="186" t="s">
        <v>2749</v>
      </c>
      <c r="H711" s="193" t="s">
        <v>2917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 t="s">
        <v>2918</v>
      </c>
    </row>
    <row r="712" spans="1:21" ht="22.5" customHeight="1">
      <c r="A712" s="193" t="s">
        <v>2919</v>
      </c>
      <c r="B712" s="152">
        <v>2026</v>
      </c>
      <c r="C712" s="183" t="s">
        <v>2774</v>
      </c>
      <c r="D712" s="183" t="s">
        <v>2765</v>
      </c>
      <c r="E712" s="184" t="s">
        <v>2916</v>
      </c>
      <c r="F712" s="185" t="s">
        <v>88</v>
      </c>
      <c r="G712" s="186" t="s">
        <v>2749</v>
      </c>
      <c r="H712" s="193" t="s">
        <v>2920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 t="s">
        <v>2921</v>
      </c>
    </row>
    <row r="713" spans="1:21" ht="22.5" customHeight="1">
      <c r="A713" s="193" t="s">
        <v>2922</v>
      </c>
      <c r="B713" s="152">
        <v>2026</v>
      </c>
      <c r="C713" s="183" t="s">
        <v>2774</v>
      </c>
      <c r="D713" s="183" t="s">
        <v>2923</v>
      </c>
      <c r="E713" s="184" t="s">
        <v>2924</v>
      </c>
      <c r="F713" s="185" t="s">
        <v>69</v>
      </c>
      <c r="G713" s="186" t="s">
        <v>79</v>
      </c>
      <c r="H713" s="220" t="s">
        <v>2925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2926</v>
      </c>
    </row>
    <row r="714" spans="1:21" ht="22.5" customHeight="1">
      <c r="A714" s="193" t="s">
        <v>2927</v>
      </c>
      <c r="B714" s="152">
        <v>2026</v>
      </c>
      <c r="C714" s="164" t="s">
        <v>2774</v>
      </c>
      <c r="D714" s="127" t="s">
        <v>2928</v>
      </c>
      <c r="E714" s="162" t="s">
        <v>2929</v>
      </c>
      <c r="F714" s="129" t="s">
        <v>88</v>
      </c>
      <c r="G714" s="130" t="s">
        <v>2749</v>
      </c>
      <c r="H714" s="131" t="s">
        <v>2930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2931</v>
      </c>
    </row>
    <row r="715" spans="1:21" ht="22.5" customHeight="1">
      <c r="A715" s="193" t="s">
        <v>2932</v>
      </c>
      <c r="B715" s="152">
        <v>2026</v>
      </c>
      <c r="C715" s="183" t="s">
        <v>2774</v>
      </c>
      <c r="D715" s="183" t="s">
        <v>2765</v>
      </c>
      <c r="E715" s="184" t="s">
        <v>2916</v>
      </c>
      <c r="F715" s="185" t="s">
        <v>88</v>
      </c>
      <c r="G715" s="186" t="s">
        <v>2749</v>
      </c>
      <c r="H715" s="193" t="s">
        <v>2933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 t="s">
        <v>2921</v>
      </c>
    </row>
    <row r="716" spans="1:21" ht="22.5" customHeight="1">
      <c r="A716" s="193" t="s">
        <v>2934</v>
      </c>
      <c r="B716" s="152">
        <v>2026</v>
      </c>
      <c r="C716" s="183" t="s">
        <v>2774</v>
      </c>
      <c r="D716" s="183" t="s">
        <v>2765</v>
      </c>
      <c r="E716" s="184" t="s">
        <v>2916</v>
      </c>
      <c r="F716" s="185" t="s">
        <v>88</v>
      </c>
      <c r="G716" s="186" t="s">
        <v>2749</v>
      </c>
      <c r="H716" s="193" t="s">
        <v>2935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 t="s">
        <v>2921</v>
      </c>
    </row>
    <row r="717" spans="1:21" ht="22.5" customHeight="1">
      <c r="A717" s="193" t="s">
        <v>2936</v>
      </c>
      <c r="B717" s="152">
        <v>2026</v>
      </c>
      <c r="C717" s="183" t="s">
        <v>2774</v>
      </c>
      <c r="D717" s="183" t="s">
        <v>2765</v>
      </c>
      <c r="E717" s="184" t="s">
        <v>2916</v>
      </c>
      <c r="F717" s="185" t="s">
        <v>88</v>
      </c>
      <c r="G717" s="186" t="s">
        <v>2749</v>
      </c>
      <c r="H717" s="193" t="s">
        <v>2937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 t="s">
        <v>2921</v>
      </c>
    </row>
    <row r="718" spans="1:21" ht="22.5" customHeight="1">
      <c r="A718" s="193" t="s">
        <v>2938</v>
      </c>
      <c r="B718" s="152">
        <v>2026</v>
      </c>
      <c r="C718" s="183" t="s">
        <v>2774</v>
      </c>
      <c r="D718" s="183" t="s">
        <v>2765</v>
      </c>
      <c r="E718" s="184" t="s">
        <v>2916</v>
      </c>
      <c r="F718" s="185" t="s">
        <v>88</v>
      </c>
      <c r="G718" s="186" t="s">
        <v>2749</v>
      </c>
      <c r="H718" s="193" t="s">
        <v>2939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 t="s">
        <v>2921</v>
      </c>
    </row>
    <row r="719" spans="1:21" ht="22.5" customHeight="1">
      <c r="A719" s="193" t="s">
        <v>2940</v>
      </c>
      <c r="B719" s="152">
        <v>2026</v>
      </c>
      <c r="C719" s="183" t="s">
        <v>2774</v>
      </c>
      <c r="D719" s="183" t="s">
        <v>2941</v>
      </c>
      <c r="E719" s="184" t="s">
        <v>2942</v>
      </c>
      <c r="F719" s="185" t="s">
        <v>69</v>
      </c>
      <c r="G719" s="186" t="s">
        <v>79</v>
      </c>
      <c r="H719" s="193" t="s">
        <v>2943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>
      <c r="A720" s="193" t="s">
        <v>2944</v>
      </c>
      <c r="B720" s="152">
        <v>2026</v>
      </c>
      <c r="C720" s="127" t="s">
        <v>2774</v>
      </c>
      <c r="D720" s="173" t="s">
        <v>2945</v>
      </c>
      <c r="E720" s="180" t="s">
        <v>2946</v>
      </c>
      <c r="F720" s="129" t="s">
        <v>69</v>
      </c>
      <c r="G720" s="130" t="s">
        <v>79</v>
      </c>
      <c r="H720" s="175" t="s">
        <v>2947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>
      <c r="A721" s="193" t="s">
        <v>2948</v>
      </c>
      <c r="B721" s="152">
        <v>2026</v>
      </c>
      <c r="C721" s="195" t="s">
        <v>2774</v>
      </c>
      <c r="D721" s="195" t="s">
        <v>2949</v>
      </c>
      <c r="E721" s="205" t="s">
        <v>2950</v>
      </c>
      <c r="F721" s="222" t="s">
        <v>24</v>
      </c>
      <c r="G721" s="196" t="s">
        <v>75</v>
      </c>
      <c r="H721" s="197" t="s">
        <v>2951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2952</v>
      </c>
    </row>
    <row r="722" spans="1:20" ht="22.5" customHeight="1">
      <c r="A722" s="193" t="s">
        <v>2953</v>
      </c>
      <c r="B722" s="127">
        <v>2026</v>
      </c>
      <c r="C722" s="183" t="s">
        <v>2774</v>
      </c>
      <c r="D722" s="183" t="s">
        <v>2954</v>
      </c>
      <c r="E722" s="184" t="s">
        <v>2955</v>
      </c>
      <c r="F722" s="185" t="s">
        <v>69</v>
      </c>
      <c r="G722" s="186" t="s">
        <v>79</v>
      </c>
      <c r="H722" s="193" t="s">
        <v>2777</v>
      </c>
      <c r="I722" s="194" t="s">
        <v>2956</v>
      </c>
      <c r="J722" s="194" t="s">
        <v>2957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2958</v>
      </c>
    </row>
    <row r="723" spans="1:20" ht="22.5" customHeight="1">
      <c r="A723" s="193" t="s">
        <v>2959</v>
      </c>
      <c r="B723" s="152">
        <v>2026</v>
      </c>
      <c r="C723" s="183" t="s">
        <v>2774</v>
      </c>
      <c r="D723" s="183" t="s">
        <v>2960</v>
      </c>
      <c r="E723" s="184" t="s">
        <v>2961</v>
      </c>
      <c r="F723" s="185" t="s">
        <v>24</v>
      </c>
      <c r="G723" s="186" t="s">
        <v>206</v>
      </c>
      <c r="H723" s="193" t="s">
        <v>2884</v>
      </c>
      <c r="I723" s="193" t="s">
        <v>2884</v>
      </c>
      <c r="J723" s="193" t="s">
        <v>2884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2962</v>
      </c>
    </row>
    <row r="724" spans="1:20" ht="22.5" customHeight="1">
      <c r="A724" s="193" t="s">
        <v>2963</v>
      </c>
      <c r="B724" s="151">
        <v>2026</v>
      </c>
      <c r="C724" s="183" t="s">
        <v>2774</v>
      </c>
      <c r="D724" s="183" t="s">
        <v>2964</v>
      </c>
      <c r="E724" s="184" t="s">
        <v>2965</v>
      </c>
      <c r="F724" s="185" t="s">
        <v>69</v>
      </c>
      <c r="G724" s="186" t="s">
        <v>79</v>
      </c>
      <c r="H724" s="193" t="s">
        <v>2913</v>
      </c>
      <c r="I724" s="194" t="s">
        <v>2913</v>
      </c>
      <c r="J724" s="194" t="s">
        <v>2913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2966</v>
      </c>
    </row>
    <row r="725" spans="1:20" ht="22.5" customHeight="1">
      <c r="A725" s="193" t="s">
        <v>2967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>
      <c r="A726" s="193" t="s">
        <v>2968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>
      <c r="A727" s="193" t="s">
        <v>2969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>
      <c r="A728" s="193" t="s">
        <v>2970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>
      <c r="A729" s="193" t="s">
        <v>2971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V101" sqref="V101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0</v>
      </c>
      <c r="AA4">
        <v>0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2824</v>
      </c>
      <c r="Y25" s="18" t="s">
        <v>425</v>
      </c>
      <c r="AA25">
        <v>3.6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2824</v>
      </c>
      <c r="Y26" s="18" t="s">
        <v>1103</v>
      </c>
      <c r="Z26">
        <v>0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2828</v>
      </c>
      <c r="Y27" s="18" t="s">
        <v>425</v>
      </c>
      <c r="AA27">
        <v>2.4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2828</v>
      </c>
      <c r="Y28" s="18" t="s">
        <v>1103</v>
      </c>
      <c r="AA28">
        <v>0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2.4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3048</v>
      </c>
      <c r="AA30">
        <v>0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3049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3050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3051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3052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3053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3054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3055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3056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3057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5" t="s">
        <v>3058</v>
      </c>
      <c r="B1" s="225"/>
      <c r="C1" s="225"/>
      <c r="D1" s="225"/>
      <c r="E1" s="225"/>
      <c r="F1" s="225"/>
      <c r="G1" s="2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6" t="s">
        <v>3059</v>
      </c>
      <c r="B4" s="227"/>
      <c r="D4" s="228" t="s">
        <v>3060</v>
      </c>
      <c r="E4" s="229"/>
      <c r="G4" s="45" t="s">
        <v>3061</v>
      </c>
    </row>
    <row r="5" spans="1:7" ht="54.95" customHeight="1" thickBot="1">
      <c r="A5" s="35">
        <f>COUNTIF('Ações InCompany'!B:B,2026)</f>
        <v>73</v>
      </c>
      <c r="B5" s="36" t="s">
        <v>3062</v>
      </c>
      <c r="D5" s="43">
        <f>COUNTIFS('Ações InCompany'!B:B,2026,'Ações InCompany'!C:C,"Realizado")</f>
        <v>37</v>
      </c>
      <c r="E5" s="44" t="s">
        <v>3062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4" t="s">
        <v>3063</v>
      </c>
      <c r="B8" s="224"/>
      <c r="D8" s="224" t="s">
        <v>3064</v>
      </c>
      <c r="E8" s="224"/>
    </row>
    <row r="9" spans="1:7" ht="5.0999999999999996" customHeight="1">
      <c r="A9" s="236"/>
      <c r="B9" s="236"/>
      <c r="D9" s="236"/>
      <c r="E9" s="236"/>
    </row>
    <row r="10" spans="1:7" ht="24.95" customHeight="1">
      <c r="A10" s="28" t="s">
        <v>5</v>
      </c>
      <c r="B10" s="28" t="s">
        <v>3065</v>
      </c>
      <c r="D10" s="28" t="s">
        <v>3066</v>
      </c>
      <c r="E10" s="28" t="s">
        <v>3067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3068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3070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3071</v>
      </c>
      <c r="B14" s="34">
        <f>SUM(B11:B13)</f>
        <v>37</v>
      </c>
      <c r="D14" s="33" t="s">
        <v>3072</v>
      </c>
      <c r="E14" s="34">
        <f>SUM(E11:E13)</f>
        <v>1824</v>
      </c>
    </row>
    <row r="30" spans="1:5" ht="17.25">
      <c r="A30" s="224" t="s">
        <v>3073</v>
      </c>
      <c r="B30" s="224"/>
      <c r="C30" s="224"/>
      <c r="D30" s="224"/>
      <c r="E30" s="224"/>
    </row>
    <row r="31" spans="1:5" ht="5.0999999999999996" customHeight="1">
      <c r="A31" s="236"/>
      <c r="B31" s="236"/>
      <c r="C31" s="236"/>
      <c r="D31" s="236"/>
      <c r="E31" s="236"/>
    </row>
    <row r="32" spans="1:5" ht="24.95" customHeight="1">
      <c r="A32" s="28" t="s">
        <v>6</v>
      </c>
      <c r="B32" s="28" t="s">
        <v>3074</v>
      </c>
      <c r="C32" s="28" t="s">
        <v>3075</v>
      </c>
      <c r="D32" s="28" t="s">
        <v>3076</v>
      </c>
      <c r="E32" s="28" t="s">
        <v>3077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3071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3085</v>
      </c>
      <c r="B2" s="12" t="s">
        <v>3086</v>
      </c>
      <c r="C2" s="12" t="s">
        <v>1736</v>
      </c>
      <c r="D2" s="12" t="s">
        <v>3087</v>
      </c>
      <c r="E2" s="12" t="s">
        <v>3088</v>
      </c>
    </row>
    <row r="3" spans="1:5" ht="18" customHeight="1">
      <c r="A3" s="12" t="s">
        <v>3085</v>
      </c>
      <c r="B3" s="12" t="s">
        <v>3086</v>
      </c>
      <c r="C3" s="14" t="s">
        <v>25</v>
      </c>
      <c r="D3" s="12" t="s">
        <v>3089</v>
      </c>
      <c r="E3" s="12" t="s">
        <v>3090</v>
      </c>
    </row>
    <row r="4" spans="1:5" ht="18" customHeight="1">
      <c r="A4" s="12" t="s">
        <v>3085</v>
      </c>
      <c r="B4" s="12" t="s">
        <v>3086</v>
      </c>
      <c r="C4" s="12" t="s">
        <v>75</v>
      </c>
      <c r="D4" s="12" t="s">
        <v>3087</v>
      </c>
      <c r="E4" s="12" t="s">
        <v>3091</v>
      </c>
    </row>
    <row r="5" spans="1:5" ht="18" customHeight="1">
      <c r="A5" s="12" t="s">
        <v>3085</v>
      </c>
      <c r="B5" s="12" t="s">
        <v>3086</v>
      </c>
      <c r="C5" s="12" t="s">
        <v>79</v>
      </c>
      <c r="D5" s="12" t="s">
        <v>3092</v>
      </c>
      <c r="E5" s="12" t="s">
        <v>3093</v>
      </c>
    </row>
    <row r="6" spans="1:5" ht="18" customHeight="1">
      <c r="A6" s="12" t="s">
        <v>3085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3085</v>
      </c>
      <c r="B7" s="12" t="s">
        <v>3096</v>
      </c>
      <c r="C7" s="12" t="s">
        <v>36</v>
      </c>
      <c r="D7" s="12" t="s">
        <v>3097</v>
      </c>
      <c r="E7" s="12" t="s">
        <v>3098</v>
      </c>
    </row>
    <row r="8" spans="1:5" ht="18" customHeight="1">
      <c r="A8" s="12" t="s">
        <v>3085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3085</v>
      </c>
      <c r="B9" s="12" t="s">
        <v>3101</v>
      </c>
      <c r="C9" s="12" t="s">
        <v>464</v>
      </c>
      <c r="D9" s="12" t="s">
        <v>3102</v>
      </c>
      <c r="E9" s="12" t="s">
        <v>3103</v>
      </c>
    </row>
    <row r="10" spans="1:5" ht="18" customHeight="1">
      <c r="A10" s="12" t="s">
        <v>3085</v>
      </c>
      <c r="B10" s="12" t="s">
        <v>3101</v>
      </c>
      <c r="C10" s="12" t="s">
        <v>206</v>
      </c>
      <c r="D10" s="12" t="s">
        <v>24</v>
      </c>
      <c r="E10" s="12" t="s">
        <v>3104</v>
      </c>
    </row>
    <row r="11" spans="1:5" ht="18" customHeight="1">
      <c r="A11" s="12" t="s">
        <v>3085</v>
      </c>
      <c r="B11" s="12" t="s">
        <v>3101</v>
      </c>
      <c r="C11" s="12" t="s">
        <v>371</v>
      </c>
      <c r="D11" s="12" t="s">
        <v>24</v>
      </c>
      <c r="E11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3106</v>
      </c>
      <c r="B1" s="5" t="s">
        <v>10</v>
      </c>
      <c r="C1" s="15" t="s">
        <v>3107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3108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3111</v>
      </c>
      <c r="B2" s="12" t="s">
        <v>3086</v>
      </c>
      <c r="C2" s="14" t="s">
        <v>25</v>
      </c>
      <c r="D2" s="12" t="s">
        <v>3087</v>
      </c>
      <c r="E2" s="17" t="s">
        <v>3112</v>
      </c>
    </row>
    <row r="3" spans="1:5" ht="18" customHeight="1">
      <c r="A3" s="12" t="s">
        <v>3111</v>
      </c>
      <c r="B3" s="12" t="s">
        <v>3086</v>
      </c>
      <c r="C3" s="12" t="s">
        <v>75</v>
      </c>
      <c r="D3" s="12" t="s">
        <v>3089</v>
      </c>
      <c r="E3" s="12" t="s">
        <v>3113</v>
      </c>
    </row>
    <row r="4" spans="1:5" ht="18" customHeight="1">
      <c r="A4" s="12" t="s">
        <v>3111</v>
      </c>
      <c r="B4" s="12" t="s">
        <v>3086</v>
      </c>
      <c r="C4" s="12" t="s">
        <v>79</v>
      </c>
      <c r="D4" s="12" t="s">
        <v>3092</v>
      </c>
      <c r="E4" s="12" t="s">
        <v>3114</v>
      </c>
    </row>
    <row r="5" spans="1:5" ht="27.75" customHeight="1">
      <c r="A5" s="12" t="s">
        <v>3111</v>
      </c>
      <c r="B5" s="12" t="s">
        <v>3086</v>
      </c>
      <c r="C5" s="12" t="s">
        <v>2702</v>
      </c>
      <c r="D5" s="17" t="s">
        <v>3115</v>
      </c>
      <c r="E5" s="12" t="s">
        <v>3116</v>
      </c>
    </row>
    <row r="6" spans="1:5" ht="18" customHeight="1">
      <c r="A6" s="12" t="s">
        <v>3111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3111</v>
      </c>
      <c r="B7" s="12" t="s">
        <v>3096</v>
      </c>
      <c r="C7" s="12" t="s">
        <v>2728</v>
      </c>
      <c r="D7" s="12" t="s">
        <v>3117</v>
      </c>
      <c r="E7" s="12" t="s">
        <v>3118</v>
      </c>
    </row>
    <row r="8" spans="1:5" ht="18" customHeight="1">
      <c r="A8" s="12" t="s">
        <v>3111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3111</v>
      </c>
      <c r="B9" s="12" t="s">
        <v>3096</v>
      </c>
      <c r="C9" s="12" t="s">
        <v>2708</v>
      </c>
      <c r="D9" s="12" t="s">
        <v>3119</v>
      </c>
      <c r="E9" s="17" t="s">
        <v>3120</v>
      </c>
    </row>
    <row r="10" spans="1:5" ht="18" customHeight="1">
      <c r="A10" s="12" t="s">
        <v>3111</v>
      </c>
      <c r="B10" s="12" t="s">
        <v>3121</v>
      </c>
      <c r="C10" s="12" t="s">
        <v>3078</v>
      </c>
      <c r="D10" s="12" t="s">
        <v>3122</v>
      </c>
      <c r="E10" s="17" t="s">
        <v>3123</v>
      </c>
    </row>
    <row r="11" spans="1:5" ht="18" customHeight="1">
      <c r="A11" s="12" t="s">
        <v>3111</v>
      </c>
      <c r="B11" s="12" t="s">
        <v>3121</v>
      </c>
      <c r="C11" s="12" t="s">
        <v>206</v>
      </c>
      <c r="D11" s="12" t="s">
        <v>24</v>
      </c>
      <c r="E11" s="12" t="s">
        <v>3104</v>
      </c>
    </row>
    <row r="12" spans="1:5" ht="18" customHeight="1">
      <c r="A12" s="12" t="s">
        <v>3111</v>
      </c>
      <c r="B12" s="12" t="s">
        <v>3121</v>
      </c>
      <c r="C12" s="12" t="s">
        <v>371</v>
      </c>
      <c r="D12" s="12" t="s">
        <v>24</v>
      </c>
      <c r="E12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0" t="s">
        <v>3124</v>
      </c>
      <c r="B1" s="230"/>
      <c r="C1" s="230"/>
      <c r="D1" s="230"/>
      <c r="E1" s="230"/>
      <c r="F1" s="230"/>
      <c r="G1" s="230"/>
      <c r="H1" s="230"/>
    </row>
    <row r="2" spans="1:8">
      <c r="A2" s="49" t="s">
        <v>3125</v>
      </c>
    </row>
    <row r="4" spans="1:8" ht="21.95" customHeight="1">
      <c r="A4" s="231" t="s">
        <v>3126</v>
      </c>
      <c r="B4" s="232"/>
      <c r="D4" s="231" t="s">
        <v>3127</v>
      </c>
      <c r="E4" s="232"/>
      <c r="G4" s="231" t="s">
        <v>3128</v>
      </c>
      <c r="H4" s="232"/>
    </row>
    <row r="5" spans="1:8" ht="35.1" customHeight="1">
      <c r="A5" s="235">
        <f>COUNTIF('Ações InCompany'!E:E,"*maratona*")</f>
        <v>13</v>
      </c>
      <c r="B5" s="234"/>
      <c r="D5" s="233">
        <f>SUM(H8:H100)</f>
        <v>1762</v>
      </c>
      <c r="E5" s="234"/>
      <c r="G5" s="233">
        <f>IFERROR(ROUND(D5/A5,0),"-")</f>
        <v>136</v>
      </c>
      <c r="H5" s="234"/>
    </row>
    <row r="6" spans="1:8" ht="9.9499999999999993" customHeight="1"/>
    <row r="7" spans="1:8" ht="24.95" customHeight="1" thickBot="1">
      <c r="A7" s="62" t="s">
        <v>3129</v>
      </c>
      <c r="B7" s="62" t="s">
        <v>3130</v>
      </c>
      <c r="C7" s="62" t="s">
        <v>1</v>
      </c>
      <c r="D7" s="62" t="s">
        <v>3131</v>
      </c>
      <c r="E7" s="62" t="s">
        <v>3132</v>
      </c>
      <c r="F7" s="62" t="s">
        <v>3022</v>
      </c>
      <c r="G7" s="62" t="s">
        <v>5</v>
      </c>
      <c r="H7" s="62" t="s">
        <v>3133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2" activePane="bottomLeft" state="frozen"/>
      <selection pane="bottomLeft" activeCell="A37" sqref="A37:XFD37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7" t="s">
        <v>3134</v>
      </c>
      <c r="B1" s="237"/>
      <c r="C1" s="237"/>
      <c r="D1" s="237"/>
      <c r="E1" s="237"/>
      <c r="F1" s="237"/>
    </row>
    <row r="2" spans="1:7">
      <c r="A2" s="238" t="s">
        <v>3135</v>
      </c>
      <c r="B2" s="238"/>
      <c r="C2" s="238"/>
      <c r="D2" s="238"/>
      <c r="E2" s="238"/>
      <c r="F2" s="238"/>
    </row>
    <row r="4" spans="1:7">
      <c r="A4" s="25" t="s">
        <v>19</v>
      </c>
      <c r="B4" s="25" t="s">
        <v>3025</v>
      </c>
      <c r="C4" s="25" t="s">
        <v>3026</v>
      </c>
      <c r="D4" s="25" t="s">
        <v>3136</v>
      </c>
      <c r="E4" s="25" t="s">
        <v>3027</v>
      </c>
      <c r="F4" s="25" t="s">
        <v>3137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3072</v>
      </c>
      <c r="B105" s="95">
        <f>SUM(B5:B100)</f>
        <v>791</v>
      </c>
      <c r="C105" s="95">
        <f>SUM(C5:C100)</f>
        <v>467.49999999999983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>
      <c r="A1" s="124" t="s">
        <v>3138</v>
      </c>
      <c r="B1" s="124" t="s">
        <v>3139</v>
      </c>
      <c r="C1" s="124" t="s">
        <v>3140</v>
      </c>
      <c r="D1" s="124" t="s">
        <v>3141</v>
      </c>
      <c r="E1" s="124" t="s">
        <v>3142</v>
      </c>
      <c r="F1" s="124" t="s">
        <v>3143</v>
      </c>
      <c r="G1" s="124" t="s">
        <v>10</v>
      </c>
      <c r="H1" s="124" t="s">
        <v>3144</v>
      </c>
      <c r="I1" s="124" t="s">
        <v>3145</v>
      </c>
      <c r="J1" s="124" t="s">
        <v>3146</v>
      </c>
      <c r="K1" s="124" t="s">
        <v>3147</v>
      </c>
      <c r="L1" s="124" t="s">
        <v>3148</v>
      </c>
      <c r="N1" s="124" t="s">
        <v>3149</v>
      </c>
    </row>
    <row r="2" spans="1:19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 t="shared" ref="I2:I33" si="0">IF(C2="","",IF(ISNUMBER(SEARCH(C2,H2)),"sim","NÃO"))</f>
        <v>NÃO</v>
      </c>
      <c r="J2" t="s">
        <v>3150</v>
      </c>
      <c r="L2" t="str">
        <f>IF(K2="","",IFERROR(INDEX(Tabela2[Curso],MATCH(K2,Tabela2[ID],0)),""))</f>
        <v/>
      </c>
      <c r="N2" s="124" t="s">
        <v>3021</v>
      </c>
      <c r="O2" s="124" t="s">
        <v>4</v>
      </c>
      <c r="P2" s="124" t="s">
        <v>3151</v>
      </c>
      <c r="Q2" s="124" t="s">
        <v>3152</v>
      </c>
      <c r="R2" s="124" t="s">
        <v>3153</v>
      </c>
      <c r="S2" s="124" t="s">
        <v>3154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3150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3150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3150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3150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1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3150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3150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1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3150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3150</v>
      </c>
      <c r="L10" t="str">
        <f>IF(K10="","",IFERROR(INDEX(Tabela2[Curso],MATCH(K10,Tabela2[ID],0)),""))</f>
        <v/>
      </c>
      <c r="N10" s="115" t="s">
        <v>3155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3150</v>
      </c>
      <c r="L11" t="str">
        <f>IF(K11="","",IFERROR(INDEX(Tabela2[Curso],MATCH(K11,Tabela2[ID],0)),""))</f>
        <v/>
      </c>
      <c r="N11" s="125" t="s">
        <v>3156</v>
      </c>
      <c r="O11" s="125" t="s">
        <v>3157</v>
      </c>
      <c r="P11" s="125" t="s">
        <v>3158</v>
      </c>
      <c r="Q11" s="125" t="s">
        <v>3141</v>
      </c>
      <c r="R11" s="125" t="s">
        <v>3142</v>
      </c>
      <c r="S11" s="125" t="s">
        <v>3159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3150</v>
      </c>
      <c r="L12" t="str">
        <f>IF(K12="","",IFERROR(INDEX(Tabela2[Curso],MATCH(K12,Tabela2[ID],0)),""))</f>
        <v/>
      </c>
      <c r="N12" t="s">
        <v>3160</v>
      </c>
      <c r="O12" t="s">
        <v>2778</v>
      </c>
      <c r="P12" t="s">
        <v>3161</v>
      </c>
      <c r="Q12">
        <v>0</v>
      </c>
      <c r="R12">
        <v>0</v>
      </c>
      <c r="S12" t="s">
        <v>3162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3150</v>
      </c>
      <c r="L13" t="str">
        <f>IF(K13="","",IFERROR(INDEX(Tabela2[Curso],MATCH(K13,Tabela2[ID],0)),""))</f>
        <v/>
      </c>
      <c r="N13" t="s">
        <v>3163</v>
      </c>
      <c r="O13" t="s">
        <v>2869</v>
      </c>
      <c r="P13" t="s">
        <v>3164</v>
      </c>
      <c r="Q13">
        <v>0</v>
      </c>
      <c r="R13">
        <v>0</v>
      </c>
      <c r="S13" t="s">
        <v>3165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3150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3150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3150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3150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3150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3150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3150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3150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3150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3150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 t="shared" si="0"/>
        <v>sim</v>
      </c>
      <c r="J24" t="s">
        <v>3150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 t="shared" si="0"/>
        <v>sim</v>
      </c>
      <c r="J25" t="s">
        <v>3150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 t="shared" si="0"/>
        <v>sim</v>
      </c>
      <c r="J26" t="s">
        <v>3150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 t="shared" si="0"/>
        <v>sim</v>
      </c>
      <c r="J27" t="s">
        <v>3150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3150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3150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3150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3150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3150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3150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3150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3150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3150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3150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3150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3150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3150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3150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3150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3150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 t="shared" si="3"/>
        <v>sim</v>
      </c>
      <c r="J44" t="s">
        <v>3150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 t="shared" si="3"/>
        <v>sim</v>
      </c>
      <c r="J45" t="s">
        <v>3150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 t="shared" si="3"/>
        <v>sim</v>
      </c>
      <c r="J46" t="s">
        <v>3150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 t="shared" si="3"/>
        <v>sim</v>
      </c>
      <c r="J47" t="s">
        <v>3150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 t="shared" si="3"/>
        <v>sim</v>
      </c>
      <c r="J48" t="s">
        <v>3150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 t="shared" si="3"/>
        <v>sim</v>
      </c>
      <c r="J49" t="s">
        <v>3150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 t="shared" si="3"/>
        <v>sim</v>
      </c>
      <c r="J50" t="s">
        <v>3150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 t="shared" si="3"/>
        <v>sim</v>
      </c>
      <c r="J51" t="s">
        <v>3150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 t="shared" si="3"/>
        <v>sim</v>
      </c>
      <c r="J52" t="s">
        <v>3150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 t="shared" si="3"/>
        <v>sim</v>
      </c>
      <c r="J53" t="s">
        <v>3150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3150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 t="shared" si="3"/>
        <v>sim</v>
      </c>
      <c r="J55" t="s">
        <v>3150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3150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3150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3150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3150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3150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3150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3150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3150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3150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3150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54B26992-BCD1-4DF2-A87D-5F3BC1837C0B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2026-07-30T17:49:36Z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