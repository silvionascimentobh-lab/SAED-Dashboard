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96" documentId="13_ncr:1_{6A2CC3E2-FAFB-4D8F-B284-5E8FB5045DFE}" xr6:coauthVersionLast="47" xr6:coauthVersionMax="47" xr10:uidLastSave="{6D4F146D-2A4C-41EB-BCF4-472E8A107FF8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a="1"/>
  <c r="A5" i="23" l="1" a="1"/>
  <c r="E105" i="23"/>
  <c r="A2" i="20"/>
  <c r="F6" i="23" l="1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<sst xmlns="http://schemas.openxmlformats.org/spreadsheetml/2006/main" count="7250" uniqueCount="3186">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</sst>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14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8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2" activePane="bottomLeft" state="frozen"/>
      <selection pane="bottomLeft" activeCell="E17" sqref="E17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2697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2697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2566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2566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2566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x14ac:dyDescent="0.2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2991</v>
      </c>
      <c r="H1" s="213" t="s">
        <v>2992</v>
      </c>
    </row>
    <row r="2" spans="1:8" x14ac:dyDescent="0.25">
      <c r="H2" s="212" t="s">
        <v>2993</v>
      </c>
    </row>
    <row r="3" spans="1:8" x14ac:dyDescent="0.25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 x14ac:dyDescent="0.25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 x14ac:dyDescent="0.25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 x14ac:dyDescent="0.25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 x14ac:dyDescent="0.25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Em andamento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Em andamento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Em andamento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Em andamento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Em andamento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Em andamento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Em andamento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Em andamento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3078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3079</v>
      </c>
      <c r="B4" s="230"/>
      <c r="D4" s="231" t="s">
        <v>3080</v>
      </c>
      <c r="E4" s="232"/>
      <c r="G4" s="45" t="s">
        <v>3081</v>
      </c>
    </row>
    <row r="5" spans="1:7" ht="54.95" customHeight="1" thickBot="1" x14ac:dyDescent="0.75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41</v>
      </c>
      <c r="E5" s="44" t="s">
        <v>3082</v>
      </c>
      <c r="G5" s="46">
        <f>COUNTIFS('Ações InCompany'!B:B,2026,'Ações InCompany'!C:C,"A realizar")</f>
        <v>33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3083</v>
      </c>
      <c r="B8" s="226"/>
      <c r="D8" s="226" t="s">
        <v>3084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14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3091</v>
      </c>
      <c r="B14" s="34">
        <f>SUM(B11:B13)</f>
        <v>39</v>
      </c>
      <c r="D14" s="33" t="s">
        <v>3092</v>
      </c>
      <c r="E14" s="34">
        <f>SUM(E11:E13)</f>
        <v>1848</v>
      </c>
    </row>
    <row r="30" spans="1:5" ht="17.25" x14ac:dyDescent="0.3">
      <c r="A30" s="226" t="s">
        <v>3093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8</v>
      </c>
      <c r="C33" s="47">
        <f>COUNTIFS('Ações InCompany'!B:B,2026,'Ações InCompany'!C:C,"A realizar",'Ações InCompany'!G:G,A33)</f>
        <v>10</v>
      </c>
      <c r="D33" s="37">
        <f t="shared" ref="D33:D44" si="0">B33+C33</f>
        <v>18</v>
      </c>
      <c r="E33" s="38">
        <f t="shared" ref="E33:E44" si="1">D33/$D$45</f>
        <v>0.24324324324324326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6.7567567567567571E-2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8.1081081081081086E-2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2.7027027027027029E-2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8.1081081081081086E-2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0.29729729729729731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5.4054054054054057E-2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2.7027027027027029E-2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9.45945945945946E-2</v>
      </c>
    </row>
    <row r="42" spans="1:5" ht="24" customHeight="1" x14ac:dyDescent="0.25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2.7027027027027029E-2</v>
      </c>
    </row>
    <row r="44" spans="1:5" ht="24" customHeight="1" x14ac:dyDescent="0.25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3091</v>
      </c>
      <c r="B45" s="41">
        <f>SUM(B33:B44)</f>
        <v>41</v>
      </c>
      <c r="C45" s="41">
        <f>SUM(C33:C44)</f>
        <v>33</v>
      </c>
      <c r="D45" s="41">
        <f>SUM(D33:D44)</f>
        <v>74</v>
      </c>
      <c r="E45" s="42">
        <f>SUM(E33:E44)</f>
        <v>1.0000000000000002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 x14ac:dyDescent="0.25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 x14ac:dyDescent="0.25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 x14ac:dyDescent="0.25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 x14ac:dyDescent="0.25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 x14ac:dyDescent="0.25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 x14ac:dyDescent="0.25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 x14ac:dyDescent="0.25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 x14ac:dyDescent="0.25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 x14ac:dyDescent="0.25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 x14ac:dyDescent="0.25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 x14ac:dyDescent="0.25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 x14ac:dyDescent="0.25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 x14ac:dyDescent="0.25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 x14ac:dyDescent="0.25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 x14ac:dyDescent="0.25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 x14ac:dyDescent="0.25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3144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3145</v>
      </c>
    </row>
    <row r="4" spans="1:8" ht="21.95" customHeight="1" x14ac:dyDescent="0.25">
      <c r="A4" s="234" t="s">
        <v>3146</v>
      </c>
      <c r="B4" s="235"/>
      <c r="D4" s="234" t="s">
        <v>3147</v>
      </c>
      <c r="E4" s="235"/>
      <c r="G4" s="234" t="s">
        <v>3148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3154</v>
      </c>
      <c r="B1" s="239"/>
      <c r="C1" s="239"/>
      <c r="D1" s="239"/>
      <c r="E1" s="239"/>
      <c r="F1" s="239"/>
    </row>
    <row r="2" spans="1:7" x14ac:dyDescent="0.25">
      <c r="A2" s="240" t="s">
        <v>3155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2026-08-10T20:44:20Z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