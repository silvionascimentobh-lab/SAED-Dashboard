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623" documentId="8_{454372C2-A99E-4E47-A759-72B38925853E}" xr6:coauthVersionLast="47" xr6:coauthVersionMax="47" xr10:uidLastSave="{C8E41E17-700B-4BDA-B293-EA0CBEFBC890}"/>
  <bookViews>
    <workbookView xWindow="-120" yWindow="-120" windowWidth="29040" windowHeight="15840" activeTab="1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1" i="3"/>
  <c r="R707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01" i="3"/>
  <c r="R710" i="3"/>
  <c r="R708" i="3"/>
  <c r="R706" i="3"/>
  <c r="R705" i="3"/>
  <c r="R704" i="3"/>
  <c r="R709" i="3"/>
  <c r="R717" i="3"/>
  <c r="R716" i="3"/>
  <c r="R703" i="3"/>
  <c r="R676" i="3"/>
  <c r="R715" i="3"/>
  <c r="R714" i="3"/>
  <c r="R712" i="3"/>
  <c r="R711" i="3"/>
  <c r="R693" i="3"/>
  <c r="R720" i="3"/>
  <c r="R690" i="3"/>
  <c r="R700" i="3"/>
  <c r="R699" i="3"/>
  <c r="R702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8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19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3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2" i="23" l="1"/>
  <c r="B52" i="23"/>
  <c r="F52" i="23"/>
  <c r="E52" i="23"/>
  <c r="D52" i="23"/>
  <c r="R4" i="20" s="1" a="1"/>
  <c r="S4" i="20" s="1" a="1"/>
  <c r="T4" i="20" l="1" a="1"/>
  <c r="A2" i="20" s="1" a="1"/>
  <c r="E105" i="23" l="1"/>
  <c r="A5" i="23" a="1"/>
  <c r="D37" i="23" l="1"/>
  <c r="F35" i="23"/>
  <c r="F27" i="23"/>
  <c r="E24" i="23"/>
  <c r="B43" i="23"/>
  <c r="C49" i="23"/>
  <c r="D39" i="23"/>
  <c r="E44" i="23"/>
  <c r="E15" i="23"/>
  <c r="E42" i="23"/>
  <c r="C27" i="23"/>
  <c r="E22" i="23"/>
  <c r="D51" i="23"/>
  <c r="B15" i="23"/>
  <c r="D33" i="23"/>
  <c r="C13" i="23"/>
  <c r="C39" i="23"/>
  <c r="F49" i="23"/>
  <c r="E36" i="23"/>
  <c r="B41" i="23"/>
  <c r="D45" i="23"/>
  <c r="C6" i="23"/>
  <c r="F43" i="23"/>
  <c r="E38" i="23"/>
  <c r="E34" i="23"/>
  <c r="C22" i="23"/>
  <c r="F18" i="23"/>
  <c r="C9" i="23"/>
  <c r="D34" i="23"/>
  <c r="D11" i="23"/>
  <c r="F37" i="23"/>
  <c r="B9" i="23"/>
  <c r="F48" i="23"/>
  <c r="B39" i="23"/>
  <c r="B50" i="23"/>
  <c r="C31" i="23"/>
  <c r="B40" i="23"/>
  <c r="F16" i="23"/>
  <c r="E25" i="23"/>
  <c r="E20" i="23"/>
  <c r="E17" i="23"/>
  <c r="F15" i="23"/>
  <c r="F6" i="23"/>
  <c r="B22" i="23"/>
  <c r="E26" i="23"/>
  <c r="C28" i="23"/>
  <c r="B11" i="23"/>
  <c r="F39" i="23"/>
  <c r="B31" i="23"/>
  <c r="E32" i="23"/>
  <c r="D28" i="23"/>
  <c r="E45" i="23"/>
  <c r="C7" i="23"/>
  <c r="C38" i="23"/>
  <c r="E10" i="23"/>
  <c r="F9" i="23"/>
  <c r="C11" i="23"/>
  <c r="D29" i="23"/>
  <c r="D47" i="23"/>
  <c r="D49" i="23"/>
  <c r="C32" i="23"/>
  <c r="E50" i="23"/>
  <c r="B21" i="23"/>
  <c r="D23" i="23"/>
  <c r="F14" i="23"/>
  <c r="F51" i="23"/>
  <c r="D8" i="23"/>
  <c r="F20" i="23"/>
  <c r="B26" i="23"/>
  <c r="E43" i="23"/>
  <c r="F21" i="23"/>
  <c r="B24" i="23"/>
  <c r="E21" i="23"/>
  <c r="B35" i="23"/>
  <c r="E40" i="23"/>
  <c r="B34" i="23"/>
  <c r="C8" i="23"/>
  <c r="B32" i="23"/>
  <c r="B51" i="23"/>
  <c r="D16" i="23"/>
  <c r="C17" i="23"/>
  <c r="B18" i="23"/>
  <c r="B25" i="23"/>
  <c r="C44" i="23"/>
  <c r="F11" i="23"/>
  <c r="E29" i="23"/>
  <c r="F19" i="23"/>
  <c r="B14" i="23"/>
  <c r="B23" i="23"/>
  <c r="E19" i="23"/>
  <c r="D24" i="23"/>
  <c r="D48" i="23"/>
  <c r="E27" i="23"/>
  <c r="F41" i="23"/>
  <c r="C18" i="23"/>
  <c r="D27" i="23"/>
  <c r="B7" i="23"/>
  <c r="F38" i="23"/>
  <c r="F13" i="23"/>
  <c r="F24" i="23"/>
  <c r="D14" i="23"/>
  <c r="E28" i="23"/>
  <c r="F46" i="23"/>
  <c r="F10" i="23"/>
  <c r="E13" i="23"/>
  <c r="B47" i="23"/>
  <c r="F44" i="23"/>
  <c r="C46" i="23"/>
  <c r="C30" i="23"/>
  <c r="D41" i="23"/>
  <c r="B38" i="23"/>
  <c r="B28" i="23"/>
  <c r="D9" i="23"/>
  <c r="C16" i="23"/>
  <c r="B19" i="23"/>
  <c r="D43" i="23"/>
  <c r="E30" i="23"/>
  <c r="E6" i="23"/>
  <c r="D30" i="23"/>
  <c r="D21" i="23"/>
  <c r="F22" i="23"/>
  <c r="F34" i="23"/>
  <c r="D18" i="23"/>
  <c r="E23" i="23"/>
  <c r="F36" i="23"/>
  <c r="E9" i="23"/>
  <c r="E35" i="23"/>
  <c r="C29" i="23"/>
  <c r="D31" i="23"/>
  <c r="E18" i="23"/>
  <c r="E48" i="23"/>
  <c r="E12" i="23"/>
  <c r="E49" i="23"/>
  <c r="B10" i="23"/>
  <c r="C20" i="23"/>
  <c r="C23" i="23"/>
  <c r="C43" i="23"/>
  <c r="D19" i="23"/>
  <c r="F45" i="23"/>
  <c r="D12" i="23"/>
  <c r="B36" i="23"/>
  <c r="F26" i="23"/>
  <c r="D26" i="23"/>
  <c r="C41" i="23"/>
  <c r="C26" i="23"/>
  <c r="F12" i="23"/>
  <c r="F42" i="23"/>
  <c r="E46" i="23"/>
  <c r="F30" i="23"/>
  <c r="B27" i="23"/>
  <c r="D38" i="23"/>
  <c r="C14" i="23"/>
  <c r="E11" i="23"/>
  <c r="D6" i="23"/>
  <c r="B17" i="23"/>
  <c r="C15" i="23"/>
  <c r="E7" i="23"/>
  <c r="B16" i="23"/>
  <c r="B44" i="23"/>
  <c r="D46" i="23"/>
  <c r="F17" i="23"/>
  <c r="B49" i="23"/>
  <c r="E37" i="23"/>
  <c r="B13" i="23"/>
  <c r="D35" i="23"/>
  <c r="F32" i="23"/>
  <c r="E8" i="23"/>
  <c r="D40" i="23"/>
  <c r="F8" i="23"/>
  <c r="F25" i="23"/>
  <c r="E39" i="23"/>
  <c r="D13" i="23"/>
  <c r="E47" i="23"/>
  <c r="B33" i="23"/>
  <c r="F31" i="23"/>
  <c r="C37" i="23"/>
  <c r="D22" i="23"/>
  <c r="C45" i="23"/>
  <c r="D50" i="23"/>
  <c r="B46" i="23"/>
  <c r="F40" i="23"/>
  <c r="D36" i="23"/>
  <c r="C34" i="23"/>
  <c r="B29" i="23"/>
  <c r="C40" i="23"/>
  <c r="D25" i="23"/>
  <c r="E14" i="23"/>
  <c r="C50" i="23"/>
  <c r="C19" i="23"/>
  <c r="C42" i="23"/>
  <c r="F29" i="23"/>
  <c r="B42" i="23"/>
  <c r="E41" i="23"/>
  <c r="C47" i="23"/>
  <c r="B20" i="23"/>
  <c r="D44" i="23"/>
  <c r="C51" i="23"/>
  <c r="D17" i="23"/>
  <c r="E33" i="23"/>
  <c r="C10" i="23"/>
  <c r="C25" i="23"/>
  <c r="D7" i="23"/>
  <c r="D32" i="23"/>
  <c r="C36" i="23"/>
  <c r="C33" i="23"/>
  <c r="B30" i="23"/>
  <c r="F33" i="23"/>
  <c r="C35" i="23"/>
  <c r="E31" i="23"/>
  <c r="F7" i="23"/>
  <c r="E51" i="23"/>
  <c r="B6" i="23"/>
  <c r="F47" i="23"/>
  <c r="B8" i="23"/>
  <c r="B12" i="23"/>
  <c r="B37" i="23"/>
  <c r="D15" i="23"/>
  <c r="F28" i="23"/>
  <c r="C24" i="23"/>
  <c r="D20" i="23"/>
  <c r="E16" i="23"/>
  <c r="D10" i="23"/>
  <c r="F23" i="23"/>
  <c r="C21" i="23"/>
  <c r="C12" i="23"/>
  <c r="D42" i="23"/>
  <c r="B48" i="23"/>
  <c r="C48" i="23"/>
  <c r="B45" i="23"/>
  <c r="F50" i="23"/>
  <c r="E5" i="23" l="1"/>
  <c r="D5" i="23"/>
  <c r="C5" i="23"/>
  <c r="C105" i="23" s="1"/>
  <c r="G5" i="23"/>
  <c r="B5" i="23"/>
  <c r="B105" i="23" s="1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<sst xmlns="http://schemas.openxmlformats.org/spreadsheetml/2006/main" count="6260" uniqueCount="2416">
  <si>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</si>
  <si>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</si>
  <si>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</si>
  <si>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</si>
  <si>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</si>
  <si>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</si>
  <si>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</si>
  <si>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</si>
  <si>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</si>
  <si>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</si>
  <si>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</si>
  <si>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</si>
  <si>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</si>
  <si>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</si>
  <si>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</si>
  <si>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</si>
  <si>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</si>
  <si>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</si>
  <si>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</si>
  <si>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</si>
  <si>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</si>
  <si>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</si>
  <si>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</si>
  <si>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</si>
  <si>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</si>
  <si>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</si>
  <si>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</si>
  <si>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</si>
  <si>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</si>
  <si>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</si>
  <si>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</si>
  <si>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</si>
  <si>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</si>
  <si>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</si>
  <si>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</si>
  <si>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</si>
  <si>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</si>
  <si>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</si>
  <si>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</si>
  <si>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</si>
  <si>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</si>
  <si>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</si>
  <si>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</si>
  <si>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</si>
  <si>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</si>
  <si>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</si>
  <si>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</si>
  <si>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</si>
  <si>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</si>
  <si>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</si>
  <si>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</si>
  <si>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</si>
  <si>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</si>
  <si>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</si>
  <si>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</si>
  <si>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</si>
  <si>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</si>
  <si>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</si>
  <si>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</si>
  <si>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</si>
  <si>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</si>
  <si>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</si>
  <si>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</si>
  <si>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</si>
  <si>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</si>
  <si>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</si>
  <si>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</si>
  <si>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</si>
  <si>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</si>
  <si>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</si>
  <si>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</si>
  <si>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</si>
  <si>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</si>
  <si>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</si>
  <si>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</si>
  <si>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</si>
  <si>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</si>
  <si>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</si>
  <si>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</si>
  <si>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</si>
  <si>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</si>
  <si>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</si>
  <si>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</si>
  <si>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</si>
  <si>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</si>
  <si>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</si>
  <si>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</si>
  <si>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</si>
  <si>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</si>
  <si>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</si>
  <si>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</si>
  <si>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</si>
  <si>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</si>
  <si>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</si>
  <si>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</si>
  <si>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</si>
  <si>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</si>
  <si>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</si>
  <si>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</si>
  <si>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</si>
  <si>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</si>
  <si>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</si>
  <si>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</si>
  <si>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</si>
  <si>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</si>
  <si>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</si>
  <si>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</si>
  <si>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</si>
  <si>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</si>
  <si>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</si>
  <si>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</si>
  <si>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</si>
  <si>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</si>
  <si>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</si>
  <si>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</si>
  <si>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</si>
  <si>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</si>
  <si>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</si>
  <si>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</si>
  <si>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</si>
  <si>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</si>
  <si>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</si>
  <si>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</si>
  <si>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</si>
  <si>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</si>
  <si>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</si>
  <si>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</si>
  <si>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</si>
  <si>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</si>
  <si>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</si>
  <si>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</si>
  <si>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</si>
  <si>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</si>
  <si>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</si>
  <si>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</si>
  <si>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</si>
  <si>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</si>
  <si>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</si>
  <si>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</si>
  <si>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</si>
  <si>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</si>
  <si>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</si>
  <si>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</si>
  <si>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</si>
  <si>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</si>
  <si>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</si>
  <si>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</si>
  <si>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</si>
  <si>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</si>
  <si>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</si>
  <si>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</si>
  <si>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</si>
  <si>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</si>
  <si>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</si>
  <si>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</si>
  <si>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</si>
  <si>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</si>
  <si>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</si>
  <si>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</si>
  <si>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</si>
  <si>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</si>
  <si>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</si>
  <si>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</si>
  <si>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</si>
  <si>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</si>
  <si>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</si>
  <si>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</si>
  <si>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</si>
  <si>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</si>
  <si>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</si>
  <si>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</si>
  <si>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</si>
  <si>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</si>
  <si>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</si>
  <si>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</si>
  <si>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</si>
  <si>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</si>
  <si>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</si>
  <si>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</si>
  <si>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</si>
  <si>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</si>
  <si>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</si>
  <si>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</si>
  <si>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</si>
  <si>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</si>
  <si>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</si>
  <si>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</si>
  <si>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</si>
  <si>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</si>
  <si>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</si>
  <si>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</si>
  <si>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</si>
  <si>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</si>
  <si>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</si>
  <si>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</si>
  <si>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</si>
  <si>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</si>
  <si>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</si>
  <si>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</si>
  <si>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</si>
  <si>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</si>
  <si>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</si>
  <si>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</si>
  <si>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</si>
  <si>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</si>
  <si>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</si>
  <si>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</si>
  <si>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</si>
  <si>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</si>
  <si>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</si>
  <si>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</si>
  <si>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</si>
  <si>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</si>
  <si>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</si>
  <si>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</si>
  <si>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</si>
  <si>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</si>
  <si>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</si>
  <si>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</si>
  <si>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</si>
  <si>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</si>
  <si>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</si>
  <si>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</si>
  <si>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</si>
  <si>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</si>
  <si>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</si>
  <si>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</si>
  <si>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</si>
  <si>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</si>
  <si>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</si>
  <si>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</si>
  <si>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</si>
  <si>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</si>
  <si>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</si>
  <si>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</si>
  <si>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</si>
  <si>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</si>
  <si>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</si>
  <si>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</si>
  <si>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</si>
  <si>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</si>
  <si>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</si>
  <si>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</si>
  <si>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</si>
  <si>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</si>
  <si>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</si>
  <si>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</si>
  <si>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</si>
  <si>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</si>
  <si>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</si>
  <si>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</si>
  <si>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</si>
  <si>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</si>
  <si>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</si>
  <si>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</si>
  <si>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</si>
  <si>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</si>
  <si>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</si>
  <si>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</si>
  <si>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</si>
  <si>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</si>
  <si>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</si>
  <si>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</si>
  <si>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</si>
  <si>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</si>
  <si>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</si>
  <si>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</si>
  <si>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</si>
  <si>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</si>
  <si>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</si>
  <si>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</si>
  <si>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</si>
  <si>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</si>
  <si>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</si>
  <si>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</si>
  <si>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</si>
  <si>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</si>
  <si>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</si>
  <si>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</si>
  <si>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</si>
  <si>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</si>
  <si>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</si>
  <si>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</si>
  <si>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</si>
  <si>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</si>
  <si>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</si>
  <si>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</si>
  <si>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</si>
  <si>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</si>
  <si>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</si>
  <si>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</si>
  <si>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</si>
  <si>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</si>
  <si>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</si>
  <si>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</si>
  <si>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</si>
  <si>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</si>
  <si>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</si>
  <si>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</si>
  <si>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</si>
  <si>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</si>
  <si>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</si>
  <si>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</si>
  <si>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</si>
  <si>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</si>
  <si>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</si>
  <si>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</si>
  <si>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</si>
  <si>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</si>
  <si>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</si>
  <si>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</si>
  <si>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</si>
  <si>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</si>
  <si>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</si>
  <si>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</si>
  <si>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</si>
  <si>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</si>
  <si>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</si>
  <si>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</si>
  <si>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</si>
  <si>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</si>
  <si>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</si>
  <si>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</si>
  <si>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</si>
  <si>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</si>
  <si>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</si>
  <si>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</si>
  <si>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</si>
  <si>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</si>
  <si>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</si>
  <si>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</si>
  <si>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</si>
  <si>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</si>
  <si>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</si>
  <si>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</si>
  <si>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</si>
  <si>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</si>
  <si>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</si>
  <si>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</si>
  <si>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</si>
  <si>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</si>
  <si>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</si>
  <si>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</si>
  <si>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</si>
  <si>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</si>
  <si>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</si>
  <si>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</si>
  <si>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</si>
  <si>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</si>
  <si>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</si>
  <si>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</si>
  <si>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</si>
  <si>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</si>
  <si>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</si>
  <si>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</si>
  <si>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</si>
  <si>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</si>
  <si>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</si>
  <si>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</si>
  <si>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</si>
  <si>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</si>
  <si>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</si>
  <si>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</si>
  <si>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</si>
  <si>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</si>
  <si>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</si>
  <si>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</si>
  <si>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</si>
  <si>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</si>
  <si>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</si>
  <si>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</si>
  <si>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</si>
  <si>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</si>
  <si>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</si>
  <si>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</si>
  <si>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</si>
  <si>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</si>
  <si>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</si>
  <si>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</si>
  <si>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</si>
  <si>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</si>
  <si>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</si>
  <si>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</si>
  <si>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</si>
  <si>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</si>
  <si>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</si>
  <si>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</si>
  <si>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</si>
  <si>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</si>
  <si>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</si>
  <si>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</si>
  <si>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</si>
  <si>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</si>
  <si>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</si>
  <si>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</si>
  <si>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</si>
  <si>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</si>
  <si>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</si>
  <si>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</si>
  <si>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</si>
  <si>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</si>
  <si>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</si>
  <si>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</si>
  <si>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</si>
  <si>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</si>
  <si>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</si>
  <si>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</si>
  <si>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</si>
  <si>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</si>
  <si>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</si>
  <si>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</si>
  <si>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</si>
  <si>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</si>
  <si>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</si>
  <si>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</si>
  <si>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</si>
  <si>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</si>
  <si>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</si>
  <si>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</si>
  <si>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</si>
  <si>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</si>
  <si>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</si>
  <si>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</si>
  <si>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</si>
  <si>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</si>
  <si>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</si>
  <si>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</si>
  <si>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</si>
  <si>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</si>
  <si>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</si>
  <si>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</si>
  <si>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</si>
  <si>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</si>
  <si>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</si>
  <si>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</si>
  <si>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</si>
  <si>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</si>
  <si>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</si>
  <si>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</si>
  <si>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</si>
  <si>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</si>
  <si>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</si>
  <si>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</si>
  <si>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</si>
  <si>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</si>
  <si>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</si>
  <si>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</si>
  <si>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</si>
  <si>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</si>
  <si>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</si>
  <si>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</si>
  <si>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</si>
  <si>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</si>
  <si>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</si>
  <si>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</si>
  <si>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</si>
  <si>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</si>
  <si>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</si>
  <si>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</si>
  <si>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</si>
  <si>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</si>
  <si>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</si>
  <si>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</si>
  <si>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</si>
  <si>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</si>
  <si>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</si>
  <si>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</si>
  <si>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</si>
  <si>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</si>
  <si>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</si>
  <si>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</si>
  <si>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</si>
  <si>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</si>
  <si>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</si>
  <si>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</si>
  <si>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</si>
  <si>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</si>
  <si>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</si>
  <si>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</si>
  <si>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</si>
  <si>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</si>
  <si>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</si>
  <si>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</si>
  <si>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</si>
  <si>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</si>
  <si>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</si>
  <si>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</si>
  <si>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</si>
  <si>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</si>
  <si>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</si>
  <si>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</si>
  <si>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</si>
  <si>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</si>
  <si>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</si>
  <si>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</si>
  <si>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</si>
  <si>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</si>
  <si>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</si>
  <si>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</si>
  <si>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</si>
  <si>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</si>
  <si>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</si>
  <si>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</si>
  <si>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</si>
  <si>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</si>
  <si>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</si>
  <si>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</si>
  <si>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</si>
  <si>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</si>
  <si>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</si>
  <si>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</si>
  <si>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</si>
  <si>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</si>
  <si>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</si>
  <si>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</si>
  <si>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</si>
  <si>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</si>
  <si>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</si>
  <si>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</si>
  <si>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</si>
  <si>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</si>
  <si>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</si>
  <si>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</si>
  <si>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</si>
  <si>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</si>
  <si>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</si>
  <si>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</si>
  <si>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</si>
  <si>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</si>
  <si>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</si>
  <si>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</si>
  <si>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</si>
  <si>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</si>
  <si>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</si>
  <si>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</si>
  <si>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</si>
  <si>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</si>
  <si>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</si>
  <si>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</si>
  <si>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</si>
  <si>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</si>
  <si>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</si>
  <si>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</si>
  <si>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</si>
  <si>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</si>
  <si>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</si>
  <si>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</si>
  <si>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</si>
  <si>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</si>
  <si>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</si>
  <si>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</si>
  <si>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</si>
  <si>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</si>
  <si>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</si>
  <si>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</si>
  <si>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</si>
  <si>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</si>
  <si>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</si>
  <si>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</si>
  <si>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</si>
  <si>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</si>
  <si>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</si>
  <si>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</si>
  <si>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</si>
  <si>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</si>
  <si>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</si>
  <si>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</si>
  <si>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</si>
  <si>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</si>
  <si>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</si>
  <si>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</si>
  <si>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</si>
  <si>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</si>
  <si>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</si>
  <si>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</si>
  <si>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</si>
  <si>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</si>
  <si>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</si>
  <si>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</si>
  <si>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</si>
  <si>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</si>
  <si>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</si>
  <si>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</si>
  <si>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</si>
  <si>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</si>
  <si>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</si>
  <si>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</si>
  <si>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</si>
  <si>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</si>
  <si>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</si>
  <si>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</si>
  <si>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</si>
  <si>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</si>
  <si>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</si>
  <si>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</si>
  <si>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</si>
  <si>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</si>
  <si>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</si>
  <si>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</si>
  <si>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</si>
  <si>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</si>
  <si>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</si>
  <si>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</si>
  <si>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</si>
  <si>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</si>
  <si>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</si>
  <si>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</si>
  <si>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</si>
  <si>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</si>
  <si>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</si>
  <si>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</si>
  <si>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</si>
  <si>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</si>
  <si>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</si>
  <si>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</si>
  <si>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</si>
  <si>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</si>
  <si>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</si>
  <si>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</si>
  <si>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</si>
  <si>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</si>
  <si>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</si>
  <si>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</si>
  <si>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</si>
  <si>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</si>
  <si>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</si>
  <si>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</si>
  <si>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</si>
  <si>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</si>
  <si>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</si>
  <si>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</si>
  <si>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</si>
  <si>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</si>
  <si>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</si>
  <si>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</si>
  <si>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</si>
  <si>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</si>
  <si>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</si>
  <si>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</si>
  <si>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</si>
  <si>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</si>
  <si>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</si>
  <si>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</si>
  <si>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</si>
  <si>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</si>
  <si>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</si>
  <si>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</si>
  <si>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</si>
  <si>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</si>
  <si>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</si>
  <si>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</si>
  <si>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</si>
  <si>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</si>
  <si>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</si>
  <si>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</si>
  <si>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</si>
  <si>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</si>
  <si>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</si>
  <si>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</si>
  <si>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</si>
  <si>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</si>
  <si>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</si>
  <si>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</si>
  <si>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</si>
  <si>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</si>
  <si>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</si>
  <si>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</si>
  <si>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</si>
  <si>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</si>
  <si>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</si>
  <si>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</si>
  <si>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</si>
  <si>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</si>
  <si>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</si>
  <si>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</si>
  <si>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</si>
  <si>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</si>
  <si>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</si>
  <si>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</si>
  <si>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</si>
  <si>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</si>
  <si>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</si>
  <si>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</si>
  <si>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</si>
  <si>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</si>
  <si>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</si>
  <si>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</si>
  <si>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</si>
  <si>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</si>
  <si>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</si>
  <si>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</si>
  <si>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</si>
  <si>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</si>
  <si>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</si>
  <si>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</si>
  <si>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</si>
  <si>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</si>
  <si>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</si>
  <si>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</si>
  <si>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</si>
  <si>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</si>
  <si>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</si>
  <si>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</si>
  <si>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</si>
  <si>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</si>
  <si>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</si>
  <si>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</si>
  <si>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</si>
  <si>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</si>
  <si>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</si>
  <si>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</si>
  <si>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</si>
  <si>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</si>
  <si>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</si>
  <si>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</si>
  <si>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</si>
  <si>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</si>
  <si>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</si>
  <si>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</si>
  <si>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</si>
  <si>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</si>
  <si>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</si>
  <si>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</si>
  <si>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</si>
  <si>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</si>
  <si>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</si>
  <si>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</si>
  <si>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</si>
  <si>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</si>
  <si>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</si>
  <si>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</si>
  <si>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</si>
  <si>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</si>
  <si>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</si>
  <si>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</si>
  <si>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</si>
  <si>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</si>
  <si>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</si>
  <si>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</si>
  <si>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</si>
  <si>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</si>
  <si>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</si>
  <si>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</si>
  <si>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</si>
  <si>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</si>
  <si>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</si>
  <si>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</si>
  <si>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</si>
  <si>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</si>
  <si>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</si>
  <si>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</si>
  <si>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</si>
  <si>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</si>
  <si>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</si>
  <si>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</si>
  <si>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</si>
  <si>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</si>
  <si>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</si>
  <si>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</si>
  <si>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</si>
  <si>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</si>
  <si>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</si>
  <si>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</si>
  <si>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</si>
  <si>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</si>
  <si>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</si>
  <si>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</si>
  <si>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</si>
  <si>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</si>
  <si>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</si>
  <si>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</si>
  <si>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</si>
  <si>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</si>
  <si>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</si>
  <si>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</si>
  <si>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</si>
  <si>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</si>
  <si>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</si>
  <si>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</si>
  <si>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</si>
  <si>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</si>
  <si>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</si>
  <si>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</si>
  <si>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</si>
  <si>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</si>
  <si>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</si>
  <si>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</si>
  <si>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</si>
  <si>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</si>
  <si>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</si>
  <si>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</si>
  <si>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</si>
  <si>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</si>
  <si>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</si>
  <si>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</si>
  <si>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</si>
  <si>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</si>
  <si>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</si>
  <si>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</si>
  <si>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</si>
  <si>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</si>
  <si>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</si>
  <si>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</si>
  <si>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</si>
  <si>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</si>
  <si>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</si>
  <si>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</si>
  <si>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</si>
  <si>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</si>
  <si>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</si>
  <si>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</si>
  <si>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</si>
  <si>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</si>
  <si>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</si>
  <si>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</si>
  <si>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</si>
  <si>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</si>
  <si>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</si>
  <si>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</si>
  <si>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</si>
  <si>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</si>
  <si>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</si>
  <si>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</si>
  <si>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</si>
  <si>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</si>
  <si>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</si>
  <si>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</si>
  <si>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</si>
  <si>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</si>
  <si>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</si>
  <si>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</si>
  <si>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</si>
  <si>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</si>
  <si>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</si>
  <si>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</si>
  <si>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</si>
  <si>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</si>
  <si>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</si>
  <si>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</si>
  <si>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</si>
  <si>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</si>
  <si>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</si>
  <si>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</si>
  <si>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</si>
  <si>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</si>
  <si>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</si>
  <si>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</si>
  <si>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</si>
  <si>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</si>
  <si>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</si>
  <si>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</si>
  <si>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</si>
  <si>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</si>
  <si>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</si>
  <si>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</si>
  <si>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</si>
  <si>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</si>
  <si>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</si>
  <si>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</si>
  <si>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</si>
  <si>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</si>
  <si>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</si>
  <si>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</si>
  <si>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</si>
  <si>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</si>
  <si>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</si>
  <si>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</si>
  <si>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</si>
  <si>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</si>
  <si>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</si>
  <si>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</si>
  <si>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</si>
  <si>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</si>
  <si>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</si>
  <si>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</si>
  <si>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</si>
  <si>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</si>
  <si>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</si>
  <si>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</si>
  <si>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</si>
  <si>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</si>
  <si>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</si>
  <si>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</si>
  <si>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</si>
  <si>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</si>
  <si>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</si>
  <si>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</si>
  <si>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</si>
  <si>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</si>
  <si>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</si>
  <si>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</si>
  <si>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</si>
  <si>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</si>
  <si>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</si>
  <si>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</si>
  <si>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</si>
  <si>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</si>
  <si>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</si>
  <si>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</si>
  <si>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</si>
  <si>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</si>
  <si>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</si>
  <si>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</si>
  <si>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</si>
  <si>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</si>
  <si>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</si>
  <si>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</si>
  <si>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</si>
  <si>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</si>
  <si>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</si>
  <si>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</si>
  <si>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</si>
  <si>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</si>
  <si>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</si>
  <si>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</si>
  <si>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</si>
  <si>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</si>
  <si>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</si>
  <si>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</si>
  <si>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</si>
  <si>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</si>
  <si>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</si>
  <si>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</si>
  <si>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</si>
  <si>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</si>
  <si>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</si>
  <si>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</si>
  <si>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</si>
  <si>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</si>
  <si>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</si>
  <si>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</si>
  <si>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</si>
  <si>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</si>
  <si>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</si>
  <si>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</si>
  <si>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</si>
  <si>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</si>
  <si>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</si>
  <si>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</si>
  <si>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</si>
  <si>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</si>
  <si>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</si>
  <si>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</si>
  <si>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</si>
  <si>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</si>
  <si>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</si>
  <si>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</si>
  <si>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</si>
  <si>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</si>
  <si>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</si>
  <si>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</si>
  <si>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</si>
  <si>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</si>
  <si>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</si>
  <si>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</si>
  <si>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</si>
  <si>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</si>
  <si>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</si>
  <si>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</si>
  <si>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</si>
  <si>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</si>
  <si>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</si>
  <si>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</si>
  <si>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</si>
  <si>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</si>
  <si>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</si>
  <si>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</si>
  <si>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</si>
  <si>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</si>
  <si>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</si>
  <si>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</si>
  <si>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</si>
  <si>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</si>
  <si>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</si>
  <si>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</si>
  <si>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</si>
  <si>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</si>
  <si>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</si>
  <si>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</si>
  <si>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</si>
  <si>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</si>
  <si>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</si>
  <si>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</si>
  <si>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</si>
  <si>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</si>
  <si>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</si>
  <si>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</si>
  <si>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</si>
  <si>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</si>
  <si>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</si>
  <si>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</si>
  <si>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</si>
  <si>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</si>
  <si>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</si>
  <si>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</si>
  <si>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</si>
  <si>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</si>
  <si>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</si>
  <si>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</si>
  <si>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</si>
  <si>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</si>
  <si>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</si>
  <si>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</si>
  <si>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</si>
  <si>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</si>
  <si>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</si>
  <si>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</si>
  <si>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</si>
  <si>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</si>
  <si>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</si>
  <si>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</si>
  <si>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</si>
  <si>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</si>
  <si>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</si>
  <si>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</si>
  <si>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</si>
  <si>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</si>
  <si>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</si>
  <si>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</si>
  <si>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</si>
  <si>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</si>
  <si>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</si>
  <si>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</si>
  <si>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</si>
  <si>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</si>
  <si>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</si>
  <si>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</si>
  <si>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</si>
  <si>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</si>
  <si>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</si>
  <si>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</si>
  <si>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</si>
  <si>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</si>
  <si>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</si>
  <si>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</si>
  <si>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</si>
  <si>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</si>
  <si>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</si>
  <si>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</si>
  <si>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</si>
  <si>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</si>
  <si>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</si>
  <si>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</si>
  <si>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</si>
  <si>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</si>
  <si>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</si>
  <si>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</si>
  <si>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</si>
  <si>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</si>
  <si>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</si>
  <si>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</si>
  <si>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</si>
  <si>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</si>
  <si>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</si>
  <si>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</si>
  <si>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</si>
  <si>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</si>
  <si>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</si>
  <si>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</si>
  <si>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</si>
  <si>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</si>
  <si>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</si>
  <si>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</si>
  <si>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</si>
  <si>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</si>
  <si>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</si>
  <si>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</si>
  <si>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</si>
  <si>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</si>
  <si>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</si>
  <si>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</si>
  <si>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</si>
  <si>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</si>
  <si>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</si>
  <si>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</si>
  <si>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</si>
  <si>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</si>
  <si>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</si>
  <si>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</si>
  <si>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</si>
  <si>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</si>
  <si>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</si>
  <si>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</si>
  <si>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</si>
  <si>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</si>
  <si>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</si>
  <si>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</si>
  <si>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</si>
  <si>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</si>
  <si>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</si>
  <si>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</si>
  <si>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</si>
  <si>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</si>
  <si>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</si>
  <si>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</si>
  <si>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</si>
  <si>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</si>
  <si>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</si>
  <si>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</si>
  <si>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</si>
  <si>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</si>
  <si>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</si>
  <si>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</si>
  <si>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</si>
  <si>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</si>
  <si>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</si>
  <si>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</si>
  <si>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</si>
  <si>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</si>
  <si>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</si>
  <si>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</si>
  <si>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</si>
  <si>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</si>
  <si>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</si>
  <si>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</si>
  <si>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</si>
  <si>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</si>
  <si>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</si>
  <si>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</si>
  <si>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</si>
  <si>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</si>
  <si>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</si>
  <si>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</si>
  <si>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</si>
  <si>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</si>
  <si>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</si>
  <si>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</si>
  <si>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</si>
  <si>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</si>
  <si>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</si>
  <si>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</si>
  <si>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</si>
  <si>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</si>
  <si>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</si>
  <si>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</si>
  <si>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</si>
  <si>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</si>
  <si>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</si>
  <si>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</si>
  <si>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</si>
  <si>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</si>
  <si>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</si>
  <si>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</si>
  <si>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</si>
  <si>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</si>
  <si>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</si>
  <si>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</si>
  <si>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</si>
  <si>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</si>
  <si>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</si>
  <si>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</si>
  <si>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</si>
  <si>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</si>
  <si>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</si>
  <si>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</si>
  <si>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</si>
  <si>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</si>
  <si>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</si>
  <si>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</si>
  <si>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</si>
  <si>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</si>
  <si>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</si>
  <si>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</si>
  <si>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</si>
  <si>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</si>
  <si>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</si>
  <si>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</si>
  <si>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</si>
  <si>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</si>
  <si>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</si>
  <si>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</si>
  <si>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</si>
  <si>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</si>
  <si>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</si>
  <si>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</si>
  <si>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</si>
  <si>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</si>
  <si>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</si>
  <si>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</si>
  <si>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</si>
  <si>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</si>
  <si>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</si>
  <si>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</si>
  <si>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</si>
  <si>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</si>
  <si>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</si>
  <si>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</si>
  <si>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</si>
  <si>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</si>
  <si>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</si>
  <si>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</si>
  <si>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</si>
  <si>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</si>
  <si>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</si>
  <si>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</si>
  <si>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</si>
  <si>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</si>
  <si>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</si>
  <si>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</si>
  <si>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</si>
  <si>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</si>
  <si>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</si>
  <si>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</si>
  <si>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</si>
  <si>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</si>
  <si>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</si>
  <si>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</si>
  <si>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</si>
  <si>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</si>
  <si>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</si>
  <si>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</si>
  <si>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</si>
  <si>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</si>
  <si>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</si>
  <si>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</si>
  <si>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</si>
  <si>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</si>
  <si>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</si>
  <si>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</si>
  <si>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</si>
  <si>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</si>
  <si>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</si>
  <si>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</si>
  <si>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</si>
  <si>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</si>
  <si>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</si>
  <si>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</si>
  <si>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</si>
  <si>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</si>
  <si>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</si>
  <si>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</si>
  <si>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</si>
  <si>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</si>
  <si>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</si>
  <si>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</si>
  <si>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</si>
  <si>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</si>
  <si>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</si>
  <si>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</si>
  <si>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</si>
  <si>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</si>
  <si>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</si>
  <si>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</si>
  <si>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</si>
  <si>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</si>
  <si>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</si>
  <si>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</si>
  <si>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</si>
  <si>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</si>
  <si>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</si>
  <si>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</si>
  <si>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</si>
  <si>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</si>
  <si>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</si>
  <si>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</si>
  <si>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</si>
  <si>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</si>
  <si>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</si>
  <si>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</si>
  <si>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</si>
  <si>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</si>
  <si>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</si>
  <si>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</si>
  <si>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</si>
  <si>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</si>
  <si>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</si>
  <si>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</si>
  <si>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</si>
  <si>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</si>
  <si>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</si>
  <si>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</si>
  <si>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</si>
  <si>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</si>
  <si>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</si>
  <si>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</si>
  <si>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</si>
  <si>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</si>
  <si>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</si>
  <si>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</si>
  <si>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</si>
  <si>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</si>
  <si>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</si>
  <si>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</si>
  <si>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</si>
  <si>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</si>
  <si>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</si>
  <si>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</si>
  <si>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</si>
  <si>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</si>
  <si>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</si>
  <si>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</si>
  <si>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</si>
  <si>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</si>
  <si>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</si>
  <si>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</si>
  <si>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</si>
  <si>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</si>
  <si>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</si>
  <si>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</si>
  <si>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</si>
  <si>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</si>
  <si>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</si>
  <si>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</si>
  <si>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</si>
  <si>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</si>
  <si>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</si>
  <si>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</si>
  <si>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</si>
  <si>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</si>
  <si>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</si>
  <si>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</si>
  <si>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</si>
  <si>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</si>
  <si>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</si>
  <si>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</si>
  <si>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</si>
  <si>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</si>
  <si>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</si>
  <si>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</si>
  <si>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</si>
  <si>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</si>
  <si>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</si>
  <si>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</si>
  <si>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</si>
  <si>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</si>
  <si>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</si>
  <si>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</si>
  <si>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</si>
  <si>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</si>
  <si>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</si>
  <si>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</si>
  <si>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</si>
  <si>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</si>
  <si>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</si>
  <si>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</si>
  <si>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</si>
  <si>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</si>
  <si>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</si>
  <si>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</si>
  <si>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</si>
  <si>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</si>
  <si>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</si>
  <si>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</si>
  <si>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</si>
  <si>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</si>
  <si>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</si>
  <si>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</si>
  <si>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</si>
  <si>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</si>
  <si>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</si>
  <si>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</si>
  <si>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</si>
  <si>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</si>
  <si>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</si>
  <si>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</si>
  <si>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</si>
  <si>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</si>
  <si>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</si>
  <si>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</si>
  <si>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</si>
  <si>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</si>
  <si>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</si>
  <si>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</si>
  <si>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</si>
  <si>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</si>
  <si>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</si>
  <si>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</si>
  <si>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</si>
  <si>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</si>
  <si>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</si>
  <si>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</si>
  <si>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</si>
  <si>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</si>
  <si>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</si>
  <si>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</si>
  <si>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</si>
  <si>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</si>
  <si>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</si>
  <si>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</si>
  <si>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</si>
  <si>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</si>
  <si>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</si>
  <si>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</si>
  <si>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</si>
  <si>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</si>
  <si>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</si>
  <si>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</si>
  <si>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</si>
  <si>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</si>
  <si>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</si>
  <si>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</si>
  <si>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</si>
  <si>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</si>
  <si>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</si>
  <si>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</si>
  <si>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</si>
  <si>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</si>
  <si>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</si>
  <si>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</si>
  <si>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</si>
  <si>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</si>
  <si>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</si>
  <si>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</si>
  <si>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</si>
  <si>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</si>
  <si>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</si>
  <si>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</si>
  <si>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</si>
  <si>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</si>
  <si>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</si>
  <si>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</si>
  <si>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</si>
  <si>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</si>
  <si>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</si>
  <si>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</si>
  <si>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</si>
  <si>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</si>
  <si>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</si>
  <si>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</si>
  <si>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</si>
  <si>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</si>
  <si>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</si>
  <si>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</si>
  <si>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</si>
  <si>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</si>
  <si>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</si>
  <si>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</si>
  <si>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</si>
  <si>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</si>
  <si>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</si>
  <si>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</si>
  <si>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</si>
  <si>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</si>
  <si>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</si>
  <si>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</si>
  <si>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</si>
  <si>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</si>
  <si>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</si>
  <si>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</si>
  <si>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</si>
  <si>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</si>
  <si>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</si>
  <si>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</si>
  <si>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</si>
  <si>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</si>
  <si>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</si>
  <si>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</si>
  <si>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</si>
  <si>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</si>
  <si>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</si>
  <si>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</si>
  <si>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</si>
  <si>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</si>
  <si>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</si>
  <si>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</si>
  <si>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</si>
  <si>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</si>
  <si>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</si>
  <si>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</si>
  <si>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</si>
  <si>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</si>
  <si>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</si>
  <si>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</si>
  <si>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</si>
  <si>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</si>
  <si>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</si>
  <si>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</si>
  <si>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</si>
  <si>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</si>
  <si>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</si>
  <si>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</si>
  <si>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</si>
  <si>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</si>
  <si>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</si>
  <si>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</si>
  <si>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</si>
  <si>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</si>
  <si>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</si>
  <si>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</si>
  <si>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</si>
  <si>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</si>
  <si>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</si>
  <si>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</si>
  <si>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</si>
  <si>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</si>
  <si>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</si>
  <si>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</si>
  <si>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</si>
  <si>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</si>
  <si>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</si>
  <si>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</si>
  <si>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</si>
  <si>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</si>
  <si>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</si>
  <si>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</si>
  <si>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</si>
  <si>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</si>
  <si>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</si>
  <si>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</si>
  <si>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</si>
  <si>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</si>
  <si>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</si>
  <si>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</si>
  <si>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</si>
  <si>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</si>
  <si>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</si>
  <si>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</si>
  <si>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</si>
  <si>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</si>
  <si>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</si>
  <si>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</si>
  <si>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</si>
  <si>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</si>
  <si>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</si>
  <si>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</si>
  <si>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</si>
  <si>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</si>
  <si>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</si>
  <si>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</si>
  <si>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</si>
  <si>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</si>
  <si>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</si>
  <si>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</si>
  <si>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</si>
  <si>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</si>
  <si>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</si>
  <si>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</si>
  <si>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</si>
  <si>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</si>
  <si>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</si>
  <si>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</si>
  <si>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</si>
  <si>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</si>
  <si>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</si>
  <si>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</si>
  <si>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</si>
  <si>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</si>
  <si>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</si>
  <si>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</si>
  <si>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</si>
  <si>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</si>
  <si>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</si>
  <si>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</si>
  <si>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</si>
  <si>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</si>
  <si>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</si>
  <si>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</si>
  <si>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</si>
  <si>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</si>
  <si>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</si>
  <si>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</si>
  <si>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</si>
  <si>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</si>
  <si>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</si>
  <si>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</si>
  <si>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</si>
  <si>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</si>
  <si>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</si>
  <si>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</si>
  <si>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</si>
  <si>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</si>
  <si>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</si>
  <si>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</si>
  <si>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</si>
  <si>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</si>
  <si>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</si>
  <si>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</si>
  <si>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</si>
  <si>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</si>
  <si>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</si>
  <si>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</si>
  <si>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</si>
  <si>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</si>
  <si>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</si>
  <si>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</si>
  <si>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</si>
  <si>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</si>
  <si>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</si>
  <si>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</si>
  <si>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</si>
  <si>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</si>
  <si>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</si>
  <si>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</si>
  <si>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</si>
  <si>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</si>
  <si>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</si>
  <si>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</si>
  <si>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</si>
  <si>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</si>
  <si>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</si>
  <si>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</si>
  <si>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</si>
  <si>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</si>
  <si>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</si>
  <si>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</si>
  <si>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</si>
  <si>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</si>
  <si>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</si>
  <si>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</si>
  <si>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</si>
  <si>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</si>
  <si>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</si>
  <si>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</si>
  <si>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</si>
  <si>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</si>
  <si>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</si>
  <si>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</si>
  <si>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</si>
  <si>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</si>
  <si>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</si>
  <si>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</si>
  <si>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</si>
  <si>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</si>
  <si>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</si>
  <si>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</si>
  <si>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</si>
  <si>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</si>
  <si>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</si>
  <si>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</si>
  <si>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</si>
  <si>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</si>
  <si>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</si>
  <si>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</si>
  <si>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</si>
  <si>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</si>
  <si>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</si>
  <si>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</si>
  <si>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</si>
  <si>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</si>
  <si>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</si>
  <si>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</si>
  <si>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</si>
  <si>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</si>
  <si>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</si>
  <si>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</si>
  <si>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</si>
  <si>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</si>
  <si>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</si>
  <si>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</si>
  <si>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</si>
  <si>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</si>
  <si>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</si>
  <si>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</si>
  <si>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</si>
  <si>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</si>
  <si>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</si>
  <si>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</si>
  <si>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</si>
  <si>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</si>
  <si>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</si>
  <si>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</si>
  <si>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</si>
  <si>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</si>
  <si>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</si>
  <si>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</si>
  <si>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</si>
  <si>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</si>
  <si>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</si>
  <si>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</si>
  <si>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</si>
  <si>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</si>
  <si>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</si>
  <si>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</si>
  <si>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</si>
  <si>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</si>
  <si>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</si>
  <si>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</si>
  <si>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</si>
  <si>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</si>
  <si>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</si>
  <si>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</si>
  <si>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</si>
  <si>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</si>
  <si>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</si>
  <si>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</si>
  <si>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</si>
  <si>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</si>
  <si>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</si>
  <si>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</si>
  <si>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</si>
  <si>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</si>
  <si>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</si>
  <si>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</si>
  <si>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</si>
  <si>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</si>
  <si>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</si>
  <si>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</si>
  <si>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</si>
  <si>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</si>
  <si>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</si>
  <si>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</si>
  <si>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</si>
  <si>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</si>
  <si>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</si>
  <si>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</si>
  <si>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</si>
  <si>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</si>
  <si>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</si>
  <si>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</si>
  <si>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</si>
  <si>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</si>
  <si>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</si>
  <si>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</si>
  <si>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</si>
  <si>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</si>
  <si>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</si>
  <si>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</si>
  <si>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</si>
  <si>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</si>
  <si>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</si>
  <si>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</si>
  <si>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</si>
  <si>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</si>
  <si>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</si>
  <si>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</si>
  <si>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</si>
  <si>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</si>
  <si>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</si>
  <si>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</si>
  <si>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</si>
  <si>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</si>
  <si>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</si>
  <si>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</si>
  <si>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</si>
  <si>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</si>
  <si>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</si>
  <si>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</si>
  <si>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</si>
  <si>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</si>
  <si>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</si>
  <si>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</si>
  <si>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</si>
  <si>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</si>
  <si>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</si>
  <si>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</si>
  <si>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</si>
  <si>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</si>
  <si>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</si>
  <si>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</si>
  <si>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</si>
  <si>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</si>
  <si>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</si>
  <si>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</si>
  <si>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</si>
  <si>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</si>
  <si>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</si>
  <si>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</si>
  <si>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</si>
  <si>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</si>
  <si>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</si>
  <si>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</si>
  <si>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</si>
  <si>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</si>
  <si>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</si>
  <si>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</si>
  <si>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</si>
  <si>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</si>
  <si>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</si>
  <si>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</si>
  <si>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</si>
  <si>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</si>
  <si>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</si>
  <si>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</si>
  <si>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</si>
  <si>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</si>
  <si>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</si>
  <si>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</si>
  <si>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</si>
  <si>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</si>
  <si>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</si>
  <si>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</si>
  <si>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</si>
  <si>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</si>
  <si>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</si>
  <si>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</si>
  <si>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</si>
  <si>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</si>
  <si>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</si>
  <si>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</si>
  <si>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</si>
  <si>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</si>
  <si>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</si>
  <si>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</si>
  <si>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</si>
  <si>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</si>
  <si>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</si>
  <si>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</si>
  <si>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</si>
  <si>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</si>
  <si>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</si>
  <si>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</si>
  <si>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</si>
  <si>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</si>
  <si>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</si>
  <si>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</si>
  <si>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</si>
  <si>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</si>
  <si>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</si>
  <si>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</si>
  <si>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</si>
  <si>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</si>
  <si>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</si>
  <si>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</si>
  <si>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</si>
  <si>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</si>
  <si>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</si>
  <si>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</si>
  <si>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</si>
  <si>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</si>
  <si>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</si>
  <si>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</si>
  <si>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</si>
  <si>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</si>
  <si>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</si>
  <si>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</si>
  <si>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</si>
  <si>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</si>
  <si>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</si>
  <si>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</si>
  <si>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</si>
  <si>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</si>
  <si>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</si>
  <si>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</si>
  <si>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</si>
  <si>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</si>
  <si>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</si>
  <si>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</si>
  <si>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</si>
  <si>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</si>
  <si>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</si>
  <si>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</si>
  <si>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</si>
  <si>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</si>
  <si>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</si>
  <si>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</si>
  <si>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</si>
  <si>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</si>
  <si>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</si>
  <si>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</si>
  <si>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</si>
  <si>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</si>
  <si>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</si>
  <si>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</si>
  <si>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</si>
  <si>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</si>
  <si>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</si>
  <si>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</si>
  <si>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</si>
  <si>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</si>
  <si>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</si>
  <si>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</si>
  <si>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</si>
  <si>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</si>
  <si>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</si>
  <si>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</si>
  <si>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</si>
  <si>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</si>
  <si>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</si>
  <si>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</si>
  <si>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</si>
  <si>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</si>
  <si>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</si>
  <si>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</si>
  <si>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</si>
  <si>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</si>
  <si>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</si>
  <si>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</si>
  <si>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</si>
  <si>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</si>
  <si>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</si>
  <si>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</si>
  <si>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</si>
  <si>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</si>
  <si>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</si>
  <si>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</si>
  <si>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</si>
  <si>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</si>
  <si>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</si>
  <si>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</si>
  <si>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</si>
  <si>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</si>
  <si>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</si>
  <si>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</si>
  <si>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</si>
  <si>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</si>
  <si>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</si>
  <si>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</si>
  <si>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</si>
  <si>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</si>
  <si>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</si>
  <si>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</si>
  <si>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</si>
  <si>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</si>
  <si>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</si>
  <si>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</si>
  <si>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</si>
  <si>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</si>
  <si>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</si>
  <si>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</si>
  <si>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</si>
  <si>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</si>
  <si>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</si>
  <si>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</si>
  <si>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</si>
  <si>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</si>
  <si>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</si>
  <si>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</si>
  <si>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</si>
  <si>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</si>
  <si>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</si>
  <si>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</si>
  <si>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</si>
  <si>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</si>
  <si>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</si>
  <si>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</si>
  <si>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</si>
  <si>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</si>
  <si>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</si>
  <si>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</si>
  <si>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</si>
  <si>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</si>
  <si>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</si>
  <si>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</si>
  <si>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</si>
  <si>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</si>
  <si>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</si>
  <si>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</si>
  <si>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</si>
  <si>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</si>
  <si>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</si>
  <si>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</si>
  <si>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</si>
  <si>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</si>
  <si>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</si>
  <si>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</si>
  <si>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</si>
  <si>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</si>
  <si>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</si>
  <si>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</si>
  <si>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</si>
  <si>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</si>
  <si>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</si>
  <si>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</si>
  <si>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</si>
  <si>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</si>
  <si>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</si>
  <si>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</si>
  <si>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</si>
  <si>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</si>
  <si>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</si>
  <si>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</si>
  <si>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</si>
  <si>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</si>
  <si>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</si>
  <si>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</si>
  <si>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</si>
  <si>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</si>
  <si>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</si>
  <si>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</si>
  <si>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</si>
  <si>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</si>
  <si>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</si>
  <si>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</si>
  <si>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</si>
  <si>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</si>
  <si>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</si>
  <si>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</si>
  <si>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</si>
  <si>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</si>
  <si>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</si>
  <si>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</si>
  <si>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</si>
  <si>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</si>
  <si>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</si>
  <si>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</si>
  <si>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</si>
  <si>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</si>
  <si>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</si>
  <si>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</si>
  <si>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</si>
  <si>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</si>
  <si>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</si>
  <si>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</si>
  <si>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</si>
  <si>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</si>
  <si>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</si>
  <si>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</si>
  <si>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</si>
  <si>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</si>
  <si>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</si>
  <si>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</si>
  <si>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</si>
  <si>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</si>
  <si>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</si>
  <si>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</si>
  <si>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</si>
  <si>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</si>
  <si>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</si>
  <si>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</si>
  <si>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</si>
  <si>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</si>
  <si>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</si>
  <si>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</si>
  <si>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</si>
  <si>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</si>
  <si>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</si>
  <si>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</si>
  <si>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</si>
  <si>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</si>
  <si>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</si>
  <si>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</si>
  <si>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</si>
  <si>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</si>
  <si>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</si>
  <si>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</si>
  <si>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</si>
  <si>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</si>
  <si>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</si>
  <si>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</si>
  <si>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</si>
  <si>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</si>
  <si>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</si>
  <si>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</si>
  <si>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</si>
  <si>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</si>
  <si>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</si>
  <si>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</si>
  <si>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</si>
  <si>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</si>
  <si>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</si>
  <si>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</si>
  <si>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</si>
  <si>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</si>
  <si>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</si>
  <si>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</si>
  <si>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</si>
  <si>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</si>
  <si>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</si>
  <si>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</si>
  <si>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</si>
  <si>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</si>
  <si>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</si>
  <si>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</si>
  <si>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</si>
  <si>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</si>
  <si>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</si>
  <si>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</si>
  <si>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</si>
  <si>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</si>
  <si>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</si>
  <si>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</si>
  <si>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</si>
  <si>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</si>
  <si>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</si>
  <si>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</si>
  <si>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</si>
  <si>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</si>
  <si>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</si>
  <si>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</si>
  <si>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</si>
  <si>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</si>
  <si>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</si>
  <si>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</si>
  <si>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</si>
  <si>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</si>
  <si>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</si>
  <si>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</si>
  <si>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</si>
  <si>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</si>
  <si>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</si>
  <si>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</si>
  <si>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</si>
  <si>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</si>
  <si>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</si>
  <si>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</si>
  <si>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</si>
  <si>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</si>
  <si>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</si>
  <si>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</si>
  <si>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</si>
  <si>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</si>
  <si>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</si>
  <si>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</si>
  <si>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</si>
  <si>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</si>
  <si>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</si>
  <si>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</si>
  <si>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</si>
  <si>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</si>
  <si>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</si>
  <si>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</si>
  <si>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</si>
  <si>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</si>
  <si>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</si>
  <si>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</si>
  <si>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</si>
  <si>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</si>
  <si>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</si>
  <si>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</si>
  <si>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</si>
  <si>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</si>
  <si>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</si>
  <si>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</si>
  <si>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</si>
  <si>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</si>
  <si>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</si>
  <si>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</si>
  <si>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</si>
  <si>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</si>
  <si>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</si>
  <si>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</si>
  <si>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</si>
  <si>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</si>
  <si>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</si>
  <si>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</si>
  <si>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</si>
  <si>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</si>
  <si>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</si>
  <si>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</si>
  <si>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</si>
  <si>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</si>
  <si>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</si>
  <si>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</si>
  <si>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</si>
  <si>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</si>
  <si>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</si>
  <si>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</si>
  <si>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</si>
  <si>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</si>
  <si>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</si>
  <si>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</si>
  <si>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</si>
  <si>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</si>
  <si>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</si>
  <si>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</si>
  <si>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</si>
  <si>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</si>
  <si>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</si>
  <si>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</si>
  <si>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</si>
  <si>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</si>
  <si>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</si>
  <si>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</si>
  <si>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</si>
  <si>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</si>
  <si>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</si>
  <si>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</si>
  <si>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</si>
  <si>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</si>
  <si>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</si>
  <si>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</si>
  <si>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</si>
  <si>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</si>
  <si>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</si>
  <si>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</si>
  <si>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</si>
  <si>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</si>
  <si>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</si>
  <si>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</si>
  <si>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</si>
  <si>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</si>
  <si>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</si>
  <si>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</si>
  <si>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</si>
  <si>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</si>
  <si>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</si>
  <si>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</si>
  <si>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</si>
  <si>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</si>
  <si>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</si>
  <si>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</si>
  <si>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</si>
  <si>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</si>
  <si>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</si>
  <si>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</si>
  <si>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</si>
  <si>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</si>
  <si>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</si>
  <si>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</si>
  <si>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</si>
  <si>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</si>
  <si>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</si>
  <si>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</si>
  <si>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</si>
  <si>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</si>
  <si>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</si>
  <si>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</si>
  <si>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</si>
  <si>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</si>
  <si>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</si>
  <si>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</si>
  <si>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</si>
  <si>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</si>
  <si>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</si>
  <si>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</si>
  <si>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</si>
  <si>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</si>
  <si>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</si>
  <si>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</si>
  <si>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</si>
  <si>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</si>
  <si>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</si>
  <si>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</si>
  <si>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</si>
  <si>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</si>
  <si>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</si>
  <si>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</si>
  <si>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</si>
  <si>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</si>
  <si>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</si>
  <si>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</si>
  <si>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</si>
  <si>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</si>
  <si>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</si>
  <si>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</si>
  <si>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</si>
  <si>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</si>
  <si>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</si>
  <si>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</si>
  <si>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</si>
  <si>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</si>
  <si>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</si>
  <si>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</si>
  <si>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</si>
  <si>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</si>
  <si>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</si>
  <si>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</si>
  <si>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</si>
  <si>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</si>
  <si>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</si>
  <si>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</si>
  <si>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</si>
  <si>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</si>
  <si>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</si>
  <si>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</si>
  <si>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</si>
  <si>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</si>
  <si>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</si>
  <si>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</si>
  <si>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</si>
  <si>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</si>
  <si>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</si>
  <si>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</si>
  <si>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</si>
  <si>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</si>
  <si>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</si>
  <si>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</si>
  <si>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</si>
  <si>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</si>
  <si>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</si>
  <si>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</si>
  <si>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</si>
  <si>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</si>
  <si>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</si>
  <si>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</si>
  <si>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</si>
  <si>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</si>
  <si>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</si>
  <si>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</si>
  <si>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</si>
  <si>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</si>
  <si>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</si>
  <si>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</si>
  <si>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</si>
  <si>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</si>
  <si>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</si>
  <si>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</si>
  <si>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</si>
  <si>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</si>
  <si>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</si>
  <si>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</si>
  <si>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</si>
  <si>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</si>
  <si>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</si>
  <si>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</si>
  <si>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</si>
  <si>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</si>
  <si>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</si>
  <si>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</si>
  <si>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</si>
  <si>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</si>
  <si>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</si>
  <si>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</si>
  <si>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</si>
  <si>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</si>
  <si>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</si>
  <si>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</si>
  <si>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</si>
  <si>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</si>
  <si>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</si>
  <si>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</si>
  <si>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</si>
  <si>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</si>
  <si>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</si>
  <si>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</si>
  <si>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</si>
  <si>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</si>
  <si>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</si>
  <si>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</si>
  <si>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</si>
  <si>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</si>
  <si>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</si>
  <si>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</si>
  <si>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</si>
  <si>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</si>
  <si>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</si>
  <si>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</si>
  <si>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</si>
  <si>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</si>
  <si>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</si>
  <si>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</si>
  <si>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</si>
  <si>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</si>
  <si>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</si>
  <si>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</si>
  <si>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</si>
  <si>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</si>
  <si>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</si>
  <si>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</si>
  <si>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</si>
  <si>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</si>
  <si>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</si>
  <si>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</si>
  <si>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</si>
  <si>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</si>
  <si>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</si>
  <si>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</si>
  <si>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</si>
  <si>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</si>
  <si>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</si>
  <si>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</si>
  <si>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</si>
  <si>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</si>
  <si>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</si>
  <si>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</si>
  <si>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</si>
  <si>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</si>
  <si>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</si>
  <si>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</si>
  <si>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</si>
  <si>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</si>
  <si>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</si>
  <si>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</si>
  <si>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</si>
  <si>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</si>
  <si>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</si>
  <si>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</si>
  <si>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</si>
  <si>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</si>
  <si>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</si>
  <si>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</si>
  <si>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</si>
  <si>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</si>
  <si>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</si>
  <si>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</si>
  <si>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</si>
  <si>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</si>
  <si>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</si>
  <si>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</si>
  <si>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</si>
  <si>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</si>
  <si>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</si>
  <si>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</si>
  <si>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</si>
  <si>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</si>
  <si>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</si>
  <si>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</si>
  <si>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</si>
  <si>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</si>
  <si>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</si>
  <si>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</si>
  <si>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</si>
  <si>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</si>
  <si>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</si>
  <si>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</si>
  <si>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</si>
  <si>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</si>
  <si>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</si>
  <si>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</si>
  <si>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</si>
  <si>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</si>
  <si>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</si>
  <si>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</si>
  <si>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</si>
  <si>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</si>
  <si>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</si>
  <si>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</si>
  <si>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</si>
  <si>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</si>
  <si>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</si>
  <si>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</si>
  <si>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</si>
  <si>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</si>
  <si>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</si>
  <si>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</si>
  <si>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</si>
  <si>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</si>
  <si>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</si>
  <si>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</si>
  <si>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</si>
  <si>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</si>
  <si>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Escola de Instrutores: Avaliação de Aprendizagem</t>
  </si>
  <si>
    <t>Oficina Temática - SEMAT: Reajuste de preços em contratos de obras e serviços de engenharia</t>
  </si>
  <si>
    <t>Oficina Temática - SEMAT: Pesquisa de Preços em contratos de obras e serviços de engenharia</t>
  </si>
  <si>
    <t>Oficina Temática – SEMAT: Controle Tecnológico de obras e serviços de engenharia</t>
  </si>
  <si>
    <t>Oficina Temática - SEMAT: Aditivos na Contratação Integrada de obras e serviços de engenharia</t>
  </si>
  <si>
    <t>Oficina Temática - SEMAT: Matriz de Riscos em contratos de obras e serviços de engenharia</t>
  </si>
  <si>
    <t>3 a 5/08/2026</t>
  </si>
  <si>
    <t>08 a 18/09/2026</t>
  </si>
  <si>
    <t>3600/2026</t>
  </si>
  <si>
    <t>Curso de formação sobre "Programa de Descentralização Progressiva das Ações de Saúde - PDPAS</t>
  </si>
  <si>
    <t xml:space="preserve">25 a 27/08; 01 e 03/09/2026 </t>
  </si>
  <si>
    <t>Sara Cristina Lins Ramos</t>
  </si>
  <si>
    <t>Carina de Souza Mariuba Herthel</t>
  </si>
  <si>
    <t>Tarsila Firmino Ely; Sara Cristina Lins Ramos; Carina de Souza Mariuba Herthel</t>
  </si>
  <si>
    <t>Elvis AARON Teixeira dos Santos Lima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</si>
</sst>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8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41" fillId="4" borderId="1" xfId="0" applyNumberFormat="1" applyFont="1" applyFill="1" applyBorder="1" applyAlignment="1">
      <alignment vertical="center"/>
    </xf>
    <xf numFmtId="49" fontId="55" fillId="3" borderId="2" xfId="0" applyNumberFormat="1" applyFont="1" applyFill="1" applyBorder="1" applyAlignment="1">
      <alignment vertical="center"/>
    </xf>
    <xf numFmtId="0" fontId="41" fillId="4" borderId="2" xfId="0" applyFont="1" applyFill="1" applyBorder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 wrapText="1"/>
    </xf>
    <xf numFmtId="49" fontId="54" fillId="3" borderId="2" xfId="0" applyNumberFormat="1" applyFont="1" applyFill="1" applyBorder="1" applyAlignment="1">
      <alignment horizontal="center" vertical="center"/>
    </xf>
    <xf numFmtId="14" fontId="54" fillId="3" borderId="2" xfId="0" applyNumberFormat="1" applyFont="1" applyFill="1" applyBorder="1" applyAlignment="1">
      <alignment horizontal="center" vertical="center"/>
    </xf>
    <xf numFmtId="170" fontId="9" fillId="18" borderId="2" xfId="2" applyNumberFormat="1" applyFont="1" applyFill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169" fontId="54" fillId="4" borderId="2" xfId="0" applyNumberFormat="1" applyFont="1" applyFill="1" applyBorder="1" applyAlignment="1">
      <alignment horizontal="center" vertical="center"/>
    </xf>
    <xf numFmtId="0" fontId="55" fillId="4" borderId="2" xfId="0" applyFont="1" applyFill="1" applyBorder="1" applyAlignment="1">
      <alignment horizontal="center" vertical="center"/>
    </xf>
    <xf numFmtId="49" fontId="54" fillId="16" borderId="1" xfId="0" applyNumberFormat="1" applyFont="1" applyFill="1" applyBorder="1" applyAlignment="1">
      <alignment horizontal="center" vertical="center"/>
    </xf>
    <xf numFmtId="14" fontId="54" fillId="16" borderId="1" xfId="0" applyNumberFormat="1" applyFont="1" applyFill="1" applyBorder="1" applyAlignment="1">
      <alignment horizontal="center" vertical="center"/>
    </xf>
    <xf numFmtId="1" fontId="54" fillId="16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 wrapText="1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/>
  <sortState xmlns:xlrd2="http://schemas.microsoft.com/office/spreadsheetml/2017/richdata2" ref="B2:T2000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6" totalsRowShown="0">
  <autoFilter ref="A3:D96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opLeftCell="G1" zoomScaleNormal="100" workbookViewId="0">
      <pane ySplit="1" topLeftCell="A711" activePane="bottomLeft" state="frozen"/>
      <selection pane="bottomLeft" activeCell="T722" sqref="T722"/>
    </sheetView>
  </sheetViews>
  <sheetFormatPr defaultColWidth="9.140625" defaultRowHeight="22.5" customHeight="1" x14ac:dyDescent="0.25"/>
  <cols>
    <col min="1" max="1" width="10" style="2" hidden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09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95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>SUM(O2:Q2)</f>
        <v>20</v>
      </c>
      <c r="S2" s="21">
        <v>20</v>
      </c>
      <c r="T2" s="19"/>
    </row>
    <row r="3" spans="1:20" ht="22.5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>SUM(O3:Q3)</f>
        <v>16</v>
      </c>
      <c r="S3" s="23">
        <v>16</v>
      </c>
      <c r="T3" s="20"/>
    </row>
    <row r="4" spans="1:20" ht="22.5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>SUM(O4:Q4)</f>
        <v>24</v>
      </c>
      <c r="S4" s="21">
        <v>24</v>
      </c>
      <c r="T4" s="19"/>
    </row>
    <row r="5" spans="1:20" ht="22.5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>SUM(O5:Q5)</f>
        <v>16</v>
      </c>
      <c r="S5" s="23">
        <v>16</v>
      </c>
      <c r="T5" s="20"/>
    </row>
    <row r="6" spans="1:20" ht="22.5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>SUM(O6:Q6)</f>
        <v>40</v>
      </c>
      <c r="S6" s="21">
        <v>40</v>
      </c>
      <c r="T6" s="19"/>
    </row>
    <row r="7" spans="1:20" ht="22.5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>SUM(O7:Q7)</f>
        <v>30</v>
      </c>
      <c r="S7" s="23">
        <v>30</v>
      </c>
      <c r="T7" s="20"/>
    </row>
    <row r="8" spans="1:20" ht="22.5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>SUM(O8:Q8)</f>
        <v>24</v>
      </c>
      <c r="S8" s="21">
        <v>24</v>
      </c>
      <c r="T8" s="19"/>
    </row>
    <row r="9" spans="1:20" ht="22.5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>SUM(O9:Q9)</f>
        <v>37</v>
      </c>
      <c r="S9" s="23">
        <v>8</v>
      </c>
      <c r="T9" s="20"/>
    </row>
    <row r="10" spans="1:20" ht="22.5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>SUM(O10:Q10)</f>
        <v>58</v>
      </c>
      <c r="S10" s="21">
        <v>20</v>
      </c>
      <c r="T10" s="19"/>
    </row>
    <row r="11" spans="1:20" ht="22.5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>SUM(O11:Q11)</f>
        <v>25</v>
      </c>
      <c r="S11" s="23">
        <v>20</v>
      </c>
      <c r="T11" s="20" t="s">
        <v>48</v>
      </c>
    </row>
    <row r="12" spans="1:20" ht="22.5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>SUM(O12:Q12)</f>
        <v>85</v>
      </c>
      <c r="S12" s="21">
        <v>20</v>
      </c>
      <c r="T12" s="19" t="s">
        <v>53</v>
      </c>
    </row>
    <row r="13" spans="1:20" ht="22.5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>SUM(O13:Q13)</f>
        <v>19</v>
      </c>
      <c r="S13" s="23">
        <v>40</v>
      </c>
      <c r="T13" s="20" t="s">
        <v>57</v>
      </c>
    </row>
    <row r="14" spans="1:20" ht="22.5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>SUM(O14:Q14)</f>
        <v>89</v>
      </c>
      <c r="S14" s="21">
        <v>20</v>
      </c>
      <c r="T14" s="19" t="s">
        <v>61</v>
      </c>
    </row>
    <row r="15" spans="1:20" ht="22.5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>SUM(O15:Q15)</f>
        <v>37</v>
      </c>
      <c r="S15" s="23">
        <v>30</v>
      </c>
      <c r="T15" s="20" t="s">
        <v>61</v>
      </c>
    </row>
    <row r="16" spans="1:20" ht="22.5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>SUM(O16:Q16)</f>
        <v>0</v>
      </c>
      <c r="S16" s="21">
        <v>5</v>
      </c>
      <c r="T16" s="19"/>
    </row>
    <row r="17" spans="1:20" ht="22.5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>SUM(O17:Q17)</f>
        <v>30</v>
      </c>
      <c r="S17" s="23">
        <v>16</v>
      </c>
      <c r="T17" s="20" t="s">
        <v>72</v>
      </c>
    </row>
    <row r="18" spans="1:20" ht="22.5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>SUM(O18:Q18)</f>
        <v>30</v>
      </c>
      <c r="S18" s="21">
        <v>20</v>
      </c>
      <c r="T18" s="19" t="s">
        <v>76</v>
      </c>
    </row>
    <row r="19" spans="1:20" ht="22.5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>SUM(O19:Q19)</f>
        <v>15</v>
      </c>
      <c r="S19" s="23">
        <v>8</v>
      </c>
      <c r="T19" s="20" t="s">
        <v>80</v>
      </c>
    </row>
    <row r="20" spans="1:20" ht="22.5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>SUM(O20:Q20)</f>
        <v>14</v>
      </c>
      <c r="S20" s="21">
        <v>24</v>
      </c>
      <c r="T20" s="19" t="s">
        <v>84</v>
      </c>
    </row>
    <row r="21" spans="1:20" ht="22.5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>SUM(O21:Q21)</f>
        <v>14</v>
      </c>
      <c r="S21" s="23">
        <v>20</v>
      </c>
      <c r="T21" s="20" t="s">
        <v>88</v>
      </c>
    </row>
    <row r="22" spans="1:20" ht="22.5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>SUM(O22:Q22)</f>
        <v>49</v>
      </c>
      <c r="S22" s="21">
        <v>20</v>
      </c>
      <c r="T22" s="19" t="s">
        <v>92</v>
      </c>
    </row>
    <row r="23" spans="1:20" ht="22.5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>SUM(O23:Q23)</f>
        <v>43</v>
      </c>
      <c r="S23" s="23">
        <v>8</v>
      </c>
      <c r="T23" s="20" t="s">
        <v>96</v>
      </c>
    </row>
    <row r="24" spans="1:20" ht="22.5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>SUM(O24:Q24)</f>
        <v>25</v>
      </c>
      <c r="S24" s="21">
        <v>20</v>
      </c>
      <c r="T24" s="19" t="s">
        <v>100</v>
      </c>
    </row>
    <row r="25" spans="1:20" ht="22.5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>SUM(O25:Q25)</f>
        <v>35</v>
      </c>
      <c r="S25" s="23">
        <v>20</v>
      </c>
      <c r="T25" s="20" t="s">
        <v>104</v>
      </c>
    </row>
    <row r="26" spans="1:20" ht="22.5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>SUM(O26:Q26)</f>
        <v>35</v>
      </c>
      <c r="S26" s="21">
        <v>25</v>
      </c>
      <c r="T26" s="19" t="s">
        <v>108</v>
      </c>
    </row>
    <row r="27" spans="1:20" ht="22.5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>SUM(O27:Q27)</f>
        <v>87</v>
      </c>
      <c r="S27" s="23"/>
      <c r="T27" s="20"/>
    </row>
    <row r="28" spans="1:20" ht="22.5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>SUM(O28:Q28)</f>
        <v>46</v>
      </c>
      <c r="S28" s="21">
        <v>20</v>
      </c>
      <c r="T28" s="19" t="s">
        <v>113</v>
      </c>
    </row>
    <row r="29" spans="1:20" ht="22.5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>SUM(O29:Q29)</f>
        <v>15</v>
      </c>
      <c r="S29" s="23">
        <v>20</v>
      </c>
      <c r="T29" s="31" t="s">
        <v>117</v>
      </c>
    </row>
    <row r="30" spans="1:20" ht="22.5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>SUM(O30:Q30)</f>
        <v>54</v>
      </c>
      <c r="S30" s="21">
        <v>20</v>
      </c>
      <c r="T30" s="19" t="s">
        <v>92</v>
      </c>
    </row>
    <row r="31" spans="1:20" ht="22.5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>SUM(O31:Q31)</f>
        <v>52</v>
      </c>
      <c r="S31" s="23">
        <v>0</v>
      </c>
      <c r="T31" s="20"/>
    </row>
    <row r="32" spans="1:20" ht="22.5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>SUM(O32:Q32)</f>
        <v>46</v>
      </c>
      <c r="S32" s="21">
        <v>20</v>
      </c>
      <c r="T32" s="19" t="s">
        <v>113</v>
      </c>
    </row>
    <row r="33" spans="1:20" ht="22.5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>SUM(O33:Q33)</f>
        <v>14</v>
      </c>
      <c r="S33" s="23">
        <v>8</v>
      </c>
      <c r="T33" s="20" t="s">
        <v>125</v>
      </c>
    </row>
    <row r="34" spans="1:20" ht="22.5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>SUM(O34:Q34)</f>
        <v>25</v>
      </c>
      <c r="S34" s="21">
        <v>20</v>
      </c>
      <c r="T34" s="19"/>
    </row>
    <row r="35" spans="1:20" ht="22.5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>SUM(O35:Q35)</f>
        <v>17</v>
      </c>
      <c r="S35" s="23">
        <v>20</v>
      </c>
      <c r="T35" s="20" t="s">
        <v>129</v>
      </c>
    </row>
    <row r="36" spans="1:20" ht="22.5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>SUM(O36:Q36)</f>
        <v>75</v>
      </c>
      <c r="S36" s="21">
        <v>20</v>
      </c>
      <c r="T36" s="19" t="s">
        <v>61</v>
      </c>
    </row>
    <row r="37" spans="1:20" ht="22.5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>SUM(O37:Q37)</f>
        <v>18</v>
      </c>
      <c r="S37" s="23">
        <v>3</v>
      </c>
      <c r="T37" s="31" t="s">
        <v>136</v>
      </c>
    </row>
    <row r="38" spans="1:20" ht="22.5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>SUM(O38:Q38)</f>
        <v>33</v>
      </c>
      <c r="S38" s="21">
        <v>10</v>
      </c>
      <c r="T38" s="19" t="s">
        <v>140</v>
      </c>
    </row>
    <row r="39" spans="1:20" ht="22.5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>SUM(O39:Q39)</f>
        <v>55</v>
      </c>
      <c r="S39" s="23">
        <v>20</v>
      </c>
      <c r="T39" s="20" t="s">
        <v>92</v>
      </c>
    </row>
    <row r="40" spans="1:20" ht="22.5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>SUM(O40:Q40)</f>
        <v>45</v>
      </c>
      <c r="S40" s="21">
        <v>20</v>
      </c>
      <c r="T40" s="19" t="s">
        <v>147</v>
      </c>
    </row>
    <row r="41" spans="1:20" ht="22.5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>SUM(O41:Q41)</f>
        <v>15</v>
      </c>
      <c r="S41" s="23">
        <v>20</v>
      </c>
      <c r="T41" s="20" t="s">
        <v>150</v>
      </c>
    </row>
    <row r="42" spans="1:20" ht="22.5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>SUM(O42:Q42)</f>
        <v>21</v>
      </c>
      <c r="S42" s="21">
        <v>8</v>
      </c>
      <c r="T42" s="32" t="s">
        <v>154</v>
      </c>
    </row>
    <row r="43" spans="1:20" ht="22.5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>SUM(O43:Q43)</f>
        <v>40</v>
      </c>
      <c r="S43" s="23">
        <v>9</v>
      </c>
      <c r="T43" s="20" t="s">
        <v>159</v>
      </c>
    </row>
    <row r="44" spans="1:20" ht="22.5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>SUM(O44:Q44)</f>
        <v>45</v>
      </c>
      <c r="S44" s="21">
        <v>8</v>
      </c>
      <c r="T44" s="19" t="s">
        <v>163</v>
      </c>
    </row>
    <row r="45" spans="1:20" ht="22.5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>SUM(O45:Q45)</f>
        <v>13</v>
      </c>
      <c r="S45" s="23">
        <v>20</v>
      </c>
      <c r="T45" s="31" t="s">
        <v>167</v>
      </c>
    </row>
    <row r="46" spans="1:20" ht="22.5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>SUM(O46:Q46)</f>
        <v>35</v>
      </c>
      <c r="S46" s="21">
        <v>20</v>
      </c>
      <c r="T46" s="19" t="s">
        <v>171</v>
      </c>
    </row>
    <row r="47" spans="1:20" ht="22.5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>SUM(O47:Q47)</f>
        <v>71</v>
      </c>
      <c r="S47" s="23">
        <v>20</v>
      </c>
      <c r="T47" s="20" t="s">
        <v>175</v>
      </c>
    </row>
    <row r="48" spans="1:20" ht="22.5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>SUM(O48:Q48)</f>
        <v>329</v>
      </c>
      <c r="S48" s="21">
        <v>8</v>
      </c>
      <c r="T48" s="19" t="s">
        <v>180</v>
      </c>
    </row>
    <row r="49" spans="1:20" ht="22.5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>SUM(O49:Q49)</f>
        <v>26</v>
      </c>
      <c r="S49" s="23">
        <v>20</v>
      </c>
      <c r="T49" s="20" t="s">
        <v>184</v>
      </c>
    </row>
    <row r="50" spans="1:20" ht="22.5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>SUM(O50:Q50)</f>
        <v>35</v>
      </c>
      <c r="S50" s="21">
        <v>20</v>
      </c>
      <c r="T50" s="19" t="s">
        <v>188</v>
      </c>
    </row>
    <row r="51" spans="1:20" ht="22.5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>SUM(O51:Q51)</f>
        <v>46</v>
      </c>
      <c r="S51" s="23">
        <v>20</v>
      </c>
      <c r="T51" s="20" t="s">
        <v>92</v>
      </c>
    </row>
    <row r="52" spans="1:20" ht="22.5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>SUM(O52:Q52)</f>
        <v>52</v>
      </c>
      <c r="S52" s="21">
        <v>20</v>
      </c>
      <c r="T52" s="19" t="s">
        <v>92</v>
      </c>
    </row>
    <row r="53" spans="1:20" ht="22.5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>SUM(O53:Q53)</f>
        <v>34</v>
      </c>
      <c r="S53" s="23">
        <v>20</v>
      </c>
      <c r="T53" s="20" t="s">
        <v>195</v>
      </c>
    </row>
    <row r="54" spans="1:20" ht="22.5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>SUM(O54:Q54)</f>
        <v>27</v>
      </c>
      <c r="S54" s="21">
        <v>15</v>
      </c>
      <c r="T54" s="19" t="s">
        <v>199</v>
      </c>
    </row>
    <row r="55" spans="1:20" ht="22.5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>SUM(O55:Q55)</f>
        <v>16</v>
      </c>
      <c r="S55" s="23">
        <v>20</v>
      </c>
      <c r="T55" s="20" t="s">
        <v>129</v>
      </c>
    </row>
    <row r="56" spans="1:20" ht="22.5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>SUM(O56:Q56)</f>
        <v>55</v>
      </c>
      <c r="S56" s="21">
        <v>12</v>
      </c>
      <c r="T56" s="19" t="s">
        <v>206</v>
      </c>
    </row>
    <row r="57" spans="1:20" ht="22.5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>SUM(O57:Q57)</f>
        <v>14</v>
      </c>
      <c r="S57" s="23">
        <v>20</v>
      </c>
      <c r="T57" s="31" t="s">
        <v>167</v>
      </c>
    </row>
    <row r="58" spans="1:20" ht="22.5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>SUM(O58:Q58)</f>
        <v>47</v>
      </c>
      <c r="S58" s="21">
        <v>20</v>
      </c>
      <c r="T58" s="19" t="s">
        <v>212</v>
      </c>
    </row>
    <row r="59" spans="1:20" ht="22.5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>SUM(O59:Q59)</f>
        <v>31</v>
      </c>
      <c r="S59" s="23">
        <v>20</v>
      </c>
      <c r="T59" s="20" t="s">
        <v>216</v>
      </c>
    </row>
    <row r="60" spans="1:20" ht="22.5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>SUM(O60:Q60)</f>
        <v>28</v>
      </c>
      <c r="S60" s="21">
        <v>20</v>
      </c>
      <c r="T60" s="19" t="s">
        <v>92</v>
      </c>
    </row>
    <row r="61" spans="1:20" ht="22.5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>SUM(O61:Q61)</f>
        <v>34</v>
      </c>
      <c r="S61" s="23">
        <v>20</v>
      </c>
      <c r="T61" s="20" t="s">
        <v>92</v>
      </c>
    </row>
    <row r="62" spans="1:20" ht="22.5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>SUM(O62:Q62)</f>
        <v>60</v>
      </c>
      <c r="S62" s="21">
        <v>20</v>
      </c>
      <c r="T62" s="19" t="s">
        <v>224</v>
      </c>
    </row>
    <row r="63" spans="1:20" ht="22.5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>SUM(O63:Q63)</f>
        <v>29</v>
      </c>
      <c r="S63" s="23">
        <v>26</v>
      </c>
      <c r="T63" s="20" t="s">
        <v>227</v>
      </c>
    </row>
    <row r="64" spans="1:20" ht="22.5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>SUM(O64:Q64)</f>
        <v>26</v>
      </c>
      <c r="S64" s="21">
        <v>30</v>
      </c>
      <c r="T64" s="19" t="s">
        <v>129</v>
      </c>
    </row>
    <row r="65" spans="1:20" ht="22.5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>SUM(O65:Q65)</f>
        <v>47</v>
      </c>
      <c r="S65" s="23">
        <v>20</v>
      </c>
      <c r="T65" s="20" t="s">
        <v>92</v>
      </c>
    </row>
    <row r="66" spans="1:20" ht="22.5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>SUM(O66:Q66)</f>
        <v>20</v>
      </c>
      <c r="S66" s="21">
        <v>20</v>
      </c>
      <c r="T66" s="32" t="s">
        <v>167</v>
      </c>
    </row>
    <row r="67" spans="1:20" ht="22.5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>SUM(O67:Q67)</f>
        <v>43</v>
      </c>
      <c r="S67" s="23">
        <v>20</v>
      </c>
      <c r="T67" s="20" t="s">
        <v>61</v>
      </c>
    </row>
    <row r="68" spans="1:20" ht="22.5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>SUM(O68:Q68)</f>
        <v>15</v>
      </c>
      <c r="S68" s="21">
        <v>20</v>
      </c>
      <c r="T68" s="19" t="s">
        <v>195</v>
      </c>
    </row>
    <row r="69" spans="1:20" ht="22.5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>SUM(O69:Q69)</f>
        <v>29</v>
      </c>
      <c r="S69" s="23">
        <v>20</v>
      </c>
      <c r="T69" s="20" t="s">
        <v>244</v>
      </c>
    </row>
    <row r="70" spans="1:20" ht="22.5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>SUM(O70:Q70)</f>
        <v>46</v>
      </c>
      <c r="S70" s="21">
        <v>20</v>
      </c>
      <c r="T70" s="19" t="s">
        <v>92</v>
      </c>
    </row>
    <row r="71" spans="1:20" ht="22.5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>SUM(O71:Q71)</f>
        <v>14</v>
      </c>
      <c r="S71" s="23">
        <v>26</v>
      </c>
      <c r="T71" s="20" t="s">
        <v>249</v>
      </c>
    </row>
    <row r="72" spans="1:20" ht="22.5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>SUM(O72:Q72)</f>
        <v>12</v>
      </c>
      <c r="S72" s="21">
        <v>8</v>
      </c>
      <c r="T72" s="19" t="s">
        <v>125</v>
      </c>
    </row>
    <row r="73" spans="1:20" ht="22.5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>SUM(O73:Q73)</f>
        <v>18</v>
      </c>
      <c r="S73" s="23">
        <v>20</v>
      </c>
      <c r="T73" s="31" t="s">
        <v>167</v>
      </c>
    </row>
    <row r="74" spans="1:20" ht="22.5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>SUM(O74:Q74)</f>
        <v>30</v>
      </c>
      <c r="S74" s="21">
        <v>20</v>
      </c>
      <c r="T74" s="19" t="s">
        <v>72</v>
      </c>
    </row>
    <row r="75" spans="1:20" ht="22.5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>SUM(O75:Q75)</f>
        <v>37</v>
      </c>
      <c r="S75" s="23">
        <v>20</v>
      </c>
      <c r="T75" s="20" t="s">
        <v>261</v>
      </c>
    </row>
    <row r="76" spans="1:20" ht="22.5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>SUM(O76:Q76)</f>
        <v>47</v>
      </c>
      <c r="S76" s="21">
        <v>20</v>
      </c>
      <c r="T76" s="19" t="s">
        <v>212</v>
      </c>
    </row>
    <row r="77" spans="1:20" ht="22.5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>SUM(O77:Q77)</f>
        <v>30</v>
      </c>
      <c r="S77" s="23">
        <v>16</v>
      </c>
      <c r="T77" s="20" t="s">
        <v>267</v>
      </c>
    </row>
    <row r="78" spans="1:20" ht="22.5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>SUM(O78:Q78)</f>
        <v>19</v>
      </c>
      <c r="S78" s="21">
        <v>20</v>
      </c>
      <c r="T78" s="19" t="s">
        <v>216</v>
      </c>
    </row>
    <row r="79" spans="1:20" ht="22.5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>SUM(O79:Q79)</f>
        <v>37</v>
      </c>
      <c r="S79" s="23">
        <v>16</v>
      </c>
      <c r="T79" s="20" t="s">
        <v>274</v>
      </c>
    </row>
    <row r="80" spans="1:20" ht="22.5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>SUM(O80:Q80)</f>
        <v>19</v>
      </c>
      <c r="S80" s="21">
        <v>20</v>
      </c>
      <c r="T80" s="19" t="s">
        <v>216</v>
      </c>
    </row>
    <row r="81" spans="1:20" ht="22.5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>SUM(O81:Q81)</f>
        <v>20</v>
      </c>
      <c r="S81" s="23">
        <v>20</v>
      </c>
      <c r="T81" s="20" t="s">
        <v>280</v>
      </c>
    </row>
    <row r="82" spans="1:20" ht="22.5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>SUM(O82:Q82)</f>
        <v>50</v>
      </c>
      <c r="S82" s="21">
        <v>20</v>
      </c>
      <c r="T82" s="19" t="s">
        <v>285</v>
      </c>
    </row>
    <row r="83" spans="1:20" ht="22.5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>SUM(O83:Q83)</f>
        <v>17</v>
      </c>
      <c r="S83" s="23">
        <v>20</v>
      </c>
      <c r="T83" s="20" t="s">
        <v>184</v>
      </c>
    </row>
    <row r="84" spans="1:20" ht="22.5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>SUM(O84:Q84)</f>
        <v>25</v>
      </c>
      <c r="S84" s="21">
        <v>20</v>
      </c>
      <c r="T84" s="19" t="s">
        <v>61</v>
      </c>
    </row>
    <row r="85" spans="1:20" ht="22.5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>SUM(O85:Q85)</f>
        <v>49</v>
      </c>
      <c r="S85" s="23">
        <v>20</v>
      </c>
      <c r="T85" s="20" t="s">
        <v>113</v>
      </c>
    </row>
    <row r="86" spans="1:20" ht="22.5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>SUM(O86:Q86)</f>
        <v>34</v>
      </c>
      <c r="S86" s="21">
        <v>20</v>
      </c>
      <c r="T86" s="19" t="s">
        <v>61</v>
      </c>
    </row>
    <row r="87" spans="1:20" ht="22.5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>SUM(O87:Q87)</f>
        <v>19</v>
      </c>
      <c r="S87" s="23">
        <v>20</v>
      </c>
      <c r="T87" s="31" t="s">
        <v>167</v>
      </c>
    </row>
    <row r="88" spans="1:20" ht="22.5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>SUM(O88:Q88)</f>
        <v>312</v>
      </c>
      <c r="S88" s="21">
        <v>8</v>
      </c>
      <c r="T88" s="19" t="s">
        <v>301</v>
      </c>
    </row>
    <row r="89" spans="1:20" ht="22.5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>SUM(O89:Q89)</f>
        <v>57</v>
      </c>
      <c r="S89" s="23">
        <v>20</v>
      </c>
      <c r="T89" s="20" t="s">
        <v>92</v>
      </c>
    </row>
    <row r="90" spans="1:20" ht="22.5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>SUM(O90:Q90)</f>
        <v>50</v>
      </c>
      <c r="S90" s="21">
        <v>20</v>
      </c>
      <c r="T90" s="19" t="s">
        <v>92</v>
      </c>
    </row>
    <row r="91" spans="1:20" ht="22.5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>SUM(O91:Q91)</f>
        <v>18</v>
      </c>
      <c r="S91" s="23">
        <v>20</v>
      </c>
      <c r="T91" s="20" t="s">
        <v>57</v>
      </c>
    </row>
    <row r="92" spans="1:20" ht="22.5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>SUM(O92:Q92)</f>
        <v>18</v>
      </c>
      <c r="S92" s="21">
        <v>20</v>
      </c>
      <c r="T92" s="19" t="s">
        <v>314</v>
      </c>
    </row>
    <row r="93" spans="1:20" ht="22.5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>SUM(O93:Q93)</f>
        <v>40</v>
      </c>
      <c r="S93" s="23">
        <v>20</v>
      </c>
      <c r="T93" s="20" t="s">
        <v>317</v>
      </c>
    </row>
    <row r="94" spans="1:20" ht="22.5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>SUM(O94:Q94)</f>
        <v>37</v>
      </c>
      <c r="S94" s="21">
        <v>16</v>
      </c>
      <c r="T94" s="19" t="s">
        <v>321</v>
      </c>
    </row>
    <row r="95" spans="1:20" ht="22.5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>SUM(O95:Q95)</f>
        <v>96</v>
      </c>
      <c r="S95" s="23">
        <v>20</v>
      </c>
      <c r="T95" s="31" t="s">
        <v>324</v>
      </c>
    </row>
    <row r="96" spans="1:20" ht="22.5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>SUM(O96:Q96)</f>
        <v>19</v>
      </c>
      <c r="S96" s="21">
        <v>20</v>
      </c>
      <c r="T96" s="19" t="s">
        <v>88</v>
      </c>
    </row>
    <row r="97" spans="1:20" ht="22.5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>SUM(O97:Q97)</f>
        <v>65</v>
      </c>
      <c r="S97" s="23">
        <v>20</v>
      </c>
      <c r="T97" s="20" t="s">
        <v>92</v>
      </c>
    </row>
    <row r="98" spans="1:20" ht="22.5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>SUM(O98:Q98)</f>
        <v>19</v>
      </c>
      <c r="S98" s="21">
        <v>8</v>
      </c>
      <c r="T98" s="19" t="s">
        <v>88</v>
      </c>
    </row>
    <row r="99" spans="1:20" ht="22.5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>SUM(O99:Q99)</f>
        <v>19</v>
      </c>
      <c r="S99" s="23">
        <v>16</v>
      </c>
      <c r="T99" s="20" t="s">
        <v>216</v>
      </c>
    </row>
    <row r="100" spans="1:20" ht="22.5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>SUM(O100:Q100)</f>
        <v>20</v>
      </c>
      <c r="S100" s="21">
        <v>20</v>
      </c>
      <c r="T100" s="19" t="s">
        <v>88</v>
      </c>
    </row>
    <row r="101" spans="1:20" ht="22.5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>SUM(O101:Q101)</f>
        <v>63</v>
      </c>
      <c r="S101" s="23">
        <v>20</v>
      </c>
      <c r="T101" s="20" t="s">
        <v>342</v>
      </c>
    </row>
    <row r="102" spans="1:20" ht="22.5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>SUM(O102:Q102)</f>
        <v>18</v>
      </c>
      <c r="S102" s="21">
        <v>20</v>
      </c>
      <c r="T102" s="19" t="s">
        <v>150</v>
      </c>
    </row>
    <row r="103" spans="1:20" ht="22.5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>SUM(O103:Q103)</f>
        <v>31</v>
      </c>
      <c r="S103" s="23">
        <v>20</v>
      </c>
      <c r="T103" s="20" t="s">
        <v>347</v>
      </c>
    </row>
    <row r="104" spans="1:20" ht="22.5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>SUM(O104:Q104)</f>
        <v>59</v>
      </c>
      <c r="S104" s="21">
        <v>20</v>
      </c>
      <c r="T104" s="19" t="s">
        <v>212</v>
      </c>
    </row>
    <row r="105" spans="1:20" ht="22.5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>SUM(O105:Q105)</f>
        <v>25</v>
      </c>
      <c r="S105" s="23">
        <v>24</v>
      </c>
      <c r="T105" s="20" t="s">
        <v>355</v>
      </c>
    </row>
    <row r="106" spans="1:20" ht="22.5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>SUM(O106:Q106)</f>
        <v>34</v>
      </c>
      <c r="S106" s="21">
        <v>20</v>
      </c>
      <c r="T106" s="19" t="s">
        <v>359</v>
      </c>
    </row>
    <row r="107" spans="1:20" ht="22.5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>SUM(O107:Q107)</f>
        <v>19</v>
      </c>
      <c r="S107" s="23">
        <v>16</v>
      </c>
      <c r="T107" s="20" t="s">
        <v>216</v>
      </c>
    </row>
    <row r="108" spans="1:20" ht="22.5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>SUM(O108:Q108)</f>
        <v>353</v>
      </c>
      <c r="S108" s="21">
        <v>8</v>
      </c>
      <c r="T108" s="19" t="s">
        <v>365</v>
      </c>
    </row>
    <row r="109" spans="1:20" ht="22.5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>SUM(O109:Q109)</f>
        <v>28</v>
      </c>
      <c r="S109" s="23">
        <v>20</v>
      </c>
      <c r="T109" s="20" t="s">
        <v>347</v>
      </c>
    </row>
    <row r="110" spans="1:20" ht="22.5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>SUM(O110:Q110)</f>
        <v>215</v>
      </c>
      <c r="S110" s="21">
        <v>2</v>
      </c>
      <c r="T110" s="19" t="s">
        <v>371</v>
      </c>
    </row>
    <row r="111" spans="1:20" ht="22.5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>SUM(O111:Q111)</f>
        <v>55</v>
      </c>
      <c r="S111" s="23">
        <v>47</v>
      </c>
      <c r="T111" s="20" t="s">
        <v>375</v>
      </c>
    </row>
    <row r="112" spans="1:20" ht="22.5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>SUM(O112:Q112)</f>
        <v>11</v>
      </c>
      <c r="S112" s="21">
        <v>3.5</v>
      </c>
      <c r="T112" s="19" t="s">
        <v>379</v>
      </c>
    </row>
    <row r="113" spans="1:20" ht="22.5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>SUM(O113:Q113)</f>
        <v>26</v>
      </c>
      <c r="S113" s="23">
        <v>14</v>
      </c>
      <c r="T113" s="20" t="s">
        <v>383</v>
      </c>
    </row>
    <row r="114" spans="1:20" ht="22.5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>SUM(O114:Q114)</f>
        <v>8</v>
      </c>
      <c r="S114" s="21">
        <v>3.5</v>
      </c>
      <c r="T114" s="19" t="s">
        <v>386</v>
      </c>
    </row>
    <row r="115" spans="1:20" ht="22.5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>SUM(O115:Q115)</f>
        <v>38</v>
      </c>
      <c r="S115" s="23">
        <v>4</v>
      </c>
      <c r="T115" s="20" t="s">
        <v>390</v>
      </c>
    </row>
    <row r="116" spans="1:20" ht="22.5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>SUM(O116:Q116)</f>
        <v>18</v>
      </c>
      <c r="S116" s="21">
        <v>20</v>
      </c>
      <c r="T116" s="19" t="s">
        <v>394</v>
      </c>
    </row>
    <row r="117" spans="1:20" ht="22.5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>SUM(O117:Q117)</f>
        <v>45</v>
      </c>
      <c r="S117" s="23">
        <v>18</v>
      </c>
      <c r="T117" s="20" t="s">
        <v>398</v>
      </c>
    </row>
    <row r="118" spans="1:20" ht="22.5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>SUM(O118:Q118)</f>
        <v>45</v>
      </c>
      <c r="S118" s="21">
        <v>20</v>
      </c>
      <c r="T118" s="19" t="s">
        <v>402</v>
      </c>
    </row>
    <row r="119" spans="1:20" ht="22.5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>SUM(O119:Q119)</f>
        <v>44</v>
      </c>
      <c r="S119" s="23">
        <v>12</v>
      </c>
      <c r="T119" s="20" t="s">
        <v>406</v>
      </c>
    </row>
    <row r="120" spans="1:20" ht="22.5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>SUM(O120:Q120)</f>
        <v>50</v>
      </c>
      <c r="S120" s="21">
        <v>4</v>
      </c>
      <c r="T120" s="19" t="s">
        <v>410</v>
      </c>
    </row>
    <row r="121" spans="1:20" ht="22.5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>SUM(O121:Q121)</f>
        <v>41</v>
      </c>
      <c r="S121" s="23">
        <v>12</v>
      </c>
      <c r="T121" s="20" t="s">
        <v>413</v>
      </c>
    </row>
    <row r="122" spans="1:20" ht="22.5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>SUM(O122:Q122)</f>
        <v>44</v>
      </c>
      <c r="S122" s="21">
        <v>4</v>
      </c>
      <c r="T122" s="19" t="s">
        <v>410</v>
      </c>
    </row>
    <row r="123" spans="1:20" ht="22.5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>SUM(O123:Q123)</f>
        <v>40</v>
      </c>
      <c r="S123" s="23">
        <v>4</v>
      </c>
      <c r="T123" s="20" t="s">
        <v>410</v>
      </c>
    </row>
    <row r="124" spans="1:20" ht="22.5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>SUM(O124:Q124)</f>
        <v>12</v>
      </c>
      <c r="S124" s="21">
        <v>8</v>
      </c>
      <c r="T124" s="19" t="s">
        <v>421</v>
      </c>
    </row>
    <row r="125" spans="1:20" ht="22.5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>SUM(O125:Q125)</f>
        <v>19</v>
      </c>
      <c r="S125" s="23">
        <v>12</v>
      </c>
      <c r="T125" s="20" t="s">
        <v>425</v>
      </c>
    </row>
    <row r="126" spans="1:20" ht="22.5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>SUM(O126:Q126)</f>
        <v>14</v>
      </c>
      <c r="S126" s="21">
        <v>12</v>
      </c>
      <c r="T126" s="19" t="s">
        <v>429</v>
      </c>
    </row>
    <row r="127" spans="1:20" ht="22.5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>SUM(O127:Q127)</f>
        <v>19</v>
      </c>
      <c r="S127" s="23">
        <v>12</v>
      </c>
      <c r="T127" s="20" t="s">
        <v>425</v>
      </c>
    </row>
    <row r="128" spans="1:20" ht="22.5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>SUM(O128:Q128)</f>
        <v>9</v>
      </c>
      <c r="S128" s="21">
        <v>8</v>
      </c>
      <c r="T128" s="19" t="s">
        <v>421</v>
      </c>
    </row>
    <row r="129" spans="1:20" ht="22.5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>SUM(O129:Q129)</f>
        <v>45</v>
      </c>
      <c r="S129" s="23">
        <v>4</v>
      </c>
      <c r="T129" s="20" t="s">
        <v>410</v>
      </c>
    </row>
    <row r="130" spans="1:20" ht="22.5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>SUM(O130:Q130)</f>
        <v>25</v>
      </c>
      <c r="S130" s="21">
        <v>12</v>
      </c>
      <c r="T130" s="19" t="s">
        <v>425</v>
      </c>
    </row>
    <row r="131" spans="1:20" ht="22.5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>SUM(O131:Q131)</f>
        <v>15</v>
      </c>
      <c r="S131" s="23">
        <v>12</v>
      </c>
      <c r="T131" s="20" t="s">
        <v>441</v>
      </c>
    </row>
    <row r="132" spans="1:20" ht="22.5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>SUM(O132:Q132)</f>
        <v>26</v>
      </c>
      <c r="S132" s="21">
        <v>16</v>
      </c>
      <c r="T132" s="19" t="s">
        <v>359</v>
      </c>
    </row>
    <row r="133" spans="1:20" ht="22.5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>SUM(O133:Q133)</f>
        <v>16</v>
      </c>
      <c r="S133" s="23">
        <v>8</v>
      </c>
      <c r="T133" s="20" t="s">
        <v>448</v>
      </c>
    </row>
    <row r="134" spans="1:20" ht="22.5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>SUM(O134:Q134)</f>
        <v>15</v>
      </c>
      <c r="S134" s="21">
        <v>8</v>
      </c>
      <c r="T134" s="19" t="s">
        <v>451</v>
      </c>
    </row>
    <row r="135" spans="1:20" ht="22.5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>SUM(O135:Q135)</f>
        <v>14</v>
      </c>
      <c r="S135" s="23">
        <v>12</v>
      </c>
      <c r="T135" s="20" t="s">
        <v>441</v>
      </c>
    </row>
    <row r="136" spans="1:20" ht="22.5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>SUM(O136:Q136)</f>
        <v>182</v>
      </c>
      <c r="S136" s="21">
        <v>8</v>
      </c>
      <c r="T136" s="19" t="s">
        <v>457</v>
      </c>
    </row>
    <row r="137" spans="1:20" ht="22.5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>SUM(O137:Q137)</f>
        <v>34</v>
      </c>
      <c r="S137" s="23">
        <v>16</v>
      </c>
      <c r="T137" s="20" t="s">
        <v>359</v>
      </c>
    </row>
    <row r="138" spans="1:20" ht="22.5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>SUM(O138:Q138)</f>
        <v>17</v>
      </c>
      <c r="S138" s="21">
        <v>16</v>
      </c>
      <c r="T138" s="19" t="s">
        <v>463</v>
      </c>
    </row>
    <row r="139" spans="1:20" ht="22.5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>SUM(O139:Q139)</f>
        <v>20</v>
      </c>
      <c r="S139" s="23">
        <v>20</v>
      </c>
      <c r="T139" s="20" t="s">
        <v>394</v>
      </c>
    </row>
    <row r="140" spans="1:20" ht="22.5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>SUM(O140:Q140)</f>
        <v>40</v>
      </c>
      <c r="S140" s="21">
        <v>20</v>
      </c>
      <c r="T140" s="19" t="s">
        <v>468</v>
      </c>
    </row>
    <row r="141" spans="1:20" ht="22.5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>SUM(O141:Q141)</f>
        <v>12</v>
      </c>
      <c r="S141" s="23">
        <v>12</v>
      </c>
      <c r="T141" s="20" t="s">
        <v>472</v>
      </c>
    </row>
    <row r="142" spans="1:20" ht="22.5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>SUM(O142:Q142)</f>
        <v>12</v>
      </c>
      <c r="S142" s="21">
        <v>16</v>
      </c>
      <c r="T142" s="19" t="s">
        <v>476</v>
      </c>
    </row>
    <row r="143" spans="1:20" ht="22.5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>SUM(O143:Q143)</f>
        <v>19</v>
      </c>
      <c r="S143" s="23">
        <v>12</v>
      </c>
      <c r="T143" s="20" t="s">
        <v>425</v>
      </c>
    </row>
    <row r="144" spans="1:20" ht="22.5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>SUM(O144:Q144)</f>
        <v>12</v>
      </c>
      <c r="S144" s="21">
        <v>20</v>
      </c>
      <c r="T144" s="19" t="s">
        <v>61</v>
      </c>
    </row>
    <row r="145" spans="1:20" ht="22.5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>SUM(O145:Q145)</f>
        <v>31</v>
      </c>
      <c r="S145" s="23">
        <v>12</v>
      </c>
      <c r="T145" s="20" t="s">
        <v>485</v>
      </c>
    </row>
    <row r="146" spans="1:20" ht="22.5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>SUM(O146:Q146)</f>
        <v>27</v>
      </c>
      <c r="S146" s="21">
        <v>16</v>
      </c>
      <c r="T146" s="19" t="s">
        <v>359</v>
      </c>
    </row>
    <row r="147" spans="1:20" ht="22.5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>SUM(O147:Q147)</f>
        <v>54</v>
      </c>
      <c r="S147" s="23">
        <v>1.5</v>
      </c>
      <c r="T147" s="20" t="s">
        <v>490</v>
      </c>
    </row>
    <row r="148" spans="1:20" ht="22.5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>SUM(O148:Q148)</f>
        <v>9</v>
      </c>
      <c r="S148" s="21">
        <v>12</v>
      </c>
      <c r="T148" s="19" t="s">
        <v>494</v>
      </c>
    </row>
    <row r="149" spans="1:20" ht="22.5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>SUM(O149:Q149)</f>
        <v>38</v>
      </c>
      <c r="S149" s="23">
        <v>4</v>
      </c>
      <c r="T149" s="20" t="s">
        <v>497</v>
      </c>
    </row>
    <row r="150" spans="1:20" ht="22.5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>SUM(O150:Q150)</f>
        <v>62</v>
      </c>
      <c r="S150" s="21">
        <v>4</v>
      </c>
      <c r="T150" s="19" t="s">
        <v>497</v>
      </c>
    </row>
    <row r="151" spans="1:20" ht="22.5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>SUM(O151:Q151)</f>
        <v>13</v>
      </c>
      <c r="S151" s="23">
        <v>16</v>
      </c>
      <c r="T151" s="20" t="s">
        <v>441</v>
      </c>
    </row>
    <row r="152" spans="1:20" ht="22.5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>SUM(O152:Q152)</f>
        <v>8</v>
      </c>
      <c r="S152" s="21">
        <v>12</v>
      </c>
      <c r="T152" s="19" t="s">
        <v>494</v>
      </c>
    </row>
    <row r="153" spans="1:20" ht="22.5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>SUM(O153:Q153)</f>
        <v>20</v>
      </c>
      <c r="S153" s="23">
        <v>20</v>
      </c>
      <c r="T153" s="20" t="s">
        <v>507</v>
      </c>
    </row>
    <row r="154" spans="1:20" ht="22.5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>SUM(O154:Q154)</f>
        <v>74</v>
      </c>
      <c r="S154" s="21">
        <v>1.5</v>
      </c>
      <c r="T154" s="19" t="s">
        <v>511</v>
      </c>
    </row>
    <row r="155" spans="1:20" ht="22.5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>SUM(O155:Q155)</f>
        <v>24</v>
      </c>
      <c r="S155" s="23">
        <v>20</v>
      </c>
      <c r="T155" s="20" t="s">
        <v>507</v>
      </c>
    </row>
    <row r="156" spans="1:20" ht="22.5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>SUM(O156:Q156)</f>
        <v>21</v>
      </c>
      <c r="S156" s="21">
        <v>2</v>
      </c>
      <c r="T156" s="19" t="s">
        <v>517</v>
      </c>
    </row>
    <row r="157" spans="1:20" ht="22.5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>SUM(O157:Q157)</f>
        <v>21</v>
      </c>
      <c r="S157" s="23">
        <v>20</v>
      </c>
      <c r="T157" s="20" t="s">
        <v>521</v>
      </c>
    </row>
    <row r="158" spans="1:20" ht="22.5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>SUM(O158:Q158)</f>
        <v>13</v>
      </c>
      <c r="S158" s="21">
        <v>2</v>
      </c>
      <c r="T158" s="19" t="s">
        <v>525</v>
      </c>
    </row>
    <row r="159" spans="1:20" ht="22.5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>SUM(O159:Q159)</f>
        <v>117</v>
      </c>
      <c r="S159" s="23">
        <v>14</v>
      </c>
      <c r="T159" s="20" t="s">
        <v>365</v>
      </c>
    </row>
    <row r="160" spans="1:20" ht="22.5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>SUM(O160:Q160)</f>
        <v>20</v>
      </c>
      <c r="S160" s="21">
        <v>20</v>
      </c>
      <c r="T160" s="19" t="s">
        <v>521</v>
      </c>
    </row>
    <row r="161" spans="1:20" ht="22.5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>SUM(O161:Q161)</f>
        <v>22</v>
      </c>
      <c r="S161" s="23">
        <v>24</v>
      </c>
      <c r="T161" s="20" t="s">
        <v>534</v>
      </c>
    </row>
    <row r="162" spans="1:20" ht="22.5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>SUM(O162:Q162)</f>
        <v>21</v>
      </c>
      <c r="S162" s="21">
        <v>12</v>
      </c>
      <c r="T162" s="32" t="s">
        <v>167</v>
      </c>
    </row>
    <row r="163" spans="1:20" ht="22.5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>SUM(O163:Q163)</f>
        <v>59</v>
      </c>
      <c r="S163" s="23">
        <v>1.5</v>
      </c>
      <c r="T163" s="20" t="s">
        <v>472</v>
      </c>
    </row>
    <row r="164" spans="1:20" ht="22.5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>SUM(O164:Q164)</f>
        <v>24</v>
      </c>
      <c r="S164" s="21">
        <v>20</v>
      </c>
      <c r="T164" s="19" t="s">
        <v>521</v>
      </c>
    </row>
    <row r="165" spans="1:20" ht="22.5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>SUM(O165:Q165)</f>
        <v>41</v>
      </c>
      <c r="S165" s="23">
        <v>1.5</v>
      </c>
      <c r="T165" s="20" t="s">
        <v>546</v>
      </c>
    </row>
    <row r="166" spans="1:20" ht="22.5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>SUM(O166:Q166)</f>
        <v>35</v>
      </c>
      <c r="S166" s="21">
        <v>1.5</v>
      </c>
      <c r="T166" s="19" t="s">
        <v>517</v>
      </c>
    </row>
    <row r="167" spans="1:20" ht="22.5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>SUM(O167:Q167)</f>
        <v>15</v>
      </c>
      <c r="S167" s="23">
        <v>16</v>
      </c>
      <c r="T167" s="20" t="s">
        <v>441</v>
      </c>
    </row>
    <row r="168" spans="1:20" ht="22.5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>SUM(O168:Q168)</f>
        <v>23</v>
      </c>
      <c r="S168" s="21">
        <v>16</v>
      </c>
      <c r="T168" s="32" t="s">
        <v>167</v>
      </c>
    </row>
    <row r="169" spans="1:20" ht="22.5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>SUM(O169:Q169)</f>
        <v>36</v>
      </c>
      <c r="S169" s="23">
        <v>1.5</v>
      </c>
      <c r="T169" s="20" t="s">
        <v>558</v>
      </c>
    </row>
    <row r="170" spans="1:20" ht="22.5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>SUM(O170:Q170)</f>
        <v>84</v>
      </c>
      <c r="S170" s="21">
        <v>1.5</v>
      </c>
      <c r="T170" s="19" t="s">
        <v>558</v>
      </c>
    </row>
    <row r="171" spans="1:20" ht="22.5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>SUM(O171:Q171)</f>
        <v>40</v>
      </c>
      <c r="S171" s="23">
        <v>1.5</v>
      </c>
      <c r="T171" s="20" t="s">
        <v>563</v>
      </c>
    </row>
    <row r="172" spans="1:20" ht="22.5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>SUM(O172:Q172)</f>
        <v>40</v>
      </c>
      <c r="S172" s="21">
        <v>1.5</v>
      </c>
      <c r="T172" s="19" t="s">
        <v>566</v>
      </c>
    </row>
    <row r="173" spans="1:20" ht="22.5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>SUM(O173:Q173)</f>
        <v>44</v>
      </c>
      <c r="S173" s="23">
        <v>1.5</v>
      </c>
      <c r="T173" s="20" t="s">
        <v>569</v>
      </c>
    </row>
    <row r="174" spans="1:20" ht="22.5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>SUM(O174:Q174)</f>
        <v>31</v>
      </c>
      <c r="S174" s="21">
        <v>24</v>
      </c>
      <c r="T174" s="19" t="s">
        <v>573</v>
      </c>
    </row>
    <row r="175" spans="1:20" ht="22.5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>SUM(O175:Q175)</f>
        <v>29</v>
      </c>
      <c r="S175" s="23">
        <v>15</v>
      </c>
      <c r="T175" s="20" t="s">
        <v>61</v>
      </c>
    </row>
    <row r="176" spans="1:20" ht="22.5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>SUM(O176:Q176)</f>
        <v>119</v>
      </c>
      <c r="S176" s="21">
        <v>10</v>
      </c>
      <c r="T176" s="19" t="s">
        <v>365</v>
      </c>
    </row>
    <row r="177" spans="1:20" ht="22.5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>SUM(O177:Q177)</f>
        <v>122</v>
      </c>
      <c r="S177" s="23">
        <v>1</v>
      </c>
      <c r="T177" s="20" t="s">
        <v>583</v>
      </c>
    </row>
    <row r="178" spans="1:20" ht="22.5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>SUM(O178:Q178)</f>
        <v>116</v>
      </c>
      <c r="S178" s="21">
        <v>1</v>
      </c>
      <c r="T178" s="19" t="s">
        <v>583</v>
      </c>
    </row>
    <row r="179" spans="1:20" ht="22.5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>SUM(O179:Q179)</f>
        <v>83</v>
      </c>
      <c r="S179" s="23">
        <v>1</v>
      </c>
      <c r="T179" s="20" t="s">
        <v>588</v>
      </c>
    </row>
    <row r="180" spans="1:20" ht="22.5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>SUM(O180:Q180)</f>
        <v>69</v>
      </c>
      <c r="S180" s="21">
        <v>1</v>
      </c>
      <c r="T180" s="19" t="s">
        <v>583</v>
      </c>
    </row>
    <row r="181" spans="1:20" ht="22.5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>SUM(O181:Q181)</f>
        <v>48</v>
      </c>
      <c r="S181" s="23">
        <v>2.5</v>
      </c>
      <c r="T181" s="20" t="s">
        <v>594</v>
      </c>
    </row>
    <row r="182" spans="1:20" ht="22.5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>SUM(O182:Q182)</f>
        <v>19</v>
      </c>
      <c r="S182" s="21">
        <v>1.5</v>
      </c>
      <c r="T182" s="32" t="s">
        <v>597</v>
      </c>
    </row>
    <row r="183" spans="1:20" ht="22.5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>SUM(O183:Q183)</f>
        <v>73</v>
      </c>
      <c r="S183" s="23">
        <v>1.5</v>
      </c>
      <c r="T183" s="20" t="s">
        <v>76</v>
      </c>
    </row>
    <row r="184" spans="1:20" ht="22.5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>SUM(O184:Q184)</f>
        <v>94</v>
      </c>
      <c r="S184" s="21">
        <v>1</v>
      </c>
      <c r="T184" s="19" t="s">
        <v>604</v>
      </c>
    </row>
    <row r="185" spans="1:20" ht="22.5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>SUM(O185:Q185)</f>
        <v>42</v>
      </c>
      <c r="S185" s="23">
        <v>20</v>
      </c>
      <c r="T185" s="20" t="s">
        <v>607</v>
      </c>
    </row>
    <row r="186" spans="1:20" ht="22.5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>SUM(O186:Q186)</f>
        <v>32</v>
      </c>
      <c r="S186" s="21">
        <v>15</v>
      </c>
      <c r="T186" s="19" t="s">
        <v>611</v>
      </c>
    </row>
    <row r="187" spans="1:20" ht="22.5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>SUM(O187:Q187)</f>
        <v>22</v>
      </c>
      <c r="S187" s="23">
        <v>12</v>
      </c>
      <c r="T187" s="20" t="s">
        <v>425</v>
      </c>
    </row>
    <row r="188" spans="1:20" ht="22.5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>SUM(O188:Q188)</f>
        <v>590</v>
      </c>
      <c r="S188" s="21">
        <v>20</v>
      </c>
      <c r="T188" s="19" t="s">
        <v>618</v>
      </c>
    </row>
    <row r="189" spans="1:20" ht="22.5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>SUM(O189:Q189)</f>
        <v>41</v>
      </c>
      <c r="S189" s="23">
        <v>20</v>
      </c>
      <c r="T189" s="20" t="s">
        <v>621</v>
      </c>
    </row>
    <row r="190" spans="1:20" ht="22.5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>SUM(O190:Q190)</f>
        <v>80</v>
      </c>
      <c r="S190" s="21">
        <v>1.5</v>
      </c>
      <c r="T190" s="19" t="s">
        <v>624</v>
      </c>
    </row>
    <row r="191" spans="1:20" ht="22.5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>SUM(O191:Q191)</f>
        <v>36</v>
      </c>
      <c r="S191" s="23">
        <v>2</v>
      </c>
      <c r="T191" s="20" t="s">
        <v>628</v>
      </c>
    </row>
    <row r="192" spans="1:20" ht="22.5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>SUM(O192:Q192)</f>
        <v>70</v>
      </c>
      <c r="S192" s="21">
        <v>8</v>
      </c>
      <c r="T192" s="19" t="s">
        <v>632</v>
      </c>
    </row>
    <row r="193" spans="1:20" ht="22.5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>SUM(O193:Q193)</f>
        <v>21</v>
      </c>
      <c r="S193" s="23">
        <v>15</v>
      </c>
      <c r="T193" s="20" t="s">
        <v>636</v>
      </c>
    </row>
    <row r="194" spans="1:20" ht="22.5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>SUM(O194:Q194)</f>
        <v>20</v>
      </c>
      <c r="S194" s="21">
        <v>14</v>
      </c>
      <c r="T194" s="19" t="s">
        <v>624</v>
      </c>
    </row>
    <row r="195" spans="1:20" ht="22.5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>SUM(O195:Q195)</f>
        <v>28</v>
      </c>
      <c r="S195" s="23">
        <v>20</v>
      </c>
      <c r="T195" s="20" t="s">
        <v>621</v>
      </c>
    </row>
    <row r="196" spans="1:20" ht="22.5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>SUM(O196:Q196)</f>
        <v>25</v>
      </c>
      <c r="S196" s="21">
        <v>24</v>
      </c>
      <c r="T196" s="19" t="s">
        <v>642</v>
      </c>
    </row>
    <row r="197" spans="1:20" ht="22.5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>SUM(O197:Q197)</f>
        <v>14</v>
      </c>
      <c r="S197" s="23">
        <v>12</v>
      </c>
      <c r="T197" s="20" t="s">
        <v>646</v>
      </c>
    </row>
    <row r="198" spans="1:20" ht="22.5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>SUM(O198:Q198)</f>
        <v>46</v>
      </c>
      <c r="S198" s="21">
        <v>2</v>
      </c>
      <c r="T198" s="19" t="s">
        <v>451</v>
      </c>
    </row>
    <row r="199" spans="1:20" ht="22.5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>SUM(O199:Q199)</f>
        <v>98</v>
      </c>
      <c r="S199" s="23">
        <v>2</v>
      </c>
      <c r="T199" s="20" t="s">
        <v>652</v>
      </c>
    </row>
    <row r="200" spans="1:20" ht="22.5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>SUM(O200:Q200)</f>
        <v>50</v>
      </c>
      <c r="S200" s="21">
        <v>9</v>
      </c>
      <c r="T200" s="19" t="s">
        <v>656</v>
      </c>
    </row>
    <row r="201" spans="1:20" ht="22.5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>SUM(O201:Q201)</f>
        <v>17</v>
      </c>
      <c r="S201" s="23">
        <v>15</v>
      </c>
      <c r="T201" s="20" t="s">
        <v>611</v>
      </c>
    </row>
    <row r="202" spans="1:20" ht="22.5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>SUM(O202:Q202)</f>
        <v>53</v>
      </c>
      <c r="S202" s="21">
        <v>8</v>
      </c>
      <c r="T202" s="19" t="s">
        <v>662</v>
      </c>
    </row>
    <row r="203" spans="1:20" ht="22.5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>SUM(O203:Q203)</f>
        <v>16</v>
      </c>
      <c r="S203" s="23">
        <v>15</v>
      </c>
      <c r="T203" s="20" t="s">
        <v>636</v>
      </c>
    </row>
    <row r="204" spans="1:20" ht="22.5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>SUM(O204:Q204)</f>
        <v>59</v>
      </c>
      <c r="S204" s="21">
        <v>12</v>
      </c>
      <c r="T204" s="19" t="s">
        <v>261</v>
      </c>
    </row>
    <row r="205" spans="1:20" ht="22.5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>SUM(O205:Q205)</f>
        <v>76</v>
      </c>
      <c r="S205" s="23">
        <v>2</v>
      </c>
      <c r="T205" s="20" t="s">
        <v>652</v>
      </c>
    </row>
    <row r="206" spans="1:20" ht="22.5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>SUM(O206:Q206)</f>
        <v>33</v>
      </c>
      <c r="S206" s="21">
        <v>2</v>
      </c>
      <c r="T206" s="32" t="s">
        <v>167</v>
      </c>
    </row>
    <row r="207" spans="1:20" ht="22.5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>SUM(O207:Q207)</f>
        <v>58</v>
      </c>
      <c r="S207" s="23">
        <v>8</v>
      </c>
      <c r="T207" s="20" t="s">
        <v>676</v>
      </c>
    </row>
    <row r="208" spans="1:20" ht="22.5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>SUM(O208:Q208)</f>
        <v>60</v>
      </c>
      <c r="S208" s="21">
        <v>9</v>
      </c>
      <c r="T208" s="19" t="s">
        <v>656</v>
      </c>
    </row>
    <row r="209" spans="1:20" ht="22.5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>SUM(O209:Q209)</f>
        <v>13</v>
      </c>
      <c r="S209" s="23">
        <v>20</v>
      </c>
      <c r="T209" s="20" t="s">
        <v>521</v>
      </c>
    </row>
    <row r="210" spans="1:20" ht="22.5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>SUM(O210:Q210)</f>
        <v>14</v>
      </c>
      <c r="S210" s="21">
        <v>8</v>
      </c>
      <c r="T210" s="19" t="s">
        <v>685</v>
      </c>
    </row>
    <row r="211" spans="1:20" ht="22.5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>SUM(O211:Q211)</f>
        <v>53</v>
      </c>
      <c r="S211" s="23">
        <v>16</v>
      </c>
      <c r="T211" s="20" t="s">
        <v>321</v>
      </c>
    </row>
    <row r="212" spans="1:20" ht="22.5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>SUM(O212:Q212)</f>
        <v>105</v>
      </c>
      <c r="S212" s="21">
        <v>1.5</v>
      </c>
      <c r="T212" s="19" t="s">
        <v>692</v>
      </c>
    </row>
    <row r="213" spans="1:20" ht="22.5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>SUM(O213:Q213)</f>
        <v>635</v>
      </c>
      <c r="S213" s="23">
        <v>4</v>
      </c>
      <c r="T213" s="20" t="s">
        <v>696</v>
      </c>
    </row>
    <row r="214" spans="1:20" ht="22.5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>SUM(O214:Q214)</f>
        <v>34</v>
      </c>
      <c r="S214" s="21">
        <v>2</v>
      </c>
      <c r="T214" s="19" t="s">
        <v>700</v>
      </c>
    </row>
    <row r="215" spans="1:20" ht="22.5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>SUM(O215:Q215)</f>
        <v>32</v>
      </c>
      <c r="S215" s="23">
        <v>4</v>
      </c>
      <c r="T215" s="20" t="s">
        <v>703</v>
      </c>
    </row>
    <row r="216" spans="1:20" ht="22.5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>SUM(O216:Q216)</f>
        <v>10</v>
      </c>
      <c r="S216" s="21">
        <v>10.5</v>
      </c>
      <c r="T216" s="19" t="s">
        <v>707</v>
      </c>
    </row>
    <row r="217" spans="1:20" ht="22.5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>SUM(O217:Q217)</f>
        <v>16</v>
      </c>
      <c r="S217" s="23">
        <v>20</v>
      </c>
      <c r="T217" s="20" t="s">
        <v>521</v>
      </c>
    </row>
    <row r="218" spans="1:20" ht="22.5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>SUM(O218:Q218)</f>
        <v>20</v>
      </c>
      <c r="S218" s="21">
        <v>8</v>
      </c>
      <c r="T218" s="19" t="s">
        <v>713</v>
      </c>
    </row>
    <row r="219" spans="1:20" ht="22.5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>SUM(O219:Q219)</f>
        <v>59</v>
      </c>
      <c r="S219" s="23">
        <v>1</v>
      </c>
      <c r="T219" s="20" t="s">
        <v>717</v>
      </c>
    </row>
    <row r="220" spans="1:20" ht="22.5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>SUM(O220:Q220)</f>
        <v>70</v>
      </c>
      <c r="S220" s="21">
        <v>2</v>
      </c>
      <c r="T220" s="19" t="s">
        <v>652</v>
      </c>
    </row>
    <row r="221" spans="1:20" ht="22.5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>SUM(O221:Q221)</f>
        <v>30</v>
      </c>
      <c r="S221" s="23">
        <v>1</v>
      </c>
      <c r="T221" s="20" t="s">
        <v>717</v>
      </c>
    </row>
    <row r="222" spans="1:20" ht="22.5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>SUM(O222:Q222)</f>
        <v>14</v>
      </c>
      <c r="S222" s="21">
        <v>2</v>
      </c>
      <c r="T222" s="19" t="s">
        <v>725</v>
      </c>
    </row>
    <row r="223" spans="1:20" ht="22.5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>SUM(O223:Q223)</f>
        <v>29</v>
      </c>
      <c r="S223" s="23">
        <v>12</v>
      </c>
      <c r="T223" s="20" t="s">
        <v>729</v>
      </c>
    </row>
    <row r="224" spans="1:20" ht="22.5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>SUM(O224:Q224)</f>
        <v>37</v>
      </c>
      <c r="S224" s="21">
        <v>2</v>
      </c>
      <c r="T224" s="19" t="s">
        <v>733</v>
      </c>
    </row>
    <row r="225" spans="1:20" ht="22.5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>SUM(O225:Q225)</f>
        <v>24</v>
      </c>
      <c r="S225" s="23">
        <v>24</v>
      </c>
      <c r="T225" s="20" t="s">
        <v>737</v>
      </c>
    </row>
    <row r="226" spans="1:20" ht="22.5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>SUM(O226:Q226)</f>
        <v>32</v>
      </c>
      <c r="S226" s="21">
        <v>1.5</v>
      </c>
      <c r="T226" s="19" t="s">
        <v>741</v>
      </c>
    </row>
    <row r="227" spans="1:20" ht="22.5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>SUM(O227:Q227)</f>
        <v>14</v>
      </c>
      <c r="S227" s="23">
        <v>1</v>
      </c>
      <c r="T227" s="20" t="s">
        <v>744</v>
      </c>
    </row>
    <row r="228" spans="1:20" ht="22.5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>SUM(O228:Q228)</f>
        <v>31</v>
      </c>
      <c r="S228" s="21">
        <v>10</v>
      </c>
      <c r="T228" s="19" t="s">
        <v>741</v>
      </c>
    </row>
    <row r="229" spans="1:20" ht="22.5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>SUM(O229:Q229)</f>
        <v>30</v>
      </c>
      <c r="S229" s="23">
        <v>4</v>
      </c>
      <c r="T229" s="20" t="s">
        <v>425</v>
      </c>
    </row>
    <row r="230" spans="1:20" ht="22.5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>SUM(O230:Q230)</f>
        <v>52</v>
      </c>
      <c r="S230" s="21">
        <v>16</v>
      </c>
      <c r="T230" s="19" t="s">
        <v>321</v>
      </c>
    </row>
    <row r="231" spans="1:20" ht="22.5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>SUM(O231:Q231)</f>
        <v>89</v>
      </c>
      <c r="S231" s="23">
        <v>2</v>
      </c>
      <c r="T231" s="20" t="s">
        <v>652</v>
      </c>
    </row>
    <row r="232" spans="1:20" ht="22.5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>SUM(O232:Q232)</f>
        <v>13</v>
      </c>
      <c r="S232" s="21">
        <v>24</v>
      </c>
      <c r="T232" s="19" t="s">
        <v>757</v>
      </c>
    </row>
    <row r="233" spans="1:20" ht="22.5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>SUM(O233:Q233)</f>
        <v>38</v>
      </c>
      <c r="S233" s="23">
        <v>2</v>
      </c>
      <c r="T233" s="20" t="s">
        <v>451</v>
      </c>
    </row>
    <row r="234" spans="1:20" ht="22.5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>SUM(O234:Q234)</f>
        <v>44</v>
      </c>
      <c r="S234" s="21">
        <v>2</v>
      </c>
      <c r="T234" s="19" t="s">
        <v>764</v>
      </c>
    </row>
    <row r="235" spans="1:20" ht="22.5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>SUM(O235:Q235)</f>
        <v>21</v>
      </c>
      <c r="S235" s="23">
        <v>4</v>
      </c>
      <c r="T235" s="20" t="s">
        <v>425</v>
      </c>
    </row>
    <row r="236" spans="1:20" ht="22.5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>SUM(O236:Q236)</f>
        <v>45</v>
      </c>
      <c r="S236" s="21">
        <v>2</v>
      </c>
      <c r="T236" s="19" t="s">
        <v>770</v>
      </c>
    </row>
    <row r="237" spans="1:20" ht="22.5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>SUM(O237:Q237)</f>
        <v>70</v>
      </c>
      <c r="S237" s="23">
        <v>2</v>
      </c>
      <c r="T237" s="20" t="s">
        <v>546</v>
      </c>
    </row>
    <row r="238" spans="1:20" ht="22.5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>SUM(O238:Q238)</f>
        <v>15</v>
      </c>
      <c r="S238" s="21">
        <v>20</v>
      </c>
      <c r="T238" s="19" t="s">
        <v>776</v>
      </c>
    </row>
    <row r="239" spans="1:20" ht="22.5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>SUM(O239:Q239)</f>
        <v>51</v>
      </c>
      <c r="S239" s="23">
        <v>2</v>
      </c>
      <c r="T239" s="20" t="s">
        <v>780</v>
      </c>
    </row>
    <row r="240" spans="1:20" ht="22.5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>SUM(O240:Q240)</f>
        <v>31</v>
      </c>
      <c r="S240" s="21">
        <v>1</v>
      </c>
      <c r="T240" s="19" t="s">
        <v>784</v>
      </c>
    </row>
    <row r="241" spans="1:20" ht="22.5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>SUM(O241:Q241)</f>
        <v>140</v>
      </c>
      <c r="S241" s="23">
        <v>20</v>
      </c>
      <c r="T241" s="20" t="s">
        <v>788</v>
      </c>
    </row>
    <row r="242" spans="1:20" ht="22.5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>SUM(O242:Q242)</f>
        <v>15</v>
      </c>
      <c r="S242" s="21">
        <v>21</v>
      </c>
      <c r="T242" s="19" t="s">
        <v>636</v>
      </c>
    </row>
    <row r="243" spans="1:20" ht="22.5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>SUM(O243:Q243)</f>
        <v>18</v>
      </c>
      <c r="S243" s="23">
        <v>12</v>
      </c>
      <c r="T243" s="20" t="s">
        <v>713</v>
      </c>
    </row>
    <row r="244" spans="1:20" ht="22.5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>SUM(O244:Q244)</f>
        <v>55</v>
      </c>
      <c r="S244" s="21">
        <v>2</v>
      </c>
      <c r="T244" s="19" t="s">
        <v>546</v>
      </c>
    </row>
    <row r="245" spans="1:20" ht="22.5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>SUM(O245:Q245)</f>
        <v>120</v>
      </c>
      <c r="S245" s="23">
        <v>1</v>
      </c>
      <c r="T245" s="20" t="s">
        <v>798</v>
      </c>
    </row>
    <row r="246" spans="1:20" ht="22.5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>SUM(O246:Q246)</f>
        <v>34</v>
      </c>
      <c r="S246" s="21">
        <v>24</v>
      </c>
      <c r="T246" s="19" t="s">
        <v>801</v>
      </c>
    </row>
    <row r="247" spans="1:20" ht="22.5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>SUM(O247:Q247)</f>
        <v>37</v>
      </c>
      <c r="S247" s="23">
        <v>4</v>
      </c>
      <c r="T247" s="20" t="s">
        <v>425</v>
      </c>
    </row>
    <row r="248" spans="1:20" ht="22.5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>SUM(O248:Q248)</f>
        <v>6</v>
      </c>
      <c r="S248" s="21">
        <v>2</v>
      </c>
      <c r="T248" s="19" t="s">
        <v>808</v>
      </c>
    </row>
    <row r="249" spans="1:20" ht="22.5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>SUM(O249:Q249)</f>
        <v>25</v>
      </c>
      <c r="S249" s="23">
        <v>8</v>
      </c>
      <c r="T249" s="20" t="s">
        <v>812</v>
      </c>
    </row>
    <row r="250" spans="1:20" ht="22.5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>SUM(O250:Q250)</f>
        <v>26</v>
      </c>
      <c r="S250" s="21">
        <v>20</v>
      </c>
      <c r="T250" s="19" t="s">
        <v>816</v>
      </c>
    </row>
    <row r="251" spans="1:20" ht="22.5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>SUM(O251:Q251)</f>
        <v>56</v>
      </c>
      <c r="S251" s="23">
        <v>2</v>
      </c>
      <c r="T251" s="20" t="s">
        <v>425</v>
      </c>
    </row>
    <row r="252" spans="1:20" ht="22.5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>SUM(O252:Q252)</f>
        <v>26</v>
      </c>
      <c r="S252" s="21">
        <v>4.5</v>
      </c>
      <c r="T252" s="19" t="s">
        <v>823</v>
      </c>
    </row>
    <row r="253" spans="1:20" ht="22.5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>SUM(O253:Q253)</f>
        <v>26</v>
      </c>
      <c r="S253" s="23">
        <v>1</v>
      </c>
      <c r="T253" s="20" t="s">
        <v>451</v>
      </c>
    </row>
    <row r="254" spans="1:20" ht="22.5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>SUM(O254:Q254)</f>
        <v>11</v>
      </c>
      <c r="S254" s="21">
        <v>66</v>
      </c>
      <c r="T254" s="19" t="s">
        <v>830</v>
      </c>
    </row>
    <row r="255" spans="1:20" ht="22.5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>SUM(O255:Q255)</f>
        <v>14</v>
      </c>
      <c r="S255" s="23">
        <v>7</v>
      </c>
      <c r="T255" s="20" t="s">
        <v>833</v>
      </c>
    </row>
    <row r="256" spans="1:20" ht="22.5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>SUM(O256:Q256)</f>
        <v>49</v>
      </c>
      <c r="S256" s="21">
        <v>10.5</v>
      </c>
      <c r="T256" s="19" t="s">
        <v>656</v>
      </c>
    </row>
    <row r="257" spans="1:20" ht="22.5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>SUM(O257:Q257)</f>
        <v>27</v>
      </c>
      <c r="S257" s="23">
        <v>6</v>
      </c>
      <c r="T257" s="20" t="s">
        <v>840</v>
      </c>
    </row>
    <row r="258" spans="1:20" ht="22.5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>SUM(O258:Q258)</f>
        <v>22</v>
      </c>
      <c r="S258" s="21">
        <v>2</v>
      </c>
      <c r="T258" s="19" t="s">
        <v>685</v>
      </c>
    </row>
    <row r="259" spans="1:20" ht="22.5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>SUM(O259:Q259)</f>
        <v>18</v>
      </c>
      <c r="S259" s="23">
        <v>6</v>
      </c>
      <c r="T259" s="20" t="s">
        <v>847</v>
      </c>
    </row>
    <row r="260" spans="1:20" ht="22.5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>SUM(O260:Q260)</f>
        <v>31</v>
      </c>
      <c r="S260" s="21">
        <v>2</v>
      </c>
      <c r="T260" s="19" t="s">
        <v>851</v>
      </c>
    </row>
    <row r="261" spans="1:20" ht="22.5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>SUM(O261:Q261)</f>
        <v>25</v>
      </c>
      <c r="S261" s="23">
        <v>20</v>
      </c>
      <c r="T261" s="20" t="s">
        <v>558</v>
      </c>
    </row>
    <row r="262" spans="1:20" ht="22.5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>SUM(O262:Q262)</f>
        <v>9</v>
      </c>
      <c r="S262" s="21">
        <v>20</v>
      </c>
      <c r="T262" s="19" t="s">
        <v>521</v>
      </c>
    </row>
    <row r="263" spans="1:20" ht="22.5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>SUM(O263:Q263)</f>
        <v>8</v>
      </c>
      <c r="S263" s="23">
        <v>6</v>
      </c>
      <c r="T263" s="20" t="s">
        <v>858</v>
      </c>
    </row>
    <row r="264" spans="1:20" ht="22.5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>SUM(O264:Q264)</f>
        <v>29</v>
      </c>
      <c r="S264" s="21">
        <v>1</v>
      </c>
      <c r="T264" s="19" t="s">
        <v>784</v>
      </c>
    </row>
    <row r="265" spans="1:20" ht="22.5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>SUM(O265:Q265)</f>
        <v>24</v>
      </c>
      <c r="S265" s="23">
        <v>4</v>
      </c>
      <c r="T265" s="20" t="s">
        <v>365</v>
      </c>
    </row>
    <row r="266" spans="1:20" ht="22.5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>SUM(O266:Q266)</f>
        <v>66</v>
      </c>
      <c r="S266" s="21">
        <v>1.5</v>
      </c>
      <c r="T266" s="32" t="s">
        <v>167</v>
      </c>
    </row>
    <row r="267" spans="1:20" ht="22.5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>SUM(O267:Q267)</f>
        <v>20</v>
      </c>
      <c r="S267" s="23">
        <v>3</v>
      </c>
      <c r="T267" s="20" t="s">
        <v>798</v>
      </c>
    </row>
    <row r="268" spans="1:20" ht="22.5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>SUM(O268:Q268)</f>
        <v>13</v>
      </c>
      <c r="S268" s="21">
        <v>20</v>
      </c>
      <c r="T268" s="19" t="s">
        <v>521</v>
      </c>
    </row>
    <row r="269" spans="1:20" ht="22.5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>SUM(O269:Q269)</f>
        <v>15</v>
      </c>
      <c r="S269" s="23">
        <v>8</v>
      </c>
      <c r="T269" s="20" t="s">
        <v>812</v>
      </c>
    </row>
    <row r="270" spans="1:20" ht="22.5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>SUM(O270:Q270)</f>
        <v>5</v>
      </c>
      <c r="S270" s="21">
        <v>30</v>
      </c>
      <c r="T270" s="19" t="s">
        <v>741</v>
      </c>
    </row>
    <row r="271" spans="1:20" ht="22.5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>SUM(O271:Q271)</f>
        <v>18</v>
      </c>
      <c r="S271" s="23">
        <v>12</v>
      </c>
      <c r="T271" s="20" t="s">
        <v>421</v>
      </c>
    </row>
    <row r="272" spans="1:20" ht="22.5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>SUM(O272:Q272)</f>
        <v>8</v>
      </c>
      <c r="S272" s="21">
        <v>12</v>
      </c>
      <c r="T272" s="19" t="s">
        <v>421</v>
      </c>
    </row>
    <row r="273" spans="1:20" ht="22.5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>SUM(O273:Q273)</f>
        <v>83</v>
      </c>
      <c r="S273" s="23">
        <v>16</v>
      </c>
      <c r="T273" s="20" t="s">
        <v>887</v>
      </c>
    </row>
    <row r="274" spans="1:20" ht="22.5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>SUM(O274:Q274)</f>
        <v>24</v>
      </c>
      <c r="S274" s="21">
        <v>2</v>
      </c>
      <c r="T274" s="19" t="s">
        <v>891</v>
      </c>
    </row>
    <row r="275" spans="1:20" ht="22.5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>SUM(O275:Q275)</f>
        <v>20</v>
      </c>
      <c r="S275" s="23">
        <v>20</v>
      </c>
      <c r="T275" s="20" t="s">
        <v>521</v>
      </c>
    </row>
    <row r="276" spans="1:20" ht="22.5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>SUM(O276:Q276)</f>
        <v>39</v>
      </c>
      <c r="S276" s="21">
        <v>12</v>
      </c>
      <c r="T276" s="19" t="s">
        <v>897</v>
      </c>
    </row>
    <row r="277" spans="1:20" ht="22.5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>SUM(O277:Q277)</f>
        <v>39</v>
      </c>
      <c r="S277" s="23">
        <v>1</v>
      </c>
      <c r="T277" s="20" t="s">
        <v>901</v>
      </c>
    </row>
    <row r="278" spans="1:20" ht="22.5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>SUM(O278:Q278)</f>
        <v>277</v>
      </c>
      <c r="S278" s="21">
        <v>6</v>
      </c>
      <c r="T278" s="53" t="s">
        <v>905</v>
      </c>
    </row>
    <row r="279" spans="1:20" ht="22.5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>SUM(O279:Q279)</f>
        <v>43</v>
      </c>
      <c r="S279" s="23">
        <v>8</v>
      </c>
      <c r="T279" s="20" t="s">
        <v>909</v>
      </c>
    </row>
    <row r="280" spans="1:20" ht="22.5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>SUM(O280:Q280)</f>
        <v>21</v>
      </c>
      <c r="S280" s="21">
        <v>2</v>
      </c>
      <c r="T280" s="19" t="s">
        <v>808</v>
      </c>
    </row>
    <row r="281" spans="1:20" ht="22.5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>SUM(O281:Q281)</f>
        <v>144</v>
      </c>
      <c r="S281" s="23">
        <v>2</v>
      </c>
      <c r="T281" s="20" t="s">
        <v>67</v>
      </c>
    </row>
    <row r="282" spans="1:20" ht="22.5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>SUM(O282:Q282)</f>
        <v>19</v>
      </c>
      <c r="S282" s="21">
        <v>30</v>
      </c>
      <c r="T282" s="19" t="s">
        <v>741</v>
      </c>
    </row>
    <row r="283" spans="1:20" ht="22.5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>SUM(O283:Q283)</f>
        <v>65</v>
      </c>
      <c r="S283" s="23">
        <v>16</v>
      </c>
      <c r="T283" s="20" t="s">
        <v>324</v>
      </c>
    </row>
    <row r="284" spans="1:20" ht="22.5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>SUM(O284:Q284)</f>
        <v>72</v>
      </c>
      <c r="S284" s="21">
        <v>2</v>
      </c>
      <c r="T284" s="19" t="s">
        <v>924</v>
      </c>
    </row>
    <row r="285" spans="1:20" ht="22.5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>SUM(O285:Q285)</f>
        <v>193</v>
      </c>
      <c r="S285" s="23">
        <v>20</v>
      </c>
      <c r="T285" s="20" t="s">
        <v>67</v>
      </c>
    </row>
    <row r="286" spans="1:20" ht="22.5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>SUM(O286:Q286)</f>
        <v>46</v>
      </c>
      <c r="S286" s="21">
        <v>2</v>
      </c>
      <c r="T286" s="19" t="s">
        <v>931</v>
      </c>
    </row>
    <row r="287" spans="1:20" ht="22.5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>SUM(O287:Q287)</f>
        <v>20</v>
      </c>
      <c r="S287" s="23">
        <v>4</v>
      </c>
      <c r="T287" s="20" t="s">
        <v>798</v>
      </c>
    </row>
    <row r="288" spans="1:20" ht="22.5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>SUM(O288:Q288)</f>
        <v>23</v>
      </c>
      <c r="S288" s="21">
        <v>2</v>
      </c>
      <c r="T288" s="19"/>
    </row>
    <row r="289" spans="1:20" ht="22.5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>SUM(O289:Q289)</f>
        <v>80</v>
      </c>
      <c r="S289" s="23">
        <v>16</v>
      </c>
      <c r="T289" s="20" t="s">
        <v>939</v>
      </c>
    </row>
    <row r="290" spans="1:20" ht="22.5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>SUM(O290:Q290)</f>
        <v>21</v>
      </c>
      <c r="S290" s="21">
        <v>21</v>
      </c>
      <c r="T290" s="19" t="s">
        <v>943</v>
      </c>
    </row>
    <row r="291" spans="1:20" ht="22.5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>SUM(O291:Q291)</f>
        <v>28</v>
      </c>
      <c r="S291" s="23">
        <v>20</v>
      </c>
      <c r="T291" s="20" t="s">
        <v>324</v>
      </c>
    </row>
    <row r="292" spans="1:20" ht="22.5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>SUM(O292:Q292)</f>
        <v>35</v>
      </c>
      <c r="S292" s="21">
        <v>10.5</v>
      </c>
      <c r="T292" s="19" t="s">
        <v>948</v>
      </c>
    </row>
    <row r="293" spans="1:20" ht="22.5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>SUM(O293:Q293)</f>
        <v>20</v>
      </c>
      <c r="S293" s="23">
        <v>12</v>
      </c>
      <c r="T293" s="20" t="s">
        <v>425</v>
      </c>
    </row>
    <row r="294" spans="1:20" ht="22.5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>SUM(O294:Q294)</f>
        <v>188</v>
      </c>
      <c r="S294" s="21">
        <v>2</v>
      </c>
      <c r="T294" s="19" t="s">
        <v>955</v>
      </c>
    </row>
    <row r="295" spans="1:20" ht="22.5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>SUM(O295:Q295)</f>
        <v>42</v>
      </c>
      <c r="S295" s="23">
        <v>2</v>
      </c>
      <c r="T295" s="20" t="s">
        <v>959</v>
      </c>
    </row>
    <row r="296" spans="1:20" ht="22.5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>SUM(O296:Q296)</f>
        <v>31</v>
      </c>
      <c r="S296" s="21">
        <v>26</v>
      </c>
      <c r="T296" s="19" t="s">
        <v>963</v>
      </c>
    </row>
    <row r="297" spans="1:20" ht="22.5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>SUM(O297:Q297)</f>
        <v>20</v>
      </c>
      <c r="S297" s="23">
        <v>20</v>
      </c>
      <c r="T297" s="20" t="s">
        <v>61</v>
      </c>
    </row>
    <row r="298" spans="1:20" ht="22.5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>SUM(O298:Q298)</f>
        <v>70</v>
      </c>
      <c r="S298" s="21">
        <v>1.5</v>
      </c>
      <c r="T298" s="19" t="s">
        <v>969</v>
      </c>
    </row>
    <row r="299" spans="1:20" ht="22.5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>SUM(O299:Q299)</f>
        <v>85</v>
      </c>
      <c r="S299" s="23">
        <v>8</v>
      </c>
      <c r="T299" s="20" t="s">
        <v>972</v>
      </c>
    </row>
    <row r="300" spans="1:20" ht="22.5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>SUM(O300:Q300)</f>
        <v>54</v>
      </c>
      <c r="S300" s="21">
        <v>2</v>
      </c>
      <c r="T300" s="19" t="s">
        <v>976</v>
      </c>
    </row>
    <row r="301" spans="1:20" ht="22.5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>SUM(O301:Q301)</f>
        <v>153</v>
      </c>
      <c r="S301" s="23">
        <v>2</v>
      </c>
      <c r="T301" s="20" t="s">
        <v>980</v>
      </c>
    </row>
    <row r="302" spans="1:20" ht="22.5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>SUM(O302:Q302)</f>
        <v>19</v>
      </c>
      <c r="S302" s="21">
        <v>16</v>
      </c>
      <c r="T302" s="19" t="s">
        <v>425</v>
      </c>
    </row>
    <row r="303" spans="1:20" ht="22.5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>SUM(O303:Q303)</f>
        <v>20</v>
      </c>
      <c r="S303" s="23">
        <v>2</v>
      </c>
      <c r="T303" s="20" t="s">
        <v>987</v>
      </c>
    </row>
    <row r="304" spans="1:20" ht="22.5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>SUM(O304:Q304)</f>
        <v>25</v>
      </c>
      <c r="S304" s="21">
        <v>2</v>
      </c>
      <c r="T304" s="19" t="s">
        <v>990</v>
      </c>
    </row>
    <row r="305" spans="1:20" ht="22.5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>SUM(O305:Q305)</f>
        <v>70</v>
      </c>
      <c r="S305" s="23">
        <v>2</v>
      </c>
      <c r="T305" s="20" t="s">
        <v>994</v>
      </c>
    </row>
    <row r="306" spans="1:20" ht="22.5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>SUM(O306:Q306)</f>
        <v>17</v>
      </c>
      <c r="S306" s="21">
        <v>20</v>
      </c>
      <c r="T306" s="19"/>
    </row>
    <row r="307" spans="1:20" ht="22.5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>SUM(O307:Q307)</f>
        <v>24</v>
      </c>
      <c r="S307" s="23">
        <v>20</v>
      </c>
      <c r="T307" s="20" t="s">
        <v>558</v>
      </c>
    </row>
    <row r="308" spans="1:20" ht="22.5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>SUM(O308:Q308)</f>
        <v>17</v>
      </c>
      <c r="S308" s="21">
        <v>6.5</v>
      </c>
      <c r="T308" s="19" t="s">
        <v>1003</v>
      </c>
    </row>
    <row r="309" spans="1:20" ht="22.5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>SUM(O309:Q309)</f>
        <v>17</v>
      </c>
      <c r="S309" s="23">
        <v>16</v>
      </c>
      <c r="T309" s="20" t="s">
        <v>425</v>
      </c>
    </row>
    <row r="310" spans="1:20" ht="22.5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>SUM(O310:Q310)</f>
        <v>45</v>
      </c>
      <c r="S310" s="21">
        <v>1</v>
      </c>
      <c r="T310" s="32" t="s">
        <v>117</v>
      </c>
    </row>
    <row r="311" spans="1:20" ht="22.5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>SUM(O311:Q311)</f>
        <v>26</v>
      </c>
      <c r="S311" s="23">
        <v>2</v>
      </c>
      <c r="T311" s="20" t="s">
        <v>1013</v>
      </c>
    </row>
    <row r="312" spans="1:20" ht="22.5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>SUM(O312:Q312)</f>
        <v>17</v>
      </c>
      <c r="S312" s="21">
        <v>75</v>
      </c>
      <c r="T312" s="53" t="s">
        <v>1016</v>
      </c>
    </row>
    <row r="313" spans="1:20" ht="22.5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>SUM(O313:Q313)</f>
        <v>30</v>
      </c>
      <c r="S313" s="23">
        <v>2</v>
      </c>
      <c r="T313" s="20" t="s">
        <v>685</v>
      </c>
    </row>
    <row r="314" spans="1:20" ht="22.5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>SUM(O314:Q314)</f>
        <v>20</v>
      </c>
      <c r="S314" s="21">
        <v>20</v>
      </c>
      <c r="T314" s="19" t="s">
        <v>61</v>
      </c>
    </row>
    <row r="315" spans="1:20" ht="22.5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>SUM(O315:Q315)</f>
        <v>33</v>
      </c>
      <c r="S315" s="23">
        <v>2</v>
      </c>
      <c r="T315" s="20" t="s">
        <v>1024</v>
      </c>
    </row>
    <row r="316" spans="1:20" ht="22.5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>SUM(O316:Q316)</f>
        <v>17</v>
      </c>
      <c r="S316" s="21">
        <v>5</v>
      </c>
      <c r="T316" s="32" t="s">
        <v>1028</v>
      </c>
    </row>
    <row r="317" spans="1:20" ht="22.5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>SUM(O317:Q317)</f>
        <v>15</v>
      </c>
      <c r="S317" s="23">
        <v>24</v>
      </c>
      <c r="T317" s="20" t="s">
        <v>1032</v>
      </c>
    </row>
    <row r="318" spans="1:20" ht="22.5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>SUM(O318:Q318)</f>
        <v>19</v>
      </c>
      <c r="S318" s="21">
        <v>4</v>
      </c>
      <c r="T318" s="19" t="s">
        <v>324</v>
      </c>
    </row>
    <row r="319" spans="1:20" ht="22.5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>SUM(O319:Q319)</f>
        <v>16</v>
      </c>
      <c r="S319" s="23">
        <v>2</v>
      </c>
      <c r="T319" s="20" t="s">
        <v>1040</v>
      </c>
    </row>
    <row r="320" spans="1:20" ht="22.5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>SUM(O320:Q320)</f>
        <v>49</v>
      </c>
      <c r="S320" s="21">
        <v>2</v>
      </c>
      <c r="T320" s="19" t="s">
        <v>1040</v>
      </c>
    </row>
    <row r="321" spans="1:20" ht="22.5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>SUM(O321:Q321)</f>
        <v>126</v>
      </c>
      <c r="S321" s="23">
        <v>2</v>
      </c>
      <c r="T321" s="20" t="s">
        <v>1040</v>
      </c>
    </row>
    <row r="322" spans="1:20" ht="22.5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>SUM(O322:Q322)</f>
        <v>40</v>
      </c>
      <c r="S322" s="21">
        <v>1</v>
      </c>
      <c r="T322" s="19" t="s">
        <v>1046</v>
      </c>
    </row>
    <row r="323" spans="1:20" ht="22.5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>SUM(O323:Q323)</f>
        <v>40</v>
      </c>
      <c r="S323" s="23">
        <v>1</v>
      </c>
      <c r="T323" s="20" t="s">
        <v>1046</v>
      </c>
    </row>
    <row r="324" spans="1:20" ht="22.5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>SUM(O324:Q324)</f>
        <v>60</v>
      </c>
      <c r="S324" s="21">
        <v>1</v>
      </c>
      <c r="T324" s="19" t="s">
        <v>1046</v>
      </c>
    </row>
    <row r="325" spans="1:20" ht="22.5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>SUM(O325:Q325)</f>
        <v>30</v>
      </c>
      <c r="S325" s="23">
        <v>1</v>
      </c>
      <c r="T325" s="20" t="s">
        <v>1046</v>
      </c>
    </row>
    <row r="326" spans="1:20" ht="22.5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>SUM(O326:Q326)</f>
        <v>21</v>
      </c>
      <c r="S326" s="21">
        <v>30</v>
      </c>
      <c r="T326" s="19" t="s">
        <v>741</v>
      </c>
    </row>
    <row r="327" spans="1:20" ht="22.5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>SUM(O327:Q327)</f>
        <v>20</v>
      </c>
      <c r="S327" s="23">
        <v>20</v>
      </c>
      <c r="T327" s="20" t="s">
        <v>61</v>
      </c>
    </row>
    <row r="328" spans="1:20" ht="22.5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>SUM(O328:Q328)</f>
        <v>40</v>
      </c>
      <c r="S328" s="21">
        <v>9</v>
      </c>
      <c r="T328" s="53" t="s">
        <v>1059</v>
      </c>
    </row>
    <row r="329" spans="1:20" ht="22.5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>SUM(O329:Q329)</f>
        <v>80</v>
      </c>
      <c r="S329" s="23">
        <v>8</v>
      </c>
      <c r="T329" s="20" t="s">
        <v>1063</v>
      </c>
    </row>
    <row r="330" spans="1:20" ht="22.5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>SUM(O330:Q330)</f>
        <v>26</v>
      </c>
      <c r="S330" s="21">
        <v>16</v>
      </c>
      <c r="T330" s="19" t="s">
        <v>425</v>
      </c>
    </row>
    <row r="331" spans="1:20" ht="22.5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>SUM(O331:Q331)</f>
        <v>15</v>
      </c>
      <c r="S331" s="23">
        <v>16</v>
      </c>
      <c r="T331" s="20" t="s">
        <v>1070</v>
      </c>
    </row>
    <row r="332" spans="1:20" ht="22.5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>SUM(O332:Q332)</f>
        <v>23</v>
      </c>
      <c r="S332" s="21">
        <v>46</v>
      </c>
      <c r="T332" s="19" t="s">
        <v>1073</v>
      </c>
    </row>
    <row r="333" spans="1:20" ht="22.5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>SUM(O333:Q333)</f>
        <v>207</v>
      </c>
      <c r="S333" s="23">
        <v>1.5</v>
      </c>
      <c r="T333" s="20" t="s">
        <v>1077</v>
      </c>
    </row>
    <row r="334" spans="1:20" ht="22.5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>SUM(O334:Q334)</f>
        <v>13</v>
      </c>
      <c r="S334" s="21">
        <v>30</v>
      </c>
      <c r="T334" s="19" t="s">
        <v>741</v>
      </c>
    </row>
    <row r="335" spans="1:20" ht="22.5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>SUM(O335:Q335)</f>
        <v>184</v>
      </c>
      <c r="S335" s="23">
        <v>10</v>
      </c>
      <c r="T335" s="20" t="s">
        <v>1083</v>
      </c>
    </row>
    <row r="336" spans="1:20" ht="22.5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>SUM(O336:Q336)</f>
        <v>46</v>
      </c>
      <c r="S336" s="21">
        <v>20</v>
      </c>
      <c r="T336" s="19" t="s">
        <v>1087</v>
      </c>
    </row>
    <row r="337" spans="1:20" ht="22.5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>SUM(O337:Q337)</f>
        <v>60</v>
      </c>
      <c r="S337" s="23">
        <v>2</v>
      </c>
      <c r="T337" s="20" t="s">
        <v>1090</v>
      </c>
    </row>
    <row r="338" spans="1:20" ht="22.5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>SUM(O338:Q338)</f>
        <v>48</v>
      </c>
      <c r="S338" s="21">
        <v>20</v>
      </c>
      <c r="T338" s="19" t="s">
        <v>324</v>
      </c>
    </row>
    <row r="339" spans="1:20" ht="22.5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>SUM(O339:Q339)</f>
        <v>40</v>
      </c>
      <c r="S339" s="23">
        <v>2</v>
      </c>
      <c r="T339" s="20" t="s">
        <v>784</v>
      </c>
    </row>
    <row r="340" spans="1:20" ht="22.5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>SUM(O340:Q340)</f>
        <v>150</v>
      </c>
      <c r="S340" s="21">
        <v>2</v>
      </c>
      <c r="T340" s="19" t="s">
        <v>1100</v>
      </c>
    </row>
    <row r="341" spans="1:20" ht="22.5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>SUM(O341:Q341)</f>
        <v>20</v>
      </c>
      <c r="S341" s="23">
        <v>7</v>
      </c>
      <c r="T341" s="20" t="s">
        <v>808</v>
      </c>
    </row>
    <row r="342" spans="1:20" ht="22.5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>SUM(O342:Q342)</f>
        <v>30</v>
      </c>
      <c r="S342" s="21">
        <v>2</v>
      </c>
      <c r="T342" s="19" t="s">
        <v>784</v>
      </c>
    </row>
    <row r="343" spans="1:20" ht="22.5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>SUM(O343:Q343)</f>
        <v>67</v>
      </c>
      <c r="S343" s="23">
        <v>18</v>
      </c>
      <c r="T343" s="20" t="s">
        <v>1110</v>
      </c>
    </row>
    <row r="344" spans="1:20" ht="22.5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>SUM(O344:Q344)</f>
        <v>67</v>
      </c>
      <c r="S344" s="21">
        <v>2</v>
      </c>
      <c r="T344" s="19" t="s">
        <v>1113</v>
      </c>
    </row>
    <row r="345" spans="1:20" ht="22.5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>SUM(O345:Q345)</f>
        <v>57</v>
      </c>
      <c r="S345" s="23">
        <v>2</v>
      </c>
      <c r="T345" s="20" t="s">
        <v>1113</v>
      </c>
    </row>
    <row r="346" spans="1:20" ht="22.5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>SUM(O346:Q346)</f>
        <v>20</v>
      </c>
      <c r="S346" s="21">
        <v>26</v>
      </c>
      <c r="T346" s="19" t="s">
        <v>1117</v>
      </c>
    </row>
    <row r="347" spans="1:20" ht="22.5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>SUM(O347:Q347)</f>
        <v>315</v>
      </c>
      <c r="S347" s="23">
        <v>8</v>
      </c>
      <c r="T347" s="20" t="s">
        <v>1121</v>
      </c>
    </row>
    <row r="348" spans="1:20" ht="22.5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>SUM(O348:Q348)</f>
        <v>35</v>
      </c>
      <c r="S348" s="21">
        <v>8</v>
      </c>
      <c r="T348" s="19" t="s">
        <v>1125</v>
      </c>
    </row>
    <row r="349" spans="1:20" ht="22.5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>SUM(O349:Q349)</f>
        <v>17</v>
      </c>
      <c r="S349" s="23">
        <f>5*17</f>
        <v>85</v>
      </c>
      <c r="T349" s="20" t="s">
        <v>741</v>
      </c>
    </row>
    <row r="350" spans="1:20" ht="22.5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>SUM(O350:Q350)</f>
        <v>27</v>
      </c>
      <c r="S350" s="21">
        <v>8</v>
      </c>
      <c r="T350" s="19" t="s">
        <v>717</v>
      </c>
    </row>
    <row r="351" spans="1:20" ht="22.5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>SUM(O351:Q351)</f>
        <v>45</v>
      </c>
      <c r="S351" s="23">
        <v>4</v>
      </c>
      <c r="T351" s="20" t="s">
        <v>1135</v>
      </c>
    </row>
    <row r="352" spans="1:20" ht="22.5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>SUM(O352:Q352)</f>
        <v>51</v>
      </c>
      <c r="S352" s="21">
        <v>4</v>
      </c>
      <c r="T352" s="19" t="s">
        <v>1139</v>
      </c>
    </row>
    <row r="353" spans="1:20" ht="22.5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>SUM(O353:Q353)</f>
        <v>5</v>
      </c>
      <c r="S353" s="23">
        <v>28</v>
      </c>
      <c r="T353" s="20" t="s">
        <v>1073</v>
      </c>
    </row>
    <row r="354" spans="1:20" ht="22.5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>SUM(O354:Q354)</f>
        <v>16</v>
      </c>
      <c r="S354" s="21">
        <v>24</v>
      </c>
      <c r="T354" s="19" t="s">
        <v>1032</v>
      </c>
    </row>
    <row r="355" spans="1:20" ht="22.5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>SUM(O355:Q355)</f>
        <v>30</v>
      </c>
      <c r="S355" s="23">
        <v>12</v>
      </c>
      <c r="T355" s="20" t="s">
        <v>1147</v>
      </c>
    </row>
    <row r="356" spans="1:20" ht="22.5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>SUM(O356:Q356)</f>
        <v>64</v>
      </c>
      <c r="S356" s="21">
        <v>12</v>
      </c>
      <c r="T356" s="19"/>
    </row>
    <row r="357" spans="1:20" ht="22.5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>SUM(O357:Q357)</f>
        <v>57</v>
      </c>
      <c r="S357" s="23">
        <v>20</v>
      </c>
      <c r="T357" s="20" t="s">
        <v>1110</v>
      </c>
    </row>
    <row r="358" spans="1:20" ht="22.5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>SUM(O358:Q358)</f>
        <v>39</v>
      </c>
      <c r="S358" s="21">
        <v>25</v>
      </c>
      <c r="T358" s="19" t="s">
        <v>1156</v>
      </c>
    </row>
    <row r="359" spans="1:20" ht="22.5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>SUM(O359:Q359)</f>
        <v>16</v>
      </c>
      <c r="S359" s="23">
        <v>24</v>
      </c>
      <c r="T359" s="20" t="s">
        <v>441</v>
      </c>
    </row>
    <row r="360" spans="1:20" ht="22.5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>SUM(O360:Q360)</f>
        <v>47</v>
      </c>
      <c r="S360" s="21">
        <v>20</v>
      </c>
      <c r="T360" s="19" t="s">
        <v>1087</v>
      </c>
    </row>
    <row r="361" spans="1:20" ht="22.5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>SUM(O361:Q361)</f>
        <v>13</v>
      </c>
      <c r="S361" s="23">
        <v>16</v>
      </c>
      <c r="T361" s="20" t="s">
        <v>1166</v>
      </c>
    </row>
    <row r="362" spans="1:20" ht="22.5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>SUM(O362:Q362)</f>
        <v>26</v>
      </c>
      <c r="S362" s="21">
        <v>30</v>
      </c>
      <c r="T362" s="19" t="s">
        <v>741</v>
      </c>
    </row>
    <row r="363" spans="1:20" ht="22.5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>SUM(O363:Q363)</f>
        <v>43</v>
      </c>
      <c r="S363" s="23">
        <v>12</v>
      </c>
      <c r="T363" s="20" t="s">
        <v>897</v>
      </c>
    </row>
    <row r="364" spans="1:20" ht="22.5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>SUM(O364:Q364)</f>
        <v>11</v>
      </c>
      <c r="S364" s="21">
        <v>24</v>
      </c>
      <c r="T364" s="19" t="s">
        <v>1032</v>
      </c>
    </row>
    <row r="365" spans="1:20" ht="22.5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>SUM(O365:Q365)</f>
        <v>11</v>
      </c>
      <c r="S365" s="23">
        <v>24</v>
      </c>
      <c r="T365" s="20" t="s">
        <v>1176</v>
      </c>
    </row>
    <row r="366" spans="1:20" ht="22.5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>SUM(O366:Q366)</f>
        <v>57</v>
      </c>
      <c r="S366" s="21">
        <v>16</v>
      </c>
      <c r="T366" s="32" t="s">
        <v>324</v>
      </c>
    </row>
    <row r="367" spans="1:20" ht="22.5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>SUM(O367:Q367)</f>
        <v>22</v>
      </c>
      <c r="S367" s="23">
        <v>20</v>
      </c>
      <c r="T367" s="20" t="s">
        <v>1182</v>
      </c>
    </row>
    <row r="368" spans="1:20" ht="22.5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>SUM(O368:Q368)</f>
        <v>176</v>
      </c>
      <c r="S368" s="21">
        <v>2</v>
      </c>
      <c r="T368" s="19"/>
    </row>
    <row r="369" spans="1:20" ht="22.5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>SUM(O369:Q369)</f>
        <v>56</v>
      </c>
      <c r="S369" s="23">
        <v>4</v>
      </c>
      <c r="T369" s="20" t="s">
        <v>1188</v>
      </c>
    </row>
    <row r="370" spans="1:20" ht="22.5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>SUM(O370:Q370)</f>
        <v>23</v>
      </c>
      <c r="S370" s="21">
        <v>8</v>
      </c>
      <c r="T370" s="19" t="s">
        <v>1192</v>
      </c>
    </row>
    <row r="371" spans="1:20" ht="22.5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>SUM(O371:Q371)</f>
        <v>39</v>
      </c>
      <c r="S371" s="23">
        <v>1</v>
      </c>
      <c r="T371" s="20" t="s">
        <v>511</v>
      </c>
    </row>
    <row r="372" spans="1:20" ht="22.5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>SUM(O372:Q372)</f>
        <v>47</v>
      </c>
      <c r="S372" s="21">
        <v>2</v>
      </c>
      <c r="T372" s="19"/>
    </row>
    <row r="373" spans="1:20" ht="22.5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>SUM(O373:Q373)</f>
        <v>53</v>
      </c>
      <c r="S373" s="23">
        <v>16</v>
      </c>
      <c r="T373" s="31" t="s">
        <v>324</v>
      </c>
    </row>
    <row r="374" spans="1:20" ht="22.5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>SUM(O374:Q374)</f>
        <v>28</v>
      </c>
      <c r="S374" s="21">
        <v>2</v>
      </c>
      <c r="T374" s="19" t="s">
        <v>1176</v>
      </c>
    </row>
    <row r="375" spans="1:20" ht="22.5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>SUM(O375:Q375)</f>
        <v>18</v>
      </c>
      <c r="S375" s="23">
        <v>3</v>
      </c>
      <c r="T375" s="20" t="s">
        <v>1182</v>
      </c>
    </row>
    <row r="376" spans="1:20" ht="22.5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>SUM(O376:Q376)</f>
        <v>53</v>
      </c>
      <c r="S376" s="21">
        <v>16</v>
      </c>
      <c r="T376" s="32" t="s">
        <v>324</v>
      </c>
    </row>
    <row r="377" spans="1:20" ht="22.5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>SUM(O377:Q377)</f>
        <v>10</v>
      </c>
      <c r="S377" s="23">
        <v>3</v>
      </c>
      <c r="T377" s="20" t="s">
        <v>1182</v>
      </c>
    </row>
    <row r="378" spans="1:20" ht="22.5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>SUM(O378:Q378)</f>
        <v>34</v>
      </c>
      <c r="S378" s="21">
        <v>3</v>
      </c>
      <c r="T378" s="19" t="s">
        <v>1182</v>
      </c>
    </row>
    <row r="379" spans="1:20" ht="22.5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>SUM(O379:Q379)</f>
        <v>0</v>
      </c>
      <c r="S379" s="23"/>
      <c r="T379" s="20"/>
    </row>
    <row r="380" spans="1:20" ht="22.5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>SUM(O380:Q380)</f>
        <v>15</v>
      </c>
      <c r="S380" s="21">
        <v>2</v>
      </c>
      <c r="T380" s="19" t="s">
        <v>1216</v>
      </c>
    </row>
    <row r="381" spans="1:20" ht="22.5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>SUM(O381:Q381)</f>
        <v>21</v>
      </c>
      <c r="S381" s="23">
        <v>3</v>
      </c>
      <c r="T381" s="20"/>
    </row>
    <row r="382" spans="1:20" ht="22.5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>SUM(O382:Q382)</f>
        <v>17</v>
      </c>
      <c r="S382" s="21">
        <v>16</v>
      </c>
      <c r="T382" s="32" t="s">
        <v>324</v>
      </c>
    </row>
    <row r="383" spans="1:20" ht="22.5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>SUM(O383:Q383)</f>
        <v>13</v>
      </c>
      <c r="S383" s="23">
        <v>3</v>
      </c>
      <c r="T383" s="20" t="s">
        <v>1182</v>
      </c>
    </row>
    <row r="384" spans="1:20" ht="22.5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>SUM(O384:Q384)</f>
        <v>114</v>
      </c>
      <c r="S384" s="21">
        <v>2</v>
      </c>
      <c r="T384" s="19"/>
    </row>
    <row r="385" spans="1:20" ht="22.5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>SUM(O385:Q385)</f>
        <v>5</v>
      </c>
      <c r="S385" s="23">
        <v>16</v>
      </c>
      <c r="T385" s="20" t="s">
        <v>1070</v>
      </c>
    </row>
    <row r="386" spans="1:20" ht="22.5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>SUM(O386:Q386)</f>
        <v>49</v>
      </c>
      <c r="S386" s="21">
        <v>2</v>
      </c>
      <c r="T386" s="19" t="s">
        <v>1230</v>
      </c>
    </row>
    <row r="387" spans="1:20" ht="22.5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>SUM(O387:Q387)</f>
        <v>22</v>
      </c>
      <c r="S387" s="23">
        <v>2</v>
      </c>
      <c r="T387" s="20" t="s">
        <v>365</v>
      </c>
    </row>
    <row r="388" spans="1:20" ht="22.5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>SUM(O388:Q388)</f>
        <v>91</v>
      </c>
      <c r="S388" s="21">
        <v>8</v>
      </c>
      <c r="T388" s="19" t="s">
        <v>365</v>
      </c>
    </row>
    <row r="389" spans="1:20" ht="22.5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>SUM(O389:Q389)</f>
        <v>5</v>
      </c>
      <c r="S389" s="23">
        <v>16</v>
      </c>
      <c r="T389" s="31" t="s">
        <v>324</v>
      </c>
    </row>
    <row r="390" spans="1:20" ht="22.5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>SUM(O390:Q390)</f>
        <v>181</v>
      </c>
      <c r="S390" s="21">
        <v>1</v>
      </c>
      <c r="T390" s="19" t="s">
        <v>61</v>
      </c>
    </row>
    <row r="391" spans="1:20" ht="22.5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>SUM(O391:Q391)</f>
        <v>7</v>
      </c>
      <c r="S391" s="23">
        <v>16</v>
      </c>
      <c r="T391" s="31" t="s">
        <v>324</v>
      </c>
    </row>
    <row r="392" spans="1:20" ht="22.5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>SUM(O392:Q392)</f>
        <v>9</v>
      </c>
      <c r="S392" s="21">
        <v>16</v>
      </c>
      <c r="T392" s="19" t="s">
        <v>1246</v>
      </c>
    </row>
    <row r="393" spans="1:20" ht="22.5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>SUM(O394:Q394)</f>
        <v>31</v>
      </c>
      <c r="S394" s="21">
        <v>16</v>
      </c>
      <c r="T394" s="32" t="s">
        <v>324</v>
      </c>
    </row>
    <row r="395" spans="1:20" ht="22.5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>SUM(O395:Q395)</f>
        <v>19</v>
      </c>
      <c r="S395" s="23">
        <v>2</v>
      </c>
      <c r="T395" s="20" t="s">
        <v>741</v>
      </c>
    </row>
    <row r="396" spans="1:20" ht="22.5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>SUM(O396:Q396)</f>
        <v>45</v>
      </c>
      <c r="S396" s="21">
        <v>8</v>
      </c>
      <c r="T396" s="19" t="s">
        <v>1125</v>
      </c>
    </row>
    <row r="397" spans="1:20" ht="22.5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>SUM(O397:Q397)</f>
        <v>0</v>
      </c>
      <c r="S397" s="23">
        <v>2</v>
      </c>
      <c r="T397" s="20" t="s">
        <v>365</v>
      </c>
    </row>
    <row r="398" spans="1:20" ht="22.5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>SUM(O398:Q398)</f>
        <v>85</v>
      </c>
      <c r="S398" s="21">
        <v>8</v>
      </c>
      <c r="T398" s="19" t="s">
        <v>365</v>
      </c>
    </row>
    <row r="399" spans="1:20" ht="22.5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>SUM(O399:Q399)</f>
        <v>7</v>
      </c>
      <c r="S399" s="23">
        <v>1</v>
      </c>
      <c r="T399" s="20" t="s">
        <v>1265</v>
      </c>
    </row>
    <row r="400" spans="1:20" ht="22.5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>SUM(O400:Q400)</f>
        <v>30</v>
      </c>
      <c r="S400" s="21">
        <v>4</v>
      </c>
      <c r="T400" s="19"/>
    </row>
    <row r="401" spans="1:20" ht="22.5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>SUM(O401:Q401)</f>
        <v>62</v>
      </c>
      <c r="S401" s="23">
        <v>1.5</v>
      </c>
      <c r="T401" s="20" t="s">
        <v>1271</v>
      </c>
    </row>
    <row r="402" spans="1:20" ht="22.5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>SUM(O402:Q402)</f>
        <v>68</v>
      </c>
      <c r="S402" s="21">
        <v>4</v>
      </c>
      <c r="T402" s="19" t="s">
        <v>1275</v>
      </c>
    </row>
    <row r="403" spans="1:20" ht="22.5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>SUM(O403:Q403)</f>
        <v>2</v>
      </c>
      <c r="S403" s="23">
        <v>48</v>
      </c>
      <c r="T403" s="20" t="s">
        <v>167</v>
      </c>
    </row>
    <row r="404" spans="1:20" ht="22.5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>SUM(O404:Q404)</f>
        <v>36</v>
      </c>
      <c r="S404" s="21">
        <v>16</v>
      </c>
      <c r="T404" s="19" t="s">
        <v>1282</v>
      </c>
    </row>
    <row r="405" spans="1:20" ht="22.5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>SUM(O405:Q405)</f>
        <v>14</v>
      </c>
      <c r="S405" s="23">
        <v>16</v>
      </c>
      <c r="T405" s="20" t="s">
        <v>1113</v>
      </c>
    </row>
    <row r="406" spans="1:20" ht="22.5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>SUM(O406:Q406)</f>
        <v>44</v>
      </c>
      <c r="S406" s="21">
        <v>5</v>
      </c>
      <c r="T406" s="53" t="s">
        <v>1289</v>
      </c>
    </row>
    <row r="407" spans="1:20" ht="22.5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>SUM(O407:Q407)</f>
        <v>26</v>
      </c>
      <c r="S407" s="23">
        <v>20</v>
      </c>
      <c r="T407" s="20" t="s">
        <v>61</v>
      </c>
    </row>
    <row r="408" spans="1:20" ht="22.5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>SUM(O408:Q408)</f>
        <v>23</v>
      </c>
      <c r="S408" s="21">
        <v>16</v>
      </c>
      <c r="T408" s="19" t="s">
        <v>1296</v>
      </c>
    </row>
    <row r="409" spans="1:20" ht="22.5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>SUM(O409:Q409)</f>
        <v>20</v>
      </c>
      <c r="S409" s="23">
        <v>2</v>
      </c>
      <c r="T409" s="20" t="s">
        <v>1300</v>
      </c>
    </row>
    <row r="410" spans="1:20" ht="22.5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>SUM(O410:Q410)</f>
        <v>0</v>
      </c>
      <c r="S410" s="21"/>
      <c r="T410" s="19"/>
    </row>
    <row r="411" spans="1:20" ht="22.5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>SUM(O411:Q411)</f>
        <v>16</v>
      </c>
      <c r="S411" s="23">
        <v>16</v>
      </c>
      <c r="T411" s="20" t="s">
        <v>1306</v>
      </c>
    </row>
    <row r="412" spans="1:20" ht="22.5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>SUM(O412:Q412)</f>
        <v>44</v>
      </c>
      <c r="S412" s="21">
        <v>20</v>
      </c>
      <c r="T412" s="19" t="s">
        <v>324</v>
      </c>
    </row>
    <row r="413" spans="1:20" ht="22.5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>SUM(O413:Q413)</f>
        <v>105</v>
      </c>
      <c r="S413" s="23">
        <v>4</v>
      </c>
      <c r="T413" s="20" t="s">
        <v>1313</v>
      </c>
    </row>
    <row r="414" spans="1:20" ht="22.5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>SUM(O414:Q414)</f>
        <v>50</v>
      </c>
      <c r="S414" s="21">
        <v>4</v>
      </c>
      <c r="T414" s="19" t="s">
        <v>1318</v>
      </c>
    </row>
    <row r="415" spans="1:20" ht="22.5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2401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>SUM(O415:Q415)</f>
        <v>25</v>
      </c>
      <c r="S415" s="23">
        <v>20</v>
      </c>
      <c r="T415" s="20" t="s">
        <v>931</v>
      </c>
    </row>
    <row r="416" spans="1:20" ht="22.5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>SUM(O416:Q416)</f>
        <v>9</v>
      </c>
      <c r="S416" s="21">
        <v>20</v>
      </c>
      <c r="T416" s="19" t="s">
        <v>1306</v>
      </c>
    </row>
    <row r="417" spans="1:20" ht="22.5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>SUM(O417:Q417)</f>
        <v>25</v>
      </c>
      <c r="S417" s="23">
        <v>16</v>
      </c>
      <c r="T417" s="20" t="s">
        <v>1326</v>
      </c>
    </row>
    <row r="418" spans="1:20" ht="22.5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>SUM(O418:Q418)</f>
        <v>13</v>
      </c>
      <c r="S418" s="21">
        <v>19</v>
      </c>
      <c r="T418" s="19" t="s">
        <v>1330</v>
      </c>
    </row>
    <row r="419" spans="1:20" ht="22.5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>SUM(O419:Q419)</f>
        <v>49</v>
      </c>
      <c r="S419" s="23">
        <v>16</v>
      </c>
      <c r="T419" s="20" t="s">
        <v>1333</v>
      </c>
    </row>
    <row r="420" spans="1:20" ht="22.5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>SUM(O420:Q420)</f>
        <v>128</v>
      </c>
      <c r="S420" s="21">
        <v>4</v>
      </c>
      <c r="T420" s="19" t="s">
        <v>1337</v>
      </c>
    </row>
    <row r="421" spans="1:20" ht="22.5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6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>SUM(O421:Q421)</f>
        <v>21</v>
      </c>
      <c r="S421" s="23">
        <v>20</v>
      </c>
      <c r="T421" s="20" t="s">
        <v>61</v>
      </c>
    </row>
    <row r="422" spans="1:20" ht="22.5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>SUM(O422:Q422)</f>
        <v>8</v>
      </c>
      <c r="S422" s="21">
        <v>16</v>
      </c>
      <c r="T422" s="19" t="s">
        <v>1343</v>
      </c>
    </row>
    <row r="423" spans="1:20" ht="22.5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>SUM(O423:Q423)</f>
        <v>93</v>
      </c>
      <c r="S423" s="23">
        <v>4</v>
      </c>
      <c r="T423" s="20" t="s">
        <v>1337</v>
      </c>
    </row>
    <row r="424" spans="1:20" ht="22.5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>SUM(O424:Q424)</f>
        <v>6</v>
      </c>
      <c r="S424" s="21">
        <v>24</v>
      </c>
      <c r="T424" s="19" t="s">
        <v>963</v>
      </c>
    </row>
    <row r="425" spans="1:20" ht="22.5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>SUM(O425:Q425)</f>
        <v>80</v>
      </c>
      <c r="S425" s="23">
        <v>4</v>
      </c>
      <c r="T425" s="20" t="s">
        <v>365</v>
      </c>
    </row>
    <row r="426" spans="1:20" ht="22.5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>SUM(O426:Q426)</f>
        <v>8</v>
      </c>
      <c r="S426" s="21">
        <v>4</v>
      </c>
      <c r="T426" s="19" t="s">
        <v>1354</v>
      </c>
    </row>
    <row r="427" spans="1:20" ht="22.5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>SUM(O427:Q427)</f>
        <v>10</v>
      </c>
      <c r="S427" s="23">
        <v>16</v>
      </c>
      <c r="T427" s="20" t="s">
        <v>1358</v>
      </c>
    </row>
    <row r="428" spans="1:20" ht="22.5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>SUM(O428:Q428)</f>
        <v>80</v>
      </c>
      <c r="S428" s="21">
        <v>4</v>
      </c>
      <c r="T428" s="19" t="s">
        <v>1046</v>
      </c>
    </row>
    <row r="429" spans="1:20" ht="22.5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>SUM(O429:Q429)</f>
        <v>80</v>
      </c>
      <c r="S429" s="23">
        <v>4</v>
      </c>
      <c r="T429" s="20" t="s">
        <v>1046</v>
      </c>
    </row>
    <row r="430" spans="1:20" ht="22.5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>SUM(O430:Q430)</f>
        <v>80</v>
      </c>
      <c r="S430" s="21">
        <v>4</v>
      </c>
      <c r="T430" s="19" t="s">
        <v>1046</v>
      </c>
    </row>
    <row r="431" spans="1:20" ht="22.5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>SUM(O431:Q431)</f>
        <v>80</v>
      </c>
      <c r="S431" s="23">
        <v>4</v>
      </c>
      <c r="T431" s="20" t="s">
        <v>1046</v>
      </c>
    </row>
    <row r="432" spans="1:20" ht="22.5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>SUM(O432:Q432)</f>
        <v>80</v>
      </c>
      <c r="S432" s="21">
        <v>4</v>
      </c>
      <c r="T432" s="19" t="s">
        <v>1046</v>
      </c>
    </row>
    <row r="433" spans="1:20" ht="22.5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>SUM(O433:Q433)</f>
        <v>33</v>
      </c>
      <c r="S433" s="23">
        <v>4</v>
      </c>
      <c r="T433" s="20" t="s">
        <v>1354</v>
      </c>
    </row>
    <row r="434" spans="1:20" ht="22.5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>SUM(O434:Q434)</f>
        <v>0</v>
      </c>
      <c r="S434" s="21"/>
      <c r="T434" s="19"/>
    </row>
    <row r="435" spans="1:20" ht="22.5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>SUM(O435:Q435)</f>
        <v>62</v>
      </c>
      <c r="S435" s="23">
        <v>20</v>
      </c>
      <c r="T435" s="20" t="s">
        <v>324</v>
      </c>
    </row>
    <row r="436" spans="1:20" ht="22.5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>SUM(O436:Q436)</f>
        <v>42</v>
      </c>
      <c r="S436" s="21">
        <v>4</v>
      </c>
      <c r="T436" s="19" t="s">
        <v>1374</v>
      </c>
    </row>
    <row r="437" spans="1:20" ht="22.5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>SUM(O437:Q437)</f>
        <v>6</v>
      </c>
      <c r="S437" s="23">
        <v>4</v>
      </c>
      <c r="T437" s="20" t="s">
        <v>1374</v>
      </c>
    </row>
    <row r="438" spans="1:20" ht="22.5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>SUM(O438:Q438)</f>
        <v>49</v>
      </c>
      <c r="S438" s="21">
        <v>4</v>
      </c>
      <c r="T438" s="19" t="s">
        <v>1374</v>
      </c>
    </row>
    <row r="439" spans="1:20" ht="22.5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>SUM(O439:Q439)</f>
        <v>20</v>
      </c>
      <c r="S439" s="23">
        <v>4</v>
      </c>
      <c r="T439" s="20" t="s">
        <v>1374</v>
      </c>
    </row>
    <row r="440" spans="1:20" ht="22.5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>SUM(O440:Q440)</f>
        <v>28</v>
      </c>
      <c r="S440" s="21">
        <v>12</v>
      </c>
      <c r="T440" s="19" t="s">
        <v>425</v>
      </c>
    </row>
    <row r="441" spans="1:20" ht="22.5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>SUM(O441:Q441)</f>
        <v>17</v>
      </c>
      <c r="S441" s="23">
        <v>20</v>
      </c>
      <c r="T441" s="20" t="s">
        <v>611</v>
      </c>
    </row>
    <row r="442" spans="1:20" ht="22.5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>SUM(O442:Q442)</f>
        <v>17</v>
      </c>
      <c r="S442" s="21">
        <v>20</v>
      </c>
      <c r="T442" s="19" t="s">
        <v>1389</v>
      </c>
    </row>
    <row r="443" spans="1:20" ht="22.5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>SUM(O443:Q443)</f>
        <v>24</v>
      </c>
      <c r="S443" s="23">
        <v>20</v>
      </c>
      <c r="T443" s="20" t="s">
        <v>729</v>
      </c>
    </row>
    <row r="444" spans="1:20" ht="22.5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>SUM(O444:Q444)</f>
        <v>16</v>
      </c>
      <c r="S444" s="21">
        <v>8</v>
      </c>
      <c r="T444" s="19" t="s">
        <v>812</v>
      </c>
    </row>
    <row r="445" spans="1:20" ht="22.5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>SUM(O445:Q445)</f>
        <v>155</v>
      </c>
      <c r="S445" s="23">
        <v>8</v>
      </c>
      <c r="T445" s="20" t="s">
        <v>365</v>
      </c>
    </row>
    <row r="446" spans="1:20" ht="22.5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>SUM(O446:Q446)</f>
        <v>8</v>
      </c>
      <c r="S446" s="21">
        <v>4</v>
      </c>
      <c r="T446" s="19" t="s">
        <v>1354</v>
      </c>
    </row>
    <row r="447" spans="1:20" ht="22.5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>SUM(O447:Q447)</f>
        <v>10</v>
      </c>
      <c r="S447" s="23">
        <v>16</v>
      </c>
      <c r="T447" s="20" t="s">
        <v>1326</v>
      </c>
    </row>
    <row r="448" spans="1:20" ht="22.5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>SUM(O448:Q448)</f>
        <v>15</v>
      </c>
      <c r="S448" s="21">
        <v>16</v>
      </c>
      <c r="T448" s="19" t="s">
        <v>1358</v>
      </c>
    </row>
    <row r="449" spans="1:20" ht="22.5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>SUM(O449:Q449)</f>
        <v>51</v>
      </c>
      <c r="S449" s="23">
        <v>16</v>
      </c>
      <c r="T449" s="20" t="s">
        <v>365</v>
      </c>
    </row>
    <row r="450" spans="1:20" ht="22.5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>SUM(O450:Q450)</f>
        <v>52</v>
      </c>
      <c r="S450" s="21">
        <v>16</v>
      </c>
      <c r="T450" s="19" t="s">
        <v>1330</v>
      </c>
    </row>
    <row r="451" spans="1:20" ht="22.5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>SUM(O451:Q451)</f>
        <v>13</v>
      </c>
      <c r="S451" s="23">
        <v>4</v>
      </c>
      <c r="T451" s="20" t="s">
        <v>1354</v>
      </c>
    </row>
    <row r="452" spans="1:20" ht="22.5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>SUM(O452:Q452)</f>
        <v>90</v>
      </c>
      <c r="S452" s="21">
        <v>3</v>
      </c>
      <c r="T452" s="19" t="s">
        <v>1306</v>
      </c>
    </row>
    <row r="453" spans="1:20" ht="22.5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>SUM(O453:Q453)</f>
        <v>11</v>
      </c>
      <c r="S453" s="23">
        <v>2</v>
      </c>
      <c r="T453" s="20" t="s">
        <v>167</v>
      </c>
    </row>
    <row r="454" spans="1:20" ht="22.5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>SUM(O454:Q454)</f>
        <v>50</v>
      </c>
      <c r="S454" s="21">
        <v>2</v>
      </c>
      <c r="T454" s="222" t="s">
        <v>1419</v>
      </c>
    </row>
    <row r="455" spans="1:20" ht="22.5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>SUM(O455:Q455)</f>
        <v>8</v>
      </c>
      <c r="S455" s="23">
        <v>4</v>
      </c>
      <c r="T455" s="20" t="s">
        <v>1354</v>
      </c>
    </row>
    <row r="456" spans="1:20" ht="22.5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>SUM(O456:Q456)</f>
        <v>0</v>
      </c>
      <c r="S456" s="21"/>
      <c r="T456" s="19"/>
    </row>
    <row r="457" spans="1:20" ht="22.5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>SUM(O457:Q457)</f>
        <v>23</v>
      </c>
      <c r="S457" s="23">
        <v>20</v>
      </c>
      <c r="T457" s="20" t="s">
        <v>1358</v>
      </c>
    </row>
    <row r="458" spans="1:20" ht="22.5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>SUM(O458:Q458)</f>
        <v>23</v>
      </c>
      <c r="S458" s="21">
        <v>76</v>
      </c>
      <c r="T458" s="19" t="s">
        <v>365</v>
      </c>
    </row>
    <row r="459" spans="1:20" ht="22.5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>SUM(O459:Q459)</f>
        <v>89</v>
      </c>
      <c r="S459" s="23">
        <v>12</v>
      </c>
      <c r="T459" s="223" t="s">
        <v>1431</v>
      </c>
    </row>
    <row r="460" spans="1:20" ht="22.5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>SUM(O460:Q460)</f>
        <v>22</v>
      </c>
      <c r="S460" s="21">
        <v>19</v>
      </c>
      <c r="T460" s="19" t="s">
        <v>573</v>
      </c>
    </row>
    <row r="461" spans="1:20" ht="22.5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1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>SUM(O461:Q461)</f>
        <v>11</v>
      </c>
      <c r="S461" s="23">
        <v>4</v>
      </c>
      <c r="T461" s="20" t="s">
        <v>1354</v>
      </c>
    </row>
    <row r="462" spans="1:20" ht="22.5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0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>SUM(O462:Q462)</f>
        <v>21</v>
      </c>
      <c r="S462" s="21">
        <v>12</v>
      </c>
      <c r="T462" s="19" t="s">
        <v>1440</v>
      </c>
    </row>
    <row r="463" spans="1:20" ht="22.5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>SUM(O463:Q463)</f>
        <v>51</v>
      </c>
      <c r="S463" s="23">
        <v>16</v>
      </c>
      <c r="T463" s="223" t="s">
        <v>425</v>
      </c>
    </row>
    <row r="464" spans="1:20" ht="22.5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>SUM(O464:Q464)</f>
        <v>7</v>
      </c>
      <c r="S464" s="21">
        <v>4</v>
      </c>
      <c r="T464" s="19" t="s">
        <v>1354</v>
      </c>
    </row>
    <row r="465" spans="1:20" ht="22.5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>SUM(O465:Q465)</f>
        <v>22</v>
      </c>
      <c r="S465" s="23">
        <v>12</v>
      </c>
      <c r="T465" s="20" t="s">
        <v>1449</v>
      </c>
    </row>
    <row r="466" spans="1:20" ht="22.5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>SUM(O466:Q466)</f>
        <v>213</v>
      </c>
      <c r="S466" s="21">
        <v>24</v>
      </c>
      <c r="T466" s="19" t="s">
        <v>365</v>
      </c>
    </row>
    <row r="467" spans="1:20" ht="22.5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>SUM(O467:Q467)</f>
        <v>92</v>
      </c>
      <c r="S467" s="23">
        <v>8</v>
      </c>
      <c r="T467" s="20" t="s">
        <v>365</v>
      </c>
    </row>
    <row r="468" spans="1:20" ht="22.5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>SUM(O468:Q468)</f>
        <v>18</v>
      </c>
      <c r="S468" s="21">
        <v>4</v>
      </c>
      <c r="T468" s="19" t="s">
        <v>1458</v>
      </c>
    </row>
    <row r="469" spans="1:20" ht="22.5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>SUM(O469:Q469)</f>
        <v>8</v>
      </c>
      <c r="S469" s="23">
        <v>4</v>
      </c>
      <c r="T469" s="20" t="s">
        <v>1354</v>
      </c>
    </row>
    <row r="470" spans="1:20" ht="22.5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>SUM(O470:Q470)</f>
        <v>8</v>
      </c>
      <c r="S470" s="21">
        <v>4</v>
      </c>
      <c r="T470" s="19" t="s">
        <v>1354</v>
      </c>
    </row>
    <row r="471" spans="1:20" ht="22.5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>SUM(O471:Q471)</f>
        <v>384</v>
      </c>
      <c r="S471" s="23">
        <v>8</v>
      </c>
      <c r="T471" s="20" t="s">
        <v>365</v>
      </c>
    </row>
    <row r="472" spans="1:20" ht="22.5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>SUM(O472:Q472)</f>
        <v>24</v>
      </c>
      <c r="S472" s="21">
        <v>12</v>
      </c>
      <c r="T472" s="19" t="s">
        <v>1469</v>
      </c>
    </row>
    <row r="473" spans="1:20" ht="22.5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>SUM(O473:Q473)</f>
        <v>35</v>
      </c>
      <c r="S473" s="23">
        <v>20</v>
      </c>
      <c r="T473" s="20" t="s">
        <v>1473</v>
      </c>
    </row>
    <row r="474" spans="1:20" ht="22.5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>SUM(O474:Q474)</f>
        <v>53</v>
      </c>
      <c r="S474" s="21">
        <v>4</v>
      </c>
      <c r="T474" s="19" t="s">
        <v>1477</v>
      </c>
    </row>
    <row r="475" spans="1:20" ht="22.5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>SUM(O475:Q475)</f>
        <v>12</v>
      </c>
      <c r="S475" s="23">
        <v>8</v>
      </c>
      <c r="T475" s="20" t="s">
        <v>1481</v>
      </c>
    </row>
    <row r="476" spans="1:20" ht="22.5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>SUM(O476:Q476)</f>
        <v>60</v>
      </c>
      <c r="S476" s="21">
        <v>4</v>
      </c>
      <c r="T476" s="19" t="s">
        <v>1485</v>
      </c>
    </row>
    <row r="477" spans="1:20" ht="22.5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>SUM(O477:Q477)</f>
        <v>14</v>
      </c>
      <c r="S477" s="23">
        <v>4</v>
      </c>
      <c r="T477" s="20" t="s">
        <v>808</v>
      </c>
    </row>
    <row r="478" spans="1:20" ht="22.5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>SUM(O478:Q478)</f>
        <v>20</v>
      </c>
      <c r="S478" s="21">
        <v>12</v>
      </c>
      <c r="T478" s="19" t="s">
        <v>1449</v>
      </c>
    </row>
    <row r="479" spans="1:20" ht="22.5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>SUM(O479:Q479)</f>
        <v>56</v>
      </c>
      <c r="S479" s="23">
        <v>20</v>
      </c>
      <c r="T479" s="20" t="s">
        <v>1495</v>
      </c>
    </row>
    <row r="480" spans="1:20" ht="22.5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>SUM(O480:Q480)</f>
        <v>38</v>
      </c>
      <c r="S480" s="21">
        <v>12</v>
      </c>
      <c r="T480" s="19" t="s">
        <v>808</v>
      </c>
    </row>
    <row r="481" spans="1:20" ht="22.5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>SUM(O481:Q481)</f>
        <v>13</v>
      </c>
      <c r="S481" s="23">
        <v>16</v>
      </c>
      <c r="T481" s="20" t="s">
        <v>1501</v>
      </c>
    </row>
    <row r="482" spans="1:20" ht="22.5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>SUM(O482:Q482)</f>
        <v>24</v>
      </c>
      <c r="S482" s="21">
        <v>18</v>
      </c>
      <c r="T482" s="19" t="s">
        <v>1505</v>
      </c>
    </row>
    <row r="483" spans="1:20" ht="22.5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>SUM(O483:Q483)</f>
        <v>19</v>
      </c>
      <c r="S483" s="23">
        <v>16</v>
      </c>
      <c r="T483" s="20" t="s">
        <v>1306</v>
      </c>
    </row>
    <row r="484" spans="1:20" ht="22.5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>SUM(O484:Q484)</f>
        <v>10</v>
      </c>
      <c r="S484" s="21">
        <v>4</v>
      </c>
      <c r="T484" s="19" t="s">
        <v>808</v>
      </c>
    </row>
    <row r="485" spans="1:20" ht="22.5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>SUM(O485:Q485)</f>
        <v>5</v>
      </c>
      <c r="S485" s="23">
        <v>4</v>
      </c>
      <c r="T485" s="20" t="s">
        <v>1354</v>
      </c>
    </row>
    <row r="486" spans="1:20" ht="22.5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>SUM(O486:Q486)</f>
        <v>21</v>
      </c>
      <c r="S486" s="21">
        <v>24</v>
      </c>
      <c r="T486" s="19" t="s">
        <v>963</v>
      </c>
    </row>
    <row r="487" spans="1:20" ht="22.5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>SUM(O487:Q487)</f>
        <v>19</v>
      </c>
      <c r="S487" s="23">
        <v>20</v>
      </c>
      <c r="T487" s="20" t="s">
        <v>167</v>
      </c>
    </row>
    <row r="488" spans="1:20" ht="22.5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>SUM(O488:Q488)</f>
        <v>7</v>
      </c>
      <c r="S488" s="21">
        <v>4</v>
      </c>
      <c r="T488" s="19" t="s">
        <v>1354</v>
      </c>
    </row>
    <row r="489" spans="1:20" ht="22.5" customHeight="1" x14ac:dyDescent="0.25">
      <c r="A489" s="20" t="str">
        <f>IF(B489="","",B489&amp;"-"&amp;TEXT(COUNTIF(B$2:B489,B489),"000"))</f>
        <v>2024-086</v>
      </c>
      <c r="B489" s="219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>SUM(O489:Q489)</f>
        <v>19</v>
      </c>
      <c r="S489" s="63">
        <v>20</v>
      </c>
      <c r="T489" s="44" t="s">
        <v>61</v>
      </c>
    </row>
    <row r="490" spans="1:20" ht="22.5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>SUM(O490:Q490)</f>
        <v>61</v>
      </c>
      <c r="S490" s="69">
        <v>20</v>
      </c>
      <c r="T490" s="66" t="s">
        <v>1495</v>
      </c>
    </row>
    <row r="491" spans="1:20" ht="22.5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>SUM(O491:Q491)</f>
        <v>32</v>
      </c>
      <c r="S491" s="63">
        <v>8</v>
      </c>
      <c r="T491" s="44" t="s">
        <v>1523</v>
      </c>
    </row>
    <row r="492" spans="1:20" ht="22.5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>SUM(O492:Q492)</f>
        <v>43</v>
      </c>
      <c r="S492" s="69">
        <v>20</v>
      </c>
      <c r="T492" s="66" t="s">
        <v>1527</v>
      </c>
    </row>
    <row r="493" spans="1:20" ht="22.5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>SUM(O493:Q493)</f>
        <v>8</v>
      </c>
      <c r="S493" s="63">
        <v>8</v>
      </c>
      <c r="T493" s="44" t="s">
        <v>365</v>
      </c>
    </row>
    <row r="494" spans="1:20" ht="22.5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>SUM(O494:Q494)</f>
        <v>80</v>
      </c>
      <c r="S494" s="69">
        <v>2</v>
      </c>
      <c r="T494" s="66" t="s">
        <v>1534</v>
      </c>
    </row>
    <row r="495" spans="1:20" ht="22.5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>SUM(O495:Q495)</f>
        <v>0</v>
      </c>
      <c r="S495" s="23"/>
      <c r="T495" s="223"/>
    </row>
    <row r="496" spans="1:20" ht="22.5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>SUM(O496:Q496)</f>
        <v>170</v>
      </c>
      <c r="S496" s="69">
        <v>1</v>
      </c>
      <c r="T496" s="66" t="s">
        <v>1541</v>
      </c>
    </row>
    <row r="497" spans="1:20" ht="22.5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>SUM(O497:Q497)</f>
        <v>31</v>
      </c>
      <c r="S497" s="63">
        <v>4</v>
      </c>
      <c r="T497" s="44" t="s">
        <v>1458</v>
      </c>
    </row>
    <row r="498" spans="1:20" ht="22.5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>SUM(O498:Q498)</f>
        <v>11</v>
      </c>
      <c r="S498" s="69">
        <v>16</v>
      </c>
      <c r="T498" s="66" t="s">
        <v>1358</v>
      </c>
    </row>
    <row r="499" spans="1:20" ht="22.5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>SUM(O499:Q499)</f>
        <v>45</v>
      </c>
      <c r="S499" s="63">
        <v>1</v>
      </c>
      <c r="T499" s="44" t="s">
        <v>1549</v>
      </c>
    </row>
    <row r="500" spans="1:20" ht="22.5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>SUM(O500:Q500)</f>
        <v>40</v>
      </c>
      <c r="S500" s="69">
        <v>4</v>
      </c>
      <c r="T500" s="66" t="s">
        <v>1553</v>
      </c>
    </row>
    <row r="501" spans="1:20" ht="22.5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>SUM(O501:Q501)</f>
        <v>0</v>
      </c>
      <c r="S501" s="63">
        <v>4</v>
      </c>
      <c r="T501" s="44" t="s">
        <v>1354</v>
      </c>
    </row>
    <row r="502" spans="1:20" ht="22.5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>SUM(O502:Q502)</f>
        <v>34</v>
      </c>
      <c r="S502" s="69">
        <v>16</v>
      </c>
      <c r="T502" s="66" t="s">
        <v>1559</v>
      </c>
    </row>
    <row r="503" spans="1:20" ht="22.5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19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>SUM(O503:Q503)</f>
        <v>21</v>
      </c>
      <c r="S503" s="63">
        <v>16</v>
      </c>
      <c r="T503" s="44" t="s">
        <v>1306</v>
      </c>
    </row>
    <row r="504" spans="1:20" ht="22.5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>SUM(O504:Q504)</f>
        <v>16</v>
      </c>
      <c r="S504" s="69">
        <v>24</v>
      </c>
      <c r="T504" s="66" t="s">
        <v>1389</v>
      </c>
    </row>
    <row r="505" spans="1:20" ht="22.5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>SUM(O505:Q505)</f>
        <v>20</v>
      </c>
      <c r="S505" s="23">
        <v>4</v>
      </c>
      <c r="T505" s="20" t="s">
        <v>1569</v>
      </c>
    </row>
    <row r="506" spans="1:20" ht="22.5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>SUM(O506:Q506)</f>
        <v>8</v>
      </c>
      <c r="S506" s="21">
        <v>4</v>
      </c>
      <c r="T506" s="19" t="s">
        <v>1354</v>
      </c>
    </row>
    <row r="507" spans="1:20" ht="22.5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>SUM(O507:Q507)</f>
        <v>0</v>
      </c>
      <c r="S507" s="23">
        <v>20</v>
      </c>
      <c r="T507" s="20" t="s">
        <v>1575</v>
      </c>
    </row>
    <row r="508" spans="1:20" ht="22.5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>SUM(O508:Q508)</f>
        <v>13</v>
      </c>
      <c r="S508" s="21">
        <v>48</v>
      </c>
      <c r="T508" s="19" t="s">
        <v>741</v>
      </c>
    </row>
    <row r="509" spans="1:20" ht="22.5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>SUM(O509:Q509)</f>
        <v>170</v>
      </c>
      <c r="S509" s="23">
        <v>1</v>
      </c>
      <c r="T509" s="20" t="s">
        <v>1580</v>
      </c>
    </row>
    <row r="510" spans="1:20" ht="22.5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>SUM(O510:Q510)</f>
        <v>66</v>
      </c>
      <c r="S510" s="21">
        <v>20</v>
      </c>
      <c r="T510" s="19" t="s">
        <v>1495</v>
      </c>
    </row>
    <row r="511" spans="1:20" ht="22.5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>SUM(O511:Q511)</f>
        <v>140</v>
      </c>
      <c r="S511" s="23">
        <v>1</v>
      </c>
      <c r="T511" s="20" t="s">
        <v>1586</v>
      </c>
    </row>
    <row r="512" spans="1:20" ht="22.5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>SUM(O512:Q512)</f>
        <v>45</v>
      </c>
      <c r="S512" s="21">
        <v>12</v>
      </c>
      <c r="T512" s="19" t="s">
        <v>1590</v>
      </c>
    </row>
    <row r="513" spans="1:20" ht="22.5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>SUM(O513:Q513)</f>
        <v>19</v>
      </c>
      <c r="S513" s="23">
        <v>4</v>
      </c>
      <c r="T513" s="20" t="s">
        <v>1594</v>
      </c>
    </row>
    <row r="514" spans="1:20" ht="22.5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>SUM(O514:Q514)</f>
        <v>15</v>
      </c>
      <c r="S514" s="21">
        <v>20</v>
      </c>
      <c r="T514" s="19" t="s">
        <v>167</v>
      </c>
    </row>
    <row r="515" spans="1:20" ht="22.5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>SUM(O515:Q515)</f>
        <v>41</v>
      </c>
      <c r="S515" s="23">
        <v>16</v>
      </c>
      <c r="T515" s="20" t="s">
        <v>1600</v>
      </c>
    </row>
    <row r="516" spans="1:20" ht="22.5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>SUM(O516:Q516)</f>
        <v>96</v>
      </c>
      <c r="S516" s="21">
        <v>2</v>
      </c>
      <c r="T516" s="19" t="s">
        <v>365</v>
      </c>
    </row>
    <row r="517" spans="1:20" ht="22.5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>SUM(O517:Q517)</f>
        <v>6</v>
      </c>
      <c r="S517" s="23">
        <v>4</v>
      </c>
      <c r="T517" s="20" t="s">
        <v>1606</v>
      </c>
    </row>
    <row r="518" spans="1:20" ht="22.5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>SUM(O518:Q518)</f>
        <v>47</v>
      </c>
      <c r="S518" s="21">
        <v>12</v>
      </c>
      <c r="T518" s="19" t="s">
        <v>1610</v>
      </c>
    </row>
    <row r="519" spans="1:20" ht="22.5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>SUM(O519:Q519)</f>
        <v>37</v>
      </c>
      <c r="S519" s="23">
        <v>12</v>
      </c>
      <c r="T519" s="20" t="s">
        <v>1125</v>
      </c>
    </row>
    <row r="520" spans="1:20" ht="22.5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>SUM(O520:Q520)</f>
        <v>20</v>
      </c>
      <c r="S520" s="21">
        <v>16</v>
      </c>
      <c r="T520" s="19" t="s">
        <v>1296</v>
      </c>
    </row>
    <row r="521" spans="1:20" ht="22.5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>SUM(O521:Q521)</f>
        <v>19</v>
      </c>
      <c r="S521" s="23">
        <v>16</v>
      </c>
      <c r="T521" s="20" t="s">
        <v>425</v>
      </c>
    </row>
    <row r="522" spans="1:20" ht="22.5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>SUM(O522:Q522)</f>
        <v>0</v>
      </c>
      <c r="S522" s="21">
        <v>21</v>
      </c>
      <c r="T522" s="19" t="s">
        <v>1046</v>
      </c>
    </row>
    <row r="523" spans="1:20" ht="22.5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>SUM(O523:Q523)</f>
        <v>0</v>
      </c>
      <c r="S523" s="23">
        <v>6</v>
      </c>
      <c r="T523" s="20" t="s">
        <v>1624</v>
      </c>
    </row>
    <row r="524" spans="1:20" ht="22.5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>SUM(O524:Q524)</f>
        <v>6</v>
      </c>
      <c r="S524" s="21"/>
      <c r="T524" s="19"/>
    </row>
    <row r="525" spans="1:20" ht="22.5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>SUM(O525:Q525)</f>
        <v>46</v>
      </c>
      <c r="S525" s="23">
        <v>16</v>
      </c>
      <c r="T525" s="20" t="s">
        <v>1629</v>
      </c>
    </row>
    <row r="526" spans="1:20" ht="22.5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>SUM(O526:Q526)</f>
        <v>20</v>
      </c>
      <c r="S526" s="21">
        <v>16</v>
      </c>
      <c r="T526" s="19" t="s">
        <v>1306</v>
      </c>
    </row>
    <row r="527" spans="1:20" ht="22.5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>SUM(O527:Q527)</f>
        <v>0</v>
      </c>
      <c r="S527" s="23"/>
      <c r="T527" s="20" t="s">
        <v>1632</v>
      </c>
    </row>
    <row r="528" spans="1:20" ht="22.5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>SUM(O528:Q528)</f>
        <v>20</v>
      </c>
      <c r="S528" s="21">
        <v>8</v>
      </c>
      <c r="T528" s="19" t="s">
        <v>1636</v>
      </c>
    </row>
    <row r="529" spans="1:20" ht="22.5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>SUM(O529:Q529)</f>
        <v>28</v>
      </c>
      <c r="S529" s="23">
        <v>20</v>
      </c>
      <c r="T529" s="20"/>
    </row>
    <row r="530" spans="1:20" ht="22.5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>SUM(O530:Q530)</f>
        <v>138</v>
      </c>
      <c r="S530" s="21">
        <v>8</v>
      </c>
      <c r="T530" s="19" t="s">
        <v>365</v>
      </c>
    </row>
    <row r="531" spans="1:20" ht="22.5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>SUM(O531:Q531)</f>
        <v>19</v>
      </c>
      <c r="S531" s="23">
        <v>12</v>
      </c>
      <c r="T531" s="20" t="s">
        <v>1431</v>
      </c>
    </row>
    <row r="532" spans="1:20" ht="22.5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>SUM(O532:Q532)</f>
        <v>118</v>
      </c>
      <c r="S532" s="21">
        <v>1</v>
      </c>
      <c r="T532" s="19" t="s">
        <v>1648</v>
      </c>
    </row>
    <row r="533" spans="1:20" ht="22.5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>SUM(O533:Q533)</f>
        <v>4</v>
      </c>
      <c r="S533" s="23">
        <v>4</v>
      </c>
      <c r="T533" s="20" t="s">
        <v>1354</v>
      </c>
    </row>
    <row r="534" spans="1:20" ht="22.5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>SUM(O534:Q534)</f>
        <v>49</v>
      </c>
      <c r="S534" s="21">
        <v>4</v>
      </c>
      <c r="T534" s="19" t="s">
        <v>1653</v>
      </c>
    </row>
    <row r="535" spans="1:20" ht="22.5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>SUM(O535:Q535)</f>
        <v>94</v>
      </c>
      <c r="S535" s="23">
        <v>20</v>
      </c>
      <c r="T535" s="20" t="s">
        <v>1495</v>
      </c>
    </row>
    <row r="536" spans="1:20" ht="22.5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>SUM(O536:Q536)</f>
        <v>0</v>
      </c>
      <c r="S536" s="21"/>
      <c r="T536" s="19"/>
    </row>
    <row r="537" spans="1:20" ht="22.5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4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>SUM(O537:Q537)</f>
        <v>21</v>
      </c>
      <c r="S537" s="23">
        <v>20</v>
      </c>
      <c r="T537" s="20" t="s">
        <v>61</v>
      </c>
    </row>
    <row r="538" spans="1:20" ht="22.5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>SUM(O538:Q538)</f>
        <v>49</v>
      </c>
      <c r="S538" s="21"/>
      <c r="T538" s="19"/>
    </row>
    <row r="539" spans="1:20" ht="22.5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>SUM(O539:Q539)</f>
        <v>26</v>
      </c>
      <c r="S539" s="23">
        <v>16</v>
      </c>
      <c r="T539" s="20" t="s">
        <v>1306</v>
      </c>
    </row>
    <row r="540" spans="1:20" ht="22.5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>SUM(O540:Q540)</f>
        <v>8</v>
      </c>
      <c r="S540" s="21">
        <v>8</v>
      </c>
      <c r="T540" s="19" t="s">
        <v>365</v>
      </c>
    </row>
    <row r="541" spans="1:20" ht="22.5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>SUM(O541:Q541)</f>
        <v>14</v>
      </c>
      <c r="S541" s="23">
        <v>12</v>
      </c>
      <c r="T541" s="20" t="s">
        <v>1449</v>
      </c>
    </row>
    <row r="542" spans="1:20" ht="22.5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>SUM(O542:Q542)</f>
        <v>30</v>
      </c>
      <c r="S542" s="21">
        <v>20</v>
      </c>
      <c r="T542" s="19" t="s">
        <v>1326</v>
      </c>
    </row>
    <row r="543" spans="1:20" ht="22.5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>SUM(O543:Q543)</f>
        <v>11</v>
      </c>
      <c r="S543" s="23">
        <v>20</v>
      </c>
      <c r="T543" s="20" t="s">
        <v>1358</v>
      </c>
    </row>
    <row r="544" spans="1:20" ht="22.5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>SUM(O544:Q544)</f>
        <v>43</v>
      </c>
      <c r="S544" s="21">
        <v>12</v>
      </c>
      <c r="T544" s="19" t="s">
        <v>1333</v>
      </c>
    </row>
    <row r="545" spans="1:20" ht="22.5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>SUM(O545:Q545)</f>
        <v>54</v>
      </c>
      <c r="S545" s="23">
        <v>20</v>
      </c>
      <c r="T545" s="20" t="s">
        <v>729</v>
      </c>
    </row>
    <row r="546" spans="1:20" ht="22.5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>SUM(O546:Q546)</f>
        <v>3</v>
      </c>
      <c r="S546" s="21">
        <v>16</v>
      </c>
      <c r="T546" s="19" t="s">
        <v>1070</v>
      </c>
    </row>
    <row r="547" spans="1:20" ht="22.5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>SUM(O547:Q547)</f>
        <v>21</v>
      </c>
      <c r="S547" s="23">
        <v>8</v>
      </c>
      <c r="T547" s="20" t="s">
        <v>1523</v>
      </c>
    </row>
    <row r="548" spans="1:20" ht="22.5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>SUM(O548:Q548)</f>
        <v>44</v>
      </c>
      <c r="S548" s="21">
        <v>4</v>
      </c>
      <c r="T548" s="19" t="s">
        <v>365</v>
      </c>
    </row>
    <row r="549" spans="1:20" ht="22.5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>SUM(O549:Q549)</f>
        <v>49</v>
      </c>
      <c r="S549" s="23">
        <v>20</v>
      </c>
      <c r="T549" s="20" t="s">
        <v>61</v>
      </c>
    </row>
    <row r="550" spans="1:20" ht="22.5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>SUM(O550:Q550)</f>
        <v>16</v>
      </c>
      <c r="S550" s="21">
        <v>16</v>
      </c>
      <c r="T550" s="19" t="s">
        <v>1700</v>
      </c>
    </row>
    <row r="551" spans="1:20" ht="22.5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>SUM(O551:Q551)</f>
        <v>27</v>
      </c>
      <c r="S551" s="23">
        <v>40</v>
      </c>
      <c r="T551" s="20" t="s">
        <v>1704</v>
      </c>
    </row>
    <row r="552" spans="1:20" ht="22.5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>SUM(O552:Q552)</f>
        <v>114</v>
      </c>
      <c r="S552" s="21">
        <v>2</v>
      </c>
      <c r="T552" s="19" t="s">
        <v>365</v>
      </c>
    </row>
    <row r="553" spans="1:20" ht="22.5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>SUM(O553:Q553)</f>
        <v>24</v>
      </c>
      <c r="S553" s="23">
        <v>8</v>
      </c>
      <c r="T553" s="20" t="s">
        <v>1523</v>
      </c>
    </row>
    <row r="554" spans="1:20" ht="22.5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>SUM(O554:Q554)</f>
        <v>21</v>
      </c>
      <c r="S554" s="21">
        <v>20</v>
      </c>
      <c r="T554" s="19" t="s">
        <v>167</v>
      </c>
    </row>
    <row r="555" spans="1:20" ht="22.5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>SUM(O555:Q555)</f>
        <v>38</v>
      </c>
      <c r="S555" s="23">
        <v>12</v>
      </c>
      <c r="T555" s="20" t="s">
        <v>1632</v>
      </c>
    </row>
    <row r="556" spans="1:20" ht="22.5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>SUM(O556:Q556)</f>
        <v>97</v>
      </c>
      <c r="S556" s="21">
        <v>16</v>
      </c>
      <c r="T556" s="19" t="s">
        <v>1718</v>
      </c>
    </row>
    <row r="557" spans="1:20" ht="22.5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>SUM(O557:Q557)</f>
        <v>38</v>
      </c>
      <c r="S557" s="23">
        <v>12</v>
      </c>
      <c r="T557" s="20" t="s">
        <v>1632</v>
      </c>
    </row>
    <row r="558" spans="1:20" ht="22.5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>SUM(O558:Q558)</f>
        <v>8</v>
      </c>
      <c r="S558" s="21">
        <v>8</v>
      </c>
      <c r="T558" s="19" t="s">
        <v>365</v>
      </c>
    </row>
    <row r="559" spans="1:20" ht="22.5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>SUM(O559:Q559)</f>
        <v>23</v>
      </c>
      <c r="S559" s="23">
        <v>20</v>
      </c>
      <c r="T559" s="20" t="s">
        <v>61</v>
      </c>
    </row>
    <row r="560" spans="1:20" ht="22.5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>SUM(O560:Q560)</f>
        <v>20</v>
      </c>
      <c r="S560" s="21">
        <v>16</v>
      </c>
      <c r="T560" s="19" t="s">
        <v>1729</v>
      </c>
    </row>
    <row r="561" spans="1:20" ht="22.5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>SUM(O561:Q561)</f>
        <v>13</v>
      </c>
      <c r="S561" s="23">
        <v>16</v>
      </c>
      <c r="T561" s="20" t="s">
        <v>1733</v>
      </c>
    </row>
    <row r="562" spans="1:20" ht="22.5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>SUM(O562:Q562)</f>
        <v>250</v>
      </c>
      <c r="S562" s="21">
        <v>12</v>
      </c>
      <c r="T562" s="19" t="s">
        <v>365</v>
      </c>
    </row>
    <row r="563" spans="1:20" ht="22.5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>SUM(O563:Q563)</f>
        <v>32</v>
      </c>
      <c r="S563" s="23">
        <v>16</v>
      </c>
      <c r="T563" s="20" t="s">
        <v>546</v>
      </c>
    </row>
    <row r="564" spans="1:20" ht="22.5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>SUM(O564:Q564)</f>
        <v>41</v>
      </c>
      <c r="S564" s="21">
        <v>16</v>
      </c>
      <c r="T564" s="19" t="s">
        <v>1629</v>
      </c>
    </row>
    <row r="565" spans="1:20" ht="22.5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>SUM(O565:Q565)</f>
        <v>75</v>
      </c>
      <c r="S565" s="23">
        <v>2</v>
      </c>
      <c r="T565" s="20" t="s">
        <v>1745</v>
      </c>
    </row>
    <row r="566" spans="1:20" ht="22.5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>SUM(O566:Q566)</f>
        <v>100</v>
      </c>
      <c r="S566" s="21">
        <v>1</v>
      </c>
      <c r="T566" s="19" t="s">
        <v>1749</v>
      </c>
    </row>
    <row r="567" spans="1:20" ht="22.5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>SUM(O567:Q567)</f>
        <v>20</v>
      </c>
      <c r="S567" s="23">
        <v>8</v>
      </c>
      <c r="T567" s="20" t="s">
        <v>1700</v>
      </c>
    </row>
    <row r="568" spans="1:20" ht="22.5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>SUM(O568:Q568)</f>
        <v>40</v>
      </c>
      <c r="S568" s="21">
        <v>16</v>
      </c>
      <c r="T568" s="19" t="s">
        <v>1629</v>
      </c>
    </row>
    <row r="569" spans="1:20" ht="22.5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>SUM(O569:Q569)</f>
        <v>48</v>
      </c>
      <c r="S569" s="23">
        <v>12</v>
      </c>
      <c r="T569" s="20" t="s">
        <v>808</v>
      </c>
    </row>
    <row r="570" spans="1:20" ht="22.5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>SUM(O570:Q570)</f>
        <v>16</v>
      </c>
      <c r="S570" s="21">
        <v>20</v>
      </c>
      <c r="T570" s="19" t="s">
        <v>1358</v>
      </c>
    </row>
    <row r="571" spans="1:20" ht="22.5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>SUM(O571:Q571)</f>
        <v>170</v>
      </c>
      <c r="S571" s="23">
        <v>2</v>
      </c>
      <c r="T571" s="19" t="s">
        <v>1763</v>
      </c>
    </row>
    <row r="572" spans="1:20" ht="22.5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>SUM(O572:Q572)</f>
        <v>80</v>
      </c>
      <c r="S572" s="21">
        <v>1</v>
      </c>
      <c r="T572" s="19"/>
    </row>
    <row r="573" spans="1:20" ht="22.5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>SUM(O573:Q573)</f>
        <v>176</v>
      </c>
      <c r="S573" s="23">
        <v>4</v>
      </c>
      <c r="T573" s="20" t="s">
        <v>365</v>
      </c>
    </row>
    <row r="574" spans="1:20" ht="22.5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>SUM(O574:Q574)</f>
        <v>0</v>
      </c>
      <c r="S574" s="21"/>
      <c r="T574" s="19" t="s">
        <v>741</v>
      </c>
    </row>
    <row r="575" spans="1:20" ht="22.5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>SUM(O575:Q575)</f>
        <v>44</v>
      </c>
      <c r="S575" s="23">
        <v>20</v>
      </c>
      <c r="T575" s="20" t="s">
        <v>61</v>
      </c>
    </row>
    <row r="576" spans="1:20" ht="22.5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>SUM(O576:Q576)</f>
        <v>41</v>
      </c>
      <c r="S576" s="21">
        <v>12</v>
      </c>
      <c r="T576" s="19" t="s">
        <v>1632</v>
      </c>
    </row>
    <row r="577" spans="1:20" ht="22.5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>SUM(O577:Q577)</f>
        <v>170</v>
      </c>
      <c r="S577" s="23">
        <v>2</v>
      </c>
      <c r="T577" s="20" t="s">
        <v>1780</v>
      </c>
    </row>
    <row r="578" spans="1:20" ht="22.5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>SUM(O578:Q578)</f>
        <v>40</v>
      </c>
      <c r="S578" s="21">
        <v>3</v>
      </c>
      <c r="T578" s="42" t="s">
        <v>1784</v>
      </c>
    </row>
    <row r="579" spans="1:20" ht="22.5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>SUM(O579:Q579)</f>
        <v>40</v>
      </c>
      <c r="S579" s="23">
        <v>3</v>
      </c>
      <c r="T579" s="43" t="s">
        <v>1784</v>
      </c>
    </row>
    <row r="580" spans="1:20" ht="22.5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>SUM(O580:Q580)</f>
        <v>18</v>
      </c>
      <c r="S580" s="21">
        <v>12</v>
      </c>
      <c r="T580" s="19" t="s">
        <v>1790</v>
      </c>
    </row>
    <row r="581" spans="1:20" ht="22.5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>SUM(O581:Q581)</f>
        <v>18</v>
      </c>
      <c r="S581" s="23">
        <v>12</v>
      </c>
      <c r="T581" s="20" t="s">
        <v>1590</v>
      </c>
    </row>
    <row r="582" spans="1:20" ht="22.5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>SUM(O582:Q582)</f>
        <v>38</v>
      </c>
      <c r="S582" s="21">
        <v>16</v>
      </c>
      <c r="T582" s="19" t="s">
        <v>741</v>
      </c>
    </row>
    <row r="583" spans="1:20" ht="22.5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>SUM(O583:Q583)</f>
        <v>15</v>
      </c>
      <c r="S583" s="23">
        <v>12</v>
      </c>
      <c r="T583" s="20" t="s">
        <v>1333</v>
      </c>
    </row>
    <row r="584" spans="1:20" ht="22.5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>SUM(O584:Q584)</f>
        <v>31</v>
      </c>
      <c r="S584" s="21">
        <v>12</v>
      </c>
      <c r="T584" s="19" t="s">
        <v>1632</v>
      </c>
    </row>
    <row r="585" spans="1:20" ht="22.5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>SUM(O585:Q585)</f>
        <v>29</v>
      </c>
      <c r="S585" s="23">
        <v>25</v>
      </c>
      <c r="T585" s="20" t="s">
        <v>57</v>
      </c>
    </row>
    <row r="586" spans="1:20" ht="22.5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>SUM(O586:Q586)</f>
        <v>30</v>
      </c>
      <c r="S586" s="21">
        <v>3</v>
      </c>
      <c r="T586" s="222" t="s">
        <v>1549</v>
      </c>
    </row>
    <row r="587" spans="1:20" ht="22.5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>SUM(O587:Q587)</f>
        <v>14</v>
      </c>
      <c r="S587" s="23">
        <v>20</v>
      </c>
      <c r="T587" s="223" t="s">
        <v>1358</v>
      </c>
    </row>
    <row r="588" spans="1:20" ht="22.5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>SUM(O588:Q588)</f>
        <v>27</v>
      </c>
      <c r="S588" s="21">
        <v>8</v>
      </c>
      <c r="T588" s="222" t="s">
        <v>1812</v>
      </c>
    </row>
    <row r="589" spans="1:20" ht="22.5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>SUM(O589:Q589)</f>
        <v>14</v>
      </c>
      <c r="S589" s="23">
        <v>8</v>
      </c>
      <c r="T589" s="223" t="s">
        <v>167</v>
      </c>
    </row>
    <row r="590" spans="1:20" ht="22.5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>SUM(O590:Q590)</f>
        <v>33</v>
      </c>
      <c r="S590" s="21">
        <v>15</v>
      </c>
      <c r="T590" s="19" t="s">
        <v>1819</v>
      </c>
    </row>
    <row r="591" spans="1:20" ht="22.5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>SUM(O591:Q591)</f>
        <v>42</v>
      </c>
      <c r="S591" s="23">
        <v>20</v>
      </c>
      <c r="T591" s="20" t="s">
        <v>324</v>
      </c>
    </row>
    <row r="592" spans="1:20" ht="22.5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>SUM(O592:Q592)</f>
        <v>22</v>
      </c>
      <c r="S592" s="21">
        <v>8</v>
      </c>
      <c r="T592" s="19" t="s">
        <v>1826</v>
      </c>
    </row>
    <row r="593" spans="1:20" ht="22.5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>SUM(O593:Q593)</f>
        <v>9</v>
      </c>
      <c r="S593" s="23">
        <v>16</v>
      </c>
      <c r="T593" s="20" t="s">
        <v>1830</v>
      </c>
    </row>
    <row r="594" spans="1:20" ht="22.5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>SUM(O594:Q594)</f>
        <v>20</v>
      </c>
      <c r="S594" s="21">
        <v>4</v>
      </c>
      <c r="T594" s="19" t="s">
        <v>1834</v>
      </c>
    </row>
    <row r="595" spans="1:20" ht="22.5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>SUM(O595:Q595)</f>
        <v>25</v>
      </c>
      <c r="S595" s="23">
        <v>5</v>
      </c>
      <c r="T595" s="20" t="s">
        <v>784</v>
      </c>
    </row>
    <row r="596" spans="1:20" ht="22.5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>SUM(O596:Q596)</f>
        <v>24</v>
      </c>
      <c r="S596" s="69">
        <v>4</v>
      </c>
      <c r="T596" s="78" t="s">
        <v>1840</v>
      </c>
    </row>
    <row r="597" spans="1:20" ht="22.5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>SUM(O597:Q597)</f>
        <v>46</v>
      </c>
      <c r="S597" s="23">
        <v>12</v>
      </c>
      <c r="T597" s="20" t="s">
        <v>1125</v>
      </c>
    </row>
    <row r="598" spans="1:20" ht="22.5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>SUM(O598:Q598)</f>
        <v>37</v>
      </c>
      <c r="S598" s="69">
        <v>12</v>
      </c>
      <c r="T598" s="66" t="s">
        <v>1847</v>
      </c>
    </row>
    <row r="599" spans="1:20" ht="22.5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>SUM(O599:Q599)</f>
        <v>24</v>
      </c>
      <c r="S599" s="63">
        <v>20</v>
      </c>
      <c r="T599" s="104" t="s">
        <v>1851</v>
      </c>
    </row>
    <row r="600" spans="1:20" ht="22.5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0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>SUM(O600:Q600)</f>
        <v>30</v>
      </c>
      <c r="S600" s="69">
        <v>16</v>
      </c>
      <c r="T600" s="66" t="s">
        <v>1855</v>
      </c>
    </row>
    <row r="601" spans="1:20" ht="22.5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>SUM(O601:Q601)</f>
        <v>21</v>
      </c>
      <c r="S601" s="63">
        <v>8</v>
      </c>
      <c r="T601" s="44" t="s">
        <v>1826</v>
      </c>
    </row>
    <row r="602" spans="1:20" ht="22.5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>SUM(O602:Q602)</f>
        <v>27</v>
      </c>
      <c r="S602" s="21">
        <v>8</v>
      </c>
      <c r="T602" s="19" t="s">
        <v>1523</v>
      </c>
    </row>
    <row r="603" spans="1:20" ht="22.5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>SUM(O603:Q603)</f>
        <v>26</v>
      </c>
      <c r="S603" s="23">
        <v>36</v>
      </c>
      <c r="T603" s="20" t="s">
        <v>441</v>
      </c>
    </row>
    <row r="604" spans="1:20" ht="22.5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>SUM(O604:Q604)</f>
        <v>28</v>
      </c>
      <c r="S604" s="21">
        <v>40</v>
      </c>
      <c r="T604" s="19" t="s">
        <v>1867</v>
      </c>
    </row>
    <row r="605" spans="1:20" ht="22.5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>SUM(O605:Q605)</f>
        <v>20</v>
      </c>
      <c r="S605" s="23">
        <v>4</v>
      </c>
      <c r="T605" s="20" t="s">
        <v>1870</v>
      </c>
    </row>
    <row r="606" spans="1:20" ht="22.5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>SUM(O606:Q606)</f>
        <v>170</v>
      </c>
      <c r="S606" s="21">
        <v>2</v>
      </c>
      <c r="T606" s="53" t="s">
        <v>1874</v>
      </c>
    </row>
    <row r="607" spans="1:20" ht="22.5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>SUM(O607:Q607)</f>
        <v>170</v>
      </c>
      <c r="S607" s="23">
        <v>2</v>
      </c>
      <c r="T607" s="45" t="s">
        <v>1876</v>
      </c>
    </row>
    <row r="608" spans="1:20" ht="22.5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>SUM(O608:Q608)</f>
        <v>19</v>
      </c>
      <c r="S608" s="21">
        <v>20</v>
      </c>
      <c r="T608" s="19" t="s">
        <v>611</v>
      </c>
    </row>
    <row r="609" spans="1:20" ht="22.5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>SUM(O609:Q609)</f>
        <v>19</v>
      </c>
      <c r="S609" s="23">
        <v>12</v>
      </c>
      <c r="T609" s="20" t="s">
        <v>1883</v>
      </c>
    </row>
    <row r="610" spans="1:20" ht="22.5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>SUM(O610:Q610)</f>
        <v>31</v>
      </c>
      <c r="S610" s="21">
        <v>3</v>
      </c>
      <c r="T610" s="19" t="s">
        <v>1549</v>
      </c>
    </row>
    <row r="611" spans="1:20" ht="22.5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>SUM(O611:Q611)</f>
        <v>15</v>
      </c>
      <c r="S611" s="23">
        <v>16</v>
      </c>
      <c r="T611" s="223" t="s">
        <v>1889</v>
      </c>
    </row>
    <row r="612" spans="1:20" ht="22.5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>SUM(O612:Q612)</f>
        <v>100</v>
      </c>
      <c r="S612" s="21">
        <v>1.5</v>
      </c>
      <c r="T612" s="19" t="s">
        <v>1893</v>
      </c>
    </row>
    <row r="613" spans="1:20" ht="22.5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>SUM(O613:Q613)</f>
        <v>114</v>
      </c>
      <c r="S613" s="23">
        <v>3</v>
      </c>
      <c r="T613" s="45" t="s">
        <v>1895</v>
      </c>
    </row>
    <row r="614" spans="1:20" ht="22.5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>SUM(O614:Q614)</f>
        <v>491</v>
      </c>
      <c r="S614" s="21">
        <v>8</v>
      </c>
      <c r="T614" s="19" t="s">
        <v>365</v>
      </c>
    </row>
    <row r="615" spans="1:20" ht="22.5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>SUM(O615:Q615)</f>
        <v>27</v>
      </c>
      <c r="S615" s="23">
        <v>8</v>
      </c>
      <c r="T615" s="20" t="s">
        <v>1125</v>
      </c>
    </row>
    <row r="616" spans="1:20" ht="22.5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>SUM(O616:Q616)</f>
        <v>63</v>
      </c>
      <c r="S616" s="21">
        <v>16</v>
      </c>
      <c r="T616" s="102" t="s">
        <v>1855</v>
      </c>
    </row>
    <row r="617" spans="1:20" ht="22.5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>SUM(O617:Q617)</f>
        <v>42</v>
      </c>
      <c r="S617" s="23">
        <v>4</v>
      </c>
      <c r="T617" s="20" t="s">
        <v>1907</v>
      </c>
    </row>
    <row r="618" spans="1:20" ht="22.5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>SUM(O618:Q618)</f>
        <v>27</v>
      </c>
      <c r="S618" s="21">
        <v>4</v>
      </c>
      <c r="T618" s="102" t="s">
        <v>1911</v>
      </c>
    </row>
    <row r="619" spans="1:20" ht="22.5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>SUM(O619:Q619)</f>
        <v>40</v>
      </c>
      <c r="S619" s="23">
        <v>4</v>
      </c>
      <c r="T619" s="20" t="s">
        <v>1477</v>
      </c>
    </row>
    <row r="620" spans="1:20" ht="22.5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>SUM(O620:Q620)</f>
        <v>47</v>
      </c>
      <c r="S620" s="21">
        <v>12</v>
      </c>
      <c r="T620" s="19" t="s">
        <v>1590</v>
      </c>
    </row>
    <row r="621" spans="1:20" ht="22.5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>SUM(O621:Q621)</f>
        <v>23</v>
      </c>
      <c r="S621" s="23">
        <v>4</v>
      </c>
      <c r="T621" s="45" t="s">
        <v>1920</v>
      </c>
    </row>
    <row r="622" spans="1:20" ht="22.5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>SUM(O622:Q622)</f>
        <v>21</v>
      </c>
      <c r="S622" s="21">
        <v>8</v>
      </c>
      <c r="T622" s="19" t="s">
        <v>1812</v>
      </c>
    </row>
    <row r="623" spans="1:20" ht="22.5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>SUM(O623:Q623)</f>
        <v>26</v>
      </c>
      <c r="S623" s="23">
        <v>6</v>
      </c>
      <c r="T623" s="20" t="s">
        <v>1926</v>
      </c>
    </row>
    <row r="624" spans="1:20" ht="22.5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>SUM(O624:Q624)</f>
        <v>88</v>
      </c>
      <c r="S624" s="21">
        <v>3</v>
      </c>
      <c r="T624" s="42" t="s">
        <v>1784</v>
      </c>
    </row>
    <row r="625" spans="1:20" ht="22.5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>SUM(O625:Q625)</f>
        <v>33</v>
      </c>
      <c r="S625" s="23">
        <v>4</v>
      </c>
      <c r="T625" s="45" t="s">
        <v>1840</v>
      </c>
    </row>
    <row r="626" spans="1:20" ht="22.5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>SUM(O626:Q626)</f>
        <v>128</v>
      </c>
      <c r="S626" s="21">
        <v>3</v>
      </c>
      <c r="T626" s="42" t="s">
        <v>1784</v>
      </c>
    </row>
    <row r="627" spans="1:20" ht="22.5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2011</v>
      </c>
      <c r="D627" s="23" t="s">
        <v>2012</v>
      </c>
      <c r="E627" s="29" t="s">
        <v>1657</v>
      </c>
      <c r="F627" s="30" t="s">
        <v>22</v>
      </c>
      <c r="G627" s="20" t="s">
        <v>30</v>
      </c>
      <c r="H627" s="37" t="s">
        <v>2013</v>
      </c>
      <c r="I627" s="38">
        <v>45915</v>
      </c>
      <c r="J627" s="38">
        <v>46280</v>
      </c>
      <c r="K627" s="23" t="s">
        <v>25</v>
      </c>
      <c r="L627" s="25"/>
      <c r="M627" s="86"/>
      <c r="N627" s="39"/>
      <c r="O627" s="24">
        <v>0</v>
      </c>
      <c r="P627" s="24">
        <v>0</v>
      </c>
      <c r="Q627" s="24">
        <v>0</v>
      </c>
      <c r="R627" s="24">
        <f>SUM(O627:Q627)</f>
        <v>0</v>
      </c>
      <c r="S627" s="23"/>
      <c r="T627" s="20" t="s">
        <v>365</v>
      </c>
    </row>
    <row r="628" spans="1:20" ht="22.5" customHeight="1" x14ac:dyDescent="0.25">
      <c r="A628" s="19" t="str">
        <f>IF(B628="","",B628&amp;"-"&amp;TEXT(COUNTIF(B$2:B628,B628),"000"))</f>
        <v>2025-092</v>
      </c>
      <c r="B628" s="23">
        <v>2025</v>
      </c>
      <c r="C628" s="91" t="s">
        <v>20</v>
      </c>
      <c r="D628" s="23" t="s">
        <v>1932</v>
      </c>
      <c r="E628" s="29" t="s">
        <v>1933</v>
      </c>
      <c r="F628" s="83" t="s">
        <v>22</v>
      </c>
      <c r="G628" s="45" t="s">
        <v>157</v>
      </c>
      <c r="H628" s="37" t="s">
        <v>1934</v>
      </c>
      <c r="I628" s="38">
        <v>45916</v>
      </c>
      <c r="J628" s="38">
        <v>45916</v>
      </c>
      <c r="K628" s="23" t="s">
        <v>32</v>
      </c>
      <c r="L628" s="25"/>
      <c r="M628" s="86">
        <v>4.9000000000000004</v>
      </c>
      <c r="N628" s="39">
        <v>80</v>
      </c>
      <c r="O628" s="24">
        <v>80</v>
      </c>
      <c r="P628" s="24">
        <v>0</v>
      </c>
      <c r="Q628" s="24">
        <v>0</v>
      </c>
      <c r="R628" s="24">
        <f>SUM(O628:Q628)</f>
        <v>80</v>
      </c>
      <c r="S628" s="23">
        <v>2</v>
      </c>
      <c r="T628" s="20"/>
    </row>
    <row r="629" spans="1:20" ht="22.5" customHeight="1" x14ac:dyDescent="0.25">
      <c r="A629" s="20" t="str">
        <f>IF(B629="","",B629&amp;"-"&amp;TEXT(COUNTIF(B$2:B629,B629),"000"))</f>
        <v>2025-093</v>
      </c>
      <c r="B629" s="21">
        <v>2025</v>
      </c>
      <c r="C629" s="89" t="s">
        <v>20</v>
      </c>
      <c r="D629" s="21" t="s">
        <v>1935</v>
      </c>
      <c r="E629" s="26" t="s">
        <v>1936</v>
      </c>
      <c r="F629" s="28" t="s">
        <v>22</v>
      </c>
      <c r="G629" s="19" t="s">
        <v>34</v>
      </c>
      <c r="H629" s="35" t="s">
        <v>1937</v>
      </c>
      <c r="I629" s="36">
        <v>45922</v>
      </c>
      <c r="J629" s="36">
        <v>45926</v>
      </c>
      <c r="K629" s="21" t="s">
        <v>25</v>
      </c>
      <c r="L629" s="27">
        <v>18925</v>
      </c>
      <c r="M629" s="85">
        <v>4.9000000000000004</v>
      </c>
      <c r="N629" s="40">
        <v>20</v>
      </c>
      <c r="O629" s="22">
        <v>18</v>
      </c>
      <c r="P629" s="22">
        <v>5</v>
      </c>
      <c r="Q629" s="22">
        <v>0</v>
      </c>
      <c r="R629" s="22">
        <f>SUM(O629:Q629)</f>
        <v>23</v>
      </c>
      <c r="S629" s="21" t="s">
        <v>1938</v>
      </c>
      <c r="T629" s="19" t="s">
        <v>1939</v>
      </c>
    </row>
    <row r="630" spans="1:20" ht="22.5" customHeight="1" x14ac:dyDescent="0.25">
      <c r="A630" s="19" t="str">
        <f>IF(B630="","",B630&amp;"-"&amp;TEXT(COUNTIF(B$2:B630,B630),"000"))</f>
        <v>2025-094</v>
      </c>
      <c r="B630" s="23">
        <v>2025</v>
      </c>
      <c r="C630" s="91" t="s">
        <v>20</v>
      </c>
      <c r="D630" s="23" t="s">
        <v>1940</v>
      </c>
      <c r="E630" s="29" t="s">
        <v>1941</v>
      </c>
      <c r="F630" s="30" t="s">
        <v>51</v>
      </c>
      <c r="G630" s="20" t="s">
        <v>59</v>
      </c>
      <c r="H630" s="37" t="s">
        <v>1942</v>
      </c>
      <c r="I630" s="38">
        <v>45924</v>
      </c>
      <c r="J630" s="38">
        <v>45931</v>
      </c>
      <c r="K630" s="23" t="s">
        <v>32</v>
      </c>
      <c r="L630" s="25">
        <v>0</v>
      </c>
      <c r="M630" s="86">
        <v>4.4000000000000004</v>
      </c>
      <c r="N630" s="39">
        <v>40</v>
      </c>
      <c r="O630" s="24">
        <v>0</v>
      </c>
      <c r="P630" s="24">
        <v>49</v>
      </c>
      <c r="Q630" s="24">
        <v>0</v>
      </c>
      <c r="R630" s="24">
        <f>SUM(O630:Q630)</f>
        <v>49</v>
      </c>
      <c r="S630" s="23">
        <v>16</v>
      </c>
      <c r="T630" s="20" t="s">
        <v>1943</v>
      </c>
    </row>
    <row r="631" spans="1:20" ht="22.5" customHeight="1" x14ac:dyDescent="0.25">
      <c r="A631" s="20" t="str">
        <f>IF(B631="","",B631&amp;"-"&amp;TEXT(COUNTIF(B$2:B631,B631),"000"))</f>
        <v>2025-095</v>
      </c>
      <c r="B631" s="21">
        <v>2025</v>
      </c>
      <c r="C631" s="91" t="s">
        <v>20</v>
      </c>
      <c r="D631" s="21" t="s">
        <v>1944</v>
      </c>
      <c r="E631" s="26" t="s">
        <v>1945</v>
      </c>
      <c r="F631" s="28" t="s">
        <v>66</v>
      </c>
      <c r="G631" s="19" t="s">
        <v>59</v>
      </c>
      <c r="H631" s="35" t="s">
        <v>1946</v>
      </c>
      <c r="I631" s="36">
        <v>45925</v>
      </c>
      <c r="J631" s="36">
        <v>45926</v>
      </c>
      <c r="K631" s="21" t="s">
        <v>174</v>
      </c>
      <c r="L631" s="27"/>
      <c r="M631" s="85">
        <v>4.9000000000000004</v>
      </c>
      <c r="N631" s="40">
        <v>170</v>
      </c>
      <c r="O631" s="22">
        <v>43</v>
      </c>
      <c r="P631" s="22">
        <v>139</v>
      </c>
      <c r="Q631" s="22">
        <v>46</v>
      </c>
      <c r="R631" s="22">
        <f>SUM(O631:Q631)</f>
        <v>228</v>
      </c>
      <c r="S631" s="21">
        <v>14</v>
      </c>
      <c r="T631" s="19" t="s">
        <v>365</v>
      </c>
    </row>
    <row r="632" spans="1:20" ht="22.5" customHeight="1" x14ac:dyDescent="0.25">
      <c r="A632" s="19" t="str">
        <f>IF(B632="","",B632&amp;"-"&amp;TEXT(COUNTIF(B$2:B632,B632),"000"))</f>
        <v>2025-096</v>
      </c>
      <c r="B632" s="23">
        <v>2025</v>
      </c>
      <c r="C632" s="91" t="s">
        <v>20</v>
      </c>
      <c r="D632" s="23" t="s">
        <v>1858</v>
      </c>
      <c r="E632" s="29" t="s">
        <v>1947</v>
      </c>
      <c r="F632" s="30" t="s">
        <v>22</v>
      </c>
      <c r="G632" s="45" t="s">
        <v>56</v>
      </c>
      <c r="H632" s="37" t="s">
        <v>1948</v>
      </c>
      <c r="I632" s="38">
        <v>45932</v>
      </c>
      <c r="J632" s="38">
        <v>45933</v>
      </c>
      <c r="K632" s="23" t="s">
        <v>32</v>
      </c>
      <c r="L632" s="25"/>
      <c r="M632" s="86">
        <v>4.8499999999999996</v>
      </c>
      <c r="N632" s="39">
        <v>20</v>
      </c>
      <c r="O632" s="24">
        <v>6</v>
      </c>
      <c r="P632" s="24">
        <v>22</v>
      </c>
      <c r="Q632" s="24">
        <v>0</v>
      </c>
      <c r="R632" s="24">
        <f>SUM(O632:Q632)</f>
        <v>28</v>
      </c>
      <c r="S632" s="23">
        <v>8</v>
      </c>
      <c r="T632" s="20" t="s">
        <v>1523</v>
      </c>
    </row>
    <row r="633" spans="1:20" ht="22.5" customHeight="1" x14ac:dyDescent="0.25">
      <c r="A633" s="20" t="str">
        <f>IF(B633="","",B633&amp;"-"&amp;TEXT(COUNTIF(B$2:B633,B633),"000"))</f>
        <v>2025-097</v>
      </c>
      <c r="B633" s="21">
        <v>2025</v>
      </c>
      <c r="C633" s="89" t="s">
        <v>20</v>
      </c>
      <c r="D633" s="21" t="s">
        <v>1949</v>
      </c>
      <c r="E633" s="81" t="s">
        <v>1950</v>
      </c>
      <c r="F633" s="28" t="s">
        <v>22</v>
      </c>
      <c r="G633" s="19" t="s">
        <v>34</v>
      </c>
      <c r="H633" s="76" t="s">
        <v>1951</v>
      </c>
      <c r="I633" s="36">
        <v>45932</v>
      </c>
      <c r="J633" s="36">
        <v>45947</v>
      </c>
      <c r="K633" s="21" t="s">
        <v>32</v>
      </c>
      <c r="L633" s="27">
        <v>0</v>
      </c>
      <c r="M633" s="85"/>
      <c r="N633" s="40">
        <v>20</v>
      </c>
      <c r="O633" s="22">
        <v>16</v>
      </c>
      <c r="P633" s="22">
        <v>0</v>
      </c>
      <c r="Q633" s="22">
        <v>0</v>
      </c>
      <c r="R633" s="22">
        <f>SUM(O633:Q633)</f>
        <v>16</v>
      </c>
      <c r="S633" s="21">
        <v>48</v>
      </c>
      <c r="T633" s="53" t="s">
        <v>1952</v>
      </c>
    </row>
    <row r="634" spans="1:20" ht="22.5" customHeight="1" x14ac:dyDescent="0.25">
      <c r="A634" s="19" t="str">
        <f>IF(B634="","",B634&amp;"-"&amp;TEXT(COUNTIF(B$2:B634,B634),"000"))</f>
        <v>2025-098</v>
      </c>
      <c r="B634" s="23">
        <v>2025</v>
      </c>
      <c r="C634" s="89" t="s">
        <v>20</v>
      </c>
      <c r="D634" s="23" t="s">
        <v>1953</v>
      </c>
      <c r="E634" s="29" t="s">
        <v>1954</v>
      </c>
      <c r="F634" s="30" t="s">
        <v>51</v>
      </c>
      <c r="G634" s="20" t="s">
        <v>59</v>
      </c>
      <c r="H634" s="37" t="s">
        <v>1955</v>
      </c>
      <c r="I634" s="38">
        <v>45932</v>
      </c>
      <c r="J634" s="38">
        <v>45936</v>
      </c>
      <c r="K634" s="23" t="s">
        <v>32</v>
      </c>
      <c r="L634" s="25"/>
      <c r="M634" s="86">
        <v>4.5999999999999996</v>
      </c>
      <c r="N634" s="39">
        <v>30</v>
      </c>
      <c r="O634" s="24">
        <v>0</v>
      </c>
      <c r="P634" s="24">
        <v>40</v>
      </c>
      <c r="Q634" s="24">
        <v>0</v>
      </c>
      <c r="R634" s="24">
        <f>SUM(O634:Q634)</f>
        <v>40</v>
      </c>
      <c r="S634" s="23">
        <v>12</v>
      </c>
      <c r="T634" s="20" t="s">
        <v>1847</v>
      </c>
    </row>
    <row r="635" spans="1:20" ht="22.5" customHeight="1" x14ac:dyDescent="0.25">
      <c r="A635" s="20" t="str">
        <f>IF(B635="","",B635&amp;"-"&amp;TEXT(COUNTIF(B$2:B635,B635),"000"))</f>
        <v>2025-099</v>
      </c>
      <c r="B635" s="21">
        <v>2025</v>
      </c>
      <c r="C635" s="91" t="s">
        <v>20</v>
      </c>
      <c r="D635" s="21" t="s">
        <v>1956</v>
      </c>
      <c r="E635" s="26" t="s">
        <v>1957</v>
      </c>
      <c r="F635" s="82" t="s">
        <v>22</v>
      </c>
      <c r="G635" s="53" t="s">
        <v>157</v>
      </c>
      <c r="H635" s="35" t="s">
        <v>1958</v>
      </c>
      <c r="I635" s="36">
        <v>45933</v>
      </c>
      <c r="J635" s="36">
        <v>45933</v>
      </c>
      <c r="K635" s="21" t="s">
        <v>25</v>
      </c>
      <c r="L635" s="27">
        <v>0</v>
      </c>
      <c r="M635" s="85">
        <v>4.76</v>
      </c>
      <c r="N635" s="40">
        <v>80</v>
      </c>
      <c r="O635" s="22">
        <v>80</v>
      </c>
      <c r="P635" s="22">
        <v>0</v>
      </c>
      <c r="Q635" s="22">
        <v>0</v>
      </c>
      <c r="R635" s="22">
        <f>SUM(O635:Q635)</f>
        <v>80</v>
      </c>
      <c r="S635" s="21">
        <v>4</v>
      </c>
      <c r="T635" s="222"/>
    </row>
    <row r="636" spans="1:20" ht="22.5" customHeight="1" x14ac:dyDescent="0.25">
      <c r="A636" s="19" t="str">
        <f>IF(B636="","",B636&amp;"-"&amp;TEXT(COUNTIF(B$2:B636,B636),"000"))</f>
        <v>2025-100</v>
      </c>
      <c r="B636" s="23">
        <v>2025</v>
      </c>
      <c r="C636" s="91" t="s">
        <v>20</v>
      </c>
      <c r="D636" s="23" t="s">
        <v>1746</v>
      </c>
      <c r="E636" s="29" t="s">
        <v>1959</v>
      </c>
      <c r="F636" s="30" t="s">
        <v>51</v>
      </c>
      <c r="G636" s="20" t="s">
        <v>30</v>
      </c>
      <c r="H636" s="37" t="s">
        <v>1960</v>
      </c>
      <c r="I636" s="38">
        <v>45936</v>
      </c>
      <c r="J636" s="38">
        <v>45936</v>
      </c>
      <c r="K636" s="23" t="s">
        <v>25</v>
      </c>
      <c r="L636" s="25">
        <v>0</v>
      </c>
      <c r="M636" s="86">
        <v>4.9000000000000004</v>
      </c>
      <c r="N636" s="39">
        <v>150</v>
      </c>
      <c r="O636" s="24">
        <v>20</v>
      </c>
      <c r="P636" s="24">
        <v>50</v>
      </c>
      <c r="Q636" s="24">
        <v>0</v>
      </c>
      <c r="R636" s="24">
        <f>SUM(O636:Q636)</f>
        <v>70</v>
      </c>
      <c r="S636" s="23">
        <v>1</v>
      </c>
      <c r="T636" s="103" t="s">
        <v>1749</v>
      </c>
    </row>
    <row r="637" spans="1:20" ht="22.5" customHeight="1" x14ac:dyDescent="0.25">
      <c r="A637" s="20" t="str">
        <f>IF(B637="","",B637&amp;"-"&amp;TEXT(COUNTIF(B$2:B637,B637),"000"))</f>
        <v>2025-101</v>
      </c>
      <c r="B637" s="21">
        <v>2025</v>
      </c>
      <c r="C637" s="89" t="s">
        <v>20</v>
      </c>
      <c r="D637" s="21" t="s">
        <v>1961</v>
      </c>
      <c r="E637" s="81" t="s">
        <v>1962</v>
      </c>
      <c r="F637" s="28" t="s">
        <v>51</v>
      </c>
      <c r="G637" s="19" t="s">
        <v>59</v>
      </c>
      <c r="H637" s="220" t="s">
        <v>1963</v>
      </c>
      <c r="I637" s="36">
        <v>45938</v>
      </c>
      <c r="J637" s="36">
        <v>45940</v>
      </c>
      <c r="K637" s="21" t="s">
        <v>32</v>
      </c>
      <c r="L637" s="27"/>
      <c r="M637" s="85">
        <v>4.9000000000000004</v>
      </c>
      <c r="N637" s="40">
        <v>20</v>
      </c>
      <c r="O637" s="22">
        <v>0</v>
      </c>
      <c r="P637" s="22">
        <v>28</v>
      </c>
      <c r="Q637" s="22">
        <v>0</v>
      </c>
      <c r="R637" s="22">
        <f>SUM(O637:Q637)</f>
        <v>28</v>
      </c>
      <c r="S637" s="21">
        <v>12</v>
      </c>
      <c r="T637" s="19" t="s">
        <v>1964</v>
      </c>
    </row>
    <row r="638" spans="1:20" ht="22.5" customHeight="1" x14ac:dyDescent="0.25">
      <c r="A638" s="19" t="str">
        <f>IF(B638="","",B638&amp;"-"&amp;TEXT(COUNTIF(B$2:B638,B638),"000"))</f>
        <v>2025-102</v>
      </c>
      <c r="B638" s="23">
        <v>2025</v>
      </c>
      <c r="C638" s="89" t="s">
        <v>20</v>
      </c>
      <c r="D638" s="23" t="s">
        <v>1965</v>
      </c>
      <c r="E638" s="29" t="s">
        <v>1966</v>
      </c>
      <c r="F638" s="30" t="s">
        <v>66</v>
      </c>
      <c r="G638" s="20" t="s">
        <v>59</v>
      </c>
      <c r="H638" s="37" t="s">
        <v>1967</v>
      </c>
      <c r="I638" s="38">
        <v>45944</v>
      </c>
      <c r="J638" s="38">
        <v>45946</v>
      </c>
      <c r="K638" s="23" t="s">
        <v>32</v>
      </c>
      <c r="L638" s="25"/>
      <c r="M638" s="86">
        <v>4.8099999999999996</v>
      </c>
      <c r="N638" s="39">
        <v>20</v>
      </c>
      <c r="O638" s="24">
        <v>0</v>
      </c>
      <c r="P638" s="24">
        <v>0</v>
      </c>
      <c r="Q638" s="24">
        <v>30</v>
      </c>
      <c r="R638" s="24">
        <f>SUM(O638:Q638)</f>
        <v>30</v>
      </c>
      <c r="S638" s="23">
        <v>12</v>
      </c>
      <c r="T638" s="20" t="s">
        <v>1968</v>
      </c>
    </row>
    <row r="639" spans="1:20" ht="22.5" customHeight="1" x14ac:dyDescent="0.25">
      <c r="A639" s="20" t="str">
        <f>IF(B639="","",B639&amp;"-"&amp;TEXT(COUNTIF(B$2:B639,B639),"000"))</f>
        <v>2025-103</v>
      </c>
      <c r="B639" s="21">
        <v>2025</v>
      </c>
      <c r="C639" s="89" t="s">
        <v>20</v>
      </c>
      <c r="D639" s="21" t="s">
        <v>1969</v>
      </c>
      <c r="E639" s="26" t="s">
        <v>1970</v>
      </c>
      <c r="F639" s="28" t="s">
        <v>22</v>
      </c>
      <c r="G639" s="19" t="s">
        <v>30</v>
      </c>
      <c r="H639" s="35" t="s">
        <v>1971</v>
      </c>
      <c r="I639" s="36">
        <v>45950</v>
      </c>
      <c r="J639" s="36">
        <v>45954</v>
      </c>
      <c r="K639" s="21" t="s">
        <v>25</v>
      </c>
      <c r="L639" s="27">
        <v>18925</v>
      </c>
      <c r="M639" s="85">
        <v>4.9800000000000004</v>
      </c>
      <c r="N639" s="40">
        <v>20</v>
      </c>
      <c r="O639" s="22">
        <v>18</v>
      </c>
      <c r="P639" s="22">
        <v>3</v>
      </c>
      <c r="Q639" s="22">
        <v>0</v>
      </c>
      <c r="R639" s="22">
        <f>SUM(O639:Q639)</f>
        <v>21</v>
      </c>
      <c r="S639" s="21" t="s">
        <v>1938</v>
      </c>
      <c r="T639" s="19" t="s">
        <v>1939</v>
      </c>
    </row>
    <row r="640" spans="1:20" ht="22.5" customHeight="1" x14ac:dyDescent="0.25">
      <c r="A640" s="19" t="str">
        <f>IF(B640="","",B640&amp;"-"&amp;TEXT(COUNTIF(B$2:B640,B640),"000"))</f>
        <v>2025-104</v>
      </c>
      <c r="B640" s="23">
        <v>2025</v>
      </c>
      <c r="C640" s="89" t="s">
        <v>20</v>
      </c>
      <c r="D640" s="23" t="s">
        <v>1972</v>
      </c>
      <c r="E640" s="29" t="s">
        <v>1973</v>
      </c>
      <c r="F640" s="30" t="s">
        <v>66</v>
      </c>
      <c r="G640" s="45" t="s">
        <v>59</v>
      </c>
      <c r="H640" s="37" t="s">
        <v>1974</v>
      </c>
      <c r="I640" s="38">
        <v>45950</v>
      </c>
      <c r="J640" s="38">
        <v>45951</v>
      </c>
      <c r="K640" s="23" t="s">
        <v>174</v>
      </c>
      <c r="L640" s="25">
        <v>0</v>
      </c>
      <c r="M640" s="86">
        <v>4.9000000000000004</v>
      </c>
      <c r="N640" s="39">
        <v>170</v>
      </c>
      <c r="O640" s="24">
        <v>35</v>
      </c>
      <c r="P640" s="24">
        <v>104</v>
      </c>
      <c r="Q640" s="24">
        <v>40</v>
      </c>
      <c r="R640" s="24">
        <f>SUM(O640:Q640)</f>
        <v>179</v>
      </c>
      <c r="S640" s="23">
        <v>14</v>
      </c>
      <c r="T640" s="20" t="s">
        <v>365</v>
      </c>
    </row>
    <row r="641" spans="1:20" ht="22.5" customHeight="1" x14ac:dyDescent="0.25">
      <c r="A641" s="20" t="str">
        <f>IF(B641="","",B641&amp;"-"&amp;TEXT(COUNTIF(B$2:B641,B641),"000"))</f>
        <v>2025-105</v>
      </c>
      <c r="B641" s="21">
        <v>2025</v>
      </c>
      <c r="C641" s="91" t="s">
        <v>20</v>
      </c>
      <c r="D641" s="21" t="s">
        <v>1975</v>
      </c>
      <c r="E641" s="26" t="s">
        <v>1976</v>
      </c>
      <c r="F641" s="82" t="s">
        <v>22</v>
      </c>
      <c r="G641" s="53" t="s">
        <v>157</v>
      </c>
      <c r="H641" s="35" t="s">
        <v>1977</v>
      </c>
      <c r="I641" s="36">
        <v>45953</v>
      </c>
      <c r="J641" s="36">
        <v>45953</v>
      </c>
      <c r="K641" s="21" t="s">
        <v>32</v>
      </c>
      <c r="L641" s="27"/>
      <c r="M641" s="85"/>
      <c r="N641" s="40"/>
      <c r="O641" s="22">
        <v>0</v>
      </c>
      <c r="P641" s="22">
        <v>0</v>
      </c>
      <c r="Q641" s="22">
        <v>0</v>
      </c>
      <c r="R641" s="22">
        <f>SUM(O641:Q641)</f>
        <v>0</v>
      </c>
      <c r="S641" s="21">
        <v>2</v>
      </c>
      <c r="T641" s="19"/>
    </row>
    <row r="642" spans="1:20" ht="22.5" customHeight="1" x14ac:dyDescent="0.25">
      <c r="A642" s="19" t="str">
        <f>IF(B642="","",B642&amp;"-"&amp;TEXT(COUNTIF(B$2:B642,B642),"000"))</f>
        <v>2025-106</v>
      </c>
      <c r="B642" s="23">
        <v>2025</v>
      </c>
      <c r="C642" s="89" t="s">
        <v>20</v>
      </c>
      <c r="D642" s="23" t="s">
        <v>1978</v>
      </c>
      <c r="E642" s="29" t="s">
        <v>1836</v>
      </c>
      <c r="F642" s="30" t="s">
        <v>66</v>
      </c>
      <c r="G642" s="77" t="s">
        <v>59</v>
      </c>
      <c r="H642" s="75" t="s">
        <v>1979</v>
      </c>
      <c r="I642" s="38">
        <v>45954</v>
      </c>
      <c r="J642" s="38">
        <v>45989</v>
      </c>
      <c r="K642" s="23" t="s">
        <v>32</v>
      </c>
      <c r="L642" s="25"/>
      <c r="M642" s="86">
        <v>4.92</v>
      </c>
      <c r="N642" s="39">
        <v>25</v>
      </c>
      <c r="O642" s="24">
        <v>0</v>
      </c>
      <c r="P642" s="24">
        <v>0</v>
      </c>
      <c r="Q642" s="24">
        <v>25</v>
      </c>
      <c r="R642" s="24">
        <f>SUM(Tabela2[[#This Row],[P. Servidores]:[P. Sociedade]])</f>
        <v>25</v>
      </c>
      <c r="S642" s="23">
        <v>6</v>
      </c>
      <c r="T642" s="103" t="s">
        <v>1980</v>
      </c>
    </row>
    <row r="643" spans="1:20" ht="22.5" customHeight="1" x14ac:dyDescent="0.25">
      <c r="A643" s="20" t="str">
        <f>IF(B643="","",B643&amp;"-"&amp;TEXT(COUNTIF(B$2:B643,B643),"000"))</f>
        <v>2025-107</v>
      </c>
      <c r="B643" s="21">
        <v>2025</v>
      </c>
      <c r="C643" s="89" t="s">
        <v>20</v>
      </c>
      <c r="D643" s="21" t="s">
        <v>1981</v>
      </c>
      <c r="E643" s="26" t="s">
        <v>1714</v>
      </c>
      <c r="F643" s="28" t="s">
        <v>66</v>
      </c>
      <c r="G643" s="19" t="s">
        <v>59</v>
      </c>
      <c r="H643" s="35" t="s">
        <v>1982</v>
      </c>
      <c r="I643" s="36">
        <v>45964</v>
      </c>
      <c r="J643" s="36">
        <v>45968</v>
      </c>
      <c r="K643" s="21" t="s">
        <v>32</v>
      </c>
      <c r="L643" s="27"/>
      <c r="M643" s="85">
        <v>4.93</v>
      </c>
      <c r="N643" s="40">
        <v>30</v>
      </c>
      <c r="O643" s="22">
        <v>0</v>
      </c>
      <c r="P643" s="22">
        <v>0</v>
      </c>
      <c r="Q643" s="22">
        <v>33</v>
      </c>
      <c r="R643" s="22">
        <f>SUM(O643:Q643)</f>
        <v>33</v>
      </c>
      <c r="S643" s="21">
        <v>20</v>
      </c>
      <c r="T643" s="19" t="s">
        <v>1632</v>
      </c>
    </row>
    <row r="644" spans="1:20" ht="22.5" customHeight="1" x14ac:dyDescent="0.25">
      <c r="A644" s="19" t="str">
        <f>IF(B644="","",B644&amp;"-"&amp;TEXT(COUNTIF(B$2:B644,B644),"000"))</f>
        <v>2025-108</v>
      </c>
      <c r="B644" s="23">
        <v>2025</v>
      </c>
      <c r="C644" s="91" t="s">
        <v>20</v>
      </c>
      <c r="D644" s="23" t="s">
        <v>1781</v>
      </c>
      <c r="E644" s="29" t="s">
        <v>1983</v>
      </c>
      <c r="F644" s="30" t="s">
        <v>66</v>
      </c>
      <c r="G644" s="20" t="s">
        <v>59</v>
      </c>
      <c r="H644" s="37" t="s">
        <v>1984</v>
      </c>
      <c r="I644" s="38">
        <v>45967</v>
      </c>
      <c r="J644" s="38">
        <v>45967</v>
      </c>
      <c r="K644" s="23" t="s">
        <v>32</v>
      </c>
      <c r="L644" s="25"/>
      <c r="M644" s="86"/>
      <c r="N644" s="39">
        <v>39</v>
      </c>
      <c r="O644" s="24">
        <v>0</v>
      </c>
      <c r="P644" s="24">
        <v>0</v>
      </c>
      <c r="Q644" s="24">
        <v>39</v>
      </c>
      <c r="R644" s="24">
        <f>SUM(O644:Q644)</f>
        <v>39</v>
      </c>
      <c r="S644" s="23">
        <v>4</v>
      </c>
      <c r="T644" s="43" t="s">
        <v>1784</v>
      </c>
    </row>
    <row r="645" spans="1:20" ht="22.5" customHeight="1" x14ac:dyDescent="0.25">
      <c r="A645" s="20" t="str">
        <f>IF(B645="","",B645&amp;"-"&amp;TEXT(COUNTIF(B$2:B645,B645),"000"))</f>
        <v>2025-109</v>
      </c>
      <c r="B645" s="21">
        <v>2025</v>
      </c>
      <c r="C645" s="89" t="s">
        <v>20</v>
      </c>
      <c r="D645" s="21" t="s">
        <v>1985</v>
      </c>
      <c r="E645" s="26" t="s">
        <v>1927</v>
      </c>
      <c r="F645" s="28" t="s">
        <v>66</v>
      </c>
      <c r="G645" s="19" t="s">
        <v>59</v>
      </c>
      <c r="H645" s="35" t="s">
        <v>1984</v>
      </c>
      <c r="I645" s="36">
        <v>45967</v>
      </c>
      <c r="J645" s="36">
        <v>45967</v>
      </c>
      <c r="K645" s="21" t="s">
        <v>32</v>
      </c>
      <c r="L645" s="27">
        <f>2350.32+1971.21+1743.77+1169.53+730.8</f>
        <v>7965.630000000001</v>
      </c>
      <c r="M645" s="85"/>
      <c r="N645" s="40">
        <v>39</v>
      </c>
      <c r="O645" s="22">
        <v>0</v>
      </c>
      <c r="P645" s="22">
        <v>0</v>
      </c>
      <c r="Q645" s="22">
        <v>39</v>
      </c>
      <c r="R645" s="22">
        <f>SUM(O645:Q645)</f>
        <v>39</v>
      </c>
      <c r="S645" s="21">
        <v>4</v>
      </c>
      <c r="T645" s="42" t="s">
        <v>1986</v>
      </c>
    </row>
    <row r="646" spans="1:20" ht="22.5" customHeight="1" x14ac:dyDescent="0.25">
      <c r="A646" s="19" t="str">
        <f>IF(B646="","",B646&amp;"-"&amp;TEXT(COUNTIF(B$2:B646,B646),"000"))</f>
        <v>2025-110</v>
      </c>
      <c r="B646" s="23">
        <v>2025</v>
      </c>
      <c r="C646" s="91" t="s">
        <v>20</v>
      </c>
      <c r="D646" s="23" t="s">
        <v>1987</v>
      </c>
      <c r="E646" s="29" t="s">
        <v>1988</v>
      </c>
      <c r="F646" s="83" t="s">
        <v>22</v>
      </c>
      <c r="G646" s="45" t="s">
        <v>157</v>
      </c>
      <c r="H646" s="37" t="s">
        <v>1989</v>
      </c>
      <c r="I646" s="38">
        <v>45968</v>
      </c>
      <c r="J646" s="38">
        <v>45968</v>
      </c>
      <c r="K646" s="23" t="s">
        <v>32</v>
      </c>
      <c r="L646" s="25"/>
      <c r="M646" s="86">
        <v>5</v>
      </c>
      <c r="N646" s="39">
        <v>170</v>
      </c>
      <c r="O646" s="24">
        <v>170</v>
      </c>
      <c r="P646" s="24">
        <v>0</v>
      </c>
      <c r="Q646" s="24">
        <v>0</v>
      </c>
      <c r="R646" s="24">
        <f>SUM(O646:Q646)</f>
        <v>170</v>
      </c>
      <c r="S646" s="23">
        <v>2</v>
      </c>
      <c r="T646" s="45" t="s">
        <v>1968</v>
      </c>
    </row>
    <row r="647" spans="1:20" ht="22.5" customHeight="1" x14ac:dyDescent="0.25">
      <c r="A647" s="20" t="str">
        <f>IF(B647="","",B647&amp;"-"&amp;TEXT(COUNTIF(B$2:B647,B647),"000"))</f>
        <v>2025-111</v>
      </c>
      <c r="B647" s="21">
        <v>2025</v>
      </c>
      <c r="C647" s="91" t="s">
        <v>20</v>
      </c>
      <c r="D647" s="21" t="s">
        <v>1877</v>
      </c>
      <c r="E647" s="26" t="s">
        <v>1990</v>
      </c>
      <c r="F647" s="28" t="s">
        <v>22</v>
      </c>
      <c r="G647" s="53" t="s">
        <v>157</v>
      </c>
      <c r="H647" s="35" t="s">
        <v>1991</v>
      </c>
      <c r="I647" s="36">
        <v>45971</v>
      </c>
      <c r="J647" s="36">
        <v>45975</v>
      </c>
      <c r="K647" s="21" t="s">
        <v>25</v>
      </c>
      <c r="L647" s="27">
        <v>16000</v>
      </c>
      <c r="M647" s="85">
        <v>5</v>
      </c>
      <c r="N647" s="40">
        <v>20</v>
      </c>
      <c r="O647" s="22">
        <v>13</v>
      </c>
      <c r="P647" s="22">
        <v>0</v>
      </c>
      <c r="Q647" s="22">
        <v>0</v>
      </c>
      <c r="R647" s="22">
        <f>SUM(O647:Q647)</f>
        <v>13</v>
      </c>
      <c r="S647" s="21">
        <v>20</v>
      </c>
      <c r="T647" s="19" t="s">
        <v>611</v>
      </c>
    </row>
    <row r="648" spans="1:20" ht="22.5" customHeight="1" x14ac:dyDescent="0.25">
      <c r="A648" s="19" t="str">
        <f>IF(B648="","",B648&amp;"-"&amp;TEXT(COUNTIF(B$2:B648,B648),"000"))</f>
        <v>2025-112</v>
      </c>
      <c r="B648" s="23">
        <v>2025</v>
      </c>
      <c r="C648" s="89" t="s">
        <v>20</v>
      </c>
      <c r="D648" s="219" t="s">
        <v>1992</v>
      </c>
      <c r="E648" s="29" t="s">
        <v>1683</v>
      </c>
      <c r="F648" s="30" t="s">
        <v>51</v>
      </c>
      <c r="G648" s="20" t="s">
        <v>59</v>
      </c>
      <c r="H648" s="313" t="s">
        <v>1993</v>
      </c>
      <c r="I648" s="38">
        <v>45972</v>
      </c>
      <c r="J648" s="38">
        <v>45980</v>
      </c>
      <c r="K648" s="23" t="s">
        <v>32</v>
      </c>
      <c r="L648" s="25"/>
      <c r="M648" s="86">
        <v>4.76</v>
      </c>
      <c r="N648" s="39">
        <v>25</v>
      </c>
      <c r="O648" s="24">
        <v>0</v>
      </c>
      <c r="P648" s="24">
        <v>34</v>
      </c>
      <c r="Q648" s="24">
        <v>0</v>
      </c>
      <c r="R648" s="24">
        <f>SUM(O648:Q648)</f>
        <v>34</v>
      </c>
      <c r="S648" s="23">
        <v>20</v>
      </c>
      <c r="T648" s="20" t="s">
        <v>1527</v>
      </c>
    </row>
    <row r="649" spans="1:20" ht="22.5" customHeight="1" x14ac:dyDescent="0.25">
      <c r="A649" s="20" t="str">
        <f>IF(B649="","",B649&amp;"-"&amp;TEXT(COUNTIF(B$2:B649,B649),"000"))</f>
        <v>2025-113</v>
      </c>
      <c r="B649" s="21">
        <v>2025</v>
      </c>
      <c r="C649" s="89" t="s">
        <v>20</v>
      </c>
      <c r="D649" s="21" t="s">
        <v>1994</v>
      </c>
      <c r="E649" s="26" t="s">
        <v>1995</v>
      </c>
      <c r="F649" s="28" t="s">
        <v>51</v>
      </c>
      <c r="G649" s="19" t="s">
        <v>59</v>
      </c>
      <c r="H649" s="220" t="s">
        <v>1996</v>
      </c>
      <c r="I649" s="36">
        <v>45978</v>
      </c>
      <c r="J649" s="36">
        <v>45980</v>
      </c>
      <c r="K649" s="21" t="s">
        <v>32</v>
      </c>
      <c r="L649" s="27"/>
      <c r="M649" s="85">
        <v>4.8600000000000003</v>
      </c>
      <c r="N649" s="40">
        <v>30</v>
      </c>
      <c r="O649" s="22">
        <v>0</v>
      </c>
      <c r="P649" s="22">
        <v>45</v>
      </c>
      <c r="Q649" s="22">
        <v>0</v>
      </c>
      <c r="R649" s="22">
        <f>SUM(O649:Q649)</f>
        <v>45</v>
      </c>
      <c r="S649" s="21">
        <v>12</v>
      </c>
      <c r="T649" s="19" t="s">
        <v>1855</v>
      </c>
    </row>
    <row r="650" spans="1:20" ht="22.5" customHeight="1" x14ac:dyDescent="0.25">
      <c r="A650" s="19" t="str">
        <f>IF(B650="","",B650&amp;"-"&amp;TEXT(COUNTIF(B$2:B650,B650),"000"))</f>
        <v>2025-114</v>
      </c>
      <c r="B650" s="23">
        <v>2025</v>
      </c>
      <c r="C650" s="91" t="s">
        <v>20</v>
      </c>
      <c r="D650" s="23" t="s">
        <v>1997</v>
      </c>
      <c r="E650" s="29" t="s">
        <v>1998</v>
      </c>
      <c r="F650" s="30" t="s">
        <v>22</v>
      </c>
      <c r="G650" s="45" t="s">
        <v>157</v>
      </c>
      <c r="H650" s="37" t="s">
        <v>1999</v>
      </c>
      <c r="I650" s="38">
        <v>45978</v>
      </c>
      <c r="J650" s="38">
        <v>45979</v>
      </c>
      <c r="K650" s="23" t="s">
        <v>32</v>
      </c>
      <c r="L650" s="25"/>
      <c r="M650" s="86">
        <v>4.82</v>
      </c>
      <c r="N650" s="39"/>
      <c r="O650" s="24">
        <v>72</v>
      </c>
      <c r="P650" s="24">
        <v>0</v>
      </c>
      <c r="Q650" s="24">
        <v>0</v>
      </c>
      <c r="R650" s="24">
        <f>SUM(O650:Q650)</f>
        <v>72</v>
      </c>
      <c r="S650" s="23">
        <v>8</v>
      </c>
      <c r="T650" s="45" t="s">
        <v>2000</v>
      </c>
    </row>
    <row r="651" spans="1:20" ht="22.5" customHeight="1" x14ac:dyDescent="0.25">
      <c r="A651" s="20" t="str">
        <f>IF(B651="","",B651&amp;"-"&amp;TEXT(COUNTIF(B$2:B651,B651),"000"))</f>
        <v>2025-115</v>
      </c>
      <c r="B651" s="21">
        <v>2025</v>
      </c>
      <c r="C651" s="91" t="s">
        <v>20</v>
      </c>
      <c r="D651" s="21" t="s">
        <v>2001</v>
      </c>
      <c r="E651" s="81" t="s">
        <v>2002</v>
      </c>
      <c r="F651" s="28" t="s">
        <v>22</v>
      </c>
      <c r="G651" s="19" t="s">
        <v>34</v>
      </c>
      <c r="H651" s="35" t="s">
        <v>2003</v>
      </c>
      <c r="I651" s="36">
        <v>45985</v>
      </c>
      <c r="J651" s="36">
        <v>45987</v>
      </c>
      <c r="K651" s="21" t="s">
        <v>32</v>
      </c>
      <c r="L651" s="27"/>
      <c r="M651" s="85">
        <v>4.8</v>
      </c>
      <c r="N651" s="40">
        <v>20</v>
      </c>
      <c r="O651" s="22">
        <v>16</v>
      </c>
      <c r="P651" s="22">
        <v>0</v>
      </c>
      <c r="Q651" s="22">
        <v>0</v>
      </c>
      <c r="R651" s="22">
        <f>SUM(Tabela2[[#This Row],[P. Servidores]:[P. Sociedade]])</f>
        <v>16</v>
      </c>
      <c r="S651" s="21">
        <v>12</v>
      </c>
      <c r="T651" s="19" t="s">
        <v>2004</v>
      </c>
    </row>
    <row r="652" spans="1:20" ht="22.5" customHeight="1" x14ac:dyDescent="0.25">
      <c r="A652" s="19" t="str">
        <f>IF(B652="","",B652&amp;"-"&amp;TEXT(COUNTIF(B$2:B652,B652),"000"))</f>
        <v>2025-116</v>
      </c>
      <c r="B652" s="23">
        <v>2025</v>
      </c>
      <c r="C652" s="91" t="s">
        <v>20</v>
      </c>
      <c r="D652" s="23" t="s">
        <v>2005</v>
      </c>
      <c r="E652" s="29" t="s">
        <v>2006</v>
      </c>
      <c r="F652" s="30" t="s">
        <v>22</v>
      </c>
      <c r="G652" s="20" t="s">
        <v>23</v>
      </c>
      <c r="H652" s="75" t="s">
        <v>2007</v>
      </c>
      <c r="I652" s="38">
        <v>45985</v>
      </c>
      <c r="J652" s="38">
        <v>45989</v>
      </c>
      <c r="K652" s="23" t="s">
        <v>25</v>
      </c>
      <c r="L652" s="25">
        <v>6600</v>
      </c>
      <c r="M652" s="86">
        <v>4.8899999999999997</v>
      </c>
      <c r="N652" s="39">
        <v>30</v>
      </c>
      <c r="O652" s="24">
        <v>20</v>
      </c>
      <c r="P652" s="24">
        <v>0</v>
      </c>
      <c r="Q652" s="24">
        <v>0</v>
      </c>
      <c r="R652" s="24">
        <f>SUM(O652:Q652)</f>
        <v>20</v>
      </c>
      <c r="S652" s="23">
        <v>12</v>
      </c>
      <c r="T652" s="77" t="s">
        <v>2008</v>
      </c>
    </row>
    <row r="653" spans="1:20" ht="23.25" customHeight="1" x14ac:dyDescent="0.25">
      <c r="A653" s="20" t="str">
        <f>IF(B653="","",B653&amp;"-"&amp;TEXT(COUNTIF(B$2:B653,B653),"000"))</f>
        <v>2025-117</v>
      </c>
      <c r="B653" s="21">
        <v>2025</v>
      </c>
      <c r="C653" s="89" t="s">
        <v>20</v>
      </c>
      <c r="D653" s="21" t="s">
        <v>2009</v>
      </c>
      <c r="E653" s="81" t="s">
        <v>2010</v>
      </c>
      <c r="F653" s="28" t="s">
        <v>66</v>
      </c>
      <c r="G653" s="19" t="s">
        <v>59</v>
      </c>
      <c r="H653" s="76" t="s">
        <v>2007</v>
      </c>
      <c r="I653" s="36">
        <v>45985</v>
      </c>
      <c r="J653" s="36">
        <v>45989</v>
      </c>
      <c r="K653" s="21" t="s">
        <v>32</v>
      </c>
      <c r="L653" s="27"/>
      <c r="M653" s="85">
        <v>4.5199999999999996</v>
      </c>
      <c r="N653" s="40">
        <v>50</v>
      </c>
      <c r="O653" s="22">
        <v>1</v>
      </c>
      <c r="P653" s="22">
        <v>38</v>
      </c>
      <c r="Q653" s="22">
        <v>15</v>
      </c>
      <c r="R653" s="22">
        <f>SUM(O653:Q653)</f>
        <v>54</v>
      </c>
      <c r="S653" s="21">
        <v>12</v>
      </c>
      <c r="T653" s="19" t="s">
        <v>924</v>
      </c>
    </row>
    <row r="654" spans="1:20" ht="22.5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0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296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0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297">
        <v>5427.88</v>
      </c>
      <c r="M658" s="183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0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296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0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297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0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298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0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2" t="s">
        <v>2045</v>
      </c>
      <c r="I662" s="36">
        <v>46085</v>
      </c>
      <c r="J662" s="36">
        <v>46087</v>
      </c>
      <c r="K662" s="21" t="s">
        <v>32</v>
      </c>
      <c r="L662" s="297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0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296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>SUM(O663:Q663)</f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0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297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>SUM(O664:Q664)</f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0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296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>SUM(O665:Q665)</f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0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297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>SUM(O666:Q666)</f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0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298">
        <v>0</v>
      </c>
      <c r="M667" s="183"/>
      <c r="N667" s="24">
        <v>170</v>
      </c>
      <c r="O667" s="24">
        <v>42</v>
      </c>
      <c r="P667" s="24">
        <v>71</v>
      </c>
      <c r="Q667" s="24">
        <v>14</v>
      </c>
      <c r="R667" s="24">
        <f>SUM(O667:Q667)</f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6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298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>SUM(O668:Q668)</f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0" t="s">
        <v>20</v>
      </c>
      <c r="D669" s="163" t="s">
        <v>2067</v>
      </c>
      <c r="E669" s="29" t="s">
        <v>2068</v>
      </c>
      <c r="F669" s="30" t="s">
        <v>51</v>
      </c>
      <c r="G669" s="164" t="s">
        <v>2035</v>
      </c>
      <c r="H669" s="165" t="s">
        <v>2069</v>
      </c>
      <c r="I669" s="166">
        <v>46120</v>
      </c>
      <c r="J669" s="166">
        <v>46122</v>
      </c>
      <c r="K669" s="23" t="s">
        <v>32</v>
      </c>
      <c r="L669" s="296">
        <v>9211.69</v>
      </c>
      <c r="M669" s="184">
        <v>4.95</v>
      </c>
      <c r="N669" s="167">
        <v>20</v>
      </c>
      <c r="O669" s="168">
        <v>0</v>
      </c>
      <c r="P669" s="168">
        <v>27</v>
      </c>
      <c r="Q669" s="168">
        <v>0</v>
      </c>
      <c r="R669" s="168">
        <v>27</v>
      </c>
      <c r="S669" s="163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0" t="s">
        <v>20</v>
      </c>
      <c r="D670" s="169" t="s">
        <v>2070</v>
      </c>
      <c r="E670" s="170" t="s">
        <v>2071</v>
      </c>
      <c r="F670" s="28" t="s">
        <v>66</v>
      </c>
      <c r="G670" s="19" t="s">
        <v>2072</v>
      </c>
      <c r="H670" s="171" t="s">
        <v>2073</v>
      </c>
      <c r="I670" s="172">
        <v>46125</v>
      </c>
      <c r="J670" s="172">
        <v>46128</v>
      </c>
      <c r="K670" s="21" t="s">
        <v>25</v>
      </c>
      <c r="L670" s="299">
        <v>10500</v>
      </c>
      <c r="M670" s="184">
        <v>4.75</v>
      </c>
      <c r="N670" s="173">
        <v>80</v>
      </c>
      <c r="O670" s="174">
        <v>0</v>
      </c>
      <c r="P670" s="174">
        <v>0</v>
      </c>
      <c r="Q670" s="174">
        <v>57</v>
      </c>
      <c r="R670" s="174">
        <v>57</v>
      </c>
      <c r="S670" s="169">
        <v>16</v>
      </c>
      <c r="T670" s="175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0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296">
        <v>9067.76</v>
      </c>
      <c r="M671" s="183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0" t="s">
        <v>20</v>
      </c>
      <c r="D672" s="169" t="s">
        <v>2077</v>
      </c>
      <c r="E672" s="170" t="s">
        <v>2078</v>
      </c>
      <c r="F672" s="28" t="s">
        <v>22</v>
      </c>
      <c r="G672" s="53" t="s">
        <v>2056</v>
      </c>
      <c r="H672" s="171" t="s">
        <v>2079</v>
      </c>
      <c r="I672" s="172">
        <v>46128</v>
      </c>
      <c r="J672" s="172">
        <v>46128</v>
      </c>
      <c r="K672" s="21" t="s">
        <v>32</v>
      </c>
      <c r="L672" s="300">
        <v>1133.47</v>
      </c>
      <c r="M672" s="184">
        <v>5</v>
      </c>
      <c r="N672" s="173">
        <v>1</v>
      </c>
      <c r="O672" s="174">
        <v>1</v>
      </c>
      <c r="P672" s="174">
        <v>0</v>
      </c>
      <c r="Q672" s="174">
        <v>0</v>
      </c>
      <c r="R672" s="174">
        <f>SUM(O672:Q672)</f>
        <v>1</v>
      </c>
      <c r="S672" s="169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0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298"/>
      <c r="M673" s="183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2371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01"/>
      <c r="M674" s="183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34" t="s">
        <v>20</v>
      </c>
      <c r="D675" s="236" t="s">
        <v>2137</v>
      </c>
      <c r="E675" s="239" t="s">
        <v>2138</v>
      </c>
      <c r="F675" s="242" t="s">
        <v>22</v>
      </c>
      <c r="G675" s="244" t="s">
        <v>283</v>
      </c>
      <c r="H675" s="288" t="s">
        <v>2139</v>
      </c>
      <c r="I675" s="290">
        <v>46140</v>
      </c>
      <c r="J675" s="290">
        <v>46147</v>
      </c>
      <c r="K675" s="236" t="s">
        <v>32</v>
      </c>
      <c r="L675" s="302">
        <v>0</v>
      </c>
      <c r="M675" s="250">
        <v>4.9400000000000004</v>
      </c>
      <c r="N675" s="252">
        <v>30</v>
      </c>
      <c r="O675" s="255">
        <v>30</v>
      </c>
      <c r="P675" s="255">
        <v>0</v>
      </c>
      <c r="Q675" s="255">
        <v>0</v>
      </c>
      <c r="R675" s="255">
        <f>IF(B675="","",SUM(O675:Q675))</f>
        <v>30</v>
      </c>
      <c r="S675" s="236">
        <v>20</v>
      </c>
      <c r="T675" s="244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1">
        <v>2026</v>
      </c>
      <c r="C676" s="234" t="s">
        <v>2102</v>
      </c>
      <c r="D676" s="235" t="s">
        <v>2188</v>
      </c>
      <c r="E676" s="237" t="s">
        <v>2189</v>
      </c>
      <c r="F676" s="241" t="s">
        <v>22</v>
      </c>
      <c r="G676" s="243" t="s">
        <v>2056</v>
      </c>
      <c r="H676" s="245" t="s">
        <v>2145</v>
      </c>
      <c r="I676" s="247">
        <v>46143</v>
      </c>
      <c r="J676" s="247"/>
      <c r="K676" s="235" t="s">
        <v>25</v>
      </c>
      <c r="L676" s="302">
        <v>203112</v>
      </c>
      <c r="M676" s="250"/>
      <c r="N676" s="251">
        <v>78</v>
      </c>
      <c r="O676" s="254">
        <v>78</v>
      </c>
      <c r="P676" s="254"/>
      <c r="Q676" s="254"/>
      <c r="R676" s="254">
        <f>IF(B676="","",SUM(O676:Q676))</f>
        <v>78</v>
      </c>
      <c r="S676" s="235"/>
      <c r="T676" s="243"/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61" t="s">
        <v>20</v>
      </c>
      <c r="D677" s="284" t="s">
        <v>2140</v>
      </c>
      <c r="E677" s="237" t="s">
        <v>2373</v>
      </c>
      <c r="F677" s="241" t="s">
        <v>22</v>
      </c>
      <c r="G677" s="287" t="s">
        <v>23</v>
      </c>
      <c r="H677" s="289" t="s">
        <v>2141</v>
      </c>
      <c r="I677" s="291">
        <v>46148</v>
      </c>
      <c r="J677" s="291">
        <v>46150</v>
      </c>
      <c r="K677" s="235" t="s">
        <v>32</v>
      </c>
      <c r="L677" s="303">
        <v>9454.4</v>
      </c>
      <c r="M677" s="264">
        <v>4.9400000000000004</v>
      </c>
      <c r="N677" s="292">
        <v>30</v>
      </c>
      <c r="O677" s="293">
        <v>30</v>
      </c>
      <c r="P677" s="293">
        <v>0</v>
      </c>
      <c r="Q677" s="293">
        <v>0</v>
      </c>
      <c r="R677" s="293">
        <f>IF(B677="","",SUM(O677:Q677))</f>
        <v>30</v>
      </c>
      <c r="S677" s="284">
        <v>12</v>
      </c>
      <c r="T677" s="243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61" t="s">
        <v>20</v>
      </c>
      <c r="D678" s="284" t="s">
        <v>2152</v>
      </c>
      <c r="E678" s="237" t="s">
        <v>2153</v>
      </c>
      <c r="F678" s="241" t="s">
        <v>66</v>
      </c>
      <c r="G678" s="287" t="s">
        <v>2072</v>
      </c>
      <c r="H678" s="289" t="s">
        <v>2154</v>
      </c>
      <c r="I678" s="291">
        <v>46148</v>
      </c>
      <c r="J678" s="291">
        <v>46148</v>
      </c>
      <c r="K678" s="235" t="s">
        <v>32</v>
      </c>
      <c r="L678" s="302">
        <v>2342.36</v>
      </c>
      <c r="M678" s="264">
        <v>4.9000000000000004</v>
      </c>
      <c r="N678" s="265">
        <v>25</v>
      </c>
      <c r="O678" s="293"/>
      <c r="P678" s="293"/>
      <c r="Q678" s="293">
        <v>50</v>
      </c>
      <c r="R678" s="293">
        <f>IF(B678="","",SUM(O678:Q678))</f>
        <v>50</v>
      </c>
      <c r="S678" s="284">
        <v>3</v>
      </c>
      <c r="T678" s="243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2372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04"/>
      <c r="M679" s="186"/>
      <c r="N679" s="69">
        <v>80</v>
      </c>
      <c r="O679" s="72">
        <v>0</v>
      </c>
      <c r="P679" s="191">
        <v>0</v>
      </c>
      <c r="Q679" s="69">
        <v>80</v>
      </c>
      <c r="R679" s="72">
        <f>SUM(O679:Q679)</f>
        <v>80</v>
      </c>
      <c r="S679" s="69">
        <v>4</v>
      </c>
      <c r="T679" s="294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61" t="s">
        <v>20</v>
      </c>
      <c r="D680" s="284" t="s">
        <v>2130</v>
      </c>
      <c r="E680" s="285" t="s">
        <v>2131</v>
      </c>
      <c r="F680" s="241" t="s">
        <v>22</v>
      </c>
      <c r="G680" s="243" t="s">
        <v>2056</v>
      </c>
      <c r="H680" s="289" t="s">
        <v>2132</v>
      </c>
      <c r="I680" s="291">
        <v>46154</v>
      </c>
      <c r="J680" s="291">
        <v>46156</v>
      </c>
      <c r="K680" s="235" t="s">
        <v>32</v>
      </c>
      <c r="L680" s="305">
        <v>6497.28</v>
      </c>
      <c r="M680" s="264">
        <v>4.88</v>
      </c>
      <c r="N680" s="292">
        <v>20</v>
      </c>
      <c r="O680" s="293">
        <v>22</v>
      </c>
      <c r="P680" s="293">
        <v>0</v>
      </c>
      <c r="Q680" s="293">
        <v>0</v>
      </c>
      <c r="R680" s="293">
        <f>IF(B680="","",SUM(O680:Q680))</f>
        <v>22</v>
      </c>
      <c r="S680" s="284">
        <v>8</v>
      </c>
      <c r="T680" s="257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61" t="s">
        <v>2102</v>
      </c>
      <c r="D681" s="262" t="s">
        <v>2143</v>
      </c>
      <c r="E681" s="311" t="s">
        <v>2144</v>
      </c>
      <c r="F681" s="242" t="s">
        <v>51</v>
      </c>
      <c r="G681" s="263" t="s">
        <v>2035</v>
      </c>
      <c r="H681" s="314" t="s">
        <v>2145</v>
      </c>
      <c r="I681" s="315">
        <v>46157</v>
      </c>
      <c r="J681" s="315">
        <v>46387</v>
      </c>
      <c r="K681" s="236" t="s">
        <v>32</v>
      </c>
      <c r="L681" s="303"/>
      <c r="M681" s="264"/>
      <c r="N681" s="265"/>
      <c r="O681" s="266"/>
      <c r="P681" s="266"/>
      <c r="Q681" s="266"/>
      <c r="R681" s="266">
        <f>IF(B681="","",SUM(O681:Q681))</f>
        <v>0</v>
      </c>
      <c r="S681" s="262">
        <v>55</v>
      </c>
      <c r="T681" s="244" t="s">
        <v>2037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191" t="s">
        <v>2088</v>
      </c>
      <c r="D682" s="63" t="s">
        <v>2089</v>
      </c>
      <c r="E682" s="57" t="s">
        <v>2090</v>
      </c>
      <c r="F682" s="30" t="s">
        <v>22</v>
      </c>
      <c r="G682" s="44" t="s">
        <v>2040</v>
      </c>
      <c r="H682" s="58" t="s">
        <v>2091</v>
      </c>
      <c r="I682" s="59">
        <v>46160</v>
      </c>
      <c r="J682" s="59">
        <v>46163</v>
      </c>
      <c r="K682" s="23" t="s">
        <v>32</v>
      </c>
      <c r="L682" s="316">
        <v>0</v>
      </c>
      <c r="M682" s="186"/>
      <c r="N682" s="62"/>
      <c r="O682" s="62"/>
      <c r="P682" s="62"/>
      <c r="Q682" s="62"/>
      <c r="R682" s="62">
        <f>SUM(O682:Q682)</f>
        <v>0</v>
      </c>
      <c r="S682" s="63">
        <v>16</v>
      </c>
      <c r="T682" s="20" t="s">
        <v>2042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1">
        <v>2026</v>
      </c>
      <c r="C683" s="261" t="s">
        <v>20</v>
      </c>
      <c r="D683" s="284" t="s">
        <v>2135</v>
      </c>
      <c r="E683" s="285" t="s">
        <v>2015</v>
      </c>
      <c r="F683" s="241" t="s">
        <v>22</v>
      </c>
      <c r="G683" s="243" t="s">
        <v>34</v>
      </c>
      <c r="H683" s="289" t="s">
        <v>2136</v>
      </c>
      <c r="I683" s="291">
        <v>46160</v>
      </c>
      <c r="J683" s="291">
        <v>46167</v>
      </c>
      <c r="K683" s="235" t="s">
        <v>32</v>
      </c>
      <c r="L683" s="303">
        <v>12221.73</v>
      </c>
      <c r="M683" s="264">
        <v>4.93</v>
      </c>
      <c r="N683" s="292">
        <v>20</v>
      </c>
      <c r="O683" s="293">
        <v>21</v>
      </c>
      <c r="P683" s="293">
        <v>0</v>
      </c>
      <c r="Q683" s="293">
        <v>0</v>
      </c>
      <c r="R683" s="293">
        <f>IF(B683="","",SUM(O683:Q683))</f>
        <v>21</v>
      </c>
      <c r="S683" s="284">
        <v>16</v>
      </c>
      <c r="T683" s="243" t="s">
        <v>1358</v>
      </c>
    </row>
    <row r="684" spans="1:20" ht="22.5" customHeight="1" x14ac:dyDescent="0.25">
      <c r="A684" s="225" t="str">
        <f>IF(B684="","",B684&amp;"-"&amp;TEXT(COUNTIF(B$2:B684,B684),"000"))</f>
        <v>2026-028</v>
      </c>
      <c r="B684" s="63">
        <v>2026</v>
      </c>
      <c r="C684" s="69" t="s">
        <v>20</v>
      </c>
      <c r="D684" s="176" t="s">
        <v>2092</v>
      </c>
      <c r="E684" s="177" t="s">
        <v>2093</v>
      </c>
      <c r="F684" s="312" t="s">
        <v>22</v>
      </c>
      <c r="G684" s="182" t="s">
        <v>34</v>
      </c>
      <c r="H684" s="178" t="s">
        <v>2094</v>
      </c>
      <c r="I684" s="179">
        <v>46163</v>
      </c>
      <c r="J684" s="179">
        <v>46164</v>
      </c>
      <c r="K684" s="176" t="s">
        <v>25</v>
      </c>
      <c r="L684" s="306">
        <v>72500</v>
      </c>
      <c r="M684" s="185"/>
      <c r="N684" s="180">
        <v>150</v>
      </c>
      <c r="O684" s="181">
        <v>72</v>
      </c>
      <c r="P684" s="181">
        <v>23</v>
      </c>
      <c r="Q684" s="181">
        <v>5</v>
      </c>
      <c r="R684" s="181">
        <f>SUM(O684:Q684)</f>
        <v>100</v>
      </c>
      <c r="S684" s="176">
        <v>8</v>
      </c>
      <c r="T684" s="182" t="s">
        <v>365</v>
      </c>
    </row>
    <row r="685" spans="1:20" ht="22.5" customHeight="1" x14ac:dyDescent="0.25">
      <c r="A685" s="188" t="str">
        <f>IF(B685="","",B685&amp;"-"&amp;TEXT(COUNTIF(B$2:B685,B685),"000"))</f>
        <v>2026-029</v>
      </c>
      <c r="B685" s="69">
        <v>2026</v>
      </c>
      <c r="C685" s="234" t="s">
        <v>20</v>
      </c>
      <c r="D685" s="236" t="s">
        <v>2149</v>
      </c>
      <c r="E685" s="239" t="s">
        <v>2150</v>
      </c>
      <c r="F685" s="242" t="s">
        <v>66</v>
      </c>
      <c r="G685" s="244" t="s">
        <v>2072</v>
      </c>
      <c r="H685" s="246" t="s">
        <v>2151</v>
      </c>
      <c r="I685" s="248">
        <v>46167</v>
      </c>
      <c r="J685" s="248">
        <v>46171</v>
      </c>
      <c r="K685" s="236" t="s">
        <v>32</v>
      </c>
      <c r="L685" s="302"/>
      <c r="M685" s="250"/>
      <c r="N685" s="253"/>
      <c r="O685" s="255"/>
      <c r="P685" s="255"/>
      <c r="Q685" s="255">
        <v>25</v>
      </c>
      <c r="R685" s="255">
        <f>IF(B685="","",SUM(O685:Q685))</f>
        <v>25</v>
      </c>
      <c r="S685" s="236">
        <v>4</v>
      </c>
      <c r="T685" s="244" t="s">
        <v>784</v>
      </c>
    </row>
    <row r="686" spans="1:20" ht="22.5" customHeight="1" x14ac:dyDescent="0.25">
      <c r="A686" s="189" t="str">
        <f>IF(B686="","",B686&amp;"-"&amp;TEXT(COUNTIF(B$2:B686,B686),"000"))</f>
        <v>2026-030</v>
      </c>
      <c r="B686" s="69">
        <v>2026</v>
      </c>
      <c r="C686" s="234" t="s">
        <v>2088</v>
      </c>
      <c r="D686" s="235" t="s">
        <v>2123</v>
      </c>
      <c r="E686" s="237" t="s">
        <v>2124</v>
      </c>
      <c r="F686" s="241" t="s">
        <v>22</v>
      </c>
      <c r="G686" s="243" t="s">
        <v>56</v>
      </c>
      <c r="H686" s="245" t="s">
        <v>2125</v>
      </c>
      <c r="I686" s="247">
        <v>46174</v>
      </c>
      <c r="J686" s="247">
        <v>46387</v>
      </c>
      <c r="K686" s="235" t="s">
        <v>25</v>
      </c>
      <c r="L686" s="302">
        <v>105000</v>
      </c>
      <c r="M686" s="250"/>
      <c r="N686" s="251"/>
      <c r="O686" s="254"/>
      <c r="P686" s="254"/>
      <c r="Q686" s="254"/>
      <c r="R686" s="254">
        <f>IF(B686="","",SUM(O686:Q686))</f>
        <v>0</v>
      </c>
      <c r="S686" s="235">
        <v>25</v>
      </c>
      <c r="T686" s="258" t="s">
        <v>2126</v>
      </c>
    </row>
    <row r="687" spans="1:20" ht="22.5" customHeight="1" x14ac:dyDescent="0.25">
      <c r="A687" s="188" t="str">
        <f>IF(B687="","",B687&amp;"-"&amp;TEXT(COUNTIF(B$2:B687,B687),"000"))</f>
        <v>2026-031</v>
      </c>
      <c r="B687" s="63">
        <v>2026</v>
      </c>
      <c r="C687" s="283" t="s">
        <v>20</v>
      </c>
      <c r="D687" s="23" t="s">
        <v>2095</v>
      </c>
      <c r="E687" s="29" t="s">
        <v>2096</v>
      </c>
      <c r="F687" s="30" t="s">
        <v>22</v>
      </c>
      <c r="G687" s="20" t="s">
        <v>23</v>
      </c>
      <c r="H687" s="165" t="s">
        <v>2097</v>
      </c>
      <c r="I687" s="38">
        <v>46181</v>
      </c>
      <c r="J687" s="38">
        <v>46185</v>
      </c>
      <c r="K687" s="23" t="s">
        <v>32</v>
      </c>
      <c r="L687" s="298">
        <v>16717.689999999999</v>
      </c>
      <c r="M687" s="183">
        <v>4.93</v>
      </c>
      <c r="N687" s="39">
        <v>20</v>
      </c>
      <c r="O687" s="24">
        <v>17</v>
      </c>
      <c r="P687" s="24">
        <v>0</v>
      </c>
      <c r="Q687" s="24">
        <v>0</v>
      </c>
      <c r="R687" s="24">
        <f>SUM(O687:Q687)</f>
        <v>17</v>
      </c>
      <c r="S687" s="23">
        <v>20</v>
      </c>
      <c r="T687" s="45" t="s">
        <v>2098</v>
      </c>
    </row>
    <row r="688" spans="1:20" ht="22.5" customHeight="1" x14ac:dyDescent="0.25">
      <c r="A688" s="189" t="str">
        <f>IF(B688="","",B688&amp;"-"&amp;TEXT(COUNTIF(B$2:B688,B688),"000"))</f>
        <v>2026-032</v>
      </c>
      <c r="B688" s="69">
        <v>2026</v>
      </c>
      <c r="C688" s="21" t="s">
        <v>20</v>
      </c>
      <c r="D688" s="169" t="s">
        <v>2099</v>
      </c>
      <c r="E688" s="170" t="s">
        <v>2100</v>
      </c>
      <c r="F688" s="28" t="s">
        <v>51</v>
      </c>
      <c r="G688" s="175" t="s">
        <v>2035</v>
      </c>
      <c r="H688" s="171" t="s">
        <v>2101</v>
      </c>
      <c r="I688" s="172">
        <v>46182</v>
      </c>
      <c r="J688" s="172">
        <v>46184</v>
      </c>
      <c r="K688" s="21" t="s">
        <v>32</v>
      </c>
      <c r="L688" s="297">
        <v>9211.69</v>
      </c>
      <c r="M688" s="184">
        <v>4.82</v>
      </c>
      <c r="N688" s="173">
        <v>30</v>
      </c>
      <c r="O688" s="174">
        <v>0</v>
      </c>
      <c r="P688" s="174">
        <v>32</v>
      </c>
      <c r="Q688" s="174">
        <v>0</v>
      </c>
      <c r="R688" s="174">
        <f>SUM(O688:Q688)</f>
        <v>32</v>
      </c>
      <c r="S688" s="169">
        <v>12</v>
      </c>
      <c r="T688" s="19" t="s">
        <v>2037</v>
      </c>
    </row>
    <row r="689" spans="1:20" ht="22.5" customHeight="1" x14ac:dyDescent="0.25">
      <c r="A689" s="188" t="str">
        <f>IF(B689="","",B689&amp;"-"&amp;TEXT(COUNTIF(B$2:B689,B689),"000"))</f>
        <v>2026-033</v>
      </c>
      <c r="B689" s="63">
        <v>2026</v>
      </c>
      <c r="C689" s="21" t="s">
        <v>20</v>
      </c>
      <c r="D689" s="163" t="s">
        <v>2099</v>
      </c>
      <c r="E689" s="286" t="s">
        <v>2105</v>
      </c>
      <c r="F689" s="30" t="s">
        <v>51</v>
      </c>
      <c r="G689" s="164" t="s">
        <v>2035</v>
      </c>
      <c r="H689" s="165" t="s">
        <v>2106</v>
      </c>
      <c r="I689" s="166">
        <v>46189</v>
      </c>
      <c r="J689" s="166">
        <v>46191</v>
      </c>
      <c r="K689" s="23" t="s">
        <v>32</v>
      </c>
      <c r="L689" s="296">
        <v>9211.69</v>
      </c>
      <c r="M689" s="184">
        <v>4.84</v>
      </c>
      <c r="N689" s="167">
        <v>30</v>
      </c>
      <c r="O689" s="168">
        <v>0</v>
      </c>
      <c r="P689" s="168">
        <v>44</v>
      </c>
      <c r="Q689" s="168">
        <v>0</v>
      </c>
      <c r="R689" s="168">
        <f>SUM(O689:Q689)</f>
        <v>44</v>
      </c>
      <c r="S689" s="163">
        <v>12</v>
      </c>
      <c r="T689" s="20" t="s">
        <v>2037</v>
      </c>
    </row>
    <row r="690" spans="1:20" ht="22.5" customHeight="1" x14ac:dyDescent="0.25">
      <c r="A690" s="189" t="str">
        <f>IF(B690="","",B690&amp;"-"&amp;TEXT(COUNTIF(B$2:B690,B690),"000"))</f>
        <v>2026-034</v>
      </c>
      <c r="B690" s="69">
        <v>2026</v>
      </c>
      <c r="C690" s="234" t="s">
        <v>20</v>
      </c>
      <c r="D690" s="236" t="s">
        <v>2169</v>
      </c>
      <c r="E690" s="239" t="s">
        <v>2170</v>
      </c>
      <c r="F690" s="242" t="s">
        <v>22</v>
      </c>
      <c r="G690" s="244" t="s">
        <v>23</v>
      </c>
      <c r="H690" s="246" t="s">
        <v>2171</v>
      </c>
      <c r="I690" s="248">
        <v>46189</v>
      </c>
      <c r="J690" s="248">
        <v>46191</v>
      </c>
      <c r="K690" s="236" t="s">
        <v>32</v>
      </c>
      <c r="L690" s="302">
        <v>9745.9500000000007</v>
      </c>
      <c r="M690" s="250">
        <v>4.67</v>
      </c>
      <c r="N690" s="252">
        <v>20</v>
      </c>
      <c r="O690" s="255">
        <v>20</v>
      </c>
      <c r="P690" s="255">
        <v>0</v>
      </c>
      <c r="Q690" s="255">
        <v>0</v>
      </c>
      <c r="R690" s="255">
        <f>IF(B690="","",SUM(O690:Q690))</f>
        <v>20</v>
      </c>
      <c r="S690" s="236">
        <v>12</v>
      </c>
      <c r="T690" s="244" t="s">
        <v>2172</v>
      </c>
    </row>
    <row r="691" spans="1:20" ht="22.5" customHeight="1" x14ac:dyDescent="0.25">
      <c r="A691" s="188" t="str">
        <f>IF(B691="","",B691&amp;"-"&amp;TEXT(COUNTIF(B$2:B691,B691),"000"))</f>
        <v>2026-035</v>
      </c>
      <c r="B691" s="69">
        <v>2026</v>
      </c>
      <c r="C691" s="21" t="s">
        <v>20</v>
      </c>
      <c r="D691" s="169" t="s">
        <v>2107</v>
      </c>
      <c r="E691" s="81" t="s">
        <v>2108</v>
      </c>
      <c r="F691" s="28" t="s">
        <v>51</v>
      </c>
      <c r="G691" s="175" t="s">
        <v>2035</v>
      </c>
      <c r="H691" s="171" t="s">
        <v>2109</v>
      </c>
      <c r="I691" s="172">
        <v>46195</v>
      </c>
      <c r="J691" s="172">
        <v>46196</v>
      </c>
      <c r="K691" s="21" t="s">
        <v>25</v>
      </c>
      <c r="L691" s="300"/>
      <c r="M691" s="184">
        <v>4.8600000000000003</v>
      </c>
      <c r="N691" s="173">
        <v>200</v>
      </c>
      <c r="O691" s="174">
        <v>41</v>
      </c>
      <c r="P691" s="174">
        <v>114</v>
      </c>
      <c r="Q691" s="174">
        <v>41</v>
      </c>
      <c r="R691" s="174">
        <f>SUM(O691:Q691)</f>
        <v>196</v>
      </c>
      <c r="S691" s="169">
        <v>14</v>
      </c>
      <c r="T691" s="19" t="s">
        <v>365</v>
      </c>
    </row>
    <row r="692" spans="1:20" ht="22.5" customHeight="1" x14ac:dyDescent="0.25">
      <c r="A692" s="189" t="str">
        <f>IF(B692="","",B692&amp;"-"&amp;TEXT(COUNTIF(B$2:B692,B692),"000"))</f>
        <v>2026-036</v>
      </c>
      <c r="B692" s="69">
        <v>2026</v>
      </c>
      <c r="C692" s="234" t="s">
        <v>20</v>
      </c>
      <c r="D692" s="236" t="s">
        <v>2130</v>
      </c>
      <c r="E692" s="239" t="s">
        <v>2133</v>
      </c>
      <c r="F692" s="242" t="s">
        <v>22</v>
      </c>
      <c r="G692" s="244" t="s">
        <v>2056</v>
      </c>
      <c r="H692" s="246" t="s">
        <v>2134</v>
      </c>
      <c r="I692" s="248">
        <v>46196</v>
      </c>
      <c r="J692" s="248">
        <v>46198</v>
      </c>
      <c r="K692" s="236" t="s">
        <v>32</v>
      </c>
      <c r="L692" s="305">
        <v>6497.28</v>
      </c>
      <c r="M692" s="250">
        <v>4.8899999999999997</v>
      </c>
      <c r="N692" s="252">
        <v>20</v>
      </c>
      <c r="O692" s="255">
        <v>24</v>
      </c>
      <c r="P692" s="255">
        <v>0</v>
      </c>
      <c r="Q692" s="255">
        <v>0</v>
      </c>
      <c r="R692" s="255">
        <f>IF(B692="","",SUM(O692:Q692))</f>
        <v>24</v>
      </c>
      <c r="S692" s="236">
        <v>8</v>
      </c>
      <c r="T692" s="259" t="s">
        <v>2076</v>
      </c>
    </row>
    <row r="693" spans="1:20" ht="22.5" customHeight="1" x14ac:dyDescent="0.25">
      <c r="A693" s="188" t="str">
        <f>IF(B693="","",B693&amp;"-"&amp;TEXT(COUNTIF(B$2:B693,B693),"000"))</f>
        <v>2026-037</v>
      </c>
      <c r="B693" s="69">
        <v>2026</v>
      </c>
      <c r="C693" s="234" t="s">
        <v>20</v>
      </c>
      <c r="D693" s="236" t="s">
        <v>2178</v>
      </c>
      <c r="E693" s="239" t="s">
        <v>2179</v>
      </c>
      <c r="F693" s="242" t="s">
        <v>51</v>
      </c>
      <c r="G693" s="244" t="s">
        <v>59</v>
      </c>
      <c r="H693" s="246" t="s">
        <v>2180</v>
      </c>
      <c r="I693" s="248">
        <v>46203</v>
      </c>
      <c r="J693" s="248">
        <v>46205</v>
      </c>
      <c r="K693" s="236" t="s">
        <v>32</v>
      </c>
      <c r="L693" s="305">
        <v>6497.28</v>
      </c>
      <c r="M693" s="250">
        <v>4.8899999999999997</v>
      </c>
      <c r="N693" s="252">
        <v>20</v>
      </c>
      <c r="O693" s="255">
        <v>2</v>
      </c>
      <c r="P693" s="255">
        <v>26</v>
      </c>
      <c r="Q693" s="255">
        <v>0</v>
      </c>
      <c r="R693" s="255">
        <f>IF(B693="","",SUM(O693:Q693))</f>
        <v>28</v>
      </c>
      <c r="S693" s="236">
        <v>8</v>
      </c>
      <c r="T693" s="259" t="s">
        <v>2076</v>
      </c>
    </row>
    <row r="694" spans="1:20" ht="22.5" customHeight="1" x14ac:dyDescent="0.25">
      <c r="A694" s="189" t="str">
        <f>IF(B694="","",B694&amp;"-"&amp;TEXT(COUNTIF(B$2:B694,B694),"000"))</f>
        <v>2026-038</v>
      </c>
      <c r="B694" s="69">
        <v>2026</v>
      </c>
      <c r="C694" s="234" t="s">
        <v>2102</v>
      </c>
      <c r="D694" s="236" t="s">
        <v>2156</v>
      </c>
      <c r="E694" s="239" t="s">
        <v>2157</v>
      </c>
      <c r="F694" s="242" t="s">
        <v>22</v>
      </c>
      <c r="G694" s="244" t="s">
        <v>23</v>
      </c>
      <c r="H694" s="246" t="s">
        <v>2145</v>
      </c>
      <c r="I694" s="248">
        <v>46204</v>
      </c>
      <c r="J694" s="248">
        <v>46387</v>
      </c>
      <c r="K694" s="236" t="s">
        <v>32</v>
      </c>
      <c r="L694" s="302"/>
      <c r="M694" s="250"/>
      <c r="N694" s="252"/>
      <c r="O694" s="255"/>
      <c r="P694" s="255"/>
      <c r="Q694" s="255"/>
      <c r="R694" s="255">
        <f>IF(B694="","",SUM(O694:Q694))</f>
        <v>0</v>
      </c>
      <c r="S694" s="236">
        <v>16</v>
      </c>
      <c r="T694" s="244" t="s">
        <v>425</v>
      </c>
    </row>
    <row r="695" spans="1:20" ht="22.5" customHeight="1" x14ac:dyDescent="0.25">
      <c r="A695" s="188" t="str">
        <f>IF(B695="","",B695&amp;"-"&amp;TEXT(COUNTIF(B$2:B695,B695),"000"))</f>
        <v>2026-039</v>
      </c>
      <c r="B695" s="69">
        <v>2026</v>
      </c>
      <c r="C695" s="234" t="s">
        <v>20</v>
      </c>
      <c r="D695" s="236" t="s">
        <v>2127</v>
      </c>
      <c r="E695" s="238" t="s">
        <v>2128</v>
      </c>
      <c r="F695" s="242" t="s">
        <v>66</v>
      </c>
      <c r="G695" s="244" t="s">
        <v>2072</v>
      </c>
      <c r="H695" s="246" t="s">
        <v>2129</v>
      </c>
      <c r="I695" s="248">
        <v>46204</v>
      </c>
      <c r="J695" s="248">
        <v>46206</v>
      </c>
      <c r="K695" s="236" t="s">
        <v>32</v>
      </c>
      <c r="L695" s="302">
        <v>7956.94</v>
      </c>
      <c r="M695" s="250">
        <v>4.6900000000000004</v>
      </c>
      <c r="N695" s="252">
        <v>30</v>
      </c>
      <c r="O695" s="255">
        <v>0</v>
      </c>
      <c r="P695" s="256">
        <v>42</v>
      </c>
      <c r="Q695" s="255">
        <v>0</v>
      </c>
      <c r="R695" s="255">
        <f>IF(B695="","",SUM(O695:Q695))</f>
        <v>42</v>
      </c>
      <c r="S695" s="236">
        <v>12</v>
      </c>
      <c r="T695" s="244" t="s">
        <v>1847</v>
      </c>
    </row>
    <row r="696" spans="1:20" ht="22.5" customHeight="1" x14ac:dyDescent="0.25">
      <c r="A696" s="189" t="str">
        <f>IF(B696="","",B696&amp;"-"&amp;TEXT(COUNTIF(B$2:B696,B696),"000"))</f>
        <v>2026-040</v>
      </c>
      <c r="B696" s="69">
        <v>2026</v>
      </c>
      <c r="C696" s="47" t="s">
        <v>20</v>
      </c>
      <c r="D696" s="21" t="s">
        <v>2089</v>
      </c>
      <c r="E696" s="26" t="s">
        <v>2103</v>
      </c>
      <c r="F696" s="28" t="s">
        <v>22</v>
      </c>
      <c r="G696" s="19" t="s">
        <v>2040</v>
      </c>
      <c r="H696" s="35" t="s">
        <v>2104</v>
      </c>
      <c r="I696" s="36">
        <v>46210</v>
      </c>
      <c r="J696" s="36">
        <v>46212</v>
      </c>
      <c r="K696" s="21" t="s">
        <v>32</v>
      </c>
      <c r="L696" s="298">
        <v>0</v>
      </c>
      <c r="M696" s="183">
        <v>4.79</v>
      </c>
      <c r="N696" s="22">
        <v>15</v>
      </c>
      <c r="O696" s="22">
        <v>12</v>
      </c>
      <c r="P696" s="22">
        <v>0</v>
      </c>
      <c r="Q696" s="22">
        <v>0</v>
      </c>
      <c r="R696" s="22">
        <f>SUM(O696:Q696)</f>
        <v>12</v>
      </c>
      <c r="S696" s="21">
        <v>12</v>
      </c>
      <c r="T696" s="19" t="s">
        <v>2042</v>
      </c>
    </row>
    <row r="697" spans="1:20" ht="22.5" customHeight="1" x14ac:dyDescent="0.25">
      <c r="A697" s="188" t="str">
        <f>IF(B697="","",B697&amp;"-"&amp;TEXT(COUNTIF(B$2:B697,B697),"000"))</f>
        <v>2026-041</v>
      </c>
      <c r="B697" s="69">
        <v>2026</v>
      </c>
      <c r="C697" s="234" t="s">
        <v>2011</v>
      </c>
      <c r="D697" s="236" t="s">
        <v>2120</v>
      </c>
      <c r="E697" s="238" t="s">
        <v>2121</v>
      </c>
      <c r="F697" s="242" t="s">
        <v>22</v>
      </c>
      <c r="G697" s="244" t="s">
        <v>56</v>
      </c>
      <c r="H697" s="246" t="s">
        <v>2122</v>
      </c>
      <c r="I697" s="248">
        <v>46223</v>
      </c>
      <c r="J697" s="248">
        <v>46233</v>
      </c>
      <c r="K697" s="236" t="s">
        <v>32</v>
      </c>
      <c r="L697" s="302">
        <v>20061.23</v>
      </c>
      <c r="M697" s="250"/>
      <c r="N697" s="252">
        <v>20</v>
      </c>
      <c r="O697" s="255"/>
      <c r="P697" s="255"/>
      <c r="Q697" s="255"/>
      <c r="R697" s="255">
        <f>IF(B697="","",SUM(O697:Q697))</f>
        <v>0</v>
      </c>
      <c r="S697" s="236">
        <v>24</v>
      </c>
      <c r="T697" s="244" t="s">
        <v>2098</v>
      </c>
    </row>
    <row r="698" spans="1:20" ht="22.5" customHeight="1" x14ac:dyDescent="0.25">
      <c r="A698" s="189" t="str">
        <f>IF(B698="","",B698&amp;"-"&amp;TEXT(COUNTIF(B$2:B698,B698),"000"))</f>
        <v>2026-042</v>
      </c>
      <c r="B698" s="69">
        <v>2026</v>
      </c>
      <c r="C698" s="234" t="s">
        <v>2011</v>
      </c>
      <c r="D698" s="235" t="s">
        <v>2146</v>
      </c>
      <c r="E698" s="237" t="s">
        <v>2147</v>
      </c>
      <c r="F698" s="241" t="s">
        <v>66</v>
      </c>
      <c r="G698" s="243" t="s">
        <v>2072</v>
      </c>
      <c r="H698" s="245" t="s">
        <v>2148</v>
      </c>
      <c r="I698" s="247">
        <v>46223</v>
      </c>
      <c r="J698" s="247">
        <v>46227</v>
      </c>
      <c r="K698" s="235" t="s">
        <v>32</v>
      </c>
      <c r="L698" s="305">
        <v>11334.44</v>
      </c>
      <c r="M698" s="250"/>
      <c r="N698" s="251">
        <v>30</v>
      </c>
      <c r="O698" s="254"/>
      <c r="P698" s="254"/>
      <c r="Q698" s="254"/>
      <c r="R698" s="254">
        <f>IF(B698="","",SUM(O698:Q698))</f>
        <v>0</v>
      </c>
      <c r="S698" s="235">
        <v>20</v>
      </c>
      <c r="T698" s="243" t="s">
        <v>324</v>
      </c>
    </row>
    <row r="699" spans="1:20" ht="22.5" customHeight="1" x14ac:dyDescent="0.25">
      <c r="A699" s="188" t="str">
        <f>IF(B699="","",B699&amp;"-"&amp;TEXT(COUNTIF(B$2:B699,B699),"000"))</f>
        <v>2026-043</v>
      </c>
      <c r="B699" s="69">
        <v>2026</v>
      </c>
      <c r="C699" s="234" t="s">
        <v>20</v>
      </c>
      <c r="D699" s="236" t="s">
        <v>2162</v>
      </c>
      <c r="E699" s="239" t="s">
        <v>2163</v>
      </c>
      <c r="F699" s="242" t="s">
        <v>51</v>
      </c>
      <c r="G699" s="244" t="s">
        <v>59</v>
      </c>
      <c r="H699" s="246" t="s">
        <v>2164</v>
      </c>
      <c r="I699" s="248">
        <v>46223</v>
      </c>
      <c r="J699" s="248">
        <v>46223</v>
      </c>
      <c r="K699" s="236" t="s">
        <v>32</v>
      </c>
      <c r="L699" s="302">
        <v>0</v>
      </c>
      <c r="M699" s="250">
        <v>4.66</v>
      </c>
      <c r="N699" s="252">
        <v>180</v>
      </c>
      <c r="O699" s="255">
        <v>19</v>
      </c>
      <c r="P699" s="255">
        <v>179</v>
      </c>
      <c r="Q699" s="255">
        <v>22</v>
      </c>
      <c r="R699" s="255">
        <f>IF(B699="","",SUM(O699:Q699))</f>
        <v>220</v>
      </c>
      <c r="S699" s="236">
        <v>4</v>
      </c>
      <c r="T699" s="244" t="s">
        <v>365</v>
      </c>
    </row>
    <row r="700" spans="1:20" ht="22.5" customHeight="1" x14ac:dyDescent="0.25">
      <c r="A700" s="189" t="str">
        <f>IF(B700="","",B700&amp;"-"&amp;TEXT(COUNTIF(B$2:B700,B700),"000"))</f>
        <v>2026-044</v>
      </c>
      <c r="B700" s="69">
        <v>2026</v>
      </c>
      <c r="C700" s="234" t="s">
        <v>2102</v>
      </c>
      <c r="D700" s="235" t="s">
        <v>2165</v>
      </c>
      <c r="E700" s="237" t="s">
        <v>2166</v>
      </c>
      <c r="F700" s="241" t="s">
        <v>51</v>
      </c>
      <c r="G700" s="243" t="s">
        <v>59</v>
      </c>
      <c r="H700" s="245" t="s">
        <v>2167</v>
      </c>
      <c r="I700" s="247">
        <v>46237</v>
      </c>
      <c r="J700" s="247">
        <v>46238</v>
      </c>
      <c r="K700" s="235" t="s">
        <v>32</v>
      </c>
      <c r="L700" s="302"/>
      <c r="M700" s="250"/>
      <c r="N700" s="251">
        <v>400</v>
      </c>
      <c r="O700" s="254"/>
      <c r="P700" s="254"/>
      <c r="Q700" s="254"/>
      <c r="R700" s="254">
        <f>IF(B700="","",SUM(O700:Q700))</f>
        <v>0</v>
      </c>
      <c r="S700" s="235">
        <v>8</v>
      </c>
      <c r="T700" s="243" t="s">
        <v>2168</v>
      </c>
    </row>
    <row r="701" spans="1:20" ht="22.5" customHeight="1" x14ac:dyDescent="0.25">
      <c r="A701" s="188" t="str">
        <f>IF(B701="","",B701&amp;"-"&amp;TEXT(COUNTIF(B$2:B701,B701),"000"))</f>
        <v/>
      </c>
      <c r="B701" s="332"/>
      <c r="C701" s="234" t="s">
        <v>2102</v>
      </c>
      <c r="D701" s="21" t="s">
        <v>2089</v>
      </c>
      <c r="E701" s="26" t="s">
        <v>2103</v>
      </c>
      <c r="F701" s="241" t="s">
        <v>22</v>
      </c>
      <c r="G701" s="243" t="s">
        <v>2040</v>
      </c>
      <c r="H701" s="245" t="s">
        <v>2407</v>
      </c>
      <c r="I701" s="247">
        <v>46237</v>
      </c>
      <c r="J701" s="247">
        <v>46239</v>
      </c>
      <c r="K701" s="235" t="s">
        <v>32</v>
      </c>
      <c r="L701" s="302">
        <v>0</v>
      </c>
      <c r="M701" s="250"/>
      <c r="N701" s="251">
        <v>15</v>
      </c>
      <c r="O701" s="254"/>
      <c r="P701" s="254"/>
      <c r="Q701" s="254"/>
      <c r="R701" s="254" t="str">
        <f>IF(B701="","",SUM(O701:Q701))</f>
        <v/>
      </c>
      <c r="S701" s="235">
        <v>15</v>
      </c>
      <c r="T701" s="243" t="s">
        <v>2042</v>
      </c>
    </row>
    <row r="702" spans="1:20" ht="22.5" customHeight="1" x14ac:dyDescent="0.25">
      <c r="A702" s="189" t="str">
        <f>IF(B702="","",B702&amp;"-"&amp;TEXT(COUNTIF(B$2:B702,B702),"000"))</f>
        <v>2026-045</v>
      </c>
      <c r="B702" s="69">
        <v>2026</v>
      </c>
      <c r="C702" s="234" t="s">
        <v>2113</v>
      </c>
      <c r="D702" s="235" t="s">
        <v>2158</v>
      </c>
      <c r="E702" s="237" t="s">
        <v>2159</v>
      </c>
      <c r="F702" s="241" t="s">
        <v>22</v>
      </c>
      <c r="G702" s="243" t="s">
        <v>56</v>
      </c>
      <c r="H702" s="245" t="s">
        <v>2145</v>
      </c>
      <c r="I702" s="247">
        <v>46244</v>
      </c>
      <c r="J702" s="247">
        <v>46245</v>
      </c>
      <c r="K702" s="235" t="s">
        <v>25</v>
      </c>
      <c r="L702" s="302">
        <v>13000</v>
      </c>
      <c r="M702" s="250"/>
      <c r="N702" s="251"/>
      <c r="O702" s="254"/>
      <c r="P702" s="254"/>
      <c r="Q702" s="254"/>
      <c r="R702" s="254">
        <f>IF(B702="","",SUM(O702:Q702))</f>
        <v>0</v>
      </c>
      <c r="S702" s="235">
        <v>10</v>
      </c>
      <c r="T702" s="243" t="s">
        <v>2161</v>
      </c>
    </row>
    <row r="703" spans="1:20" ht="22.5" customHeight="1" x14ac:dyDescent="0.25">
      <c r="A703" s="188" t="str">
        <f>IF(B703="","",B703&amp;"-"&amp;TEXT(COUNTIF(B$2:B703,B703),"000"))</f>
        <v>2026-046</v>
      </c>
      <c r="B703" s="69">
        <v>2026</v>
      </c>
      <c r="C703" s="234" t="s">
        <v>2102</v>
      </c>
      <c r="D703" s="236" t="s">
        <v>2190</v>
      </c>
      <c r="E703" s="240" t="s">
        <v>2191</v>
      </c>
      <c r="F703" s="242" t="s">
        <v>51</v>
      </c>
      <c r="G703" s="244" t="s">
        <v>59</v>
      </c>
      <c r="H703" s="246" t="s">
        <v>2160</v>
      </c>
      <c r="I703" s="248">
        <v>46244</v>
      </c>
      <c r="J703" s="248">
        <v>46245</v>
      </c>
      <c r="K703" s="236" t="s">
        <v>32</v>
      </c>
      <c r="L703" s="302"/>
      <c r="M703" s="250"/>
      <c r="N703" s="252">
        <v>40</v>
      </c>
      <c r="O703" s="255"/>
      <c r="P703" s="255"/>
      <c r="Q703" s="255"/>
      <c r="R703" s="255">
        <f>IF(B703="","",SUM(O703:Q703))</f>
        <v>0</v>
      </c>
      <c r="S703" s="236">
        <v>8</v>
      </c>
      <c r="T703" s="260" t="s">
        <v>2192</v>
      </c>
    </row>
    <row r="704" spans="1:20" ht="22.5" customHeight="1" x14ac:dyDescent="0.25">
      <c r="A704" s="189" t="str">
        <f>IF(B704="","",B704&amp;"-"&amp;TEXT(COUNTIF(B$2:B704,B704),"000"))</f>
        <v>2026-047</v>
      </c>
      <c r="B704" s="69">
        <v>2026</v>
      </c>
      <c r="C704" s="234" t="s">
        <v>2102</v>
      </c>
      <c r="D704" s="235" t="s">
        <v>2379</v>
      </c>
      <c r="E704" s="237" t="s">
        <v>2400</v>
      </c>
      <c r="F704" s="241" t="s">
        <v>51</v>
      </c>
      <c r="G704" s="243" t="s">
        <v>59</v>
      </c>
      <c r="H704" s="245" t="s">
        <v>2382</v>
      </c>
      <c r="I704" s="247">
        <v>46244</v>
      </c>
      <c r="J704" s="247">
        <v>46244</v>
      </c>
      <c r="K704" s="235" t="s">
        <v>32</v>
      </c>
      <c r="L704" s="302">
        <v>1990</v>
      </c>
      <c r="M704" s="250"/>
      <c r="N704" s="251">
        <v>20</v>
      </c>
      <c r="O704" s="254"/>
      <c r="P704" s="254"/>
      <c r="Q704" s="254"/>
      <c r="R704" s="254">
        <f>IF(B704="","",SUM(O704:Q704))</f>
        <v>0</v>
      </c>
      <c r="S704" s="235">
        <v>4</v>
      </c>
      <c r="T704" s="243" t="s">
        <v>1847</v>
      </c>
    </row>
    <row r="705" spans="1:21" ht="22.5" customHeight="1" x14ac:dyDescent="0.25">
      <c r="A705" s="188" t="str">
        <f>IF(B705="","",B705&amp;"-"&amp;TEXT(COUNTIF(B$2:B705,B705),"000"))</f>
        <v>2026-048</v>
      </c>
      <c r="B705" s="69">
        <v>2026</v>
      </c>
      <c r="C705" s="234" t="s">
        <v>2102</v>
      </c>
      <c r="D705" s="236" t="s">
        <v>2384</v>
      </c>
      <c r="E705" s="239" t="s">
        <v>2402</v>
      </c>
      <c r="F705" s="242" t="s">
        <v>51</v>
      </c>
      <c r="G705" s="244" t="s">
        <v>59</v>
      </c>
      <c r="H705" s="246" t="s">
        <v>2382</v>
      </c>
      <c r="I705" s="248">
        <v>46244</v>
      </c>
      <c r="J705" s="248">
        <v>46244</v>
      </c>
      <c r="K705" s="236" t="s">
        <v>32</v>
      </c>
      <c r="L705" s="302">
        <v>3520</v>
      </c>
      <c r="M705" s="250"/>
      <c r="N705" s="252">
        <v>30</v>
      </c>
      <c r="O705" s="255"/>
      <c r="P705" s="255"/>
      <c r="Q705" s="255"/>
      <c r="R705" s="255">
        <f>IF(B705="","",SUM(O705:Q705))</f>
        <v>0</v>
      </c>
      <c r="S705" s="236">
        <v>4</v>
      </c>
      <c r="T705" s="244" t="s">
        <v>2386</v>
      </c>
    </row>
    <row r="706" spans="1:21" ht="22.5" customHeight="1" x14ac:dyDescent="0.25">
      <c r="A706" s="189" t="str">
        <f>IF(B706="","",B706&amp;"-"&amp;TEXT(COUNTIF(B$2:B706,B706),"000"))</f>
        <v>2026-049</v>
      </c>
      <c r="B706" s="69">
        <v>2026</v>
      </c>
      <c r="C706" s="234" t="s">
        <v>2102</v>
      </c>
      <c r="D706" s="235" t="s">
        <v>2387</v>
      </c>
      <c r="E706" s="237" t="s">
        <v>2403</v>
      </c>
      <c r="F706" s="241" t="s">
        <v>51</v>
      </c>
      <c r="G706" s="243" t="s">
        <v>59</v>
      </c>
      <c r="H706" s="245" t="s">
        <v>2388</v>
      </c>
      <c r="I706" s="247">
        <v>46245</v>
      </c>
      <c r="J706" s="247">
        <v>46245</v>
      </c>
      <c r="K706" s="235" t="s">
        <v>32</v>
      </c>
      <c r="L706" s="302">
        <v>3520</v>
      </c>
      <c r="M706" s="250"/>
      <c r="N706" s="251">
        <v>30</v>
      </c>
      <c r="O706" s="254"/>
      <c r="P706" s="254"/>
      <c r="Q706" s="254"/>
      <c r="R706" s="254">
        <f>IF(B706="","",SUM(O706:Q706))</f>
        <v>0</v>
      </c>
      <c r="S706" s="235">
        <v>4</v>
      </c>
      <c r="T706" s="243" t="s">
        <v>1855</v>
      </c>
    </row>
    <row r="707" spans="1:21" ht="22.5" customHeight="1" x14ac:dyDescent="0.25">
      <c r="A707" s="188" t="str">
        <f>IF(B707="","",B707&amp;"-"&amp;TEXT(COUNTIF(B$2:B707,B707),"000"))</f>
        <v>2026-050</v>
      </c>
      <c r="B707" s="69">
        <v>2026</v>
      </c>
      <c r="C707" s="234" t="s">
        <v>2102</v>
      </c>
      <c r="D707" s="236" t="s">
        <v>2378</v>
      </c>
      <c r="E707" s="239" t="s">
        <v>2380</v>
      </c>
      <c r="F707" s="242" t="s">
        <v>51</v>
      </c>
      <c r="G707" s="244" t="s">
        <v>59</v>
      </c>
      <c r="H707" s="246" t="s">
        <v>2381</v>
      </c>
      <c r="I707" s="248">
        <v>46246</v>
      </c>
      <c r="J707" s="248">
        <v>46246</v>
      </c>
      <c r="K707" s="236" t="s">
        <v>32</v>
      </c>
      <c r="L707" s="302">
        <v>2347</v>
      </c>
      <c r="M707" s="250"/>
      <c r="N707" s="252">
        <v>50</v>
      </c>
      <c r="O707" s="255"/>
      <c r="P707" s="255"/>
      <c r="Q707" s="255"/>
      <c r="R707" s="255">
        <f>IF(B707="","",SUM(O707:Q707))</f>
        <v>0</v>
      </c>
      <c r="S707" s="236">
        <v>4</v>
      </c>
      <c r="T707" s="244" t="s">
        <v>1477</v>
      </c>
    </row>
    <row r="708" spans="1:21" ht="22.5" customHeight="1" x14ac:dyDescent="0.25">
      <c r="A708" s="189" t="str">
        <f>IF(B708="","",B708&amp;"-"&amp;TEXT(COUNTIF(B$2:B708,B708),"000"))</f>
        <v>2026-051</v>
      </c>
      <c r="B708" s="69">
        <v>2026</v>
      </c>
      <c r="C708" s="234" t="s">
        <v>2102</v>
      </c>
      <c r="D708" s="236" t="s">
        <v>2389</v>
      </c>
      <c r="E708" s="239" t="s">
        <v>2404</v>
      </c>
      <c r="F708" s="242" t="s">
        <v>51</v>
      </c>
      <c r="G708" s="244" t="s">
        <v>59</v>
      </c>
      <c r="H708" s="246" t="s">
        <v>2381</v>
      </c>
      <c r="I708" s="248">
        <v>46246</v>
      </c>
      <c r="J708" s="248">
        <v>46246</v>
      </c>
      <c r="K708" s="236" t="s">
        <v>32</v>
      </c>
      <c r="L708" s="302">
        <v>3520</v>
      </c>
      <c r="M708" s="250"/>
      <c r="N708" s="252">
        <v>30</v>
      </c>
      <c r="O708" s="255"/>
      <c r="P708" s="255"/>
      <c r="Q708" s="255"/>
      <c r="R708" s="255">
        <f>IF(B708="","",SUM(O708:Q708))</f>
        <v>0</v>
      </c>
      <c r="S708" s="236">
        <v>4</v>
      </c>
      <c r="T708" s="244" t="s">
        <v>2391</v>
      </c>
    </row>
    <row r="709" spans="1:21" ht="22.5" customHeight="1" x14ac:dyDescent="0.25">
      <c r="A709" s="188" t="str">
        <f>IF(B709="","",B709&amp;"-"&amp;TEXT(COUNTIF(B$2:B709,B709),"000"))</f>
        <v>2026-052</v>
      </c>
      <c r="B709" s="69">
        <v>2026</v>
      </c>
      <c r="C709" s="234" t="s">
        <v>2102</v>
      </c>
      <c r="D709" s="235" t="s">
        <v>2374</v>
      </c>
      <c r="E709" s="237" t="s">
        <v>2399</v>
      </c>
      <c r="F709" s="241" t="s">
        <v>51</v>
      </c>
      <c r="G709" s="243" t="s">
        <v>59</v>
      </c>
      <c r="H709" s="245" t="s">
        <v>2375</v>
      </c>
      <c r="I709" s="247">
        <v>46247</v>
      </c>
      <c r="J709" s="247">
        <v>46247</v>
      </c>
      <c r="K709" s="235" t="s">
        <v>32</v>
      </c>
      <c r="L709" s="302">
        <v>1770</v>
      </c>
      <c r="M709" s="250"/>
      <c r="N709" s="251">
        <v>50</v>
      </c>
      <c r="O709" s="254"/>
      <c r="P709" s="254"/>
      <c r="Q709" s="254"/>
      <c r="R709" s="254">
        <f>IF(B709="","",SUM(O709:Q709))</f>
        <v>0</v>
      </c>
      <c r="S709" s="235">
        <v>4</v>
      </c>
      <c r="T709" s="243" t="s">
        <v>2377</v>
      </c>
      <c r="U709" s="230"/>
    </row>
    <row r="710" spans="1:21" ht="22.5" customHeight="1" x14ac:dyDescent="0.25">
      <c r="A710" s="189" t="str">
        <f>IF(B710="","",B710&amp;"-"&amp;TEXT(COUNTIF(B$2:B710,B710),"000"))</f>
        <v>2026-053</v>
      </c>
      <c r="B710" s="69">
        <v>2026</v>
      </c>
      <c r="C710" s="234" t="s">
        <v>2102</v>
      </c>
      <c r="D710" s="235" t="s">
        <v>2392</v>
      </c>
      <c r="E710" s="237" t="s">
        <v>2405</v>
      </c>
      <c r="F710" s="241" t="s">
        <v>51</v>
      </c>
      <c r="G710" s="243" t="s">
        <v>59</v>
      </c>
      <c r="H710" s="245" t="s">
        <v>2375</v>
      </c>
      <c r="I710" s="247">
        <v>46247</v>
      </c>
      <c r="J710" s="247">
        <v>46247</v>
      </c>
      <c r="K710" s="235" t="s">
        <v>32</v>
      </c>
      <c r="L710" s="302">
        <v>3520</v>
      </c>
      <c r="M710" s="250"/>
      <c r="N710" s="251">
        <v>30</v>
      </c>
      <c r="O710" s="254"/>
      <c r="P710" s="254"/>
      <c r="Q710" s="254"/>
      <c r="R710" s="254">
        <f>IF(B710="","",SUM(O710:Q710))</f>
        <v>0</v>
      </c>
      <c r="S710" s="235">
        <v>4</v>
      </c>
      <c r="T710" s="243" t="s">
        <v>2394</v>
      </c>
    </row>
    <row r="711" spans="1:21" ht="22.5" customHeight="1" x14ac:dyDescent="0.25">
      <c r="A711" s="188" t="str">
        <f>IF(B711="","",B711&amp;"-"&amp;TEXT(COUNTIF(B$2:B711,B711),"000"))</f>
        <v>2026-054</v>
      </c>
      <c r="B711" s="69">
        <v>2026</v>
      </c>
      <c r="C711" s="234" t="s">
        <v>2102</v>
      </c>
      <c r="D711" s="235" t="s">
        <v>2084</v>
      </c>
      <c r="E711" s="237" t="s">
        <v>2181</v>
      </c>
      <c r="F711" s="241" t="s">
        <v>66</v>
      </c>
      <c r="G711" s="243" t="s">
        <v>2072</v>
      </c>
      <c r="H711" s="245" t="s">
        <v>2182</v>
      </c>
      <c r="I711" s="247">
        <v>46254</v>
      </c>
      <c r="J711" s="247">
        <v>46254</v>
      </c>
      <c r="K711" s="235" t="s">
        <v>32</v>
      </c>
      <c r="L711" s="302"/>
      <c r="M711" s="250"/>
      <c r="N711" s="251">
        <v>80</v>
      </c>
      <c r="O711" s="254"/>
      <c r="P711" s="254"/>
      <c r="Q711" s="254"/>
      <c r="R711" s="254">
        <f>IF(B711="","",SUM(O711:Q711))</f>
        <v>0</v>
      </c>
      <c r="S711" s="235">
        <v>4</v>
      </c>
      <c r="T711" s="259" t="s">
        <v>2183</v>
      </c>
    </row>
    <row r="712" spans="1:21" ht="22.5" customHeight="1" x14ac:dyDescent="0.25">
      <c r="A712" s="189" t="str">
        <f>IF(B712="","",B712&amp;"-"&amp;TEXT(COUNTIF(B$2:B712,B712),"000"))</f>
        <v>2026-055</v>
      </c>
      <c r="B712" s="69">
        <v>2026</v>
      </c>
      <c r="C712" s="234" t="s">
        <v>2102</v>
      </c>
      <c r="D712" s="235" t="s">
        <v>2084</v>
      </c>
      <c r="E712" s="240" t="s">
        <v>2181</v>
      </c>
      <c r="F712" s="242" t="s">
        <v>66</v>
      </c>
      <c r="G712" s="244" t="s">
        <v>2072</v>
      </c>
      <c r="H712" s="246" t="s">
        <v>2184</v>
      </c>
      <c r="I712" s="248">
        <v>46255</v>
      </c>
      <c r="J712" s="248">
        <v>46255</v>
      </c>
      <c r="K712" s="236" t="s">
        <v>32</v>
      </c>
      <c r="L712" s="302"/>
      <c r="M712" s="250"/>
      <c r="N712" s="252">
        <v>80</v>
      </c>
      <c r="O712" s="255"/>
      <c r="P712" s="255"/>
      <c r="Q712" s="255"/>
      <c r="R712" s="255">
        <f>IF(B712="","",SUM(O712:Q712))</f>
        <v>0</v>
      </c>
      <c r="S712" s="236">
        <v>4</v>
      </c>
      <c r="T712" s="260" t="s">
        <v>2185</v>
      </c>
    </row>
    <row r="713" spans="1:21" ht="22.5" customHeight="1" x14ac:dyDescent="0.25">
      <c r="A713" s="189" t="str">
        <f>IF(B713="","",B713&amp;"-"&amp;TEXT(COUNTIF(B$2:B713,B713),"000"))</f>
        <v>2026-056</v>
      </c>
      <c r="B713" s="69">
        <v>2026</v>
      </c>
      <c r="C713" s="47" t="s">
        <v>2102</v>
      </c>
      <c r="D713" s="21" t="s">
        <v>2114</v>
      </c>
      <c r="E713" s="81" t="s">
        <v>2115</v>
      </c>
      <c r="F713" s="28" t="s">
        <v>66</v>
      </c>
      <c r="G713" s="19" t="s">
        <v>2072</v>
      </c>
      <c r="H713" s="35" t="s">
        <v>2408</v>
      </c>
      <c r="I713" s="36">
        <v>46273</v>
      </c>
      <c r="J713" s="36">
        <v>46283</v>
      </c>
      <c r="K713" s="21" t="s">
        <v>25</v>
      </c>
      <c r="L713" s="297">
        <v>25200</v>
      </c>
      <c r="M713" s="183"/>
      <c r="N713" s="40">
        <v>60</v>
      </c>
      <c r="O713" s="22"/>
      <c r="P713" s="22"/>
      <c r="Q713" s="22"/>
      <c r="R713" s="22">
        <f>SUM(O713:Q713)</f>
        <v>0</v>
      </c>
      <c r="S713" s="21">
        <v>32</v>
      </c>
      <c r="T713" s="19" t="s">
        <v>2116</v>
      </c>
    </row>
    <row r="714" spans="1:21" ht="22.5" customHeight="1" x14ac:dyDescent="0.25">
      <c r="A714" s="189" t="str">
        <f>IF(B714="","",B714&amp;"-"&amp;TEXT(COUNTIF(B$2:B714,B714),"000"))</f>
        <v>2026-057</v>
      </c>
      <c r="B714" s="69">
        <v>2026</v>
      </c>
      <c r="C714" s="234" t="s">
        <v>2102</v>
      </c>
      <c r="D714" s="235" t="s">
        <v>2084</v>
      </c>
      <c r="E714" s="237" t="s">
        <v>2181</v>
      </c>
      <c r="F714" s="241" t="s">
        <v>66</v>
      </c>
      <c r="G714" s="243" t="s">
        <v>2072</v>
      </c>
      <c r="H714" s="245" t="s">
        <v>2186</v>
      </c>
      <c r="I714" s="247">
        <v>46289</v>
      </c>
      <c r="J714" s="247">
        <v>46289</v>
      </c>
      <c r="K714" s="235" t="s">
        <v>32</v>
      </c>
      <c r="L714" s="302"/>
      <c r="M714" s="250"/>
      <c r="N714" s="251">
        <v>80</v>
      </c>
      <c r="O714" s="254"/>
      <c r="P714" s="254"/>
      <c r="Q714" s="254"/>
      <c r="R714" s="254">
        <f>IF(B714="","",SUM(O714:Q714))</f>
        <v>0</v>
      </c>
      <c r="S714" s="235">
        <v>4</v>
      </c>
      <c r="T714" s="260" t="s">
        <v>2185</v>
      </c>
    </row>
    <row r="715" spans="1:21" ht="22.5" customHeight="1" x14ac:dyDescent="0.25">
      <c r="A715" s="188" t="str">
        <f>IF(B715="","",B715&amp;"-"&amp;TEXT(COUNTIF(B$2:B715,B715),"000"))</f>
        <v>2026-058</v>
      </c>
      <c r="B715" s="69">
        <v>2026</v>
      </c>
      <c r="C715" s="234" t="s">
        <v>2102</v>
      </c>
      <c r="D715" s="235" t="s">
        <v>2084</v>
      </c>
      <c r="E715" s="240" t="s">
        <v>2181</v>
      </c>
      <c r="F715" s="242" t="s">
        <v>66</v>
      </c>
      <c r="G715" s="244" t="s">
        <v>2072</v>
      </c>
      <c r="H715" s="246" t="s">
        <v>2187</v>
      </c>
      <c r="I715" s="248">
        <v>46290</v>
      </c>
      <c r="J715" s="248">
        <v>46290</v>
      </c>
      <c r="K715" s="236" t="s">
        <v>32</v>
      </c>
      <c r="L715" s="302"/>
      <c r="M715" s="250"/>
      <c r="N715" s="252">
        <v>80</v>
      </c>
      <c r="O715" s="255"/>
      <c r="P715" s="255"/>
      <c r="Q715" s="255"/>
      <c r="R715" s="255">
        <f>IF(B715="","",SUM(O715:Q715))</f>
        <v>0</v>
      </c>
      <c r="S715" s="236">
        <v>4</v>
      </c>
      <c r="T715" s="260" t="s">
        <v>2185</v>
      </c>
    </row>
    <row r="716" spans="1:21" ht="22.5" customHeight="1" x14ac:dyDescent="0.25">
      <c r="A716" s="189" t="str">
        <f>IF(B716="","",B716&amp;"-"&amp;TEXT(COUNTIF(B$2:B716,B716),"000"))</f>
        <v>2026-059</v>
      </c>
      <c r="B716" s="69">
        <v>2026</v>
      </c>
      <c r="C716" s="234" t="s">
        <v>2102</v>
      </c>
      <c r="D716" s="235" t="s">
        <v>2084</v>
      </c>
      <c r="E716" s="237" t="s">
        <v>2181</v>
      </c>
      <c r="F716" s="241" t="s">
        <v>66</v>
      </c>
      <c r="G716" s="243" t="s">
        <v>2072</v>
      </c>
      <c r="H716" s="245" t="s">
        <v>2193</v>
      </c>
      <c r="I716" s="247">
        <v>46303</v>
      </c>
      <c r="J716" s="247">
        <v>46303</v>
      </c>
      <c r="K716" s="235" t="s">
        <v>32</v>
      </c>
      <c r="L716" s="302"/>
      <c r="M716" s="250"/>
      <c r="N716" s="251"/>
      <c r="O716" s="254"/>
      <c r="P716" s="254"/>
      <c r="Q716" s="254"/>
      <c r="R716" s="254">
        <f>IF(B716="","",SUM(O716:Q716))</f>
        <v>0</v>
      </c>
      <c r="S716" s="235">
        <v>4</v>
      </c>
      <c r="T716" s="260" t="s">
        <v>2185</v>
      </c>
    </row>
    <row r="717" spans="1:21" ht="22.5" customHeight="1" x14ac:dyDescent="0.25">
      <c r="A717" s="188" t="str">
        <f>IF(B717="","",B717&amp;"-"&amp;TEXT(COUNTIF(B$2:B717,B717),"000"))</f>
        <v>2026-060</v>
      </c>
      <c r="B717" s="69">
        <v>2026</v>
      </c>
      <c r="C717" s="234" t="s">
        <v>2102</v>
      </c>
      <c r="D717" s="236" t="s">
        <v>2084</v>
      </c>
      <c r="E717" s="240" t="s">
        <v>2181</v>
      </c>
      <c r="F717" s="242" t="s">
        <v>66</v>
      </c>
      <c r="G717" s="244" t="s">
        <v>2072</v>
      </c>
      <c r="H717" s="246" t="s">
        <v>2194</v>
      </c>
      <c r="I717" s="248">
        <v>46304</v>
      </c>
      <c r="J717" s="248">
        <v>46274</v>
      </c>
      <c r="K717" s="236" t="s">
        <v>32</v>
      </c>
      <c r="L717" s="302"/>
      <c r="M717" s="250"/>
      <c r="N717" s="252"/>
      <c r="O717" s="255"/>
      <c r="P717" s="255"/>
      <c r="Q717" s="255"/>
      <c r="R717" s="255">
        <f>IF(B717="","",SUM(O717:Q717))</f>
        <v>0</v>
      </c>
      <c r="S717" s="236">
        <v>4</v>
      </c>
      <c r="T717" s="260" t="s">
        <v>2185</v>
      </c>
    </row>
    <row r="718" spans="1:21" ht="22.5" customHeight="1" x14ac:dyDescent="0.25">
      <c r="A718" s="189" t="str">
        <f>IF(B718="","",B718&amp;"-"&amp;TEXT(COUNTIF(B$2:B718,B718),"000"))</f>
        <v>2026-061</v>
      </c>
      <c r="B718" s="69">
        <v>2026</v>
      </c>
      <c r="C718" s="234" t="s">
        <v>2102</v>
      </c>
      <c r="D718" s="235" t="s">
        <v>2117</v>
      </c>
      <c r="E718" s="237" t="s">
        <v>2118</v>
      </c>
      <c r="F718" s="241" t="s">
        <v>51</v>
      </c>
      <c r="G718" s="243" t="s">
        <v>59</v>
      </c>
      <c r="H718" s="245" t="s">
        <v>2119</v>
      </c>
      <c r="I718" s="247">
        <v>46321</v>
      </c>
      <c r="J718" s="247">
        <v>46322</v>
      </c>
      <c r="K718" s="249" t="s">
        <v>25</v>
      </c>
      <c r="L718" s="302"/>
      <c r="M718" s="250"/>
      <c r="N718" s="251">
        <v>170</v>
      </c>
      <c r="O718" s="254"/>
      <c r="P718" s="254"/>
      <c r="Q718" s="254"/>
      <c r="R718" s="254">
        <f>IF(B718="","",SUM(O718:Q718))</f>
        <v>0</v>
      </c>
      <c r="S718" s="235">
        <v>14</v>
      </c>
      <c r="T718" s="257" t="s">
        <v>365</v>
      </c>
    </row>
    <row r="719" spans="1:21" ht="22.5" customHeight="1" x14ac:dyDescent="0.25">
      <c r="A719" s="188" t="str">
        <f>IF(B719="","",B719&amp;"-"&amp;TEXT(COUNTIF(B$2:B719,B719),"000"))</f>
        <v>2026-062</v>
      </c>
      <c r="B719" s="63">
        <v>2026</v>
      </c>
      <c r="C719" s="21" t="s">
        <v>2102</v>
      </c>
      <c r="D719" s="163" t="s">
        <v>2110</v>
      </c>
      <c r="E719" s="310" t="s">
        <v>2111</v>
      </c>
      <c r="F719" s="30" t="s">
        <v>51</v>
      </c>
      <c r="G719" s="20" t="s">
        <v>59</v>
      </c>
      <c r="H719" s="165" t="s">
        <v>2112</v>
      </c>
      <c r="I719" s="166">
        <v>46335</v>
      </c>
      <c r="J719" s="166">
        <v>46335</v>
      </c>
      <c r="K719" s="23" t="s">
        <v>25</v>
      </c>
      <c r="L719" s="300"/>
      <c r="M719" s="184"/>
      <c r="N719" s="167">
        <v>170</v>
      </c>
      <c r="O719" s="168"/>
      <c r="P719" s="168"/>
      <c r="Q719" s="168"/>
      <c r="R719" s="168">
        <f>SUM(O719:Q719)</f>
        <v>0</v>
      </c>
      <c r="S719" s="163">
        <v>14</v>
      </c>
      <c r="T719" s="20" t="s">
        <v>365</v>
      </c>
    </row>
    <row r="720" spans="1:21" ht="22.5" customHeight="1" x14ac:dyDescent="0.25">
      <c r="A720" s="282" t="str">
        <f>IF(B720="","",B720&amp;"-"&amp;TEXT(COUNTIF(B$2:B720,B720),"000"))</f>
        <v>2026-063</v>
      </c>
      <c r="B720" s="69">
        <v>2026</v>
      </c>
      <c r="C720" s="261" t="s">
        <v>2102</v>
      </c>
      <c r="D720" s="284" t="s">
        <v>2173</v>
      </c>
      <c r="E720" s="285" t="s">
        <v>2174</v>
      </c>
      <c r="F720" s="333" t="s">
        <v>51</v>
      </c>
      <c r="G720" s="287" t="s">
        <v>59</v>
      </c>
      <c r="H720" s="289" t="s">
        <v>2145</v>
      </c>
      <c r="I720" s="291" t="s">
        <v>2175</v>
      </c>
      <c r="J720" s="291" t="s">
        <v>2176</v>
      </c>
      <c r="K720" s="284" t="s">
        <v>32</v>
      </c>
      <c r="L720" s="303"/>
      <c r="M720" s="264"/>
      <c r="N720" s="292"/>
      <c r="O720" s="293"/>
      <c r="P720" s="293"/>
      <c r="Q720" s="293"/>
      <c r="R720" s="293">
        <f>IF(B720="","",SUM(O720:Q720))</f>
        <v>0</v>
      </c>
      <c r="S720" s="284">
        <v>17.45</v>
      </c>
      <c r="T720" s="287" t="s">
        <v>2177</v>
      </c>
    </row>
    <row r="721" spans="1:20" ht="22.5" customHeight="1" x14ac:dyDescent="0.25">
      <c r="A721" s="188" t="str">
        <f>IF(B721="","",B721&amp;"-"&amp;TEXT(COUNTIF(B$2:B721,B721),"000"))</f>
        <v>2026-064</v>
      </c>
      <c r="B721" s="21">
        <v>2026</v>
      </c>
      <c r="C721" s="234" t="s">
        <v>2102</v>
      </c>
      <c r="D721" s="236" t="s">
        <v>2398</v>
      </c>
      <c r="E721" s="238" t="s">
        <v>2406</v>
      </c>
      <c r="F721" s="242" t="s">
        <v>51</v>
      </c>
      <c r="G721" s="244" t="s">
        <v>59</v>
      </c>
      <c r="H721" s="334" t="s">
        <v>2395</v>
      </c>
      <c r="I721" s="335" t="s">
        <v>2395</v>
      </c>
      <c r="J721" s="335" t="s">
        <v>2395</v>
      </c>
      <c r="K721" s="236" t="s">
        <v>32</v>
      </c>
      <c r="L721" s="302">
        <v>3520</v>
      </c>
      <c r="M721" s="250"/>
      <c r="N721" s="252">
        <v>30</v>
      </c>
      <c r="O721" s="255"/>
      <c r="P721" s="255"/>
      <c r="Q721" s="255"/>
      <c r="R721" s="336">
        <f>IF(B721="","",SUM(O721:Q721))</f>
        <v>0</v>
      </c>
      <c r="S721" s="236">
        <v>4</v>
      </c>
      <c r="T721" s="244" t="s">
        <v>2397</v>
      </c>
    </row>
    <row r="722" spans="1:20" ht="22.5" customHeight="1" x14ac:dyDescent="0.25">
      <c r="A722" s="189" t="str">
        <f>IF(B722="","",B722&amp;"-"&amp;TEXT(COUNTIF(B$2:B722,B722),"000"))</f>
        <v/>
      </c>
      <c r="B722" s="233"/>
      <c r="C722" s="234"/>
      <c r="D722" s="236" t="s">
        <v>2409</v>
      </c>
      <c r="E722" s="239" t="s">
        <v>2410</v>
      </c>
      <c r="F722" s="242" t="s">
        <v>51</v>
      </c>
      <c r="G722" s="244" t="s">
        <v>59</v>
      </c>
      <c r="H722" s="337" t="s">
        <v>2411</v>
      </c>
      <c r="I722" s="248">
        <v>46259</v>
      </c>
      <c r="J722" s="248">
        <v>46268</v>
      </c>
      <c r="K722" s="236" t="s">
        <v>174</v>
      </c>
      <c r="L722" s="302"/>
      <c r="M722" s="250"/>
      <c r="N722" s="252">
        <v>30</v>
      </c>
      <c r="O722" s="255"/>
      <c r="P722" s="255"/>
      <c r="Q722" s="255"/>
      <c r="R722" s="255" t="str">
        <f>IF(B722="","",SUM(O722:Q722))</f>
        <v/>
      </c>
      <c r="S722" s="236">
        <v>20</v>
      </c>
      <c r="T722" s="244" t="s">
        <v>2414</v>
      </c>
    </row>
    <row r="723" spans="1:20" ht="22.5" customHeight="1" x14ac:dyDescent="0.25">
      <c r="A723" s="188" t="str">
        <f>IF(B723="","",B723&amp;"-"&amp;TEXT(COUNTIF(B$2:B723,B723),"000"))</f>
        <v/>
      </c>
      <c r="B723" s="232"/>
      <c r="C723" s="234"/>
      <c r="D723" s="235"/>
      <c r="E723" s="237"/>
      <c r="F723" s="241"/>
      <c r="G723" s="243"/>
      <c r="H723" s="245"/>
      <c r="I723" s="247"/>
      <c r="J723" s="247"/>
      <c r="K723" s="235"/>
      <c r="L723" s="302"/>
      <c r="M723" s="250"/>
      <c r="N723" s="251"/>
      <c r="O723" s="254"/>
      <c r="P723" s="254"/>
      <c r="Q723" s="254"/>
      <c r="R723" s="254" t="str">
        <f>IF(B723="","",SUM(O723:Q723))</f>
        <v/>
      </c>
      <c r="S723" s="235"/>
      <c r="T723" s="243"/>
    </row>
    <row r="724" spans="1:20" ht="22.5" customHeight="1" x14ac:dyDescent="0.25">
      <c r="A724" s="189" t="str">
        <f>IF(B724="","",B724&amp;"-"&amp;TEXT(COUNTIF(B$2:B724,B724),"000"))</f>
        <v/>
      </c>
      <c r="B724" s="233"/>
      <c r="C724" s="234"/>
      <c r="D724" s="236"/>
      <c r="E724" s="239"/>
      <c r="F724" s="242"/>
      <c r="G724" s="244"/>
      <c r="H724" s="246"/>
      <c r="I724" s="248"/>
      <c r="J724" s="248"/>
      <c r="K724" s="236"/>
      <c r="L724" s="302"/>
      <c r="M724" s="250"/>
      <c r="N724" s="252"/>
      <c r="O724" s="255"/>
      <c r="P724" s="255"/>
      <c r="Q724" s="255"/>
      <c r="R724" s="255" t="str">
        <f>IF(B724="","",SUM(O724:Q724))</f>
        <v/>
      </c>
      <c r="S724" s="236"/>
      <c r="T724" s="244"/>
    </row>
    <row r="725" spans="1:20" ht="22.5" customHeight="1" x14ac:dyDescent="0.25">
      <c r="A725" s="188" t="str">
        <f>IF(B725="","",B725&amp;"-"&amp;TEXT(COUNTIF(B$2:B725,B725),"000"))</f>
        <v/>
      </c>
      <c r="B725" s="232"/>
      <c r="C725" s="234"/>
      <c r="D725" s="235"/>
      <c r="E725" s="237"/>
      <c r="F725" s="241"/>
      <c r="G725" s="243"/>
      <c r="H725" s="245"/>
      <c r="I725" s="247"/>
      <c r="J725" s="247"/>
      <c r="K725" s="235"/>
      <c r="L725" s="302"/>
      <c r="M725" s="250"/>
      <c r="N725" s="251"/>
      <c r="O725" s="254"/>
      <c r="P725" s="254"/>
      <c r="Q725" s="254"/>
      <c r="R725" s="254" t="str">
        <f>IF(B725="","",SUM(O725:Q725))</f>
        <v/>
      </c>
      <c r="S725" s="235"/>
      <c r="T725" s="243"/>
    </row>
    <row r="726" spans="1:20" ht="22.5" customHeight="1" x14ac:dyDescent="0.25">
      <c r="A726" s="189" t="str">
        <f>IF(B726="","",B726&amp;"-"&amp;TEXT(COUNTIF(B$2:B726,B726),"000"))</f>
        <v/>
      </c>
      <c r="B726" s="233"/>
      <c r="C726" s="234"/>
      <c r="D726" s="236"/>
      <c r="E726" s="239"/>
      <c r="F726" s="242"/>
      <c r="G726" s="244"/>
      <c r="H726" s="246"/>
      <c r="I726" s="248"/>
      <c r="J726" s="248"/>
      <c r="K726" s="236"/>
      <c r="L726" s="302"/>
      <c r="M726" s="250"/>
      <c r="N726" s="252"/>
      <c r="O726" s="255"/>
      <c r="P726" s="255"/>
      <c r="Q726" s="255"/>
      <c r="R726" s="255" t="str">
        <f>IF(B726="","",SUM(O726:Q726))</f>
        <v/>
      </c>
      <c r="S726" s="236"/>
      <c r="T726" s="244"/>
    </row>
    <row r="727" spans="1:20" ht="22.5" customHeight="1" x14ac:dyDescent="0.25">
      <c r="A727" s="188" t="str">
        <f>IF(B727="","",B727&amp;"-"&amp;TEXT(COUNTIF(B$2:B727,B727),"000"))</f>
        <v/>
      </c>
      <c r="B727" s="232"/>
      <c r="C727" s="234"/>
      <c r="D727" s="235"/>
      <c r="E727" s="237"/>
      <c r="F727" s="241"/>
      <c r="G727" s="243"/>
      <c r="H727" s="245"/>
      <c r="I727" s="247"/>
      <c r="J727" s="247"/>
      <c r="K727" s="235"/>
      <c r="L727" s="302"/>
      <c r="M727" s="250"/>
      <c r="N727" s="251"/>
      <c r="O727" s="254"/>
      <c r="P727" s="254"/>
      <c r="Q727" s="254"/>
      <c r="R727" s="254" t="str">
        <f>IF(B727="","",SUM(O727:Q727))</f>
        <v/>
      </c>
      <c r="S727" s="235"/>
      <c r="T727" s="243"/>
    </row>
    <row r="728" spans="1:20" ht="22.5" customHeight="1" x14ac:dyDescent="0.25">
      <c r="A728" s="189" t="str">
        <f>IF(B728="","",B728&amp;"-"&amp;TEXT(COUNTIF(B$2:B728,B728),"000"))</f>
        <v/>
      </c>
      <c r="B728" s="233"/>
      <c r="C728" s="234"/>
      <c r="D728" s="236"/>
      <c r="E728" s="239"/>
      <c r="F728" s="242"/>
      <c r="G728" s="244"/>
      <c r="H728" s="246"/>
      <c r="I728" s="248"/>
      <c r="J728" s="248"/>
      <c r="K728" s="236"/>
      <c r="L728" s="302"/>
      <c r="M728" s="250"/>
      <c r="N728" s="252"/>
      <c r="O728" s="255"/>
      <c r="P728" s="255"/>
      <c r="Q728" s="255"/>
      <c r="R728" s="255" t="str">
        <f>IF(B728="","",SUM(O728:Q728))</f>
        <v/>
      </c>
      <c r="S728" s="236"/>
      <c r="T728" s="244"/>
    </row>
    <row r="729" spans="1:20" ht="22.5" customHeight="1" x14ac:dyDescent="0.25">
      <c r="A729" s="188" t="str">
        <f>IF(B729="","",B729&amp;"-"&amp;TEXT(COUNTIF(B$2:B729,B729),"000"))</f>
        <v/>
      </c>
      <c r="B729" s="232"/>
      <c r="C729" s="234"/>
      <c r="D729" s="235"/>
      <c r="E729" s="237"/>
      <c r="F729" s="241"/>
      <c r="G729" s="243"/>
      <c r="H729" s="245"/>
      <c r="I729" s="247"/>
      <c r="J729" s="247"/>
      <c r="K729" s="235"/>
      <c r="L729" s="302"/>
      <c r="M729" s="250"/>
      <c r="N729" s="251"/>
      <c r="O729" s="254"/>
      <c r="P729" s="254"/>
      <c r="Q729" s="254"/>
      <c r="R729" s="254" t="str">
        <f>IF(B729="","",SUM(O729:Q729))</f>
        <v/>
      </c>
      <c r="S729" s="235"/>
      <c r="T729" s="243"/>
    </row>
    <row r="730" spans="1:20" ht="22.5" customHeight="1" x14ac:dyDescent="0.25">
      <c r="A730" s="189" t="str">
        <f>IF(B730="","",B730&amp;"-"&amp;TEXT(COUNTIF(B$2:B730,B730),"000"))</f>
        <v/>
      </c>
      <c r="B730" s="233"/>
      <c r="C730" s="234"/>
      <c r="D730" s="236"/>
      <c r="E730" s="239"/>
      <c r="F730" s="242"/>
      <c r="G730" s="244"/>
      <c r="H730" s="246"/>
      <c r="I730" s="248"/>
      <c r="J730" s="248"/>
      <c r="K730" s="236"/>
      <c r="L730" s="302"/>
      <c r="M730" s="250"/>
      <c r="N730" s="252"/>
      <c r="O730" s="255"/>
      <c r="P730" s="255"/>
      <c r="Q730" s="255"/>
      <c r="R730" s="255" t="str">
        <f>IF(B730="","",SUM(O730:Q730))</f>
        <v/>
      </c>
      <c r="S730" s="236"/>
      <c r="T730" s="244"/>
    </row>
    <row r="731" spans="1:20" ht="22.5" customHeight="1" x14ac:dyDescent="0.25">
      <c r="A731" s="188" t="str">
        <f>IF(B731="","",B731&amp;"-"&amp;TEXT(COUNTIF(B$2:B731,B731),"000"))</f>
        <v/>
      </c>
      <c r="B731" s="232"/>
      <c r="C731" s="234"/>
      <c r="D731" s="235"/>
      <c r="E731" s="237"/>
      <c r="F731" s="241"/>
      <c r="G731" s="243"/>
      <c r="H731" s="245"/>
      <c r="I731" s="247"/>
      <c r="J731" s="247"/>
      <c r="K731" s="235"/>
      <c r="L731" s="302"/>
      <c r="M731" s="250"/>
      <c r="N731" s="251"/>
      <c r="O731" s="254"/>
      <c r="P731" s="254"/>
      <c r="Q731" s="254"/>
      <c r="R731" s="254" t="str">
        <f>IF(B731="","",SUM(O731:Q731))</f>
        <v/>
      </c>
      <c r="S731" s="235"/>
      <c r="T731" s="243"/>
    </row>
    <row r="732" spans="1:20" ht="22.5" customHeight="1" x14ac:dyDescent="0.25">
      <c r="A732" s="189" t="str">
        <f>IF(B732="","",B732&amp;"-"&amp;TEXT(COUNTIF(B$2:B732,B732),"000"))</f>
        <v/>
      </c>
      <c r="B732" s="233"/>
      <c r="C732" s="234"/>
      <c r="D732" s="236"/>
      <c r="E732" s="239"/>
      <c r="F732" s="242"/>
      <c r="G732" s="244"/>
      <c r="H732" s="246"/>
      <c r="I732" s="248"/>
      <c r="J732" s="248"/>
      <c r="K732" s="236"/>
      <c r="L732" s="302"/>
      <c r="M732" s="250"/>
      <c r="N732" s="252"/>
      <c r="O732" s="255"/>
      <c r="P732" s="255"/>
      <c r="Q732" s="255"/>
      <c r="R732" s="255" t="str">
        <f>IF(B732="","",SUM(O732:Q732))</f>
        <v/>
      </c>
      <c r="S732" s="236"/>
      <c r="T732" s="244"/>
    </row>
    <row r="733" spans="1:20" ht="22.5" customHeight="1" x14ac:dyDescent="0.25">
      <c r="A733" s="188" t="str">
        <f>IF(B733="","",B733&amp;"-"&amp;TEXT(COUNTIF(B$2:B733,B733),"000"))</f>
        <v/>
      </c>
      <c r="B733" s="232"/>
      <c r="C733" s="234"/>
      <c r="D733" s="235"/>
      <c r="E733" s="237"/>
      <c r="F733" s="241"/>
      <c r="G733" s="243"/>
      <c r="H733" s="245"/>
      <c r="I733" s="247"/>
      <c r="J733" s="247"/>
      <c r="K733" s="235"/>
      <c r="L733" s="302"/>
      <c r="M733" s="250"/>
      <c r="N733" s="251"/>
      <c r="O733" s="254"/>
      <c r="P733" s="254"/>
      <c r="Q733" s="254"/>
      <c r="R733" s="254" t="str">
        <f>IF(B733="","",SUM(O733:Q733))</f>
        <v/>
      </c>
      <c r="S733" s="235"/>
      <c r="T733" s="243"/>
    </row>
    <row r="734" spans="1:20" ht="22.5" customHeight="1" x14ac:dyDescent="0.25">
      <c r="A734" s="189" t="str">
        <f>IF(B734="","",B734&amp;"-"&amp;TEXT(COUNTIF(B$2:B734,B734),"000"))</f>
        <v/>
      </c>
      <c r="B734" s="233"/>
      <c r="C734" s="234"/>
      <c r="D734" s="236"/>
      <c r="E734" s="239"/>
      <c r="F734" s="242"/>
      <c r="G734" s="244"/>
      <c r="H734" s="246"/>
      <c r="I734" s="248"/>
      <c r="J734" s="248"/>
      <c r="K734" s="236"/>
      <c r="L734" s="302"/>
      <c r="M734" s="250"/>
      <c r="N734" s="252"/>
      <c r="O734" s="255"/>
      <c r="P734" s="255"/>
      <c r="Q734" s="255"/>
      <c r="R734" s="255" t="str">
        <f>IF(B734="","",SUM(O734:Q734))</f>
        <v/>
      </c>
      <c r="S734" s="236"/>
      <c r="T734" s="244"/>
    </row>
    <row r="735" spans="1:20" ht="22.5" customHeight="1" x14ac:dyDescent="0.25">
      <c r="A735" s="188" t="str">
        <f>IF(B735="","",B735&amp;"-"&amp;TEXT(COUNTIF(B$2:B735,B735),"000"))</f>
        <v/>
      </c>
      <c r="B735" s="232"/>
      <c r="C735" s="234"/>
      <c r="D735" s="235"/>
      <c r="E735" s="237"/>
      <c r="F735" s="241"/>
      <c r="G735" s="243"/>
      <c r="H735" s="245"/>
      <c r="I735" s="247"/>
      <c r="J735" s="247"/>
      <c r="K735" s="235"/>
      <c r="L735" s="302"/>
      <c r="M735" s="250"/>
      <c r="N735" s="251"/>
      <c r="O735" s="254"/>
      <c r="P735" s="254"/>
      <c r="Q735" s="254"/>
      <c r="R735" s="254" t="str">
        <f>IF(B735="","",SUM(O735:Q735))</f>
        <v/>
      </c>
      <c r="S735" s="235"/>
      <c r="T735" s="243"/>
    </row>
    <row r="736" spans="1:20" ht="22.5" customHeight="1" x14ac:dyDescent="0.25">
      <c r="A736" s="189" t="str">
        <f>IF(B736="","",B736&amp;"-"&amp;TEXT(COUNTIF(B$2:B736,B736),"000"))</f>
        <v/>
      </c>
      <c r="B736" s="233"/>
      <c r="C736" s="234"/>
      <c r="D736" s="236"/>
      <c r="E736" s="239"/>
      <c r="F736" s="242"/>
      <c r="G736" s="244"/>
      <c r="H736" s="246"/>
      <c r="I736" s="248"/>
      <c r="J736" s="248"/>
      <c r="K736" s="236"/>
      <c r="L736" s="302"/>
      <c r="M736" s="250"/>
      <c r="N736" s="252"/>
      <c r="O736" s="255"/>
      <c r="P736" s="255"/>
      <c r="Q736" s="255"/>
      <c r="R736" s="255" t="str">
        <f>IF(B736="","",SUM(O736:Q736))</f>
        <v/>
      </c>
      <c r="S736" s="236"/>
      <c r="T736" s="244"/>
    </row>
    <row r="737" spans="1:20" ht="22.5" customHeight="1" x14ac:dyDescent="0.25">
      <c r="A737" s="188" t="str">
        <f>IF(B737="","",B737&amp;"-"&amp;TEXT(COUNTIF(B$2:B737,B737),"000"))</f>
        <v/>
      </c>
      <c r="B737" s="232"/>
      <c r="C737" s="234"/>
      <c r="D737" s="235"/>
      <c r="E737" s="237"/>
      <c r="F737" s="241"/>
      <c r="G737" s="243"/>
      <c r="H737" s="245"/>
      <c r="I737" s="247"/>
      <c r="J737" s="247"/>
      <c r="K737" s="235"/>
      <c r="L737" s="302"/>
      <c r="M737" s="250"/>
      <c r="N737" s="251"/>
      <c r="O737" s="254"/>
      <c r="P737" s="254"/>
      <c r="Q737" s="254"/>
      <c r="R737" s="254" t="str">
        <f>IF(B737="","",SUM(O737:Q737))</f>
        <v/>
      </c>
      <c r="S737" s="235"/>
      <c r="T737" s="243"/>
    </row>
    <row r="738" spans="1:20" ht="22.5" customHeight="1" x14ac:dyDescent="0.25">
      <c r="A738" s="189" t="str">
        <f>IF(B738="","",B738&amp;"-"&amp;TEXT(COUNTIF(B$2:B738,B738),"000"))</f>
        <v/>
      </c>
      <c r="B738" s="233"/>
      <c r="C738" s="234"/>
      <c r="D738" s="236"/>
      <c r="E738" s="239"/>
      <c r="F738" s="242"/>
      <c r="G738" s="244"/>
      <c r="H738" s="246"/>
      <c r="I738" s="248"/>
      <c r="J738" s="248"/>
      <c r="K738" s="236"/>
      <c r="L738" s="302"/>
      <c r="M738" s="250"/>
      <c r="N738" s="252"/>
      <c r="O738" s="255"/>
      <c r="P738" s="255"/>
      <c r="Q738" s="255"/>
      <c r="R738" s="255" t="str">
        <f>IF(B738="","",SUM(O738:Q738))</f>
        <v/>
      </c>
      <c r="S738" s="236"/>
      <c r="T738" s="244"/>
    </row>
    <row r="739" spans="1:20" ht="22.5" customHeight="1" x14ac:dyDescent="0.25">
      <c r="A739" s="188" t="str">
        <f>IF(B739="","",B739&amp;"-"&amp;TEXT(COUNTIF(B$2:B739,B739),"000"))</f>
        <v/>
      </c>
      <c r="B739" s="232"/>
      <c r="C739" s="234"/>
      <c r="D739" s="235"/>
      <c r="E739" s="237"/>
      <c r="F739" s="241"/>
      <c r="G739" s="243"/>
      <c r="H739" s="245"/>
      <c r="I739" s="247"/>
      <c r="J739" s="247"/>
      <c r="K739" s="235"/>
      <c r="L739" s="302"/>
      <c r="M739" s="250"/>
      <c r="N739" s="251"/>
      <c r="O739" s="254"/>
      <c r="P739" s="254"/>
      <c r="Q739" s="254"/>
      <c r="R739" s="254" t="str">
        <f>IF(B739="","",SUM(O739:Q739))</f>
        <v/>
      </c>
      <c r="S739" s="235"/>
      <c r="T739" s="243"/>
    </row>
    <row r="740" spans="1:20" ht="22.5" customHeight="1" x14ac:dyDescent="0.25">
      <c r="A740" s="189" t="str">
        <f>IF(B740="","",B740&amp;"-"&amp;TEXT(COUNTIF(B$2:B740,B740),"000"))</f>
        <v/>
      </c>
      <c r="B740" s="233"/>
      <c r="C740" s="234"/>
      <c r="D740" s="236"/>
      <c r="E740" s="239"/>
      <c r="F740" s="242"/>
      <c r="G740" s="244"/>
      <c r="H740" s="246"/>
      <c r="I740" s="248"/>
      <c r="J740" s="248"/>
      <c r="K740" s="236"/>
      <c r="L740" s="302"/>
      <c r="M740" s="250"/>
      <c r="N740" s="252"/>
      <c r="O740" s="255"/>
      <c r="P740" s="255"/>
      <c r="Q740" s="255"/>
      <c r="R740" s="255" t="str">
        <f>IF(B740="","",SUM(O740:Q740))</f>
        <v/>
      </c>
      <c r="S740" s="236"/>
      <c r="T740" s="244"/>
    </row>
    <row r="741" spans="1:20" ht="22.5" customHeight="1" x14ac:dyDescent="0.25">
      <c r="A741" s="188" t="str">
        <f>IF(B741="","",B741&amp;"-"&amp;TEXT(COUNTIF(B$2:B741,B741),"000"))</f>
        <v/>
      </c>
      <c r="B741" s="232"/>
      <c r="C741" s="234"/>
      <c r="D741" s="235"/>
      <c r="E741" s="237"/>
      <c r="F741" s="241"/>
      <c r="G741" s="243"/>
      <c r="H741" s="245"/>
      <c r="I741" s="247"/>
      <c r="J741" s="247"/>
      <c r="K741" s="235"/>
      <c r="L741" s="302"/>
      <c r="M741" s="250"/>
      <c r="N741" s="251"/>
      <c r="O741" s="254"/>
      <c r="P741" s="254"/>
      <c r="Q741" s="254"/>
      <c r="R741" s="254" t="str">
        <f>IF(B741="","",SUM(O741:Q741))</f>
        <v/>
      </c>
      <c r="S741" s="235"/>
      <c r="T741" s="243"/>
    </row>
    <row r="742" spans="1:20" ht="22.5" customHeight="1" x14ac:dyDescent="0.25">
      <c r="A742" s="189" t="str">
        <f>IF(B742="","",B742&amp;"-"&amp;TEXT(COUNTIF(B$2:B742,B742),"000"))</f>
        <v/>
      </c>
      <c r="B742" s="233"/>
      <c r="C742" s="234"/>
      <c r="D742" s="236"/>
      <c r="E742" s="239"/>
      <c r="F742" s="242"/>
      <c r="G742" s="244"/>
      <c r="H742" s="246"/>
      <c r="I742" s="248"/>
      <c r="J742" s="248"/>
      <c r="K742" s="236"/>
      <c r="L742" s="302"/>
      <c r="M742" s="250"/>
      <c r="N742" s="252"/>
      <c r="O742" s="255"/>
      <c r="P742" s="255"/>
      <c r="Q742" s="255"/>
      <c r="R742" s="255" t="str">
        <f>IF(B742="","",SUM(O742:Q742))</f>
        <v/>
      </c>
      <c r="S742" s="236"/>
      <c r="T742" s="244"/>
    </row>
    <row r="743" spans="1:20" ht="22.5" customHeight="1" x14ac:dyDescent="0.25">
      <c r="A743" s="188" t="str">
        <f>IF(B743="","",B743&amp;"-"&amp;TEXT(COUNTIF(B$2:B743,B743),"000"))</f>
        <v/>
      </c>
      <c r="B743" s="232"/>
      <c r="C743" s="234"/>
      <c r="D743" s="235"/>
      <c r="E743" s="237"/>
      <c r="F743" s="241"/>
      <c r="G743" s="243"/>
      <c r="H743" s="245"/>
      <c r="I743" s="247"/>
      <c r="J743" s="247"/>
      <c r="K743" s="235"/>
      <c r="L743" s="302"/>
      <c r="M743" s="250"/>
      <c r="N743" s="251"/>
      <c r="O743" s="254"/>
      <c r="P743" s="254"/>
      <c r="Q743" s="254"/>
      <c r="R743" s="254" t="str">
        <f>IF(B743="","",SUM(O743:Q743))</f>
        <v/>
      </c>
      <c r="S743" s="235"/>
      <c r="T743" s="243"/>
    </row>
    <row r="744" spans="1:20" ht="22.5" customHeight="1" x14ac:dyDescent="0.25">
      <c r="A744" s="189" t="str">
        <f>IF(B744="","",B744&amp;"-"&amp;TEXT(COUNTIF(B$2:B744,B744),"000"))</f>
        <v/>
      </c>
      <c r="B744" s="233"/>
      <c r="C744" s="234"/>
      <c r="D744" s="236"/>
      <c r="E744" s="239"/>
      <c r="F744" s="242"/>
      <c r="G744" s="244"/>
      <c r="H744" s="246"/>
      <c r="I744" s="248"/>
      <c r="J744" s="248"/>
      <c r="K744" s="236"/>
      <c r="L744" s="302"/>
      <c r="M744" s="250"/>
      <c r="N744" s="252"/>
      <c r="O744" s="255"/>
      <c r="P744" s="255"/>
      <c r="Q744" s="255"/>
      <c r="R744" s="255" t="str">
        <f>IF(B744="","",SUM(O744:Q744))</f>
        <v/>
      </c>
      <c r="S744" s="236"/>
      <c r="T744" s="244"/>
    </row>
    <row r="745" spans="1:20" ht="22.5" customHeight="1" x14ac:dyDescent="0.25">
      <c r="A745" s="188" t="str">
        <f>IF(B745="","",B745&amp;"-"&amp;TEXT(COUNTIF(B$2:B745,B745),"000"))</f>
        <v/>
      </c>
      <c r="B745" s="232"/>
      <c r="C745" s="234"/>
      <c r="D745" s="235"/>
      <c r="E745" s="237"/>
      <c r="F745" s="241"/>
      <c r="G745" s="243"/>
      <c r="H745" s="245"/>
      <c r="I745" s="247"/>
      <c r="J745" s="247"/>
      <c r="K745" s="235"/>
      <c r="L745" s="302"/>
      <c r="M745" s="250"/>
      <c r="N745" s="251"/>
      <c r="O745" s="254"/>
      <c r="P745" s="254"/>
      <c r="Q745" s="254"/>
      <c r="R745" s="254" t="str">
        <f>IF(B745="","",SUM(O745:Q745))</f>
        <v/>
      </c>
      <c r="S745" s="235"/>
      <c r="T745" s="243"/>
    </row>
    <row r="746" spans="1:20" ht="22.5" customHeight="1" x14ac:dyDescent="0.25">
      <c r="A746" s="189" t="str">
        <f>IF(B746="","",B746&amp;"-"&amp;TEXT(COUNTIF(B$2:B746,B746),"000"))</f>
        <v/>
      </c>
      <c r="B746" s="233"/>
      <c r="C746" s="234"/>
      <c r="D746" s="236"/>
      <c r="E746" s="239"/>
      <c r="F746" s="242"/>
      <c r="G746" s="244"/>
      <c r="H746" s="246"/>
      <c r="I746" s="248"/>
      <c r="J746" s="248"/>
      <c r="K746" s="236"/>
      <c r="L746" s="302"/>
      <c r="M746" s="250"/>
      <c r="N746" s="252"/>
      <c r="O746" s="255"/>
      <c r="P746" s="255"/>
      <c r="Q746" s="255"/>
      <c r="R746" s="255" t="str">
        <f>IF(B746="","",SUM(O746:Q746))</f>
        <v/>
      </c>
      <c r="S746" s="236"/>
      <c r="T746" s="244"/>
    </row>
    <row r="747" spans="1:20" ht="22.5" customHeight="1" x14ac:dyDescent="0.25">
      <c r="A747" s="188" t="str">
        <f>IF(B747="","",B747&amp;"-"&amp;TEXT(COUNTIF(B$2:B747,B747),"000"))</f>
        <v/>
      </c>
      <c r="B747" s="232"/>
      <c r="C747" s="234"/>
      <c r="D747" s="235"/>
      <c r="E747" s="237"/>
      <c r="F747" s="241"/>
      <c r="G747" s="243"/>
      <c r="H747" s="245"/>
      <c r="I747" s="247"/>
      <c r="J747" s="247"/>
      <c r="K747" s="235"/>
      <c r="L747" s="302"/>
      <c r="M747" s="250"/>
      <c r="N747" s="251"/>
      <c r="O747" s="254"/>
      <c r="P747" s="254"/>
      <c r="Q747" s="254"/>
      <c r="R747" s="254" t="str">
        <f>IF(B747="","",SUM(O747:Q747))</f>
        <v/>
      </c>
      <c r="S747" s="235"/>
      <c r="T747" s="243"/>
    </row>
    <row r="748" spans="1:20" ht="22.5" customHeight="1" x14ac:dyDescent="0.25">
      <c r="A748" s="189" t="str">
        <f>IF(B748="","",B748&amp;"-"&amp;TEXT(COUNTIF(B$2:B748,B748),"000"))</f>
        <v/>
      </c>
      <c r="B748" s="233"/>
      <c r="C748" s="234"/>
      <c r="D748" s="236"/>
      <c r="E748" s="239"/>
      <c r="F748" s="242"/>
      <c r="G748" s="244"/>
      <c r="H748" s="246"/>
      <c r="I748" s="248"/>
      <c r="J748" s="248"/>
      <c r="K748" s="236"/>
      <c r="L748" s="302"/>
      <c r="M748" s="250"/>
      <c r="N748" s="252"/>
      <c r="O748" s="255"/>
      <c r="P748" s="255"/>
      <c r="Q748" s="255"/>
      <c r="R748" s="255" t="str">
        <f>IF(B748="","",SUM(O748:Q748))</f>
        <v/>
      </c>
      <c r="S748" s="236"/>
      <c r="T748" s="244"/>
    </row>
    <row r="749" spans="1:20" ht="22.5" customHeight="1" x14ac:dyDescent="0.25">
      <c r="A749" s="187"/>
      <c r="B749" s="267"/>
      <c r="C749" s="234"/>
      <c r="D749" s="234"/>
      <c r="E749" s="268"/>
      <c r="F749" s="269"/>
      <c r="G749" s="258"/>
      <c r="H749" s="270"/>
      <c r="I749" s="271"/>
      <c r="J749" s="271"/>
      <c r="K749" s="234"/>
      <c r="L749" s="307"/>
      <c r="M749" s="272"/>
      <c r="N749" s="253"/>
      <c r="O749" s="256"/>
      <c r="P749" s="256"/>
      <c r="Q749" s="256"/>
      <c r="R749" s="256"/>
      <c r="S749" s="234"/>
      <c r="T749" s="258"/>
    </row>
    <row r="750" spans="1:20" ht="22.5" customHeight="1" x14ac:dyDescent="0.25">
      <c r="B750" s="267"/>
      <c r="C750" s="234"/>
      <c r="D750" s="234"/>
      <c r="E750" s="268"/>
      <c r="F750" s="269"/>
      <c r="G750" s="258"/>
      <c r="H750" s="270"/>
      <c r="I750" s="271"/>
      <c r="J750" s="271"/>
      <c r="K750" s="234"/>
      <c r="L750" s="307"/>
      <c r="M750" s="272"/>
      <c r="N750" s="253"/>
      <c r="O750" s="256"/>
      <c r="P750" s="256"/>
      <c r="Q750" s="256"/>
      <c r="R750" s="256"/>
      <c r="S750" s="234"/>
      <c r="T750" s="258"/>
    </row>
    <row r="751" spans="1:20" ht="22.5" customHeight="1" x14ac:dyDescent="0.25">
      <c r="B751" s="267"/>
      <c r="C751" s="234"/>
      <c r="D751" s="234"/>
      <c r="E751" s="268"/>
      <c r="F751" s="269"/>
      <c r="G751" s="258"/>
      <c r="H751" s="270"/>
      <c r="I751" s="271"/>
      <c r="J751" s="271"/>
      <c r="K751" s="234"/>
      <c r="L751" s="307"/>
      <c r="M751" s="272"/>
      <c r="N751" s="253"/>
      <c r="O751" s="256"/>
      <c r="P751" s="256"/>
      <c r="Q751" s="256"/>
      <c r="R751" s="256"/>
      <c r="S751" s="234"/>
      <c r="T751" s="258"/>
    </row>
    <row r="752" spans="1:20" ht="22.5" customHeight="1" x14ac:dyDescent="0.25">
      <c r="B752" s="267"/>
      <c r="C752" s="234"/>
      <c r="D752" s="234"/>
      <c r="E752" s="268"/>
      <c r="F752" s="269"/>
      <c r="G752" s="258"/>
      <c r="H752" s="270"/>
      <c r="I752" s="271"/>
      <c r="J752" s="271"/>
      <c r="K752" s="234"/>
      <c r="L752" s="307"/>
      <c r="M752" s="272"/>
      <c r="N752" s="253"/>
      <c r="O752" s="256"/>
      <c r="P752" s="256"/>
      <c r="Q752" s="256"/>
      <c r="R752" s="256"/>
      <c r="S752" s="234"/>
      <c r="T752" s="258"/>
    </row>
    <row r="753" spans="2:20" ht="22.5" customHeight="1" x14ac:dyDescent="0.25">
      <c r="B753" s="267"/>
      <c r="C753" s="234"/>
      <c r="D753" s="234"/>
      <c r="E753" s="268"/>
      <c r="F753" s="269"/>
      <c r="G753" s="258"/>
      <c r="H753" s="270"/>
      <c r="I753" s="271"/>
      <c r="J753" s="271"/>
      <c r="K753" s="234"/>
      <c r="L753" s="307"/>
      <c r="M753" s="272"/>
      <c r="N753" s="253"/>
      <c r="O753" s="256"/>
      <c r="P753" s="256"/>
      <c r="Q753" s="256"/>
      <c r="R753" s="256"/>
      <c r="S753" s="234"/>
      <c r="T753" s="258"/>
    </row>
    <row r="754" spans="2:20" ht="22.5" customHeight="1" x14ac:dyDescent="0.25">
      <c r="B754" s="267"/>
      <c r="C754" s="234"/>
      <c r="D754" s="234"/>
      <c r="E754" s="268"/>
      <c r="F754" s="269"/>
      <c r="G754" s="258"/>
      <c r="H754" s="270"/>
      <c r="I754" s="271"/>
      <c r="J754" s="271"/>
      <c r="K754" s="234"/>
      <c r="L754" s="307"/>
      <c r="M754" s="272"/>
      <c r="N754" s="253"/>
      <c r="O754" s="256"/>
      <c r="P754" s="256"/>
      <c r="Q754" s="256"/>
      <c r="R754" s="256"/>
      <c r="S754" s="234"/>
      <c r="T754" s="258"/>
    </row>
    <row r="755" spans="2:20" ht="22.5" customHeight="1" x14ac:dyDescent="0.25">
      <c r="B755" s="267"/>
      <c r="C755" s="234"/>
      <c r="D755" s="234"/>
      <c r="E755" s="268"/>
      <c r="F755" s="269"/>
      <c r="G755" s="258"/>
      <c r="H755" s="270"/>
      <c r="I755" s="271"/>
      <c r="J755" s="271"/>
      <c r="K755" s="234"/>
      <c r="L755" s="307"/>
      <c r="M755" s="272"/>
      <c r="N755" s="253"/>
      <c r="O755" s="256"/>
      <c r="P755" s="256"/>
      <c r="Q755" s="256"/>
      <c r="R755" s="256"/>
      <c r="S755" s="234"/>
      <c r="T755" s="258"/>
    </row>
    <row r="756" spans="2:20" ht="22.5" customHeight="1" x14ac:dyDescent="0.25">
      <c r="B756" s="267"/>
      <c r="C756" s="234"/>
      <c r="D756" s="234"/>
      <c r="E756" s="268"/>
      <c r="F756" s="269"/>
      <c r="G756" s="258"/>
      <c r="H756" s="270"/>
      <c r="I756" s="271"/>
      <c r="J756" s="271"/>
      <c r="K756" s="234"/>
      <c r="L756" s="307"/>
      <c r="M756" s="272"/>
      <c r="N756" s="253"/>
      <c r="O756" s="256"/>
      <c r="P756" s="256"/>
      <c r="Q756" s="256"/>
      <c r="R756" s="256"/>
      <c r="S756" s="234"/>
      <c r="T756" s="258"/>
    </row>
    <row r="757" spans="2:20" ht="22.5" customHeight="1" x14ac:dyDescent="0.25">
      <c r="B757" s="267"/>
      <c r="C757" s="234"/>
      <c r="D757" s="234"/>
      <c r="E757" s="268"/>
      <c r="F757" s="269"/>
      <c r="G757" s="258"/>
      <c r="H757" s="270"/>
      <c r="I757" s="271"/>
      <c r="J757" s="271"/>
      <c r="K757" s="234"/>
      <c r="L757" s="307"/>
      <c r="M757" s="272"/>
      <c r="N757" s="253"/>
      <c r="O757" s="256"/>
      <c r="P757" s="256"/>
      <c r="Q757" s="256"/>
      <c r="R757" s="256"/>
      <c r="S757" s="234"/>
      <c r="T757" s="258"/>
    </row>
    <row r="758" spans="2:20" ht="22.5" customHeight="1" x14ac:dyDescent="0.25">
      <c r="B758" s="267"/>
      <c r="C758" s="234"/>
      <c r="D758" s="234"/>
      <c r="E758" s="268"/>
      <c r="F758" s="269"/>
      <c r="G758" s="258"/>
      <c r="H758" s="270"/>
      <c r="I758" s="271"/>
      <c r="J758" s="271"/>
      <c r="K758" s="234"/>
      <c r="L758" s="307"/>
      <c r="M758" s="272"/>
      <c r="N758" s="253"/>
      <c r="O758" s="256"/>
      <c r="P758" s="256"/>
      <c r="Q758" s="256"/>
      <c r="R758" s="256"/>
      <c r="S758" s="234"/>
      <c r="T758" s="258"/>
    </row>
    <row r="759" spans="2:20" ht="22.5" customHeight="1" x14ac:dyDescent="0.25">
      <c r="B759" s="267"/>
      <c r="C759" s="234"/>
      <c r="D759" s="234"/>
      <c r="E759" s="268"/>
      <c r="F759" s="269"/>
      <c r="G759" s="258"/>
      <c r="H759" s="270"/>
      <c r="I759" s="271"/>
      <c r="J759" s="271"/>
      <c r="K759" s="234"/>
      <c r="L759" s="307"/>
      <c r="M759" s="272"/>
      <c r="N759" s="253"/>
      <c r="O759" s="256"/>
      <c r="P759" s="256"/>
      <c r="Q759" s="256"/>
      <c r="R759" s="256"/>
      <c r="S759" s="234"/>
      <c r="T759" s="258"/>
    </row>
    <row r="760" spans="2:20" ht="22.5" customHeight="1" x14ac:dyDescent="0.25">
      <c r="B760" s="267"/>
      <c r="C760" s="234"/>
      <c r="D760" s="234"/>
      <c r="E760" s="268"/>
      <c r="F760" s="269"/>
      <c r="G760" s="258"/>
      <c r="H760" s="270"/>
      <c r="I760" s="271"/>
      <c r="J760" s="271"/>
      <c r="K760" s="234"/>
      <c r="L760" s="307"/>
      <c r="M760" s="272"/>
      <c r="N760" s="253"/>
      <c r="O760" s="256"/>
      <c r="P760" s="256"/>
      <c r="Q760" s="256"/>
      <c r="R760" s="256"/>
      <c r="S760" s="234"/>
      <c r="T760" s="258"/>
    </row>
    <row r="761" spans="2:20" ht="22.5" customHeight="1" x14ac:dyDescent="0.25">
      <c r="B761" s="267"/>
      <c r="C761" s="234"/>
      <c r="D761" s="234"/>
      <c r="E761" s="268"/>
      <c r="F761" s="269"/>
      <c r="G761" s="258"/>
      <c r="H761" s="270"/>
      <c r="I761" s="271"/>
      <c r="J761" s="271"/>
      <c r="K761" s="234"/>
      <c r="L761" s="307"/>
      <c r="M761" s="272"/>
      <c r="N761" s="253"/>
      <c r="O761" s="256"/>
      <c r="P761" s="256"/>
      <c r="Q761" s="256"/>
      <c r="R761" s="256"/>
      <c r="S761" s="234"/>
      <c r="T761" s="258"/>
    </row>
    <row r="762" spans="2:20" ht="22.5" customHeight="1" x14ac:dyDescent="0.25">
      <c r="B762" s="267"/>
      <c r="C762" s="234"/>
      <c r="D762" s="234"/>
      <c r="E762" s="268"/>
      <c r="F762" s="269"/>
      <c r="G762" s="258"/>
      <c r="H762" s="270"/>
      <c r="I762" s="271"/>
      <c r="J762" s="271"/>
      <c r="K762" s="234"/>
      <c r="L762" s="307"/>
      <c r="M762" s="272"/>
      <c r="N762" s="253"/>
      <c r="O762" s="256"/>
      <c r="P762" s="256"/>
      <c r="Q762" s="256"/>
      <c r="R762" s="256"/>
      <c r="S762" s="234"/>
      <c r="T762" s="258"/>
    </row>
    <row r="763" spans="2:20" ht="22.5" customHeight="1" x14ac:dyDescent="0.25">
      <c r="B763" s="267"/>
      <c r="C763" s="234"/>
      <c r="D763" s="234"/>
      <c r="E763" s="268"/>
      <c r="F763" s="269"/>
      <c r="G763" s="258"/>
      <c r="H763" s="270"/>
      <c r="I763" s="271"/>
      <c r="J763" s="271"/>
      <c r="K763" s="234"/>
      <c r="L763" s="307"/>
      <c r="M763" s="272"/>
      <c r="N763" s="253"/>
      <c r="O763" s="256"/>
      <c r="P763" s="256"/>
      <c r="Q763" s="256"/>
      <c r="R763" s="256"/>
      <c r="S763" s="234"/>
      <c r="T763" s="258"/>
    </row>
    <row r="764" spans="2:20" ht="22.5" customHeight="1" x14ac:dyDescent="0.25">
      <c r="B764" s="267"/>
      <c r="C764" s="234"/>
      <c r="D764" s="234"/>
      <c r="E764" s="268"/>
      <c r="F764" s="269"/>
      <c r="G764" s="258"/>
      <c r="H764" s="270"/>
      <c r="I764" s="271"/>
      <c r="J764" s="271"/>
      <c r="K764" s="234"/>
      <c r="L764" s="307"/>
      <c r="M764" s="272"/>
      <c r="N764" s="253"/>
      <c r="O764" s="256"/>
      <c r="P764" s="256"/>
      <c r="Q764" s="256"/>
      <c r="R764" s="256"/>
      <c r="S764" s="234"/>
      <c r="T764" s="258"/>
    </row>
    <row r="765" spans="2:20" ht="22.5" customHeight="1" x14ac:dyDescent="0.25">
      <c r="B765" s="267"/>
      <c r="C765" s="234"/>
      <c r="D765" s="234"/>
      <c r="E765" s="268"/>
      <c r="F765" s="269"/>
      <c r="G765" s="258"/>
      <c r="H765" s="270"/>
      <c r="I765" s="271"/>
      <c r="J765" s="271"/>
      <c r="K765" s="234"/>
      <c r="L765" s="307"/>
      <c r="M765" s="272"/>
      <c r="N765" s="253"/>
      <c r="O765" s="256"/>
      <c r="P765" s="256"/>
      <c r="Q765" s="256"/>
      <c r="R765" s="256"/>
      <c r="S765" s="234"/>
      <c r="T765" s="258"/>
    </row>
    <row r="766" spans="2:20" ht="22.5" customHeight="1" x14ac:dyDescent="0.25">
      <c r="B766" s="267"/>
      <c r="C766" s="234"/>
      <c r="D766" s="234"/>
      <c r="E766" s="268"/>
      <c r="F766" s="269"/>
      <c r="G766" s="258"/>
      <c r="H766" s="270"/>
      <c r="I766" s="271"/>
      <c r="J766" s="271"/>
      <c r="K766" s="234"/>
      <c r="L766" s="307"/>
      <c r="M766" s="272"/>
      <c r="N766" s="253"/>
      <c r="O766" s="256"/>
      <c r="P766" s="256"/>
      <c r="Q766" s="256"/>
      <c r="R766" s="256"/>
      <c r="S766" s="234"/>
      <c r="T766" s="258"/>
    </row>
    <row r="767" spans="2:20" ht="22.5" customHeight="1" x14ac:dyDescent="0.25">
      <c r="B767" s="267"/>
      <c r="C767" s="234"/>
      <c r="D767" s="234"/>
      <c r="E767" s="268"/>
      <c r="F767" s="269"/>
      <c r="G767" s="258"/>
      <c r="H767" s="270"/>
      <c r="I767" s="271"/>
      <c r="J767" s="271"/>
      <c r="K767" s="234"/>
      <c r="L767" s="307"/>
      <c r="M767" s="272"/>
      <c r="N767" s="253"/>
      <c r="O767" s="256"/>
      <c r="P767" s="256"/>
      <c r="Q767" s="256"/>
      <c r="R767" s="256"/>
      <c r="S767" s="234"/>
      <c r="T767" s="258"/>
    </row>
    <row r="768" spans="2:20" ht="22.5" customHeight="1" x14ac:dyDescent="0.25">
      <c r="B768" s="267"/>
      <c r="C768" s="234"/>
      <c r="D768" s="234"/>
      <c r="E768" s="268"/>
      <c r="F768" s="269"/>
      <c r="G768" s="258"/>
      <c r="H768" s="270"/>
      <c r="I768" s="271"/>
      <c r="J768" s="271"/>
      <c r="K768" s="234"/>
      <c r="L768" s="307"/>
      <c r="M768" s="272"/>
      <c r="N768" s="253"/>
      <c r="O768" s="256"/>
      <c r="P768" s="256"/>
      <c r="Q768" s="256"/>
      <c r="R768" s="256"/>
      <c r="S768" s="234"/>
      <c r="T768" s="258"/>
    </row>
    <row r="769" spans="2:20" ht="22.5" customHeight="1" x14ac:dyDescent="0.25">
      <c r="B769" s="267"/>
      <c r="C769" s="234"/>
      <c r="D769" s="234"/>
      <c r="E769" s="268"/>
      <c r="F769" s="269"/>
      <c r="G769" s="258"/>
      <c r="H769" s="270"/>
      <c r="I769" s="271"/>
      <c r="J769" s="271"/>
      <c r="K769" s="234"/>
      <c r="L769" s="307"/>
      <c r="M769" s="272"/>
      <c r="N769" s="253"/>
      <c r="O769" s="256"/>
      <c r="P769" s="256"/>
      <c r="Q769" s="256"/>
      <c r="R769" s="256"/>
      <c r="S769" s="234"/>
      <c r="T769" s="258"/>
    </row>
    <row r="770" spans="2:20" ht="22.5" customHeight="1" x14ac:dyDescent="0.25">
      <c r="B770" s="267"/>
      <c r="C770" s="234"/>
      <c r="D770" s="234"/>
      <c r="E770" s="268"/>
      <c r="F770" s="269"/>
      <c r="G770" s="258"/>
      <c r="H770" s="270"/>
      <c r="I770" s="271"/>
      <c r="J770" s="271"/>
      <c r="K770" s="234"/>
      <c r="L770" s="307"/>
      <c r="M770" s="272"/>
      <c r="N770" s="253"/>
      <c r="O770" s="256"/>
      <c r="P770" s="256"/>
      <c r="Q770" s="256"/>
      <c r="R770" s="256"/>
      <c r="S770" s="234"/>
      <c r="T770" s="258"/>
    </row>
    <row r="771" spans="2:20" ht="22.5" customHeight="1" x14ac:dyDescent="0.25">
      <c r="B771" s="267"/>
      <c r="C771" s="234"/>
      <c r="D771" s="234"/>
      <c r="E771" s="268"/>
      <c r="F771" s="269"/>
      <c r="G771" s="258"/>
      <c r="H771" s="270"/>
      <c r="I771" s="271"/>
      <c r="J771" s="271"/>
      <c r="K771" s="234"/>
      <c r="L771" s="307"/>
      <c r="M771" s="272"/>
      <c r="N771" s="253"/>
      <c r="O771" s="256"/>
      <c r="P771" s="256"/>
      <c r="Q771" s="256"/>
      <c r="R771" s="256"/>
      <c r="S771" s="234"/>
      <c r="T771" s="258"/>
    </row>
    <row r="772" spans="2:20" ht="22.5" customHeight="1" x14ac:dyDescent="0.25">
      <c r="B772" s="267"/>
      <c r="C772" s="234"/>
      <c r="D772" s="234"/>
      <c r="E772" s="268"/>
      <c r="F772" s="269"/>
      <c r="G772" s="258"/>
      <c r="H772" s="270"/>
      <c r="I772" s="271"/>
      <c r="J772" s="271"/>
      <c r="K772" s="234"/>
      <c r="L772" s="307"/>
      <c r="M772" s="272"/>
      <c r="N772" s="253"/>
      <c r="O772" s="256"/>
      <c r="P772" s="256"/>
      <c r="Q772" s="256"/>
      <c r="R772" s="256"/>
      <c r="S772" s="234"/>
      <c r="T772" s="258"/>
    </row>
    <row r="773" spans="2:20" ht="22.5" customHeight="1" x14ac:dyDescent="0.25">
      <c r="B773" s="267"/>
      <c r="C773" s="234"/>
      <c r="D773" s="234"/>
      <c r="E773" s="268"/>
      <c r="F773" s="269"/>
      <c r="G773" s="258"/>
      <c r="H773" s="270"/>
      <c r="I773" s="271"/>
      <c r="J773" s="271"/>
      <c r="K773" s="234"/>
      <c r="L773" s="307"/>
      <c r="M773" s="272"/>
      <c r="N773" s="253"/>
      <c r="O773" s="256"/>
      <c r="P773" s="256"/>
      <c r="Q773" s="256"/>
      <c r="R773" s="256"/>
      <c r="S773" s="234"/>
      <c r="T773" s="258"/>
    </row>
    <row r="774" spans="2:20" ht="22.5" customHeight="1" x14ac:dyDescent="0.25">
      <c r="B774" s="267"/>
      <c r="C774" s="234"/>
      <c r="D774" s="234"/>
      <c r="E774" s="268"/>
      <c r="F774" s="269"/>
      <c r="G774" s="258"/>
      <c r="H774" s="270"/>
      <c r="I774" s="271"/>
      <c r="J774" s="271"/>
      <c r="K774" s="234"/>
      <c r="L774" s="307"/>
      <c r="M774" s="272"/>
      <c r="N774" s="253"/>
      <c r="O774" s="256"/>
      <c r="P774" s="256"/>
      <c r="Q774" s="256"/>
      <c r="R774" s="256"/>
      <c r="S774" s="234"/>
      <c r="T774" s="258"/>
    </row>
    <row r="775" spans="2:20" ht="22.5" customHeight="1" x14ac:dyDescent="0.25">
      <c r="B775" s="267"/>
      <c r="C775" s="234"/>
      <c r="D775" s="234"/>
      <c r="E775" s="268"/>
      <c r="F775" s="269"/>
      <c r="G775" s="258"/>
      <c r="H775" s="270"/>
      <c r="I775" s="271"/>
      <c r="J775" s="271"/>
      <c r="K775" s="234"/>
      <c r="L775" s="307"/>
      <c r="M775" s="272"/>
      <c r="N775" s="253"/>
      <c r="O775" s="256"/>
      <c r="P775" s="256"/>
      <c r="Q775" s="256"/>
      <c r="R775" s="256"/>
      <c r="S775" s="234"/>
      <c r="T775" s="258"/>
    </row>
    <row r="776" spans="2:20" ht="22.5" customHeight="1" x14ac:dyDescent="0.25">
      <c r="B776" s="267"/>
      <c r="C776" s="234"/>
      <c r="D776" s="234"/>
      <c r="E776" s="268"/>
      <c r="F776" s="269"/>
      <c r="G776" s="258"/>
      <c r="H776" s="270"/>
      <c r="I776" s="271"/>
      <c r="J776" s="271"/>
      <c r="K776" s="234"/>
      <c r="L776" s="307"/>
      <c r="M776" s="272"/>
      <c r="N776" s="253"/>
      <c r="O776" s="256"/>
      <c r="P776" s="256"/>
      <c r="Q776" s="256"/>
      <c r="R776" s="256"/>
      <c r="S776" s="234"/>
      <c r="T776" s="258"/>
    </row>
    <row r="777" spans="2:20" ht="22.5" customHeight="1" x14ac:dyDescent="0.25">
      <c r="B777" s="267"/>
      <c r="C777" s="234"/>
      <c r="D777" s="234"/>
      <c r="E777" s="268"/>
      <c r="F777" s="269"/>
      <c r="G777" s="258"/>
      <c r="H777" s="270"/>
      <c r="I777" s="271"/>
      <c r="J777" s="271"/>
      <c r="K777" s="234"/>
      <c r="L777" s="307"/>
      <c r="M777" s="272"/>
      <c r="N777" s="253"/>
      <c r="O777" s="256"/>
      <c r="P777" s="256"/>
      <c r="Q777" s="256"/>
      <c r="R777" s="256"/>
      <c r="S777" s="234"/>
      <c r="T777" s="258"/>
    </row>
    <row r="778" spans="2:20" ht="22.5" customHeight="1" x14ac:dyDescent="0.25">
      <c r="B778" s="267"/>
      <c r="C778" s="234"/>
      <c r="D778" s="234"/>
      <c r="E778" s="268"/>
      <c r="F778" s="269"/>
      <c r="G778" s="258"/>
      <c r="H778" s="270"/>
      <c r="I778" s="271"/>
      <c r="J778" s="271"/>
      <c r="K778" s="234"/>
      <c r="L778" s="307"/>
      <c r="M778" s="272"/>
      <c r="N778" s="253"/>
      <c r="O778" s="256"/>
      <c r="P778" s="256"/>
      <c r="Q778" s="256"/>
      <c r="R778" s="256"/>
      <c r="S778" s="234"/>
      <c r="T778" s="258"/>
    </row>
    <row r="779" spans="2:20" ht="22.5" customHeight="1" x14ac:dyDescent="0.25">
      <c r="B779" s="267"/>
      <c r="C779" s="234"/>
      <c r="D779" s="234"/>
      <c r="E779" s="268"/>
      <c r="F779" s="269"/>
      <c r="G779" s="258"/>
      <c r="H779" s="270"/>
      <c r="I779" s="271"/>
      <c r="J779" s="271"/>
      <c r="K779" s="234"/>
      <c r="L779" s="307"/>
      <c r="M779" s="272"/>
      <c r="N779" s="253"/>
      <c r="O779" s="256"/>
      <c r="P779" s="256"/>
      <c r="Q779" s="256"/>
      <c r="R779" s="256"/>
      <c r="S779" s="234"/>
      <c r="T779" s="258"/>
    </row>
    <row r="780" spans="2:20" ht="22.5" customHeight="1" x14ac:dyDescent="0.25">
      <c r="B780" s="267"/>
      <c r="C780" s="234"/>
      <c r="D780" s="234"/>
      <c r="E780" s="268"/>
      <c r="F780" s="269"/>
      <c r="G780" s="258"/>
      <c r="H780" s="270"/>
      <c r="I780" s="271"/>
      <c r="J780" s="271"/>
      <c r="K780" s="234"/>
      <c r="L780" s="307"/>
      <c r="M780" s="272"/>
      <c r="N780" s="253"/>
      <c r="O780" s="256"/>
      <c r="P780" s="256"/>
      <c r="Q780" s="256"/>
      <c r="R780" s="256"/>
      <c r="S780" s="234"/>
      <c r="T780" s="258"/>
    </row>
    <row r="781" spans="2:20" ht="22.5" customHeight="1" x14ac:dyDescent="0.25">
      <c r="B781" s="267"/>
      <c r="C781" s="234"/>
      <c r="D781" s="234"/>
      <c r="E781" s="268"/>
      <c r="F781" s="269"/>
      <c r="G781" s="258"/>
      <c r="H781" s="270"/>
      <c r="I781" s="271"/>
      <c r="J781" s="271"/>
      <c r="K781" s="234"/>
      <c r="L781" s="307"/>
      <c r="M781" s="272"/>
      <c r="N781" s="253"/>
      <c r="O781" s="256"/>
      <c r="P781" s="256"/>
      <c r="Q781" s="256"/>
      <c r="R781" s="256"/>
      <c r="S781" s="234"/>
      <c r="T781" s="258"/>
    </row>
    <row r="782" spans="2:20" ht="22.5" customHeight="1" x14ac:dyDescent="0.25">
      <c r="B782" s="267"/>
      <c r="C782" s="234"/>
      <c r="D782" s="234"/>
      <c r="E782" s="268"/>
      <c r="F782" s="269"/>
      <c r="G782" s="258"/>
      <c r="H782" s="270"/>
      <c r="I782" s="271"/>
      <c r="J782" s="271"/>
      <c r="K782" s="234"/>
      <c r="L782" s="307"/>
      <c r="M782" s="272"/>
      <c r="N782" s="253"/>
      <c r="O782" s="256"/>
      <c r="P782" s="256"/>
      <c r="Q782" s="256"/>
      <c r="R782" s="256"/>
      <c r="S782" s="234"/>
      <c r="T782" s="258"/>
    </row>
    <row r="783" spans="2:20" ht="22.5" customHeight="1" x14ac:dyDescent="0.25">
      <c r="B783" s="267"/>
      <c r="C783" s="234"/>
      <c r="D783" s="234"/>
      <c r="E783" s="268"/>
      <c r="F783" s="269"/>
      <c r="G783" s="258"/>
      <c r="H783" s="270"/>
      <c r="I783" s="271"/>
      <c r="J783" s="271"/>
      <c r="K783" s="234"/>
      <c r="L783" s="307"/>
      <c r="M783" s="272"/>
      <c r="N783" s="253"/>
      <c r="O783" s="256"/>
      <c r="P783" s="256"/>
      <c r="Q783" s="256"/>
      <c r="R783" s="256"/>
      <c r="S783" s="234"/>
      <c r="T783" s="258"/>
    </row>
    <row r="784" spans="2:20" ht="22.5" customHeight="1" x14ac:dyDescent="0.25">
      <c r="B784" s="267"/>
      <c r="C784" s="234"/>
      <c r="D784" s="234"/>
      <c r="E784" s="268"/>
      <c r="F784" s="269"/>
      <c r="G784" s="258"/>
      <c r="H784" s="270"/>
      <c r="I784" s="271"/>
      <c r="J784" s="271"/>
      <c r="K784" s="234"/>
      <c r="L784" s="307"/>
      <c r="M784" s="272"/>
      <c r="N784" s="253"/>
      <c r="O784" s="256"/>
      <c r="P784" s="256"/>
      <c r="Q784" s="256"/>
      <c r="R784" s="256"/>
      <c r="S784" s="234"/>
      <c r="T784" s="258"/>
    </row>
    <row r="785" spans="2:20" ht="22.5" customHeight="1" x14ac:dyDescent="0.25">
      <c r="B785" s="267"/>
      <c r="C785" s="234"/>
      <c r="D785" s="234"/>
      <c r="E785" s="268"/>
      <c r="F785" s="269"/>
      <c r="G785" s="258"/>
      <c r="H785" s="270"/>
      <c r="I785" s="271"/>
      <c r="J785" s="271"/>
      <c r="K785" s="234"/>
      <c r="L785" s="307"/>
      <c r="M785" s="272"/>
      <c r="N785" s="253"/>
      <c r="O785" s="256"/>
      <c r="P785" s="256"/>
      <c r="Q785" s="256"/>
      <c r="R785" s="256"/>
      <c r="S785" s="234"/>
      <c r="T785" s="258"/>
    </row>
    <row r="786" spans="2:20" ht="22.5" customHeight="1" x14ac:dyDescent="0.25">
      <c r="B786" s="267"/>
      <c r="C786" s="234"/>
      <c r="D786" s="234"/>
      <c r="E786" s="268"/>
      <c r="F786" s="269"/>
      <c r="G786" s="258"/>
      <c r="H786" s="270"/>
      <c r="I786" s="271"/>
      <c r="J786" s="271"/>
      <c r="K786" s="234"/>
      <c r="L786" s="307"/>
      <c r="M786" s="272"/>
      <c r="N786" s="253"/>
      <c r="O786" s="256"/>
      <c r="P786" s="256"/>
      <c r="Q786" s="256"/>
      <c r="R786" s="256"/>
      <c r="S786" s="234"/>
      <c r="T786" s="258"/>
    </row>
    <row r="787" spans="2:20" ht="22.5" customHeight="1" x14ac:dyDescent="0.25">
      <c r="B787" s="267"/>
      <c r="C787" s="234"/>
      <c r="D787" s="234"/>
      <c r="E787" s="268"/>
      <c r="F787" s="269"/>
      <c r="G787" s="258"/>
      <c r="H787" s="270"/>
      <c r="I787" s="271"/>
      <c r="J787" s="271"/>
      <c r="K787" s="234"/>
      <c r="L787" s="307"/>
      <c r="M787" s="272"/>
      <c r="N787" s="253"/>
      <c r="O787" s="256"/>
      <c r="P787" s="256"/>
      <c r="Q787" s="256"/>
      <c r="R787" s="256"/>
      <c r="S787" s="234"/>
      <c r="T787" s="258"/>
    </row>
    <row r="788" spans="2:20" ht="22.5" customHeight="1" x14ac:dyDescent="0.25">
      <c r="B788" s="267"/>
      <c r="C788" s="234"/>
      <c r="D788" s="234"/>
      <c r="E788" s="268"/>
      <c r="F788" s="269"/>
      <c r="G788" s="258"/>
      <c r="H788" s="270"/>
      <c r="I788" s="271"/>
      <c r="J788" s="271"/>
      <c r="K788" s="234"/>
      <c r="L788" s="307"/>
      <c r="M788" s="272"/>
      <c r="N788" s="253"/>
      <c r="O788" s="256"/>
      <c r="P788" s="256"/>
      <c r="Q788" s="256"/>
      <c r="R788" s="256"/>
      <c r="S788" s="234"/>
      <c r="T788" s="258"/>
    </row>
    <row r="789" spans="2:20" ht="22.5" customHeight="1" x14ac:dyDescent="0.25">
      <c r="B789" s="267"/>
      <c r="C789" s="234"/>
      <c r="D789" s="234"/>
      <c r="E789" s="268"/>
      <c r="F789" s="269"/>
      <c r="G789" s="258"/>
      <c r="H789" s="270"/>
      <c r="I789" s="271"/>
      <c r="J789" s="271"/>
      <c r="K789" s="234"/>
      <c r="L789" s="307"/>
      <c r="M789" s="272"/>
      <c r="N789" s="253"/>
      <c r="O789" s="256"/>
      <c r="P789" s="256"/>
      <c r="Q789" s="256"/>
      <c r="R789" s="256"/>
      <c r="S789" s="234"/>
      <c r="T789" s="258"/>
    </row>
    <row r="790" spans="2:20" ht="22.5" customHeight="1" x14ac:dyDescent="0.25">
      <c r="B790" s="267"/>
      <c r="C790" s="234"/>
      <c r="D790" s="234"/>
      <c r="E790" s="268"/>
      <c r="F790" s="269"/>
      <c r="G790" s="258"/>
      <c r="H790" s="270"/>
      <c r="I790" s="271"/>
      <c r="J790" s="271"/>
      <c r="K790" s="234"/>
      <c r="L790" s="307"/>
      <c r="M790" s="272"/>
      <c r="N790" s="253"/>
      <c r="O790" s="256"/>
      <c r="P790" s="256"/>
      <c r="Q790" s="256"/>
      <c r="R790" s="256"/>
      <c r="S790" s="234"/>
      <c r="T790" s="258"/>
    </row>
    <row r="791" spans="2:20" ht="22.5" customHeight="1" x14ac:dyDescent="0.25">
      <c r="B791" s="267"/>
      <c r="C791" s="234"/>
      <c r="D791" s="234"/>
      <c r="E791" s="268"/>
      <c r="F791" s="269"/>
      <c r="G791" s="258"/>
      <c r="H791" s="270"/>
      <c r="I791" s="271"/>
      <c r="J791" s="271"/>
      <c r="K791" s="234"/>
      <c r="L791" s="307"/>
      <c r="M791" s="272"/>
      <c r="N791" s="253"/>
      <c r="O791" s="256"/>
      <c r="P791" s="256"/>
      <c r="Q791" s="256"/>
      <c r="R791" s="256"/>
      <c r="S791" s="234"/>
      <c r="T791" s="258"/>
    </row>
    <row r="792" spans="2:20" ht="22.5" customHeight="1" x14ac:dyDescent="0.25">
      <c r="B792" s="267"/>
      <c r="C792" s="234"/>
      <c r="D792" s="234"/>
      <c r="E792" s="268"/>
      <c r="F792" s="269"/>
      <c r="G792" s="258"/>
      <c r="H792" s="270"/>
      <c r="I792" s="271"/>
      <c r="J792" s="271"/>
      <c r="K792" s="234"/>
      <c r="L792" s="307"/>
      <c r="M792" s="272"/>
      <c r="N792" s="253"/>
      <c r="O792" s="256"/>
      <c r="P792" s="256"/>
      <c r="Q792" s="256"/>
      <c r="R792" s="256"/>
      <c r="S792" s="234"/>
      <c r="T792" s="258"/>
    </row>
    <row r="793" spans="2:20" ht="22.5" customHeight="1" x14ac:dyDescent="0.25">
      <c r="B793" s="267"/>
      <c r="C793" s="234"/>
      <c r="D793" s="234"/>
      <c r="E793" s="268"/>
      <c r="F793" s="269"/>
      <c r="G793" s="258"/>
      <c r="H793" s="270"/>
      <c r="I793" s="271"/>
      <c r="J793" s="271"/>
      <c r="K793" s="234"/>
      <c r="L793" s="307"/>
      <c r="M793" s="272"/>
      <c r="N793" s="253"/>
      <c r="O793" s="256"/>
      <c r="P793" s="256"/>
      <c r="Q793" s="256"/>
      <c r="R793" s="256"/>
      <c r="S793" s="234"/>
      <c r="T793" s="258"/>
    </row>
    <row r="794" spans="2:20" ht="22.5" customHeight="1" x14ac:dyDescent="0.25">
      <c r="B794" s="267"/>
      <c r="C794" s="234"/>
      <c r="D794" s="234"/>
      <c r="E794" s="268"/>
      <c r="F794" s="269"/>
      <c r="G794" s="258"/>
      <c r="H794" s="270"/>
      <c r="I794" s="271"/>
      <c r="J794" s="271"/>
      <c r="K794" s="234"/>
      <c r="L794" s="307"/>
      <c r="M794" s="272"/>
      <c r="N794" s="253"/>
      <c r="O794" s="256"/>
      <c r="P794" s="256"/>
      <c r="Q794" s="256"/>
      <c r="R794" s="256"/>
      <c r="S794" s="234"/>
      <c r="T794" s="258"/>
    </row>
    <row r="795" spans="2:20" ht="22.5" customHeight="1" x14ac:dyDescent="0.25">
      <c r="B795" s="267"/>
      <c r="C795" s="234"/>
      <c r="D795" s="234"/>
      <c r="E795" s="268"/>
      <c r="F795" s="269"/>
      <c r="G795" s="258"/>
      <c r="H795" s="270"/>
      <c r="I795" s="271"/>
      <c r="J795" s="271"/>
      <c r="K795" s="234"/>
      <c r="L795" s="307"/>
      <c r="M795" s="272"/>
      <c r="N795" s="253"/>
      <c r="O795" s="256"/>
      <c r="P795" s="256"/>
      <c r="Q795" s="256"/>
      <c r="R795" s="256"/>
      <c r="S795" s="234"/>
      <c r="T795" s="258"/>
    </row>
    <row r="796" spans="2:20" ht="22.5" customHeight="1" x14ac:dyDescent="0.25">
      <c r="B796" s="267"/>
      <c r="C796" s="234"/>
      <c r="D796" s="234"/>
      <c r="E796" s="268"/>
      <c r="F796" s="269"/>
      <c r="G796" s="258"/>
      <c r="H796" s="270"/>
      <c r="I796" s="271"/>
      <c r="J796" s="271"/>
      <c r="K796" s="234"/>
      <c r="L796" s="307"/>
      <c r="M796" s="272"/>
      <c r="N796" s="253"/>
      <c r="O796" s="256"/>
      <c r="P796" s="256"/>
      <c r="Q796" s="256"/>
      <c r="R796" s="256"/>
      <c r="S796" s="234"/>
      <c r="T796" s="258"/>
    </row>
    <row r="797" spans="2:20" ht="22.5" customHeight="1" x14ac:dyDescent="0.25">
      <c r="B797" s="267"/>
      <c r="C797" s="234"/>
      <c r="D797" s="234"/>
      <c r="E797" s="268"/>
      <c r="F797" s="269"/>
      <c r="G797" s="258"/>
      <c r="H797" s="270"/>
      <c r="I797" s="271"/>
      <c r="J797" s="271"/>
      <c r="K797" s="234"/>
      <c r="L797" s="307"/>
      <c r="M797" s="272"/>
      <c r="N797" s="253"/>
      <c r="O797" s="256"/>
      <c r="P797" s="256"/>
      <c r="Q797" s="256"/>
      <c r="R797" s="256"/>
      <c r="S797" s="234"/>
      <c r="T797" s="258"/>
    </row>
    <row r="798" spans="2:20" ht="22.5" customHeight="1" x14ac:dyDescent="0.25">
      <c r="B798" s="267"/>
      <c r="C798" s="234"/>
      <c r="D798" s="234"/>
      <c r="E798" s="268"/>
      <c r="F798" s="269"/>
      <c r="G798" s="258"/>
      <c r="H798" s="270"/>
      <c r="I798" s="271"/>
      <c r="J798" s="271"/>
      <c r="K798" s="234"/>
      <c r="L798" s="307"/>
      <c r="M798" s="272"/>
      <c r="N798" s="253"/>
      <c r="O798" s="256"/>
      <c r="P798" s="256"/>
      <c r="Q798" s="256"/>
      <c r="R798" s="256"/>
      <c r="S798" s="234"/>
      <c r="T798" s="258"/>
    </row>
    <row r="799" spans="2:20" ht="22.5" customHeight="1" x14ac:dyDescent="0.25">
      <c r="B799" s="267"/>
      <c r="C799" s="234"/>
      <c r="D799" s="234"/>
      <c r="E799" s="268"/>
      <c r="F799" s="269"/>
      <c r="G799" s="258"/>
      <c r="H799" s="270"/>
      <c r="I799" s="271"/>
      <c r="J799" s="271"/>
      <c r="K799" s="234"/>
      <c r="L799" s="307"/>
      <c r="M799" s="272"/>
      <c r="N799" s="253"/>
      <c r="O799" s="256"/>
      <c r="P799" s="256"/>
      <c r="Q799" s="256"/>
      <c r="R799" s="256"/>
      <c r="S799" s="234"/>
      <c r="T799" s="258"/>
    </row>
    <row r="800" spans="2:20" ht="22.5" customHeight="1" x14ac:dyDescent="0.25">
      <c r="B800" s="267"/>
      <c r="C800" s="234"/>
      <c r="D800" s="234"/>
      <c r="E800" s="268"/>
      <c r="F800" s="269"/>
      <c r="G800" s="258"/>
      <c r="H800" s="270"/>
      <c r="I800" s="271"/>
      <c r="J800" s="271"/>
      <c r="K800" s="234"/>
      <c r="L800" s="307"/>
      <c r="M800" s="272"/>
      <c r="N800" s="253"/>
      <c r="O800" s="256"/>
      <c r="P800" s="256"/>
      <c r="Q800" s="256"/>
      <c r="R800" s="256"/>
      <c r="S800" s="234"/>
      <c r="T800" s="258"/>
    </row>
    <row r="801" spans="2:20" ht="22.5" customHeight="1" x14ac:dyDescent="0.25">
      <c r="B801" s="267"/>
      <c r="C801" s="234"/>
      <c r="D801" s="234"/>
      <c r="E801" s="268"/>
      <c r="F801" s="269"/>
      <c r="G801" s="258"/>
      <c r="H801" s="270"/>
      <c r="I801" s="271"/>
      <c r="J801" s="271"/>
      <c r="K801" s="234"/>
      <c r="L801" s="307"/>
      <c r="M801" s="272"/>
      <c r="N801" s="253"/>
      <c r="O801" s="256"/>
      <c r="P801" s="256"/>
      <c r="Q801" s="256"/>
      <c r="R801" s="256"/>
      <c r="S801" s="234"/>
      <c r="T801" s="258"/>
    </row>
    <row r="802" spans="2:20" ht="22.5" customHeight="1" x14ac:dyDescent="0.25">
      <c r="B802" s="267"/>
      <c r="C802" s="234"/>
      <c r="D802" s="234"/>
      <c r="E802" s="268"/>
      <c r="F802" s="269"/>
      <c r="G802" s="258"/>
      <c r="H802" s="270"/>
      <c r="I802" s="271"/>
      <c r="J802" s="271"/>
      <c r="K802" s="234"/>
      <c r="L802" s="307"/>
      <c r="M802" s="272"/>
      <c r="N802" s="253"/>
      <c r="O802" s="256"/>
      <c r="P802" s="256"/>
      <c r="Q802" s="256"/>
      <c r="R802" s="256"/>
      <c r="S802" s="234"/>
      <c r="T802" s="258"/>
    </row>
    <row r="803" spans="2:20" ht="22.5" customHeight="1" x14ac:dyDescent="0.25">
      <c r="B803" s="267"/>
      <c r="C803" s="234"/>
      <c r="D803" s="234"/>
      <c r="E803" s="268"/>
      <c r="F803" s="269"/>
      <c r="G803" s="258"/>
      <c r="H803" s="270"/>
      <c r="I803" s="271"/>
      <c r="J803" s="271"/>
      <c r="K803" s="234"/>
      <c r="L803" s="307"/>
      <c r="M803" s="272"/>
      <c r="N803" s="253"/>
      <c r="O803" s="256"/>
      <c r="P803" s="256"/>
      <c r="Q803" s="256"/>
      <c r="R803" s="256"/>
      <c r="S803" s="234"/>
      <c r="T803" s="258"/>
    </row>
    <row r="804" spans="2:20" ht="22.5" customHeight="1" x14ac:dyDescent="0.25">
      <c r="B804" s="267"/>
      <c r="C804" s="234"/>
      <c r="D804" s="234"/>
      <c r="E804" s="268"/>
      <c r="F804" s="269"/>
      <c r="G804" s="258"/>
      <c r="H804" s="270"/>
      <c r="I804" s="271"/>
      <c r="J804" s="271"/>
      <c r="K804" s="234"/>
      <c r="L804" s="307"/>
      <c r="M804" s="272"/>
      <c r="N804" s="253"/>
      <c r="O804" s="256"/>
      <c r="P804" s="256"/>
      <c r="Q804" s="256"/>
      <c r="R804" s="256"/>
      <c r="S804" s="234"/>
      <c r="T804" s="258"/>
    </row>
    <row r="805" spans="2:20" ht="22.5" customHeight="1" x14ac:dyDescent="0.25">
      <c r="B805" s="267"/>
      <c r="C805" s="234"/>
      <c r="D805" s="234"/>
      <c r="E805" s="268"/>
      <c r="F805" s="269"/>
      <c r="G805" s="258"/>
      <c r="H805" s="270"/>
      <c r="I805" s="271"/>
      <c r="J805" s="271"/>
      <c r="K805" s="234"/>
      <c r="L805" s="307"/>
      <c r="M805" s="272"/>
      <c r="N805" s="253"/>
      <c r="O805" s="256"/>
      <c r="P805" s="256"/>
      <c r="Q805" s="256"/>
      <c r="R805" s="256"/>
      <c r="S805" s="234"/>
      <c r="T805" s="258"/>
    </row>
    <row r="806" spans="2:20" ht="22.5" customHeight="1" x14ac:dyDescent="0.25">
      <c r="B806" s="267"/>
      <c r="C806" s="234"/>
      <c r="D806" s="234"/>
      <c r="E806" s="268"/>
      <c r="F806" s="269"/>
      <c r="G806" s="258"/>
      <c r="H806" s="270"/>
      <c r="I806" s="271"/>
      <c r="J806" s="271"/>
      <c r="K806" s="234"/>
      <c r="L806" s="307"/>
      <c r="M806" s="272"/>
      <c r="N806" s="253"/>
      <c r="O806" s="256"/>
      <c r="P806" s="256"/>
      <c r="Q806" s="256"/>
      <c r="R806" s="256"/>
      <c r="S806" s="234"/>
      <c r="T806" s="258"/>
    </row>
    <row r="807" spans="2:20" ht="22.5" customHeight="1" x14ac:dyDescent="0.25">
      <c r="B807" s="267"/>
      <c r="C807" s="234"/>
      <c r="D807" s="234"/>
      <c r="E807" s="268"/>
      <c r="F807" s="269"/>
      <c r="G807" s="258"/>
      <c r="H807" s="270"/>
      <c r="I807" s="271"/>
      <c r="J807" s="271"/>
      <c r="K807" s="234"/>
      <c r="L807" s="307"/>
      <c r="M807" s="272"/>
      <c r="N807" s="253"/>
      <c r="O807" s="256"/>
      <c r="P807" s="256"/>
      <c r="Q807" s="256"/>
      <c r="R807" s="256"/>
      <c r="S807" s="234"/>
      <c r="T807" s="258"/>
    </row>
    <row r="808" spans="2:20" ht="22.5" customHeight="1" x14ac:dyDescent="0.25">
      <c r="B808" s="267"/>
      <c r="C808" s="234"/>
      <c r="D808" s="234"/>
      <c r="E808" s="268"/>
      <c r="F808" s="269"/>
      <c r="G808" s="258"/>
      <c r="H808" s="270"/>
      <c r="I808" s="271"/>
      <c r="J808" s="271"/>
      <c r="K808" s="234"/>
      <c r="L808" s="307"/>
      <c r="M808" s="272"/>
      <c r="N808" s="253"/>
      <c r="O808" s="256"/>
      <c r="P808" s="256"/>
      <c r="Q808" s="256"/>
      <c r="R808" s="256"/>
      <c r="S808" s="234"/>
      <c r="T808" s="258"/>
    </row>
    <row r="809" spans="2:20" ht="22.5" customHeight="1" x14ac:dyDescent="0.25">
      <c r="B809" s="267"/>
      <c r="C809" s="234"/>
      <c r="D809" s="234"/>
      <c r="E809" s="268"/>
      <c r="F809" s="269"/>
      <c r="G809" s="258"/>
      <c r="H809" s="270"/>
      <c r="I809" s="271"/>
      <c r="J809" s="271"/>
      <c r="K809" s="234"/>
      <c r="L809" s="307"/>
      <c r="M809" s="272"/>
      <c r="N809" s="253"/>
      <c r="O809" s="256"/>
      <c r="P809" s="256"/>
      <c r="Q809" s="256"/>
      <c r="R809" s="256"/>
      <c r="S809" s="234"/>
      <c r="T809" s="258"/>
    </row>
    <row r="810" spans="2:20" ht="22.5" customHeight="1" x14ac:dyDescent="0.25">
      <c r="B810" s="267"/>
      <c r="C810" s="234"/>
      <c r="D810" s="234"/>
      <c r="E810" s="268"/>
      <c r="F810" s="269"/>
      <c r="G810" s="258"/>
      <c r="H810" s="270"/>
      <c r="I810" s="271"/>
      <c r="J810" s="271"/>
      <c r="K810" s="234"/>
      <c r="L810" s="307"/>
      <c r="M810" s="272"/>
      <c r="N810" s="253"/>
      <c r="O810" s="256"/>
      <c r="P810" s="256"/>
      <c r="Q810" s="256"/>
      <c r="R810" s="256"/>
      <c r="S810" s="234"/>
      <c r="T810" s="258"/>
    </row>
    <row r="811" spans="2:20" ht="22.5" customHeight="1" x14ac:dyDescent="0.25">
      <c r="B811" s="267"/>
      <c r="C811" s="234"/>
      <c r="D811" s="234"/>
      <c r="E811" s="268"/>
      <c r="F811" s="269"/>
      <c r="G811" s="258"/>
      <c r="H811" s="270"/>
      <c r="I811" s="271"/>
      <c r="J811" s="271"/>
      <c r="K811" s="234"/>
      <c r="L811" s="307"/>
      <c r="M811" s="272"/>
      <c r="N811" s="253"/>
      <c r="O811" s="256"/>
      <c r="P811" s="256"/>
      <c r="Q811" s="256"/>
      <c r="R811" s="256"/>
      <c r="S811" s="234"/>
      <c r="T811" s="258"/>
    </row>
    <row r="812" spans="2:20" ht="22.5" customHeight="1" x14ac:dyDescent="0.25">
      <c r="B812" s="267"/>
      <c r="C812" s="234"/>
      <c r="D812" s="234"/>
      <c r="E812" s="268"/>
      <c r="F812" s="269"/>
      <c r="G812" s="258"/>
      <c r="H812" s="270"/>
      <c r="I812" s="271"/>
      <c r="J812" s="271"/>
      <c r="K812" s="234"/>
      <c r="L812" s="307"/>
      <c r="M812" s="272"/>
      <c r="N812" s="253"/>
      <c r="O812" s="256"/>
      <c r="P812" s="256"/>
      <c r="Q812" s="256"/>
      <c r="R812" s="256"/>
      <c r="S812" s="234"/>
      <c r="T812" s="258"/>
    </row>
    <row r="813" spans="2:20" ht="22.5" customHeight="1" x14ac:dyDescent="0.25">
      <c r="B813" s="267"/>
      <c r="C813" s="234"/>
      <c r="D813" s="234"/>
      <c r="E813" s="268"/>
      <c r="F813" s="269"/>
      <c r="G813" s="258"/>
      <c r="H813" s="270"/>
      <c r="I813" s="271"/>
      <c r="J813" s="271"/>
      <c r="K813" s="234"/>
      <c r="L813" s="307"/>
      <c r="M813" s="272"/>
      <c r="N813" s="253"/>
      <c r="O813" s="256"/>
      <c r="P813" s="256"/>
      <c r="Q813" s="256"/>
      <c r="R813" s="256"/>
      <c r="S813" s="234"/>
      <c r="T813" s="258"/>
    </row>
    <row r="814" spans="2:20" ht="22.5" customHeight="1" x14ac:dyDescent="0.25">
      <c r="B814" s="267"/>
      <c r="C814" s="234"/>
      <c r="D814" s="234"/>
      <c r="E814" s="268"/>
      <c r="F814" s="269"/>
      <c r="G814" s="258"/>
      <c r="H814" s="270"/>
      <c r="I814" s="271"/>
      <c r="J814" s="271"/>
      <c r="K814" s="234"/>
      <c r="L814" s="307"/>
      <c r="M814" s="272"/>
      <c r="N814" s="253"/>
      <c r="O814" s="256"/>
      <c r="P814" s="256"/>
      <c r="Q814" s="256"/>
      <c r="R814" s="256"/>
      <c r="S814" s="234"/>
      <c r="T814" s="258"/>
    </row>
    <row r="815" spans="2:20" ht="22.5" customHeight="1" x14ac:dyDescent="0.25">
      <c r="B815" s="267"/>
      <c r="C815" s="234"/>
      <c r="D815" s="234"/>
      <c r="E815" s="268"/>
      <c r="F815" s="269"/>
      <c r="G815" s="258"/>
      <c r="H815" s="270"/>
      <c r="I815" s="271"/>
      <c r="J815" s="271"/>
      <c r="K815" s="234"/>
      <c r="L815" s="307"/>
      <c r="M815" s="272"/>
      <c r="N815" s="253"/>
      <c r="O815" s="256"/>
      <c r="P815" s="256"/>
      <c r="Q815" s="256"/>
      <c r="R815" s="256"/>
      <c r="S815" s="234"/>
      <c r="T815" s="258"/>
    </row>
    <row r="816" spans="2:20" ht="22.5" customHeight="1" x14ac:dyDescent="0.25">
      <c r="B816" s="267"/>
      <c r="C816" s="234"/>
      <c r="D816" s="234"/>
      <c r="E816" s="268"/>
      <c r="F816" s="269"/>
      <c r="G816" s="258"/>
      <c r="H816" s="270"/>
      <c r="I816" s="271"/>
      <c r="J816" s="271"/>
      <c r="K816" s="234"/>
      <c r="L816" s="307"/>
      <c r="M816" s="272"/>
      <c r="N816" s="253"/>
      <c r="O816" s="256"/>
      <c r="P816" s="256"/>
      <c r="Q816" s="256"/>
      <c r="R816" s="256"/>
      <c r="S816" s="234"/>
      <c r="T816" s="258"/>
    </row>
    <row r="817" spans="2:20" ht="22.5" customHeight="1" x14ac:dyDescent="0.25">
      <c r="B817" s="267"/>
      <c r="C817" s="234"/>
      <c r="D817" s="234"/>
      <c r="E817" s="268"/>
      <c r="F817" s="269"/>
      <c r="G817" s="258"/>
      <c r="H817" s="270"/>
      <c r="I817" s="271"/>
      <c r="J817" s="271"/>
      <c r="K817" s="234"/>
      <c r="L817" s="307"/>
      <c r="M817" s="272"/>
      <c r="N817" s="253"/>
      <c r="O817" s="256"/>
      <c r="P817" s="256"/>
      <c r="Q817" s="256"/>
      <c r="R817" s="256"/>
      <c r="S817" s="234"/>
      <c r="T817" s="258"/>
    </row>
    <row r="818" spans="2:20" ht="22.5" customHeight="1" x14ac:dyDescent="0.25">
      <c r="B818" s="267"/>
      <c r="C818" s="234"/>
      <c r="D818" s="234"/>
      <c r="E818" s="268"/>
      <c r="F818" s="269"/>
      <c r="G818" s="258"/>
      <c r="H818" s="270"/>
      <c r="I818" s="271"/>
      <c r="J818" s="271"/>
      <c r="K818" s="234"/>
      <c r="L818" s="307"/>
      <c r="M818" s="272"/>
      <c r="N818" s="253"/>
      <c r="O818" s="256"/>
      <c r="P818" s="256"/>
      <c r="Q818" s="256"/>
      <c r="R818" s="256"/>
      <c r="S818" s="234"/>
      <c r="T818" s="258"/>
    </row>
    <row r="819" spans="2:20" ht="22.5" customHeight="1" x14ac:dyDescent="0.25">
      <c r="B819" s="267"/>
      <c r="C819" s="234"/>
      <c r="D819" s="234"/>
      <c r="E819" s="268"/>
      <c r="F819" s="269"/>
      <c r="G819" s="258"/>
      <c r="H819" s="270"/>
      <c r="I819" s="271"/>
      <c r="J819" s="271"/>
      <c r="K819" s="234"/>
      <c r="L819" s="307"/>
      <c r="M819" s="272"/>
      <c r="N819" s="253"/>
      <c r="O819" s="256"/>
      <c r="P819" s="256"/>
      <c r="Q819" s="256"/>
      <c r="R819" s="256"/>
      <c r="S819" s="234"/>
      <c r="T819" s="258"/>
    </row>
    <row r="820" spans="2:20" ht="22.5" customHeight="1" x14ac:dyDescent="0.25">
      <c r="B820" s="267"/>
      <c r="C820" s="234"/>
      <c r="D820" s="234"/>
      <c r="E820" s="268"/>
      <c r="F820" s="269"/>
      <c r="G820" s="258"/>
      <c r="H820" s="270"/>
      <c r="I820" s="271"/>
      <c r="J820" s="271"/>
      <c r="K820" s="234"/>
      <c r="L820" s="307"/>
      <c r="M820" s="272"/>
      <c r="N820" s="253"/>
      <c r="O820" s="256"/>
      <c r="P820" s="256"/>
      <c r="Q820" s="256"/>
      <c r="R820" s="256"/>
      <c r="S820" s="234"/>
      <c r="T820" s="258"/>
    </row>
    <row r="821" spans="2:20" ht="22.5" customHeight="1" x14ac:dyDescent="0.25">
      <c r="B821" s="267"/>
      <c r="C821" s="234"/>
      <c r="D821" s="234"/>
      <c r="E821" s="268"/>
      <c r="F821" s="269"/>
      <c r="G821" s="258"/>
      <c r="H821" s="270"/>
      <c r="I821" s="271"/>
      <c r="J821" s="271"/>
      <c r="K821" s="234"/>
      <c r="L821" s="307"/>
      <c r="M821" s="272"/>
      <c r="N821" s="253"/>
      <c r="O821" s="256"/>
      <c r="P821" s="256"/>
      <c r="Q821" s="256"/>
      <c r="R821" s="256"/>
      <c r="S821" s="234"/>
      <c r="T821" s="258"/>
    </row>
    <row r="822" spans="2:20" ht="22.5" customHeight="1" x14ac:dyDescent="0.25">
      <c r="B822" s="267"/>
      <c r="C822" s="234"/>
      <c r="D822" s="234"/>
      <c r="E822" s="268"/>
      <c r="F822" s="269"/>
      <c r="G822" s="258"/>
      <c r="H822" s="270"/>
      <c r="I822" s="271"/>
      <c r="J822" s="271"/>
      <c r="K822" s="234"/>
      <c r="L822" s="307"/>
      <c r="M822" s="272"/>
      <c r="N822" s="253"/>
      <c r="O822" s="256"/>
      <c r="P822" s="256"/>
      <c r="Q822" s="256"/>
      <c r="R822" s="256"/>
      <c r="S822" s="234"/>
      <c r="T822" s="258"/>
    </row>
    <row r="823" spans="2:20" ht="22.5" customHeight="1" x14ac:dyDescent="0.25">
      <c r="B823" s="267"/>
      <c r="C823" s="234"/>
      <c r="D823" s="234"/>
      <c r="E823" s="268"/>
      <c r="F823" s="269"/>
      <c r="G823" s="258"/>
      <c r="H823" s="270"/>
      <c r="I823" s="271"/>
      <c r="J823" s="271"/>
      <c r="K823" s="234"/>
      <c r="L823" s="307"/>
      <c r="M823" s="272"/>
      <c r="N823" s="253"/>
      <c r="O823" s="256"/>
      <c r="P823" s="256"/>
      <c r="Q823" s="256"/>
      <c r="R823" s="256"/>
      <c r="S823" s="234"/>
      <c r="T823" s="258"/>
    </row>
    <row r="824" spans="2:20" ht="22.5" customHeight="1" x14ac:dyDescent="0.25">
      <c r="B824" s="267"/>
      <c r="C824" s="234"/>
      <c r="D824" s="234"/>
      <c r="E824" s="268"/>
      <c r="F824" s="269"/>
      <c r="G824" s="258"/>
      <c r="H824" s="270"/>
      <c r="I824" s="271"/>
      <c r="J824" s="271"/>
      <c r="K824" s="234"/>
      <c r="L824" s="307"/>
      <c r="M824" s="272"/>
      <c r="N824" s="253"/>
      <c r="O824" s="256"/>
      <c r="P824" s="256"/>
      <c r="Q824" s="256"/>
      <c r="R824" s="256"/>
      <c r="S824" s="234"/>
      <c r="T824" s="258"/>
    </row>
    <row r="825" spans="2:20" ht="22.5" customHeight="1" x14ac:dyDescent="0.25">
      <c r="B825" s="267"/>
      <c r="C825" s="234"/>
      <c r="D825" s="234"/>
      <c r="E825" s="268"/>
      <c r="F825" s="269"/>
      <c r="G825" s="258"/>
      <c r="H825" s="270"/>
      <c r="I825" s="271"/>
      <c r="J825" s="271"/>
      <c r="K825" s="234"/>
      <c r="L825" s="307"/>
      <c r="M825" s="272"/>
      <c r="N825" s="253"/>
      <c r="O825" s="256"/>
      <c r="P825" s="256"/>
      <c r="Q825" s="256"/>
      <c r="R825" s="256"/>
      <c r="S825" s="234"/>
      <c r="T825" s="258"/>
    </row>
    <row r="826" spans="2:20" ht="22.5" customHeight="1" x14ac:dyDescent="0.25">
      <c r="B826" s="267"/>
      <c r="C826" s="234"/>
      <c r="D826" s="234"/>
      <c r="E826" s="268"/>
      <c r="F826" s="269"/>
      <c r="G826" s="258"/>
      <c r="H826" s="270"/>
      <c r="I826" s="271"/>
      <c r="J826" s="271"/>
      <c r="K826" s="234"/>
      <c r="L826" s="307"/>
      <c r="M826" s="272"/>
      <c r="N826" s="253"/>
      <c r="O826" s="256"/>
      <c r="P826" s="256"/>
      <c r="Q826" s="256"/>
      <c r="R826" s="256"/>
      <c r="S826" s="234"/>
      <c r="T826" s="258"/>
    </row>
    <row r="827" spans="2:20" ht="22.5" customHeight="1" x14ac:dyDescent="0.25">
      <c r="B827" s="267"/>
      <c r="C827" s="234"/>
      <c r="D827" s="234"/>
      <c r="E827" s="268"/>
      <c r="F827" s="269"/>
      <c r="G827" s="258"/>
      <c r="H827" s="270"/>
      <c r="I827" s="271"/>
      <c r="J827" s="271"/>
      <c r="K827" s="234"/>
      <c r="L827" s="307"/>
      <c r="M827" s="272"/>
      <c r="N827" s="253"/>
      <c r="O827" s="256"/>
      <c r="P827" s="256"/>
      <c r="Q827" s="256"/>
      <c r="R827" s="256"/>
      <c r="S827" s="234"/>
      <c r="T827" s="258"/>
    </row>
    <row r="828" spans="2:20" ht="22.5" customHeight="1" x14ac:dyDescent="0.25">
      <c r="B828" s="267"/>
      <c r="C828" s="234"/>
      <c r="D828" s="234"/>
      <c r="E828" s="268"/>
      <c r="F828" s="269"/>
      <c r="G828" s="258"/>
      <c r="H828" s="270"/>
      <c r="I828" s="271"/>
      <c r="J828" s="271"/>
      <c r="K828" s="234"/>
      <c r="L828" s="307"/>
      <c r="M828" s="272"/>
      <c r="N828" s="253"/>
      <c r="O828" s="256"/>
      <c r="P828" s="256"/>
      <c r="Q828" s="256"/>
      <c r="R828" s="256"/>
      <c r="S828" s="234"/>
      <c r="T828" s="258"/>
    </row>
    <row r="829" spans="2:20" ht="22.5" customHeight="1" x14ac:dyDescent="0.25">
      <c r="B829" s="267"/>
      <c r="C829" s="234"/>
      <c r="D829" s="234"/>
      <c r="E829" s="268"/>
      <c r="F829" s="269"/>
      <c r="G829" s="258"/>
      <c r="H829" s="270"/>
      <c r="I829" s="271"/>
      <c r="J829" s="271"/>
      <c r="K829" s="234"/>
      <c r="L829" s="307"/>
      <c r="M829" s="272"/>
      <c r="N829" s="253"/>
      <c r="O829" s="256"/>
      <c r="P829" s="256"/>
      <c r="Q829" s="256"/>
      <c r="R829" s="256"/>
      <c r="S829" s="234"/>
      <c r="T829" s="258"/>
    </row>
    <row r="830" spans="2:20" ht="22.5" customHeight="1" x14ac:dyDescent="0.25">
      <c r="B830" s="267"/>
      <c r="C830" s="234"/>
      <c r="D830" s="234"/>
      <c r="E830" s="268"/>
      <c r="F830" s="269"/>
      <c r="G830" s="258"/>
      <c r="H830" s="270"/>
      <c r="I830" s="271"/>
      <c r="J830" s="271"/>
      <c r="K830" s="234"/>
      <c r="L830" s="307"/>
      <c r="M830" s="272"/>
      <c r="N830" s="253"/>
      <c r="O830" s="256"/>
      <c r="P830" s="256"/>
      <c r="Q830" s="256"/>
      <c r="R830" s="256"/>
      <c r="S830" s="234"/>
      <c r="T830" s="258"/>
    </row>
    <row r="831" spans="2:20" ht="22.5" customHeight="1" x14ac:dyDescent="0.25">
      <c r="B831" s="267"/>
      <c r="C831" s="234"/>
      <c r="D831" s="234"/>
      <c r="E831" s="268"/>
      <c r="F831" s="269"/>
      <c r="G831" s="258"/>
      <c r="H831" s="270"/>
      <c r="I831" s="271"/>
      <c r="J831" s="271"/>
      <c r="K831" s="234"/>
      <c r="L831" s="307"/>
      <c r="M831" s="272"/>
      <c r="N831" s="253"/>
      <c r="O831" s="256"/>
      <c r="P831" s="256"/>
      <c r="Q831" s="256"/>
      <c r="R831" s="256"/>
      <c r="S831" s="234"/>
      <c r="T831" s="258"/>
    </row>
    <row r="832" spans="2:20" ht="22.5" customHeight="1" x14ac:dyDescent="0.25">
      <c r="B832" s="267"/>
      <c r="C832" s="234"/>
      <c r="D832" s="234"/>
      <c r="E832" s="268"/>
      <c r="F832" s="269"/>
      <c r="G832" s="258"/>
      <c r="H832" s="270"/>
      <c r="I832" s="271"/>
      <c r="J832" s="271"/>
      <c r="K832" s="234"/>
      <c r="L832" s="307"/>
      <c r="M832" s="272"/>
      <c r="N832" s="253"/>
      <c r="O832" s="256"/>
      <c r="P832" s="256"/>
      <c r="Q832" s="256"/>
      <c r="R832" s="256"/>
      <c r="S832" s="234"/>
      <c r="T832" s="258"/>
    </row>
    <row r="833" spans="2:20" ht="22.5" customHeight="1" x14ac:dyDescent="0.25">
      <c r="B833" s="267"/>
      <c r="C833" s="234"/>
      <c r="D833" s="234"/>
      <c r="E833" s="268"/>
      <c r="F833" s="269"/>
      <c r="G833" s="258"/>
      <c r="H833" s="270"/>
      <c r="I833" s="271"/>
      <c r="J833" s="271"/>
      <c r="K833" s="234"/>
      <c r="L833" s="307"/>
      <c r="M833" s="272"/>
      <c r="N833" s="253"/>
      <c r="O833" s="256"/>
      <c r="P833" s="256"/>
      <c r="Q833" s="256"/>
      <c r="R833" s="256"/>
      <c r="S833" s="234"/>
      <c r="T833" s="258"/>
    </row>
    <row r="834" spans="2:20" ht="22.5" customHeight="1" x14ac:dyDescent="0.25">
      <c r="B834" s="267"/>
      <c r="C834" s="234"/>
      <c r="D834" s="234"/>
      <c r="E834" s="268"/>
      <c r="F834" s="269"/>
      <c r="G834" s="258"/>
      <c r="H834" s="270"/>
      <c r="I834" s="271"/>
      <c r="J834" s="271"/>
      <c r="K834" s="234"/>
      <c r="L834" s="307"/>
      <c r="M834" s="272"/>
      <c r="N834" s="253"/>
      <c r="O834" s="256"/>
      <c r="P834" s="256"/>
      <c r="Q834" s="256"/>
      <c r="R834" s="256"/>
      <c r="S834" s="234"/>
      <c r="T834" s="258"/>
    </row>
    <row r="835" spans="2:20" ht="22.5" customHeight="1" x14ac:dyDescent="0.25">
      <c r="B835" s="267"/>
      <c r="C835" s="234"/>
      <c r="D835" s="234"/>
      <c r="E835" s="268"/>
      <c r="F835" s="269"/>
      <c r="G835" s="258"/>
      <c r="H835" s="270"/>
      <c r="I835" s="271"/>
      <c r="J835" s="271"/>
      <c r="K835" s="234"/>
      <c r="L835" s="307"/>
      <c r="M835" s="272"/>
      <c r="N835" s="253"/>
      <c r="O835" s="256"/>
      <c r="P835" s="256"/>
      <c r="Q835" s="256"/>
      <c r="R835" s="256"/>
      <c r="S835" s="234"/>
      <c r="T835" s="258"/>
    </row>
    <row r="836" spans="2:20" ht="22.5" customHeight="1" x14ac:dyDescent="0.25">
      <c r="B836" s="267"/>
      <c r="C836" s="234"/>
      <c r="D836" s="234"/>
      <c r="E836" s="268"/>
      <c r="F836" s="269"/>
      <c r="G836" s="258"/>
      <c r="H836" s="270"/>
      <c r="I836" s="271"/>
      <c r="J836" s="271"/>
      <c r="K836" s="234"/>
      <c r="L836" s="307"/>
      <c r="M836" s="272"/>
      <c r="N836" s="253"/>
      <c r="O836" s="256"/>
      <c r="P836" s="256"/>
      <c r="Q836" s="256"/>
      <c r="R836" s="256"/>
      <c r="S836" s="234"/>
      <c r="T836" s="258"/>
    </row>
    <row r="837" spans="2:20" ht="22.5" customHeight="1" x14ac:dyDescent="0.25">
      <c r="B837" s="267"/>
      <c r="C837" s="234"/>
      <c r="D837" s="234"/>
      <c r="E837" s="268"/>
      <c r="F837" s="269"/>
      <c r="G837" s="258"/>
      <c r="H837" s="270"/>
      <c r="I837" s="271"/>
      <c r="J837" s="271"/>
      <c r="K837" s="234"/>
      <c r="L837" s="307"/>
      <c r="M837" s="272"/>
      <c r="N837" s="253"/>
      <c r="O837" s="256"/>
      <c r="P837" s="256"/>
      <c r="Q837" s="256"/>
      <c r="R837" s="256"/>
      <c r="S837" s="234"/>
      <c r="T837" s="258"/>
    </row>
    <row r="838" spans="2:20" ht="22.5" customHeight="1" x14ac:dyDescent="0.25">
      <c r="B838" s="267"/>
      <c r="C838" s="234"/>
      <c r="D838" s="234"/>
      <c r="E838" s="268"/>
      <c r="F838" s="269"/>
      <c r="G838" s="258"/>
      <c r="H838" s="270"/>
      <c r="I838" s="271"/>
      <c r="J838" s="271"/>
      <c r="K838" s="234"/>
      <c r="L838" s="307"/>
      <c r="M838" s="272"/>
      <c r="N838" s="253"/>
      <c r="O838" s="256"/>
      <c r="P838" s="256"/>
      <c r="Q838" s="256"/>
      <c r="R838" s="256"/>
      <c r="S838" s="234"/>
      <c r="T838" s="258"/>
    </row>
    <row r="839" spans="2:20" ht="22.5" customHeight="1" x14ac:dyDescent="0.25">
      <c r="B839" s="267"/>
      <c r="C839" s="234"/>
      <c r="D839" s="234"/>
      <c r="E839" s="268"/>
      <c r="F839" s="269"/>
      <c r="G839" s="258"/>
      <c r="H839" s="270"/>
      <c r="I839" s="271"/>
      <c r="J839" s="271"/>
      <c r="K839" s="234"/>
      <c r="L839" s="307"/>
      <c r="M839" s="272"/>
      <c r="N839" s="253"/>
      <c r="O839" s="256"/>
      <c r="P839" s="256"/>
      <c r="Q839" s="256"/>
      <c r="R839" s="256"/>
      <c r="S839" s="234"/>
      <c r="T839" s="258"/>
    </row>
    <row r="840" spans="2:20" ht="22.5" customHeight="1" x14ac:dyDescent="0.25">
      <c r="B840" s="267"/>
      <c r="C840" s="234"/>
      <c r="D840" s="234"/>
      <c r="E840" s="268"/>
      <c r="F840" s="269"/>
      <c r="G840" s="258"/>
      <c r="H840" s="270"/>
      <c r="I840" s="271"/>
      <c r="J840" s="271"/>
      <c r="K840" s="234"/>
      <c r="L840" s="307"/>
      <c r="M840" s="272"/>
      <c r="N840" s="253"/>
      <c r="O840" s="256"/>
      <c r="P840" s="256"/>
      <c r="Q840" s="256"/>
      <c r="R840" s="256"/>
      <c r="S840" s="234"/>
      <c r="T840" s="258"/>
    </row>
    <row r="841" spans="2:20" ht="22.5" customHeight="1" x14ac:dyDescent="0.25">
      <c r="B841" s="267"/>
      <c r="C841" s="234"/>
      <c r="D841" s="234"/>
      <c r="E841" s="268"/>
      <c r="F841" s="269"/>
      <c r="G841" s="258"/>
      <c r="H841" s="270"/>
      <c r="I841" s="271"/>
      <c r="J841" s="271"/>
      <c r="K841" s="234"/>
      <c r="L841" s="307"/>
      <c r="M841" s="272"/>
      <c r="N841" s="253"/>
      <c r="O841" s="256"/>
      <c r="P841" s="256"/>
      <c r="Q841" s="256"/>
      <c r="R841" s="256"/>
      <c r="S841" s="234"/>
      <c r="T841" s="258"/>
    </row>
    <row r="842" spans="2:20" ht="22.5" customHeight="1" x14ac:dyDescent="0.25">
      <c r="B842" s="267"/>
      <c r="C842" s="234"/>
      <c r="D842" s="234"/>
      <c r="E842" s="268"/>
      <c r="F842" s="269"/>
      <c r="G842" s="258"/>
      <c r="H842" s="270"/>
      <c r="I842" s="271"/>
      <c r="J842" s="271"/>
      <c r="K842" s="234"/>
      <c r="L842" s="307"/>
      <c r="M842" s="272"/>
      <c r="N842" s="253"/>
      <c r="O842" s="256"/>
      <c r="P842" s="256"/>
      <c r="Q842" s="256"/>
      <c r="R842" s="256"/>
      <c r="S842" s="234"/>
      <c r="T842" s="258"/>
    </row>
    <row r="843" spans="2:20" ht="22.5" customHeight="1" x14ac:dyDescent="0.25">
      <c r="B843" s="267"/>
      <c r="C843" s="234"/>
      <c r="D843" s="234"/>
      <c r="E843" s="268"/>
      <c r="F843" s="269"/>
      <c r="G843" s="258"/>
      <c r="H843" s="270"/>
      <c r="I843" s="271"/>
      <c r="J843" s="271"/>
      <c r="K843" s="234"/>
      <c r="L843" s="307"/>
      <c r="M843" s="272"/>
      <c r="N843" s="253"/>
      <c r="O843" s="256"/>
      <c r="P843" s="256"/>
      <c r="Q843" s="256"/>
      <c r="R843" s="256"/>
      <c r="S843" s="234"/>
      <c r="T843" s="258"/>
    </row>
    <row r="844" spans="2:20" ht="22.5" customHeight="1" x14ac:dyDescent="0.25">
      <c r="B844" s="267"/>
      <c r="C844" s="234"/>
      <c r="D844" s="234"/>
      <c r="E844" s="268"/>
      <c r="F844" s="269"/>
      <c r="G844" s="258"/>
      <c r="H844" s="270"/>
      <c r="I844" s="271"/>
      <c r="J844" s="271"/>
      <c r="K844" s="234"/>
      <c r="L844" s="307"/>
      <c r="M844" s="272"/>
      <c r="N844" s="253"/>
      <c r="O844" s="256"/>
      <c r="P844" s="256"/>
      <c r="Q844" s="256"/>
      <c r="R844" s="256"/>
      <c r="S844" s="234"/>
      <c r="T844" s="258"/>
    </row>
    <row r="845" spans="2:20" ht="22.5" customHeight="1" x14ac:dyDescent="0.25">
      <c r="B845" s="267"/>
      <c r="C845" s="234"/>
      <c r="D845" s="234"/>
      <c r="E845" s="268"/>
      <c r="F845" s="269"/>
      <c r="G845" s="258"/>
      <c r="H845" s="270"/>
      <c r="I845" s="271"/>
      <c r="J845" s="271"/>
      <c r="K845" s="234"/>
      <c r="L845" s="307"/>
      <c r="M845" s="272"/>
      <c r="N845" s="253"/>
      <c r="O845" s="256"/>
      <c r="P845" s="256"/>
      <c r="Q845" s="256"/>
      <c r="R845" s="256"/>
      <c r="S845" s="234"/>
      <c r="T845" s="258"/>
    </row>
    <row r="846" spans="2:20" ht="22.5" customHeight="1" x14ac:dyDescent="0.25">
      <c r="B846" s="267"/>
      <c r="C846" s="234"/>
      <c r="D846" s="234"/>
      <c r="E846" s="268"/>
      <c r="F846" s="269"/>
      <c r="G846" s="258"/>
      <c r="H846" s="270"/>
      <c r="I846" s="271"/>
      <c r="J846" s="271"/>
      <c r="K846" s="234"/>
      <c r="L846" s="307"/>
      <c r="M846" s="272"/>
      <c r="N846" s="253"/>
      <c r="O846" s="256"/>
      <c r="P846" s="256"/>
      <c r="Q846" s="256"/>
      <c r="R846" s="256"/>
      <c r="S846" s="234"/>
      <c r="T846" s="258"/>
    </row>
    <row r="847" spans="2:20" ht="22.5" customHeight="1" x14ac:dyDescent="0.25">
      <c r="B847" s="267"/>
      <c r="C847" s="234"/>
      <c r="D847" s="234"/>
      <c r="E847" s="268"/>
      <c r="F847" s="269"/>
      <c r="G847" s="258"/>
      <c r="H847" s="270"/>
      <c r="I847" s="271"/>
      <c r="J847" s="271"/>
      <c r="K847" s="234"/>
      <c r="L847" s="307"/>
      <c r="M847" s="272"/>
      <c r="N847" s="253"/>
      <c r="O847" s="256"/>
      <c r="P847" s="256"/>
      <c r="Q847" s="256"/>
      <c r="R847" s="256"/>
      <c r="S847" s="234"/>
      <c r="T847" s="258"/>
    </row>
    <row r="848" spans="2:20" ht="22.5" customHeight="1" x14ac:dyDescent="0.25">
      <c r="B848" s="267"/>
      <c r="C848" s="234"/>
      <c r="D848" s="234"/>
      <c r="E848" s="268"/>
      <c r="F848" s="269"/>
      <c r="G848" s="258"/>
      <c r="H848" s="270"/>
      <c r="I848" s="271"/>
      <c r="J848" s="271"/>
      <c r="K848" s="234"/>
      <c r="L848" s="307"/>
      <c r="M848" s="272"/>
      <c r="N848" s="253"/>
      <c r="O848" s="256"/>
      <c r="P848" s="256"/>
      <c r="Q848" s="256"/>
      <c r="R848" s="256"/>
      <c r="S848" s="234"/>
      <c r="T848" s="258"/>
    </row>
    <row r="849" spans="2:20" ht="22.5" customHeight="1" x14ac:dyDescent="0.25">
      <c r="B849" s="267"/>
      <c r="C849" s="234"/>
      <c r="D849" s="234"/>
      <c r="E849" s="268"/>
      <c r="F849" s="269"/>
      <c r="G849" s="258"/>
      <c r="H849" s="270"/>
      <c r="I849" s="271"/>
      <c r="J849" s="271"/>
      <c r="K849" s="234"/>
      <c r="L849" s="307"/>
      <c r="M849" s="272"/>
      <c r="N849" s="253"/>
      <c r="O849" s="256"/>
      <c r="P849" s="256"/>
      <c r="Q849" s="256"/>
      <c r="R849" s="256"/>
      <c r="S849" s="234"/>
      <c r="T849" s="258"/>
    </row>
    <row r="850" spans="2:20" ht="22.5" customHeight="1" x14ac:dyDescent="0.25">
      <c r="B850" s="267"/>
      <c r="C850" s="234"/>
      <c r="D850" s="234"/>
      <c r="E850" s="268"/>
      <c r="F850" s="269"/>
      <c r="G850" s="258"/>
      <c r="H850" s="270"/>
      <c r="I850" s="271"/>
      <c r="J850" s="271"/>
      <c r="K850" s="234"/>
      <c r="L850" s="307"/>
      <c r="M850" s="272"/>
      <c r="N850" s="253"/>
      <c r="O850" s="256"/>
      <c r="P850" s="256"/>
      <c r="Q850" s="256"/>
      <c r="R850" s="256"/>
      <c r="S850" s="234"/>
      <c r="T850" s="258"/>
    </row>
    <row r="851" spans="2:20" ht="22.5" customHeight="1" x14ac:dyDescent="0.25">
      <c r="B851" s="267"/>
      <c r="C851" s="234"/>
      <c r="D851" s="234"/>
      <c r="E851" s="268"/>
      <c r="F851" s="269"/>
      <c r="G851" s="258"/>
      <c r="H851" s="270"/>
      <c r="I851" s="271"/>
      <c r="J851" s="271"/>
      <c r="K851" s="234"/>
      <c r="L851" s="307"/>
      <c r="M851" s="272"/>
      <c r="N851" s="253"/>
      <c r="O851" s="256"/>
      <c r="P851" s="256"/>
      <c r="Q851" s="256"/>
      <c r="R851" s="256"/>
      <c r="S851" s="234"/>
      <c r="T851" s="258"/>
    </row>
    <row r="852" spans="2:20" ht="22.5" customHeight="1" x14ac:dyDescent="0.25">
      <c r="B852" s="267"/>
      <c r="C852" s="234"/>
      <c r="D852" s="234"/>
      <c r="E852" s="268"/>
      <c r="F852" s="269"/>
      <c r="G852" s="258"/>
      <c r="H852" s="270"/>
      <c r="I852" s="271"/>
      <c r="J852" s="271"/>
      <c r="K852" s="234"/>
      <c r="L852" s="307"/>
      <c r="M852" s="272"/>
      <c r="N852" s="253"/>
      <c r="O852" s="256"/>
      <c r="P852" s="256"/>
      <c r="Q852" s="256"/>
      <c r="R852" s="256"/>
      <c r="S852" s="234"/>
      <c r="T852" s="258"/>
    </row>
    <row r="853" spans="2:20" ht="22.5" customHeight="1" x14ac:dyDescent="0.25">
      <c r="B853" s="267"/>
      <c r="C853" s="234"/>
      <c r="D853" s="234"/>
      <c r="E853" s="268"/>
      <c r="F853" s="269"/>
      <c r="G853" s="258"/>
      <c r="H853" s="270"/>
      <c r="I853" s="271"/>
      <c r="J853" s="271"/>
      <c r="K853" s="234"/>
      <c r="L853" s="307"/>
      <c r="M853" s="272"/>
      <c r="N853" s="253"/>
      <c r="O853" s="256"/>
      <c r="P853" s="256"/>
      <c r="Q853" s="256"/>
      <c r="R853" s="256"/>
      <c r="S853" s="234"/>
      <c r="T853" s="258"/>
    </row>
    <row r="854" spans="2:20" ht="22.5" customHeight="1" x14ac:dyDescent="0.25">
      <c r="B854" s="267"/>
      <c r="C854" s="234"/>
      <c r="D854" s="234"/>
      <c r="E854" s="268"/>
      <c r="F854" s="269"/>
      <c r="G854" s="258"/>
      <c r="H854" s="270"/>
      <c r="I854" s="271"/>
      <c r="J854" s="271"/>
      <c r="K854" s="234"/>
      <c r="L854" s="307"/>
      <c r="M854" s="272"/>
      <c r="N854" s="253"/>
      <c r="O854" s="256"/>
      <c r="P854" s="256"/>
      <c r="Q854" s="256"/>
      <c r="R854" s="256"/>
      <c r="S854" s="234"/>
      <c r="T854" s="258"/>
    </row>
    <row r="855" spans="2:20" ht="22.5" customHeight="1" x14ac:dyDescent="0.25">
      <c r="B855" s="267"/>
      <c r="C855" s="234"/>
      <c r="D855" s="234"/>
      <c r="E855" s="268"/>
      <c r="F855" s="269"/>
      <c r="G855" s="258"/>
      <c r="H855" s="270"/>
      <c r="I855" s="271"/>
      <c r="J855" s="271"/>
      <c r="K855" s="234"/>
      <c r="L855" s="307"/>
      <c r="M855" s="272"/>
      <c r="N855" s="253"/>
      <c r="O855" s="256"/>
      <c r="P855" s="256"/>
      <c r="Q855" s="256"/>
      <c r="R855" s="256"/>
      <c r="S855" s="234"/>
      <c r="T855" s="258"/>
    </row>
    <row r="856" spans="2:20" ht="22.5" customHeight="1" x14ac:dyDescent="0.25">
      <c r="B856" s="267"/>
      <c r="C856" s="234"/>
      <c r="D856" s="234"/>
      <c r="E856" s="268"/>
      <c r="F856" s="269"/>
      <c r="G856" s="258"/>
      <c r="H856" s="270"/>
      <c r="I856" s="271"/>
      <c r="J856" s="271"/>
      <c r="K856" s="234"/>
      <c r="L856" s="307"/>
      <c r="M856" s="272"/>
      <c r="N856" s="253"/>
      <c r="O856" s="256"/>
      <c r="P856" s="256"/>
      <c r="Q856" s="256"/>
      <c r="R856" s="256"/>
      <c r="S856" s="234"/>
      <c r="T856" s="258"/>
    </row>
    <row r="857" spans="2:20" ht="22.5" customHeight="1" x14ac:dyDescent="0.25">
      <c r="B857" s="267"/>
      <c r="C857" s="234"/>
      <c r="D857" s="234"/>
      <c r="E857" s="268"/>
      <c r="F857" s="269"/>
      <c r="G857" s="258"/>
      <c r="H857" s="270"/>
      <c r="I857" s="271"/>
      <c r="J857" s="271"/>
      <c r="K857" s="234"/>
      <c r="L857" s="307"/>
      <c r="M857" s="272"/>
      <c r="N857" s="253"/>
      <c r="O857" s="256"/>
      <c r="P857" s="256"/>
      <c r="Q857" s="256"/>
      <c r="R857" s="256"/>
      <c r="S857" s="234"/>
      <c r="T857" s="258"/>
    </row>
    <row r="858" spans="2:20" ht="22.5" customHeight="1" x14ac:dyDescent="0.25">
      <c r="B858" s="267"/>
      <c r="C858" s="234"/>
      <c r="D858" s="234"/>
      <c r="E858" s="268"/>
      <c r="F858" s="269"/>
      <c r="G858" s="258"/>
      <c r="H858" s="270"/>
      <c r="I858" s="271"/>
      <c r="J858" s="271"/>
      <c r="K858" s="234"/>
      <c r="L858" s="307"/>
      <c r="M858" s="272"/>
      <c r="N858" s="253"/>
      <c r="O858" s="256"/>
      <c r="P858" s="256"/>
      <c r="Q858" s="256"/>
      <c r="R858" s="256"/>
      <c r="S858" s="234"/>
      <c r="T858" s="258"/>
    </row>
    <row r="859" spans="2:20" ht="22.5" customHeight="1" x14ac:dyDescent="0.25">
      <c r="B859" s="267"/>
      <c r="C859" s="234"/>
      <c r="D859" s="234"/>
      <c r="E859" s="268"/>
      <c r="F859" s="269"/>
      <c r="G859" s="258"/>
      <c r="H859" s="270"/>
      <c r="I859" s="271"/>
      <c r="J859" s="271"/>
      <c r="K859" s="234"/>
      <c r="L859" s="307"/>
      <c r="M859" s="272"/>
      <c r="N859" s="253"/>
      <c r="O859" s="256"/>
      <c r="P859" s="256"/>
      <c r="Q859" s="256"/>
      <c r="R859" s="256"/>
      <c r="S859" s="234"/>
      <c r="T859" s="258"/>
    </row>
    <row r="860" spans="2:20" ht="22.5" customHeight="1" x14ac:dyDescent="0.25">
      <c r="B860" s="267"/>
      <c r="C860" s="234"/>
      <c r="D860" s="234"/>
      <c r="E860" s="268"/>
      <c r="F860" s="269"/>
      <c r="G860" s="258"/>
      <c r="H860" s="270"/>
      <c r="I860" s="271"/>
      <c r="J860" s="271"/>
      <c r="K860" s="234"/>
      <c r="L860" s="307"/>
      <c r="M860" s="272"/>
      <c r="N860" s="253"/>
      <c r="O860" s="256"/>
      <c r="P860" s="256"/>
      <c r="Q860" s="256"/>
      <c r="R860" s="256"/>
      <c r="S860" s="234"/>
      <c r="T860" s="258"/>
    </row>
    <row r="861" spans="2:20" ht="22.5" customHeight="1" x14ac:dyDescent="0.25">
      <c r="B861" s="267"/>
      <c r="C861" s="234"/>
      <c r="D861" s="234"/>
      <c r="E861" s="268"/>
      <c r="F861" s="269"/>
      <c r="G861" s="258"/>
      <c r="H861" s="270"/>
      <c r="I861" s="271"/>
      <c r="J861" s="271"/>
      <c r="K861" s="234"/>
      <c r="L861" s="307"/>
      <c r="M861" s="272"/>
      <c r="N861" s="253"/>
      <c r="O861" s="256"/>
      <c r="P861" s="256"/>
      <c r="Q861" s="256"/>
      <c r="R861" s="256"/>
      <c r="S861" s="234"/>
      <c r="T861" s="258"/>
    </row>
    <row r="862" spans="2:20" ht="22.5" customHeight="1" x14ac:dyDescent="0.25">
      <c r="B862" s="267"/>
      <c r="C862" s="234"/>
      <c r="D862" s="234"/>
      <c r="E862" s="268"/>
      <c r="F862" s="269"/>
      <c r="G862" s="258"/>
      <c r="H862" s="270"/>
      <c r="I862" s="271"/>
      <c r="J862" s="271"/>
      <c r="K862" s="234"/>
      <c r="L862" s="307"/>
      <c r="M862" s="272"/>
      <c r="N862" s="253"/>
      <c r="O862" s="256"/>
      <c r="P862" s="256"/>
      <c r="Q862" s="256"/>
      <c r="R862" s="256"/>
      <c r="S862" s="234"/>
      <c r="T862" s="258"/>
    </row>
    <row r="863" spans="2:20" ht="22.5" customHeight="1" x14ac:dyDescent="0.25">
      <c r="B863" s="267"/>
      <c r="C863" s="234"/>
      <c r="D863" s="234"/>
      <c r="E863" s="268"/>
      <c r="F863" s="269"/>
      <c r="G863" s="258"/>
      <c r="H863" s="270"/>
      <c r="I863" s="271"/>
      <c r="J863" s="271"/>
      <c r="K863" s="234"/>
      <c r="L863" s="307"/>
      <c r="M863" s="272"/>
      <c r="N863" s="253"/>
      <c r="O863" s="256"/>
      <c r="P863" s="256"/>
      <c r="Q863" s="256"/>
      <c r="R863" s="256"/>
      <c r="S863" s="234"/>
      <c r="T863" s="258"/>
    </row>
    <row r="864" spans="2:20" ht="22.5" customHeight="1" x14ac:dyDescent="0.25">
      <c r="B864" s="267"/>
      <c r="C864" s="234"/>
      <c r="D864" s="234"/>
      <c r="E864" s="268"/>
      <c r="F864" s="269"/>
      <c r="G864" s="258"/>
      <c r="H864" s="270"/>
      <c r="I864" s="271"/>
      <c r="J864" s="271"/>
      <c r="K864" s="234"/>
      <c r="L864" s="307"/>
      <c r="M864" s="272"/>
      <c r="N864" s="253"/>
      <c r="O864" s="256"/>
      <c r="P864" s="256"/>
      <c r="Q864" s="256"/>
      <c r="R864" s="256"/>
      <c r="S864" s="234"/>
      <c r="T864" s="258"/>
    </row>
    <row r="865" spans="2:20" ht="22.5" customHeight="1" x14ac:dyDescent="0.25">
      <c r="B865" s="267"/>
      <c r="C865" s="234"/>
      <c r="D865" s="234"/>
      <c r="E865" s="268"/>
      <c r="F865" s="269"/>
      <c r="G865" s="258"/>
      <c r="H865" s="270"/>
      <c r="I865" s="271"/>
      <c r="J865" s="271"/>
      <c r="K865" s="234"/>
      <c r="L865" s="307"/>
      <c r="M865" s="272"/>
      <c r="N865" s="253"/>
      <c r="O865" s="256"/>
      <c r="P865" s="256"/>
      <c r="Q865" s="256"/>
      <c r="R865" s="256"/>
      <c r="S865" s="234"/>
      <c r="T865" s="258"/>
    </row>
    <row r="866" spans="2:20" ht="22.5" customHeight="1" x14ac:dyDescent="0.25">
      <c r="B866" s="267"/>
      <c r="C866" s="234"/>
      <c r="D866" s="234"/>
      <c r="E866" s="268"/>
      <c r="F866" s="269"/>
      <c r="G866" s="258"/>
      <c r="H866" s="270"/>
      <c r="I866" s="271"/>
      <c r="J866" s="271"/>
      <c r="K866" s="234"/>
      <c r="L866" s="307"/>
      <c r="M866" s="272"/>
      <c r="N866" s="253"/>
      <c r="O866" s="256"/>
      <c r="P866" s="256"/>
      <c r="Q866" s="256"/>
      <c r="R866" s="256"/>
      <c r="S866" s="234"/>
      <c r="T866" s="258"/>
    </row>
    <row r="867" spans="2:20" ht="22.5" customHeight="1" x14ac:dyDescent="0.25">
      <c r="B867" s="267"/>
      <c r="C867" s="234"/>
      <c r="D867" s="234"/>
      <c r="E867" s="268"/>
      <c r="F867" s="269"/>
      <c r="G867" s="258"/>
      <c r="H867" s="270"/>
      <c r="I867" s="271"/>
      <c r="J867" s="271"/>
      <c r="K867" s="234"/>
      <c r="L867" s="307"/>
      <c r="M867" s="272"/>
      <c r="N867" s="253"/>
      <c r="O867" s="256"/>
      <c r="P867" s="256"/>
      <c r="Q867" s="256"/>
      <c r="R867" s="256"/>
      <c r="S867" s="234"/>
      <c r="T867" s="258"/>
    </row>
    <row r="868" spans="2:20" ht="22.5" customHeight="1" x14ac:dyDescent="0.25">
      <c r="B868" s="267"/>
      <c r="C868" s="234"/>
      <c r="D868" s="234"/>
      <c r="E868" s="268"/>
      <c r="F868" s="269"/>
      <c r="G868" s="258"/>
      <c r="H868" s="270"/>
      <c r="I868" s="271"/>
      <c r="J868" s="271"/>
      <c r="K868" s="234"/>
      <c r="L868" s="307"/>
      <c r="M868" s="272"/>
      <c r="N868" s="253"/>
      <c r="O868" s="256"/>
      <c r="P868" s="256"/>
      <c r="Q868" s="256"/>
      <c r="R868" s="256"/>
      <c r="S868" s="234"/>
      <c r="T868" s="258"/>
    </row>
    <row r="869" spans="2:20" ht="22.5" customHeight="1" x14ac:dyDescent="0.25">
      <c r="B869" s="267"/>
      <c r="C869" s="234"/>
      <c r="D869" s="234"/>
      <c r="E869" s="268"/>
      <c r="F869" s="269"/>
      <c r="G869" s="258"/>
      <c r="H869" s="270"/>
      <c r="I869" s="271"/>
      <c r="J869" s="271"/>
      <c r="K869" s="234"/>
      <c r="L869" s="307"/>
      <c r="M869" s="272"/>
      <c r="N869" s="253"/>
      <c r="O869" s="256"/>
      <c r="P869" s="256"/>
      <c r="Q869" s="256"/>
      <c r="R869" s="256"/>
      <c r="S869" s="234"/>
      <c r="T869" s="258"/>
    </row>
    <row r="870" spans="2:20" ht="22.5" customHeight="1" x14ac:dyDescent="0.25">
      <c r="B870" s="267"/>
      <c r="C870" s="234"/>
      <c r="D870" s="234"/>
      <c r="E870" s="268"/>
      <c r="F870" s="269"/>
      <c r="G870" s="258"/>
      <c r="H870" s="270"/>
      <c r="I870" s="271"/>
      <c r="J870" s="271"/>
      <c r="K870" s="234"/>
      <c r="L870" s="307"/>
      <c r="M870" s="272"/>
      <c r="N870" s="253"/>
      <c r="O870" s="256"/>
      <c r="P870" s="256"/>
      <c r="Q870" s="256"/>
      <c r="R870" s="256"/>
      <c r="S870" s="234"/>
      <c r="T870" s="258"/>
    </row>
    <row r="871" spans="2:20" ht="22.5" customHeight="1" x14ac:dyDescent="0.25">
      <c r="B871" s="267"/>
      <c r="C871" s="234"/>
      <c r="D871" s="234"/>
      <c r="E871" s="268"/>
      <c r="F871" s="269"/>
      <c r="G871" s="258"/>
      <c r="H871" s="270"/>
      <c r="I871" s="271"/>
      <c r="J871" s="271"/>
      <c r="K871" s="234"/>
      <c r="L871" s="307"/>
      <c r="M871" s="272"/>
      <c r="N871" s="253"/>
      <c r="O871" s="256"/>
      <c r="P871" s="256"/>
      <c r="Q871" s="256"/>
      <c r="R871" s="256"/>
      <c r="S871" s="234"/>
      <c r="T871" s="258"/>
    </row>
    <row r="872" spans="2:20" ht="22.5" customHeight="1" x14ac:dyDescent="0.25">
      <c r="B872" s="267"/>
      <c r="C872" s="234"/>
      <c r="D872" s="234"/>
      <c r="E872" s="268"/>
      <c r="F872" s="269"/>
      <c r="G872" s="258"/>
      <c r="H872" s="270"/>
      <c r="I872" s="271"/>
      <c r="J872" s="271"/>
      <c r="K872" s="234"/>
      <c r="L872" s="307"/>
      <c r="M872" s="272"/>
      <c r="N872" s="253"/>
      <c r="O872" s="256"/>
      <c r="P872" s="256"/>
      <c r="Q872" s="256"/>
      <c r="R872" s="256"/>
      <c r="S872" s="234"/>
      <c r="T872" s="258"/>
    </row>
    <row r="873" spans="2:20" ht="22.5" customHeight="1" x14ac:dyDescent="0.25">
      <c r="B873" s="267"/>
      <c r="C873" s="234"/>
      <c r="D873" s="234"/>
      <c r="E873" s="268"/>
      <c r="F873" s="269"/>
      <c r="G873" s="258"/>
      <c r="H873" s="270"/>
      <c r="I873" s="271"/>
      <c r="J873" s="271"/>
      <c r="K873" s="234"/>
      <c r="L873" s="307"/>
      <c r="M873" s="272"/>
      <c r="N873" s="253"/>
      <c r="O873" s="256"/>
      <c r="P873" s="256"/>
      <c r="Q873" s="256"/>
      <c r="R873" s="256"/>
      <c r="S873" s="234"/>
      <c r="T873" s="258"/>
    </row>
    <row r="874" spans="2:20" ht="22.5" customHeight="1" x14ac:dyDescent="0.25">
      <c r="B874" s="267"/>
      <c r="C874" s="234"/>
      <c r="D874" s="234"/>
      <c r="E874" s="268"/>
      <c r="F874" s="269"/>
      <c r="G874" s="258"/>
      <c r="H874" s="270"/>
      <c r="I874" s="271"/>
      <c r="J874" s="271"/>
      <c r="K874" s="234"/>
      <c r="L874" s="307"/>
      <c r="M874" s="272"/>
      <c r="N874" s="253"/>
      <c r="O874" s="256"/>
      <c r="P874" s="256"/>
      <c r="Q874" s="256"/>
      <c r="R874" s="256"/>
      <c r="S874" s="234"/>
      <c r="T874" s="258"/>
    </row>
    <row r="875" spans="2:20" ht="22.5" customHeight="1" x14ac:dyDescent="0.25">
      <c r="B875" s="267"/>
      <c r="C875" s="234"/>
      <c r="D875" s="234"/>
      <c r="E875" s="268"/>
      <c r="F875" s="269"/>
      <c r="G875" s="258"/>
      <c r="H875" s="270"/>
      <c r="I875" s="271"/>
      <c r="J875" s="271"/>
      <c r="K875" s="234"/>
      <c r="L875" s="307"/>
      <c r="M875" s="272"/>
      <c r="N875" s="253"/>
      <c r="O875" s="256"/>
      <c r="P875" s="256"/>
      <c r="Q875" s="256"/>
      <c r="R875" s="256"/>
      <c r="S875" s="234"/>
      <c r="T875" s="258"/>
    </row>
    <row r="876" spans="2:20" ht="22.5" customHeight="1" x14ac:dyDescent="0.25">
      <c r="B876" s="267"/>
      <c r="C876" s="234"/>
      <c r="D876" s="234"/>
      <c r="E876" s="268"/>
      <c r="F876" s="269"/>
      <c r="G876" s="258"/>
      <c r="H876" s="270"/>
      <c r="I876" s="271"/>
      <c r="J876" s="271"/>
      <c r="K876" s="234"/>
      <c r="L876" s="307"/>
      <c r="M876" s="272"/>
      <c r="N876" s="253"/>
      <c r="O876" s="256"/>
      <c r="P876" s="256"/>
      <c r="Q876" s="256"/>
      <c r="R876" s="256"/>
      <c r="S876" s="234"/>
      <c r="T876" s="258"/>
    </row>
    <row r="877" spans="2:20" ht="22.5" customHeight="1" x14ac:dyDescent="0.25">
      <c r="B877" s="267"/>
      <c r="C877" s="234"/>
      <c r="D877" s="234"/>
      <c r="E877" s="268"/>
      <c r="F877" s="269"/>
      <c r="G877" s="258"/>
      <c r="H877" s="270"/>
      <c r="I877" s="271"/>
      <c r="J877" s="271"/>
      <c r="K877" s="234"/>
      <c r="L877" s="307"/>
      <c r="M877" s="272"/>
      <c r="N877" s="253"/>
      <c r="O877" s="256"/>
      <c r="P877" s="256"/>
      <c r="Q877" s="256"/>
      <c r="R877" s="256"/>
      <c r="S877" s="234"/>
      <c r="T877" s="258"/>
    </row>
    <row r="878" spans="2:20" ht="22.5" customHeight="1" x14ac:dyDescent="0.25">
      <c r="B878" s="267"/>
      <c r="C878" s="234"/>
      <c r="D878" s="234"/>
      <c r="E878" s="268"/>
      <c r="F878" s="269"/>
      <c r="G878" s="258"/>
      <c r="H878" s="270"/>
      <c r="I878" s="271"/>
      <c r="J878" s="271"/>
      <c r="K878" s="234"/>
      <c r="L878" s="307"/>
      <c r="M878" s="272"/>
      <c r="N878" s="253"/>
      <c r="O878" s="256"/>
      <c r="P878" s="256"/>
      <c r="Q878" s="256"/>
      <c r="R878" s="256"/>
      <c r="S878" s="234"/>
      <c r="T878" s="258"/>
    </row>
    <row r="879" spans="2:20" ht="22.5" customHeight="1" x14ac:dyDescent="0.25">
      <c r="B879" s="267"/>
      <c r="C879" s="234"/>
      <c r="D879" s="234"/>
      <c r="E879" s="268"/>
      <c r="F879" s="269"/>
      <c r="G879" s="258"/>
      <c r="H879" s="270"/>
      <c r="I879" s="271"/>
      <c r="J879" s="271"/>
      <c r="K879" s="234"/>
      <c r="L879" s="307"/>
      <c r="M879" s="272"/>
      <c r="N879" s="253"/>
      <c r="O879" s="256"/>
      <c r="P879" s="256"/>
      <c r="Q879" s="256"/>
      <c r="R879" s="256"/>
      <c r="S879" s="234"/>
      <c r="T879" s="258"/>
    </row>
    <row r="880" spans="2:20" ht="22.5" customHeight="1" x14ac:dyDescent="0.25">
      <c r="B880" s="267"/>
      <c r="C880" s="234"/>
      <c r="D880" s="234"/>
      <c r="E880" s="268"/>
      <c r="F880" s="269"/>
      <c r="G880" s="258"/>
      <c r="H880" s="270"/>
      <c r="I880" s="271"/>
      <c r="J880" s="271"/>
      <c r="K880" s="234"/>
      <c r="L880" s="307"/>
      <c r="M880" s="272"/>
      <c r="N880" s="253"/>
      <c r="O880" s="256"/>
      <c r="P880" s="256"/>
      <c r="Q880" s="256"/>
      <c r="R880" s="256"/>
      <c r="S880" s="234"/>
      <c r="T880" s="258"/>
    </row>
    <row r="881" spans="2:20" ht="22.5" customHeight="1" x14ac:dyDescent="0.25">
      <c r="B881" s="267"/>
      <c r="C881" s="234"/>
      <c r="D881" s="234"/>
      <c r="E881" s="268"/>
      <c r="F881" s="269"/>
      <c r="G881" s="258"/>
      <c r="H881" s="270"/>
      <c r="I881" s="271"/>
      <c r="J881" s="271"/>
      <c r="K881" s="234"/>
      <c r="L881" s="307"/>
      <c r="M881" s="272"/>
      <c r="N881" s="253"/>
      <c r="O881" s="256"/>
      <c r="P881" s="256"/>
      <c r="Q881" s="256"/>
      <c r="R881" s="256"/>
      <c r="S881" s="234"/>
      <c r="T881" s="258"/>
    </row>
    <row r="882" spans="2:20" ht="22.5" customHeight="1" x14ac:dyDescent="0.25">
      <c r="B882" s="267"/>
      <c r="C882" s="234"/>
      <c r="D882" s="234"/>
      <c r="E882" s="268"/>
      <c r="F882" s="269"/>
      <c r="G882" s="258"/>
      <c r="H882" s="270"/>
      <c r="I882" s="271"/>
      <c r="J882" s="271"/>
      <c r="K882" s="234"/>
      <c r="L882" s="307"/>
      <c r="M882" s="272"/>
      <c r="N882" s="253"/>
      <c r="O882" s="256"/>
      <c r="P882" s="256"/>
      <c r="Q882" s="256"/>
      <c r="R882" s="256"/>
      <c r="S882" s="234"/>
      <c r="T882" s="258"/>
    </row>
    <row r="883" spans="2:20" ht="22.5" customHeight="1" x14ac:dyDescent="0.25">
      <c r="B883" s="267"/>
      <c r="C883" s="234"/>
      <c r="D883" s="234"/>
      <c r="E883" s="268"/>
      <c r="F883" s="269"/>
      <c r="G883" s="258"/>
      <c r="H883" s="270"/>
      <c r="I883" s="271"/>
      <c r="J883" s="271"/>
      <c r="K883" s="234"/>
      <c r="L883" s="307"/>
      <c r="M883" s="272"/>
      <c r="N883" s="253"/>
      <c r="O883" s="256"/>
      <c r="P883" s="256"/>
      <c r="Q883" s="256"/>
      <c r="R883" s="256"/>
      <c r="S883" s="234"/>
      <c r="T883" s="258"/>
    </row>
    <row r="884" spans="2:20" ht="22.5" customHeight="1" x14ac:dyDescent="0.25">
      <c r="B884" s="267"/>
      <c r="C884" s="234"/>
      <c r="D884" s="234"/>
      <c r="E884" s="268"/>
      <c r="F884" s="269"/>
      <c r="G884" s="258"/>
      <c r="H884" s="270"/>
      <c r="I884" s="271"/>
      <c r="J884" s="271"/>
      <c r="K884" s="234"/>
      <c r="L884" s="307"/>
      <c r="M884" s="272"/>
      <c r="N884" s="253"/>
      <c r="O884" s="256"/>
      <c r="P884" s="256"/>
      <c r="Q884" s="256"/>
      <c r="R884" s="256"/>
      <c r="S884" s="234"/>
      <c r="T884" s="258"/>
    </row>
    <row r="885" spans="2:20" ht="22.5" customHeight="1" x14ac:dyDescent="0.25">
      <c r="B885" s="267"/>
      <c r="C885" s="234"/>
      <c r="D885" s="234"/>
      <c r="E885" s="268"/>
      <c r="F885" s="269"/>
      <c r="G885" s="258"/>
      <c r="H885" s="270"/>
      <c r="I885" s="271"/>
      <c r="J885" s="271"/>
      <c r="K885" s="234"/>
      <c r="L885" s="307"/>
      <c r="M885" s="272"/>
      <c r="N885" s="253"/>
      <c r="O885" s="256"/>
      <c r="P885" s="256"/>
      <c r="Q885" s="256"/>
      <c r="R885" s="256"/>
      <c r="S885" s="234"/>
      <c r="T885" s="258"/>
    </row>
    <row r="886" spans="2:20" ht="22.5" customHeight="1" x14ac:dyDescent="0.25">
      <c r="B886" s="267"/>
      <c r="C886" s="234"/>
      <c r="D886" s="234"/>
      <c r="E886" s="268"/>
      <c r="F886" s="269"/>
      <c r="G886" s="258"/>
      <c r="H886" s="270"/>
      <c r="I886" s="271"/>
      <c r="J886" s="271"/>
      <c r="K886" s="234"/>
      <c r="L886" s="307"/>
      <c r="M886" s="272"/>
      <c r="N886" s="253"/>
      <c r="O886" s="256"/>
      <c r="P886" s="256"/>
      <c r="Q886" s="256"/>
      <c r="R886" s="256"/>
      <c r="S886" s="234"/>
      <c r="T886" s="258"/>
    </row>
    <row r="887" spans="2:20" ht="22.5" customHeight="1" x14ac:dyDescent="0.25">
      <c r="B887" s="267"/>
      <c r="C887" s="234"/>
      <c r="D887" s="234"/>
      <c r="E887" s="268"/>
      <c r="F887" s="269"/>
      <c r="G887" s="258"/>
      <c r="H887" s="270"/>
      <c r="I887" s="271"/>
      <c r="J887" s="271"/>
      <c r="K887" s="234"/>
      <c r="L887" s="307"/>
      <c r="M887" s="272"/>
      <c r="N887" s="253"/>
      <c r="O887" s="256"/>
      <c r="P887" s="256"/>
      <c r="Q887" s="256"/>
      <c r="R887" s="256"/>
      <c r="S887" s="234"/>
      <c r="T887" s="258"/>
    </row>
    <row r="888" spans="2:20" ht="22.5" customHeight="1" x14ac:dyDescent="0.25">
      <c r="B888" s="267"/>
      <c r="C888" s="234"/>
      <c r="D888" s="234"/>
      <c r="E888" s="268"/>
      <c r="F888" s="269"/>
      <c r="G888" s="258"/>
      <c r="H888" s="270"/>
      <c r="I888" s="271"/>
      <c r="J888" s="271"/>
      <c r="K888" s="234"/>
      <c r="L888" s="307"/>
      <c r="M888" s="272"/>
      <c r="N888" s="253"/>
      <c r="O888" s="256"/>
      <c r="P888" s="256"/>
      <c r="Q888" s="256"/>
      <c r="R888" s="256"/>
      <c r="S888" s="234"/>
      <c r="T888" s="258"/>
    </row>
    <row r="889" spans="2:20" ht="22.5" customHeight="1" x14ac:dyDescent="0.25">
      <c r="B889" s="267"/>
      <c r="C889" s="234"/>
      <c r="D889" s="234"/>
      <c r="E889" s="268"/>
      <c r="F889" s="269"/>
      <c r="G889" s="258"/>
      <c r="H889" s="270"/>
      <c r="I889" s="271"/>
      <c r="J889" s="271"/>
      <c r="K889" s="234"/>
      <c r="L889" s="307"/>
      <c r="M889" s="272"/>
      <c r="N889" s="253"/>
      <c r="O889" s="256"/>
      <c r="P889" s="256"/>
      <c r="Q889" s="256"/>
      <c r="R889" s="256"/>
      <c r="S889" s="234"/>
      <c r="T889" s="258"/>
    </row>
    <row r="890" spans="2:20" ht="22.5" customHeight="1" x14ac:dyDescent="0.25">
      <c r="B890" s="267"/>
      <c r="C890" s="234"/>
      <c r="D890" s="234"/>
      <c r="E890" s="268"/>
      <c r="F890" s="269"/>
      <c r="G890" s="258"/>
      <c r="H890" s="270"/>
      <c r="I890" s="271"/>
      <c r="J890" s="271"/>
      <c r="K890" s="234"/>
      <c r="L890" s="307"/>
      <c r="M890" s="272"/>
      <c r="N890" s="253"/>
      <c r="O890" s="256"/>
      <c r="P890" s="256"/>
      <c r="Q890" s="256"/>
      <c r="R890" s="256"/>
      <c r="S890" s="234"/>
      <c r="T890" s="258"/>
    </row>
    <row r="891" spans="2:20" ht="22.5" customHeight="1" x14ac:dyDescent="0.25">
      <c r="B891" s="267"/>
      <c r="C891" s="234"/>
      <c r="D891" s="234"/>
      <c r="E891" s="268"/>
      <c r="F891" s="269"/>
      <c r="G891" s="258"/>
      <c r="H891" s="270"/>
      <c r="I891" s="271"/>
      <c r="J891" s="271"/>
      <c r="K891" s="234"/>
      <c r="L891" s="307"/>
      <c r="M891" s="272"/>
      <c r="N891" s="253"/>
      <c r="O891" s="256"/>
      <c r="P891" s="256"/>
      <c r="Q891" s="256"/>
      <c r="R891" s="256"/>
      <c r="S891" s="234"/>
      <c r="T891" s="258"/>
    </row>
    <row r="892" spans="2:20" ht="22.5" customHeight="1" x14ac:dyDescent="0.25">
      <c r="B892" s="267"/>
      <c r="C892" s="234"/>
      <c r="D892" s="234"/>
      <c r="E892" s="268"/>
      <c r="F892" s="269"/>
      <c r="G892" s="258"/>
      <c r="H892" s="270"/>
      <c r="I892" s="271"/>
      <c r="J892" s="271"/>
      <c r="K892" s="234"/>
      <c r="L892" s="307"/>
      <c r="M892" s="272"/>
      <c r="N892" s="253"/>
      <c r="O892" s="256"/>
      <c r="P892" s="256"/>
      <c r="Q892" s="256"/>
      <c r="R892" s="256"/>
      <c r="S892" s="234"/>
      <c r="T892" s="258"/>
    </row>
    <row r="893" spans="2:20" ht="22.5" customHeight="1" x14ac:dyDescent="0.25">
      <c r="B893" s="267"/>
      <c r="C893" s="234"/>
      <c r="D893" s="234"/>
      <c r="E893" s="268"/>
      <c r="F893" s="269"/>
      <c r="G893" s="258"/>
      <c r="H893" s="270"/>
      <c r="I893" s="271"/>
      <c r="J893" s="271"/>
      <c r="K893" s="234"/>
      <c r="L893" s="307"/>
      <c r="M893" s="272"/>
      <c r="N893" s="253"/>
      <c r="O893" s="256"/>
      <c r="P893" s="256"/>
      <c r="Q893" s="256"/>
      <c r="R893" s="256"/>
      <c r="S893" s="234"/>
      <c r="T893" s="258"/>
    </row>
    <row r="894" spans="2:20" ht="22.5" customHeight="1" x14ac:dyDescent="0.25">
      <c r="B894" s="267"/>
      <c r="C894" s="234"/>
      <c r="D894" s="234"/>
      <c r="E894" s="268"/>
      <c r="F894" s="269"/>
      <c r="G894" s="258"/>
      <c r="H894" s="270"/>
      <c r="I894" s="271"/>
      <c r="J894" s="271"/>
      <c r="K894" s="234"/>
      <c r="L894" s="307"/>
      <c r="M894" s="272"/>
      <c r="N894" s="253"/>
      <c r="O894" s="256"/>
      <c r="P894" s="256"/>
      <c r="Q894" s="256"/>
      <c r="R894" s="256"/>
      <c r="S894" s="234"/>
      <c r="T894" s="258"/>
    </row>
    <row r="895" spans="2:20" ht="22.5" customHeight="1" x14ac:dyDescent="0.25">
      <c r="B895" s="267"/>
      <c r="C895" s="234"/>
      <c r="D895" s="234"/>
      <c r="E895" s="268"/>
      <c r="F895" s="269"/>
      <c r="G895" s="258"/>
      <c r="H895" s="270"/>
      <c r="I895" s="271"/>
      <c r="J895" s="271"/>
      <c r="K895" s="234"/>
      <c r="L895" s="307"/>
      <c r="M895" s="272"/>
      <c r="N895" s="253"/>
      <c r="O895" s="256"/>
      <c r="P895" s="256"/>
      <c r="Q895" s="256"/>
      <c r="R895" s="256"/>
      <c r="S895" s="234"/>
      <c r="T895" s="258"/>
    </row>
    <row r="896" spans="2:20" ht="22.5" customHeight="1" x14ac:dyDescent="0.25">
      <c r="B896" s="267"/>
      <c r="C896" s="234"/>
      <c r="D896" s="234"/>
      <c r="E896" s="268"/>
      <c r="F896" s="269"/>
      <c r="G896" s="258"/>
      <c r="H896" s="270"/>
      <c r="I896" s="271"/>
      <c r="J896" s="271"/>
      <c r="K896" s="234"/>
      <c r="L896" s="307"/>
      <c r="M896" s="272"/>
      <c r="N896" s="253"/>
      <c r="O896" s="256"/>
      <c r="P896" s="256"/>
      <c r="Q896" s="256"/>
      <c r="R896" s="256"/>
      <c r="S896" s="234"/>
      <c r="T896" s="258"/>
    </row>
    <row r="897" spans="2:20" ht="22.5" customHeight="1" x14ac:dyDescent="0.25">
      <c r="B897" s="267"/>
      <c r="C897" s="234"/>
      <c r="D897" s="234"/>
      <c r="E897" s="268"/>
      <c r="F897" s="269"/>
      <c r="G897" s="258"/>
      <c r="H897" s="270"/>
      <c r="I897" s="271"/>
      <c r="J897" s="271"/>
      <c r="K897" s="234"/>
      <c r="L897" s="307"/>
      <c r="M897" s="272"/>
      <c r="N897" s="253"/>
      <c r="O897" s="256"/>
      <c r="P897" s="256"/>
      <c r="Q897" s="256"/>
      <c r="R897" s="256"/>
      <c r="S897" s="234"/>
      <c r="T897" s="258"/>
    </row>
    <row r="898" spans="2:20" ht="22.5" customHeight="1" x14ac:dyDescent="0.25">
      <c r="B898" s="267"/>
      <c r="C898" s="234"/>
      <c r="D898" s="234"/>
      <c r="E898" s="268"/>
      <c r="F898" s="269"/>
      <c r="G898" s="258"/>
      <c r="H898" s="270"/>
      <c r="I898" s="271"/>
      <c r="J898" s="271"/>
      <c r="K898" s="234"/>
      <c r="L898" s="307"/>
      <c r="M898" s="272"/>
      <c r="N898" s="253"/>
      <c r="O898" s="256"/>
      <c r="P898" s="256"/>
      <c r="Q898" s="256"/>
      <c r="R898" s="256"/>
      <c r="S898" s="234"/>
      <c r="T898" s="258"/>
    </row>
    <row r="899" spans="2:20" ht="22.5" customHeight="1" x14ac:dyDescent="0.25">
      <c r="B899" s="267"/>
      <c r="C899" s="234"/>
      <c r="D899" s="234"/>
      <c r="E899" s="268"/>
      <c r="F899" s="269"/>
      <c r="G899" s="258"/>
      <c r="H899" s="270"/>
      <c r="I899" s="271"/>
      <c r="J899" s="271"/>
      <c r="K899" s="234"/>
      <c r="L899" s="307"/>
      <c r="M899" s="272"/>
      <c r="N899" s="253"/>
      <c r="O899" s="256"/>
      <c r="P899" s="256"/>
      <c r="Q899" s="256"/>
      <c r="R899" s="256"/>
      <c r="S899" s="234"/>
      <c r="T899" s="258"/>
    </row>
    <row r="900" spans="2:20" ht="22.5" customHeight="1" x14ac:dyDescent="0.25">
      <c r="B900" s="267"/>
      <c r="C900" s="234"/>
      <c r="D900" s="234"/>
      <c r="E900" s="268"/>
      <c r="F900" s="269"/>
      <c r="G900" s="258"/>
      <c r="H900" s="270"/>
      <c r="I900" s="271"/>
      <c r="J900" s="271"/>
      <c r="K900" s="234"/>
      <c r="L900" s="307"/>
      <c r="M900" s="272"/>
      <c r="N900" s="253"/>
      <c r="O900" s="256"/>
      <c r="P900" s="256"/>
      <c r="Q900" s="256"/>
      <c r="R900" s="256"/>
      <c r="S900" s="234"/>
      <c r="T900" s="258"/>
    </row>
    <row r="901" spans="2:20" ht="22.5" customHeight="1" x14ac:dyDescent="0.25">
      <c r="B901" s="267"/>
      <c r="C901" s="234"/>
      <c r="D901" s="234"/>
      <c r="E901" s="268"/>
      <c r="F901" s="269"/>
      <c r="G901" s="258"/>
      <c r="H901" s="270"/>
      <c r="I901" s="271"/>
      <c r="J901" s="271"/>
      <c r="K901" s="234"/>
      <c r="L901" s="307"/>
      <c r="M901" s="272"/>
      <c r="N901" s="253"/>
      <c r="O901" s="256"/>
      <c r="P901" s="256"/>
      <c r="Q901" s="256"/>
      <c r="R901" s="256"/>
      <c r="S901" s="234"/>
      <c r="T901" s="258"/>
    </row>
    <row r="902" spans="2:20" ht="22.5" customHeight="1" x14ac:dyDescent="0.25">
      <c r="B902" s="267"/>
      <c r="C902" s="234"/>
      <c r="D902" s="234"/>
      <c r="E902" s="268"/>
      <c r="F902" s="269"/>
      <c r="G902" s="258"/>
      <c r="H902" s="270"/>
      <c r="I902" s="271"/>
      <c r="J902" s="271"/>
      <c r="K902" s="234"/>
      <c r="L902" s="307"/>
      <c r="M902" s="272"/>
      <c r="N902" s="253"/>
      <c r="O902" s="256"/>
      <c r="P902" s="256"/>
      <c r="Q902" s="256"/>
      <c r="R902" s="256"/>
      <c r="S902" s="234"/>
      <c r="T902" s="258"/>
    </row>
    <row r="903" spans="2:20" ht="22.5" customHeight="1" x14ac:dyDescent="0.25">
      <c r="B903" s="267"/>
      <c r="C903" s="234"/>
      <c r="D903" s="234"/>
      <c r="E903" s="268"/>
      <c r="F903" s="269"/>
      <c r="G903" s="258"/>
      <c r="H903" s="270"/>
      <c r="I903" s="271"/>
      <c r="J903" s="271"/>
      <c r="K903" s="234"/>
      <c r="L903" s="307"/>
      <c r="M903" s="272"/>
      <c r="N903" s="253"/>
      <c r="O903" s="256"/>
      <c r="P903" s="256"/>
      <c r="Q903" s="256"/>
      <c r="R903" s="256"/>
      <c r="S903" s="234"/>
      <c r="T903" s="258"/>
    </row>
    <row r="904" spans="2:20" ht="22.5" customHeight="1" x14ac:dyDescent="0.25">
      <c r="B904" s="267"/>
      <c r="C904" s="234"/>
      <c r="D904" s="234"/>
      <c r="E904" s="268"/>
      <c r="F904" s="269"/>
      <c r="G904" s="258"/>
      <c r="H904" s="270"/>
      <c r="I904" s="271"/>
      <c r="J904" s="271"/>
      <c r="K904" s="234"/>
      <c r="L904" s="307"/>
      <c r="M904" s="272"/>
      <c r="N904" s="253"/>
      <c r="O904" s="256"/>
      <c r="P904" s="256"/>
      <c r="Q904" s="256"/>
      <c r="R904" s="256"/>
      <c r="S904" s="234"/>
      <c r="T904" s="258"/>
    </row>
    <row r="905" spans="2:20" ht="22.5" customHeight="1" x14ac:dyDescent="0.25">
      <c r="B905" s="267"/>
      <c r="C905" s="234"/>
      <c r="D905" s="234"/>
      <c r="E905" s="268"/>
      <c r="F905" s="269"/>
      <c r="G905" s="258"/>
      <c r="H905" s="270"/>
      <c r="I905" s="271"/>
      <c r="J905" s="271"/>
      <c r="K905" s="234"/>
      <c r="L905" s="307"/>
      <c r="M905" s="272"/>
      <c r="N905" s="253"/>
      <c r="O905" s="256"/>
      <c r="P905" s="256"/>
      <c r="Q905" s="256"/>
      <c r="R905" s="256"/>
      <c r="S905" s="234"/>
      <c r="T905" s="258"/>
    </row>
    <row r="906" spans="2:20" ht="22.5" customHeight="1" x14ac:dyDescent="0.25">
      <c r="B906" s="267"/>
      <c r="C906" s="234"/>
      <c r="D906" s="234"/>
      <c r="E906" s="268"/>
      <c r="F906" s="269"/>
      <c r="G906" s="258"/>
      <c r="H906" s="270"/>
      <c r="I906" s="271"/>
      <c r="J906" s="271"/>
      <c r="K906" s="234"/>
      <c r="L906" s="307"/>
      <c r="M906" s="272"/>
      <c r="N906" s="253"/>
      <c r="O906" s="256"/>
      <c r="P906" s="256"/>
      <c r="Q906" s="256"/>
      <c r="R906" s="256"/>
      <c r="S906" s="234"/>
      <c r="T906" s="258"/>
    </row>
    <row r="907" spans="2:20" ht="22.5" customHeight="1" x14ac:dyDescent="0.25">
      <c r="B907" s="267"/>
      <c r="C907" s="234"/>
      <c r="D907" s="234"/>
      <c r="E907" s="268"/>
      <c r="F907" s="269"/>
      <c r="G907" s="258"/>
      <c r="H907" s="270"/>
      <c r="I907" s="271"/>
      <c r="J907" s="271"/>
      <c r="K907" s="234"/>
      <c r="L907" s="307"/>
      <c r="M907" s="272"/>
      <c r="N907" s="253"/>
      <c r="O907" s="256"/>
      <c r="P907" s="256"/>
      <c r="Q907" s="256"/>
      <c r="R907" s="256"/>
      <c r="S907" s="234"/>
      <c r="T907" s="258"/>
    </row>
    <row r="908" spans="2:20" ht="22.5" customHeight="1" x14ac:dyDescent="0.25">
      <c r="B908" s="267"/>
      <c r="C908" s="234"/>
      <c r="D908" s="234"/>
      <c r="E908" s="268"/>
      <c r="F908" s="269"/>
      <c r="G908" s="258"/>
      <c r="H908" s="270"/>
      <c r="I908" s="271"/>
      <c r="J908" s="271"/>
      <c r="K908" s="234"/>
      <c r="L908" s="307"/>
      <c r="M908" s="272"/>
      <c r="N908" s="253"/>
      <c r="O908" s="256"/>
      <c r="P908" s="256"/>
      <c r="Q908" s="256"/>
      <c r="R908" s="256"/>
      <c r="S908" s="234"/>
      <c r="T908" s="258"/>
    </row>
    <row r="909" spans="2:20" ht="22.5" customHeight="1" x14ac:dyDescent="0.25">
      <c r="B909" s="267"/>
      <c r="C909" s="234"/>
      <c r="D909" s="234"/>
      <c r="E909" s="268"/>
      <c r="F909" s="269"/>
      <c r="G909" s="258"/>
      <c r="H909" s="270"/>
      <c r="I909" s="271"/>
      <c r="J909" s="271"/>
      <c r="K909" s="234"/>
      <c r="L909" s="307"/>
      <c r="M909" s="272"/>
      <c r="N909" s="253"/>
      <c r="O909" s="256"/>
      <c r="P909" s="256"/>
      <c r="Q909" s="256"/>
      <c r="R909" s="256"/>
      <c r="S909" s="234"/>
      <c r="T909" s="258"/>
    </row>
    <row r="910" spans="2:20" ht="22.5" customHeight="1" x14ac:dyDescent="0.25">
      <c r="B910" s="267"/>
      <c r="C910" s="234"/>
      <c r="D910" s="234"/>
      <c r="E910" s="268"/>
      <c r="F910" s="269"/>
      <c r="G910" s="258"/>
      <c r="H910" s="270"/>
      <c r="I910" s="271"/>
      <c r="J910" s="271"/>
      <c r="K910" s="234"/>
      <c r="L910" s="307"/>
      <c r="M910" s="272"/>
      <c r="N910" s="253"/>
      <c r="O910" s="256"/>
      <c r="P910" s="256"/>
      <c r="Q910" s="256"/>
      <c r="R910" s="256"/>
      <c r="S910" s="234"/>
      <c r="T910" s="258"/>
    </row>
    <row r="911" spans="2:20" ht="22.5" customHeight="1" x14ac:dyDescent="0.25">
      <c r="B911" s="267"/>
      <c r="C911" s="234"/>
      <c r="D911" s="234"/>
      <c r="E911" s="268"/>
      <c r="F911" s="269"/>
      <c r="G911" s="258"/>
      <c r="H911" s="270"/>
      <c r="I911" s="271"/>
      <c r="J911" s="271"/>
      <c r="K911" s="234"/>
      <c r="L911" s="307"/>
      <c r="M911" s="272"/>
      <c r="N911" s="253"/>
      <c r="O911" s="256"/>
      <c r="P911" s="256"/>
      <c r="Q911" s="256"/>
      <c r="R911" s="256"/>
      <c r="S911" s="234"/>
      <c r="T911" s="258"/>
    </row>
    <row r="912" spans="2:20" ht="22.5" customHeight="1" x14ac:dyDescent="0.25">
      <c r="B912" s="267"/>
      <c r="C912" s="234"/>
      <c r="D912" s="234"/>
      <c r="E912" s="268"/>
      <c r="F912" s="269"/>
      <c r="G912" s="258"/>
      <c r="H912" s="270"/>
      <c r="I912" s="271"/>
      <c r="J912" s="271"/>
      <c r="K912" s="234"/>
      <c r="L912" s="307"/>
      <c r="M912" s="272"/>
      <c r="N912" s="253"/>
      <c r="O912" s="256"/>
      <c r="P912" s="256"/>
      <c r="Q912" s="256"/>
      <c r="R912" s="256"/>
      <c r="S912" s="234"/>
      <c r="T912" s="258"/>
    </row>
    <row r="913" spans="2:20" ht="22.5" customHeight="1" x14ac:dyDescent="0.25">
      <c r="B913" s="267"/>
      <c r="C913" s="234"/>
      <c r="D913" s="234"/>
      <c r="E913" s="268"/>
      <c r="F913" s="269"/>
      <c r="G913" s="258"/>
      <c r="H913" s="270"/>
      <c r="I913" s="271"/>
      <c r="J913" s="271"/>
      <c r="K913" s="234"/>
      <c r="L913" s="307"/>
      <c r="M913" s="272"/>
      <c r="N913" s="253"/>
      <c r="O913" s="256"/>
      <c r="P913" s="256"/>
      <c r="Q913" s="256"/>
      <c r="R913" s="256"/>
      <c r="S913" s="234"/>
      <c r="T913" s="258"/>
    </row>
    <row r="914" spans="2:20" ht="22.5" customHeight="1" x14ac:dyDescent="0.25">
      <c r="B914" s="267"/>
      <c r="C914" s="234"/>
      <c r="D914" s="234"/>
      <c r="E914" s="268"/>
      <c r="F914" s="269"/>
      <c r="G914" s="258"/>
      <c r="H914" s="270"/>
      <c r="I914" s="271"/>
      <c r="J914" s="271"/>
      <c r="K914" s="234"/>
      <c r="L914" s="307"/>
      <c r="M914" s="272"/>
      <c r="N914" s="253"/>
      <c r="O914" s="256"/>
      <c r="P914" s="256"/>
      <c r="Q914" s="256"/>
      <c r="R914" s="256"/>
      <c r="S914" s="234"/>
      <c r="T914" s="258"/>
    </row>
    <row r="915" spans="2:20" ht="22.5" customHeight="1" x14ac:dyDescent="0.25">
      <c r="B915" s="267"/>
      <c r="C915" s="234"/>
      <c r="D915" s="234"/>
      <c r="E915" s="268"/>
      <c r="F915" s="269"/>
      <c r="G915" s="258"/>
      <c r="H915" s="270"/>
      <c r="I915" s="271"/>
      <c r="J915" s="271"/>
      <c r="K915" s="234"/>
      <c r="L915" s="307"/>
      <c r="M915" s="272"/>
      <c r="N915" s="253"/>
      <c r="O915" s="256"/>
      <c r="P915" s="256"/>
      <c r="Q915" s="256"/>
      <c r="R915" s="256"/>
      <c r="S915" s="234"/>
      <c r="T915" s="258"/>
    </row>
    <row r="916" spans="2:20" ht="22.5" customHeight="1" x14ac:dyDescent="0.25">
      <c r="B916" s="267"/>
      <c r="C916" s="234"/>
      <c r="D916" s="234"/>
      <c r="E916" s="268"/>
      <c r="F916" s="269"/>
      <c r="G916" s="258"/>
      <c r="H916" s="270"/>
      <c r="I916" s="271"/>
      <c r="J916" s="271"/>
      <c r="K916" s="234"/>
      <c r="L916" s="307"/>
      <c r="M916" s="272"/>
      <c r="N916" s="253"/>
      <c r="O916" s="256"/>
      <c r="P916" s="256"/>
      <c r="Q916" s="256"/>
      <c r="R916" s="256"/>
      <c r="S916" s="234"/>
      <c r="T916" s="258"/>
    </row>
    <row r="917" spans="2:20" ht="22.5" customHeight="1" x14ac:dyDescent="0.25">
      <c r="B917" s="267"/>
      <c r="C917" s="234"/>
      <c r="D917" s="234"/>
      <c r="E917" s="268"/>
      <c r="F917" s="269"/>
      <c r="G917" s="258"/>
      <c r="H917" s="270"/>
      <c r="I917" s="271"/>
      <c r="J917" s="271"/>
      <c r="K917" s="234"/>
      <c r="L917" s="307"/>
      <c r="M917" s="272"/>
      <c r="N917" s="253"/>
      <c r="O917" s="256"/>
      <c r="P917" s="256"/>
      <c r="Q917" s="256"/>
      <c r="R917" s="256"/>
      <c r="S917" s="234"/>
      <c r="T917" s="258"/>
    </row>
    <row r="918" spans="2:20" ht="22.5" customHeight="1" x14ac:dyDescent="0.25">
      <c r="B918" s="267"/>
      <c r="C918" s="234"/>
      <c r="D918" s="234"/>
      <c r="E918" s="268"/>
      <c r="F918" s="269"/>
      <c r="G918" s="258"/>
      <c r="H918" s="270"/>
      <c r="I918" s="271"/>
      <c r="J918" s="271"/>
      <c r="K918" s="234"/>
      <c r="L918" s="307"/>
      <c r="M918" s="272"/>
      <c r="N918" s="253"/>
      <c r="O918" s="256"/>
      <c r="P918" s="256"/>
      <c r="Q918" s="256"/>
      <c r="R918" s="256"/>
      <c r="S918" s="234"/>
      <c r="T918" s="258"/>
    </row>
    <row r="919" spans="2:20" ht="22.5" customHeight="1" x14ac:dyDescent="0.25">
      <c r="B919" s="267"/>
      <c r="C919" s="234"/>
      <c r="D919" s="234"/>
      <c r="E919" s="268"/>
      <c r="F919" s="269"/>
      <c r="G919" s="258"/>
      <c r="H919" s="270"/>
      <c r="I919" s="271"/>
      <c r="J919" s="271"/>
      <c r="K919" s="234"/>
      <c r="L919" s="307"/>
      <c r="M919" s="272"/>
      <c r="N919" s="253"/>
      <c r="O919" s="256"/>
      <c r="P919" s="256"/>
      <c r="Q919" s="256"/>
      <c r="R919" s="256"/>
      <c r="S919" s="234"/>
      <c r="T919" s="258"/>
    </row>
    <row r="920" spans="2:20" ht="22.5" customHeight="1" x14ac:dyDescent="0.25">
      <c r="B920" s="267"/>
      <c r="C920" s="234"/>
      <c r="D920" s="234"/>
      <c r="E920" s="268"/>
      <c r="F920" s="269"/>
      <c r="G920" s="258"/>
      <c r="H920" s="270"/>
      <c r="I920" s="271"/>
      <c r="J920" s="271"/>
      <c r="K920" s="234"/>
      <c r="L920" s="307"/>
      <c r="M920" s="272"/>
      <c r="N920" s="253"/>
      <c r="O920" s="256"/>
      <c r="P920" s="256"/>
      <c r="Q920" s="256"/>
      <c r="R920" s="256"/>
      <c r="S920" s="234"/>
      <c r="T920" s="258"/>
    </row>
    <row r="921" spans="2:20" ht="22.5" customHeight="1" x14ac:dyDescent="0.25">
      <c r="B921" s="267"/>
      <c r="C921" s="234"/>
      <c r="D921" s="234"/>
      <c r="E921" s="268"/>
      <c r="F921" s="269"/>
      <c r="G921" s="258"/>
      <c r="H921" s="270"/>
      <c r="I921" s="271"/>
      <c r="J921" s="271"/>
      <c r="K921" s="234"/>
      <c r="L921" s="307"/>
      <c r="M921" s="272"/>
      <c r="N921" s="253"/>
      <c r="O921" s="256"/>
      <c r="P921" s="256"/>
      <c r="Q921" s="256"/>
      <c r="R921" s="256"/>
      <c r="S921" s="234"/>
      <c r="T921" s="258"/>
    </row>
    <row r="922" spans="2:20" ht="22.5" customHeight="1" x14ac:dyDescent="0.25">
      <c r="B922" s="267"/>
      <c r="C922" s="234"/>
      <c r="D922" s="234"/>
      <c r="E922" s="268"/>
      <c r="F922" s="269"/>
      <c r="G922" s="258"/>
      <c r="H922" s="270"/>
      <c r="I922" s="271"/>
      <c r="J922" s="271"/>
      <c r="K922" s="234"/>
      <c r="L922" s="307"/>
      <c r="M922" s="272"/>
      <c r="N922" s="253"/>
      <c r="O922" s="256"/>
      <c r="P922" s="256"/>
      <c r="Q922" s="256"/>
      <c r="R922" s="256"/>
      <c r="S922" s="234"/>
      <c r="T922" s="258"/>
    </row>
    <row r="923" spans="2:20" ht="22.5" customHeight="1" x14ac:dyDescent="0.25">
      <c r="B923" s="267"/>
      <c r="C923" s="234"/>
      <c r="D923" s="234"/>
      <c r="E923" s="268"/>
      <c r="F923" s="269"/>
      <c r="G923" s="258"/>
      <c r="H923" s="270"/>
      <c r="I923" s="271"/>
      <c r="J923" s="271"/>
      <c r="K923" s="234"/>
      <c r="L923" s="307"/>
      <c r="M923" s="272"/>
      <c r="N923" s="253"/>
      <c r="O923" s="256"/>
      <c r="P923" s="256"/>
      <c r="Q923" s="256"/>
      <c r="R923" s="256"/>
      <c r="S923" s="234"/>
      <c r="T923" s="258"/>
    </row>
    <row r="924" spans="2:20" ht="22.5" customHeight="1" x14ac:dyDescent="0.25">
      <c r="B924" s="267"/>
      <c r="C924" s="234"/>
      <c r="D924" s="234"/>
      <c r="E924" s="268"/>
      <c r="F924" s="269"/>
      <c r="G924" s="258"/>
      <c r="H924" s="270"/>
      <c r="I924" s="271"/>
      <c r="J924" s="271"/>
      <c r="K924" s="234"/>
      <c r="L924" s="307"/>
      <c r="M924" s="272"/>
      <c r="N924" s="253"/>
      <c r="O924" s="256"/>
      <c r="P924" s="256"/>
      <c r="Q924" s="256"/>
      <c r="R924" s="256"/>
      <c r="S924" s="234"/>
      <c r="T924" s="258"/>
    </row>
    <row r="925" spans="2:20" ht="22.5" customHeight="1" x14ac:dyDescent="0.25">
      <c r="B925" s="267"/>
      <c r="C925" s="234"/>
      <c r="D925" s="234"/>
      <c r="E925" s="268"/>
      <c r="F925" s="269"/>
      <c r="G925" s="258"/>
      <c r="H925" s="270"/>
      <c r="I925" s="271"/>
      <c r="J925" s="271"/>
      <c r="K925" s="234"/>
      <c r="L925" s="307"/>
      <c r="M925" s="272"/>
      <c r="N925" s="253"/>
      <c r="O925" s="256"/>
      <c r="P925" s="256"/>
      <c r="Q925" s="256"/>
      <c r="R925" s="256"/>
      <c r="S925" s="234"/>
      <c r="T925" s="258"/>
    </row>
    <row r="926" spans="2:20" ht="22.5" customHeight="1" x14ac:dyDescent="0.25">
      <c r="B926" s="267"/>
      <c r="C926" s="234"/>
      <c r="D926" s="234"/>
      <c r="E926" s="268"/>
      <c r="F926" s="269"/>
      <c r="G926" s="258"/>
      <c r="H926" s="270"/>
      <c r="I926" s="271"/>
      <c r="J926" s="271"/>
      <c r="K926" s="234"/>
      <c r="L926" s="307"/>
      <c r="M926" s="272"/>
      <c r="N926" s="253"/>
      <c r="O926" s="256"/>
      <c r="P926" s="256"/>
      <c r="Q926" s="256"/>
      <c r="R926" s="256"/>
      <c r="S926" s="234"/>
      <c r="T926" s="258"/>
    </row>
    <row r="927" spans="2:20" ht="22.5" customHeight="1" x14ac:dyDescent="0.25">
      <c r="B927" s="267"/>
      <c r="C927" s="234"/>
      <c r="D927" s="234"/>
      <c r="E927" s="268"/>
      <c r="F927" s="269"/>
      <c r="G927" s="258"/>
      <c r="H927" s="270"/>
      <c r="I927" s="271"/>
      <c r="J927" s="271"/>
      <c r="K927" s="234"/>
      <c r="L927" s="307"/>
      <c r="M927" s="272"/>
      <c r="N927" s="253"/>
      <c r="O927" s="256"/>
      <c r="P927" s="256"/>
      <c r="Q927" s="256"/>
      <c r="R927" s="256"/>
      <c r="S927" s="234"/>
      <c r="T927" s="258"/>
    </row>
    <row r="928" spans="2:20" ht="22.5" customHeight="1" x14ac:dyDescent="0.25">
      <c r="B928" s="267"/>
      <c r="C928" s="234"/>
      <c r="D928" s="234"/>
      <c r="E928" s="268"/>
      <c r="F928" s="269"/>
      <c r="G928" s="258"/>
      <c r="H928" s="270"/>
      <c r="I928" s="271"/>
      <c r="J928" s="271"/>
      <c r="K928" s="234"/>
      <c r="L928" s="307"/>
      <c r="M928" s="272"/>
      <c r="N928" s="253"/>
      <c r="O928" s="256"/>
      <c r="P928" s="256"/>
      <c r="Q928" s="256"/>
      <c r="R928" s="256"/>
      <c r="S928" s="234"/>
      <c r="T928" s="258"/>
    </row>
    <row r="929" spans="2:20" ht="22.5" customHeight="1" x14ac:dyDescent="0.25">
      <c r="B929" s="267"/>
      <c r="C929" s="234"/>
      <c r="D929" s="234"/>
      <c r="E929" s="268"/>
      <c r="F929" s="269"/>
      <c r="G929" s="258"/>
      <c r="H929" s="270"/>
      <c r="I929" s="271"/>
      <c r="J929" s="271"/>
      <c r="K929" s="234"/>
      <c r="L929" s="307"/>
      <c r="M929" s="272"/>
      <c r="N929" s="253"/>
      <c r="O929" s="256"/>
      <c r="P929" s="256"/>
      <c r="Q929" s="256"/>
      <c r="R929" s="256"/>
      <c r="S929" s="234"/>
      <c r="T929" s="258"/>
    </row>
    <row r="930" spans="2:20" ht="22.5" customHeight="1" x14ac:dyDescent="0.25">
      <c r="B930" s="267"/>
      <c r="C930" s="234"/>
      <c r="D930" s="234"/>
      <c r="E930" s="268"/>
      <c r="F930" s="269"/>
      <c r="G930" s="258"/>
      <c r="H930" s="270"/>
      <c r="I930" s="271"/>
      <c r="J930" s="271"/>
      <c r="K930" s="234"/>
      <c r="L930" s="307"/>
      <c r="M930" s="272"/>
      <c r="N930" s="253"/>
      <c r="O930" s="256"/>
      <c r="P930" s="256"/>
      <c r="Q930" s="256"/>
      <c r="R930" s="256"/>
      <c r="S930" s="234"/>
      <c r="T930" s="258"/>
    </row>
    <row r="931" spans="2:20" ht="22.5" customHeight="1" x14ac:dyDescent="0.25">
      <c r="B931" s="267"/>
      <c r="C931" s="234"/>
      <c r="D931" s="234"/>
      <c r="E931" s="268"/>
      <c r="F931" s="269"/>
      <c r="G931" s="258"/>
      <c r="H931" s="270"/>
      <c r="I931" s="271"/>
      <c r="J931" s="271"/>
      <c r="K931" s="234"/>
      <c r="L931" s="307"/>
      <c r="M931" s="272"/>
      <c r="N931" s="253"/>
      <c r="O931" s="256"/>
      <c r="P931" s="256"/>
      <c r="Q931" s="256"/>
      <c r="R931" s="256"/>
      <c r="S931" s="234"/>
      <c r="T931" s="258"/>
    </row>
    <row r="932" spans="2:20" ht="22.5" customHeight="1" x14ac:dyDescent="0.25">
      <c r="B932" s="267"/>
      <c r="C932" s="234"/>
      <c r="D932" s="234"/>
      <c r="E932" s="268"/>
      <c r="F932" s="269"/>
      <c r="G932" s="258"/>
      <c r="H932" s="270"/>
      <c r="I932" s="271"/>
      <c r="J932" s="271"/>
      <c r="K932" s="234"/>
      <c r="L932" s="307"/>
      <c r="M932" s="272"/>
      <c r="N932" s="253"/>
      <c r="O932" s="256"/>
      <c r="P932" s="256"/>
      <c r="Q932" s="256"/>
      <c r="R932" s="256"/>
      <c r="S932" s="234"/>
      <c r="T932" s="258"/>
    </row>
    <row r="933" spans="2:20" ht="22.5" customHeight="1" x14ac:dyDescent="0.25">
      <c r="B933" s="267"/>
      <c r="C933" s="234"/>
      <c r="D933" s="234"/>
      <c r="E933" s="268"/>
      <c r="F933" s="269"/>
      <c r="G933" s="258"/>
      <c r="H933" s="270"/>
      <c r="I933" s="271"/>
      <c r="J933" s="271"/>
      <c r="K933" s="234"/>
      <c r="L933" s="307"/>
      <c r="M933" s="272"/>
      <c r="N933" s="253"/>
      <c r="O933" s="256"/>
      <c r="P933" s="256"/>
      <c r="Q933" s="256"/>
      <c r="R933" s="256"/>
      <c r="S933" s="234"/>
      <c r="T933" s="258"/>
    </row>
    <row r="934" spans="2:20" ht="22.5" customHeight="1" x14ac:dyDescent="0.25">
      <c r="B934" s="267"/>
      <c r="C934" s="234"/>
      <c r="D934" s="234"/>
      <c r="E934" s="268"/>
      <c r="F934" s="269"/>
      <c r="G934" s="258"/>
      <c r="H934" s="270"/>
      <c r="I934" s="271"/>
      <c r="J934" s="271"/>
      <c r="K934" s="234"/>
      <c r="L934" s="307"/>
      <c r="M934" s="272"/>
      <c r="N934" s="253"/>
      <c r="O934" s="256"/>
      <c r="P934" s="256"/>
      <c r="Q934" s="256"/>
      <c r="R934" s="256"/>
      <c r="S934" s="234"/>
      <c r="T934" s="258"/>
    </row>
    <row r="935" spans="2:20" ht="22.5" customHeight="1" x14ac:dyDescent="0.25">
      <c r="B935" s="267"/>
      <c r="C935" s="234"/>
      <c r="D935" s="234"/>
      <c r="E935" s="268"/>
      <c r="F935" s="269"/>
      <c r="G935" s="258"/>
      <c r="H935" s="270"/>
      <c r="I935" s="271"/>
      <c r="J935" s="271"/>
      <c r="K935" s="234"/>
      <c r="L935" s="307"/>
      <c r="M935" s="272"/>
      <c r="N935" s="253"/>
      <c r="O935" s="256"/>
      <c r="P935" s="256"/>
      <c r="Q935" s="256"/>
      <c r="R935" s="256"/>
      <c r="S935" s="234"/>
      <c r="T935" s="258"/>
    </row>
    <row r="936" spans="2:20" ht="22.5" customHeight="1" x14ac:dyDescent="0.25">
      <c r="B936" s="267"/>
      <c r="C936" s="234"/>
      <c r="D936" s="234"/>
      <c r="E936" s="268"/>
      <c r="F936" s="269"/>
      <c r="G936" s="258"/>
      <c r="H936" s="270"/>
      <c r="I936" s="271"/>
      <c r="J936" s="271"/>
      <c r="K936" s="234"/>
      <c r="L936" s="307"/>
      <c r="M936" s="272"/>
      <c r="N936" s="253"/>
      <c r="O936" s="256"/>
      <c r="P936" s="256"/>
      <c r="Q936" s="256"/>
      <c r="R936" s="256"/>
      <c r="S936" s="234"/>
      <c r="T936" s="258"/>
    </row>
    <row r="937" spans="2:20" ht="22.5" customHeight="1" x14ac:dyDescent="0.25">
      <c r="B937" s="267"/>
      <c r="C937" s="234"/>
      <c r="D937" s="234"/>
      <c r="E937" s="268"/>
      <c r="F937" s="269"/>
      <c r="G937" s="258"/>
      <c r="H937" s="270"/>
      <c r="I937" s="271"/>
      <c r="J937" s="271"/>
      <c r="K937" s="234"/>
      <c r="L937" s="307"/>
      <c r="M937" s="272"/>
      <c r="N937" s="253"/>
      <c r="O937" s="256"/>
      <c r="P937" s="256"/>
      <c r="Q937" s="256"/>
      <c r="R937" s="256"/>
      <c r="S937" s="234"/>
      <c r="T937" s="258"/>
    </row>
    <row r="938" spans="2:20" ht="22.5" customHeight="1" x14ac:dyDescent="0.25">
      <c r="B938" s="267"/>
      <c r="C938" s="234"/>
      <c r="D938" s="234"/>
      <c r="E938" s="268"/>
      <c r="F938" s="269"/>
      <c r="G938" s="258"/>
      <c r="H938" s="270"/>
      <c r="I938" s="271"/>
      <c r="J938" s="271"/>
      <c r="K938" s="234"/>
      <c r="L938" s="307"/>
      <c r="M938" s="272"/>
      <c r="N938" s="253"/>
      <c r="O938" s="256"/>
      <c r="P938" s="256"/>
      <c r="Q938" s="256"/>
      <c r="R938" s="256"/>
      <c r="S938" s="234"/>
      <c r="T938" s="258"/>
    </row>
    <row r="939" spans="2:20" ht="22.5" customHeight="1" x14ac:dyDescent="0.25">
      <c r="B939" s="267"/>
      <c r="C939" s="234"/>
      <c r="D939" s="234"/>
      <c r="E939" s="268"/>
      <c r="F939" s="269"/>
      <c r="G939" s="258"/>
      <c r="H939" s="270"/>
      <c r="I939" s="271"/>
      <c r="J939" s="271"/>
      <c r="K939" s="234"/>
      <c r="L939" s="307"/>
      <c r="M939" s="272"/>
      <c r="N939" s="253"/>
      <c r="O939" s="256"/>
      <c r="P939" s="256"/>
      <c r="Q939" s="256"/>
      <c r="R939" s="256"/>
      <c r="S939" s="234"/>
      <c r="T939" s="258"/>
    </row>
    <row r="940" spans="2:20" ht="22.5" customHeight="1" x14ac:dyDescent="0.25">
      <c r="B940" s="267"/>
      <c r="C940" s="234"/>
      <c r="D940" s="234"/>
      <c r="E940" s="268"/>
      <c r="F940" s="269"/>
      <c r="G940" s="258"/>
      <c r="H940" s="270"/>
      <c r="I940" s="271"/>
      <c r="J940" s="271"/>
      <c r="K940" s="234"/>
      <c r="L940" s="307"/>
      <c r="M940" s="272"/>
      <c r="N940" s="253"/>
      <c r="O940" s="256"/>
      <c r="P940" s="256"/>
      <c r="Q940" s="256"/>
      <c r="R940" s="256"/>
      <c r="S940" s="234"/>
      <c r="T940" s="258"/>
    </row>
    <row r="941" spans="2:20" ht="22.5" customHeight="1" x14ac:dyDescent="0.25">
      <c r="B941" s="267"/>
      <c r="C941" s="234"/>
      <c r="D941" s="234"/>
      <c r="E941" s="268"/>
      <c r="F941" s="269"/>
      <c r="G941" s="258"/>
      <c r="H941" s="270"/>
      <c r="I941" s="271"/>
      <c r="J941" s="271"/>
      <c r="K941" s="234"/>
      <c r="L941" s="307"/>
      <c r="M941" s="272"/>
      <c r="N941" s="253"/>
      <c r="O941" s="256"/>
      <c r="P941" s="256"/>
      <c r="Q941" s="256"/>
      <c r="R941" s="256"/>
      <c r="S941" s="234"/>
      <c r="T941" s="258"/>
    </row>
    <row r="942" spans="2:20" ht="22.5" customHeight="1" x14ac:dyDescent="0.25">
      <c r="B942" s="267"/>
      <c r="C942" s="234"/>
      <c r="D942" s="234"/>
      <c r="E942" s="268"/>
      <c r="F942" s="269"/>
      <c r="G942" s="258"/>
      <c r="H942" s="270"/>
      <c r="I942" s="271"/>
      <c r="J942" s="271"/>
      <c r="K942" s="234"/>
      <c r="L942" s="307"/>
      <c r="M942" s="272"/>
      <c r="N942" s="253"/>
      <c r="O942" s="256"/>
      <c r="P942" s="256"/>
      <c r="Q942" s="256"/>
      <c r="R942" s="256"/>
      <c r="S942" s="234"/>
      <c r="T942" s="258"/>
    </row>
    <row r="943" spans="2:20" ht="22.5" customHeight="1" x14ac:dyDescent="0.25">
      <c r="B943" s="267"/>
      <c r="C943" s="234"/>
      <c r="D943" s="234"/>
      <c r="E943" s="268"/>
      <c r="F943" s="269"/>
      <c r="G943" s="258"/>
      <c r="H943" s="270"/>
      <c r="I943" s="271"/>
      <c r="J943" s="271"/>
      <c r="K943" s="234"/>
      <c r="L943" s="307"/>
      <c r="M943" s="272"/>
      <c r="N943" s="253"/>
      <c r="O943" s="256"/>
      <c r="P943" s="256"/>
      <c r="Q943" s="256"/>
      <c r="R943" s="256"/>
      <c r="S943" s="234"/>
      <c r="T943" s="258"/>
    </row>
    <row r="944" spans="2:20" ht="22.5" customHeight="1" x14ac:dyDescent="0.25">
      <c r="B944" s="267"/>
      <c r="C944" s="234"/>
      <c r="D944" s="234"/>
      <c r="E944" s="268"/>
      <c r="F944" s="269"/>
      <c r="G944" s="258"/>
      <c r="H944" s="270"/>
      <c r="I944" s="271"/>
      <c r="J944" s="271"/>
      <c r="K944" s="234"/>
      <c r="L944" s="307"/>
      <c r="M944" s="272"/>
      <c r="N944" s="253"/>
      <c r="O944" s="256"/>
      <c r="P944" s="256"/>
      <c r="Q944" s="256"/>
      <c r="R944" s="256"/>
      <c r="S944" s="234"/>
      <c r="T944" s="258"/>
    </row>
    <row r="945" spans="2:20" ht="22.5" customHeight="1" x14ac:dyDescent="0.25">
      <c r="B945" s="267"/>
      <c r="C945" s="234"/>
      <c r="D945" s="234"/>
      <c r="E945" s="268"/>
      <c r="F945" s="269"/>
      <c r="G945" s="258"/>
      <c r="H945" s="270"/>
      <c r="I945" s="271"/>
      <c r="J945" s="271"/>
      <c r="K945" s="234"/>
      <c r="L945" s="307"/>
      <c r="M945" s="272"/>
      <c r="N945" s="253"/>
      <c r="O945" s="256"/>
      <c r="P945" s="256"/>
      <c r="Q945" s="256"/>
      <c r="R945" s="256"/>
      <c r="S945" s="234"/>
      <c r="T945" s="258"/>
    </row>
    <row r="946" spans="2:20" ht="22.5" customHeight="1" x14ac:dyDescent="0.25">
      <c r="B946" s="267"/>
      <c r="C946" s="234"/>
      <c r="D946" s="234"/>
      <c r="E946" s="268"/>
      <c r="F946" s="269"/>
      <c r="G946" s="258"/>
      <c r="H946" s="270"/>
      <c r="I946" s="271"/>
      <c r="J946" s="271"/>
      <c r="K946" s="234"/>
      <c r="L946" s="307"/>
      <c r="M946" s="272"/>
      <c r="N946" s="253"/>
      <c r="O946" s="256"/>
      <c r="P946" s="256"/>
      <c r="Q946" s="256"/>
      <c r="R946" s="256"/>
      <c r="S946" s="234"/>
      <c r="T946" s="258"/>
    </row>
    <row r="947" spans="2:20" ht="22.5" customHeight="1" x14ac:dyDescent="0.25">
      <c r="B947" s="267"/>
      <c r="C947" s="234"/>
      <c r="D947" s="234"/>
      <c r="E947" s="268"/>
      <c r="F947" s="269"/>
      <c r="G947" s="258"/>
      <c r="H947" s="270"/>
      <c r="I947" s="271"/>
      <c r="J947" s="271"/>
      <c r="K947" s="234"/>
      <c r="L947" s="307"/>
      <c r="M947" s="272"/>
      <c r="N947" s="253"/>
      <c r="O947" s="256"/>
      <c r="P947" s="256"/>
      <c r="Q947" s="256"/>
      <c r="R947" s="256"/>
      <c r="S947" s="234"/>
      <c r="T947" s="258"/>
    </row>
    <row r="948" spans="2:20" ht="22.5" customHeight="1" x14ac:dyDescent="0.25">
      <c r="B948" s="267"/>
      <c r="C948" s="234"/>
      <c r="D948" s="234"/>
      <c r="E948" s="268"/>
      <c r="F948" s="269"/>
      <c r="G948" s="258"/>
      <c r="H948" s="270"/>
      <c r="I948" s="271"/>
      <c r="J948" s="271"/>
      <c r="K948" s="234"/>
      <c r="L948" s="307"/>
      <c r="M948" s="272"/>
      <c r="N948" s="253"/>
      <c r="O948" s="256"/>
      <c r="P948" s="256"/>
      <c r="Q948" s="256"/>
      <c r="R948" s="256"/>
      <c r="S948" s="234"/>
      <c r="T948" s="258"/>
    </row>
    <row r="949" spans="2:20" ht="22.5" customHeight="1" x14ac:dyDescent="0.25">
      <c r="B949" s="267"/>
      <c r="C949" s="234"/>
      <c r="D949" s="234"/>
      <c r="E949" s="268"/>
      <c r="F949" s="269"/>
      <c r="G949" s="258"/>
      <c r="H949" s="270"/>
      <c r="I949" s="271"/>
      <c r="J949" s="271"/>
      <c r="K949" s="234"/>
      <c r="L949" s="307"/>
      <c r="M949" s="272"/>
      <c r="N949" s="253"/>
      <c r="O949" s="256"/>
      <c r="P949" s="256"/>
      <c r="Q949" s="256"/>
      <c r="R949" s="256"/>
      <c r="S949" s="234"/>
      <c r="T949" s="258"/>
    </row>
    <row r="950" spans="2:20" ht="22.5" customHeight="1" x14ac:dyDescent="0.25">
      <c r="B950" s="267"/>
      <c r="C950" s="234"/>
      <c r="D950" s="234"/>
      <c r="E950" s="268"/>
      <c r="F950" s="269"/>
      <c r="G950" s="258"/>
      <c r="H950" s="270"/>
      <c r="I950" s="271"/>
      <c r="J950" s="271"/>
      <c r="K950" s="234"/>
      <c r="L950" s="307"/>
      <c r="M950" s="272"/>
      <c r="N950" s="253"/>
      <c r="O950" s="256"/>
      <c r="P950" s="256"/>
      <c r="Q950" s="256"/>
      <c r="R950" s="256"/>
      <c r="S950" s="234"/>
      <c r="T950" s="258"/>
    </row>
    <row r="951" spans="2:20" ht="22.5" customHeight="1" x14ac:dyDescent="0.25">
      <c r="B951" s="267"/>
      <c r="C951" s="234"/>
      <c r="D951" s="234"/>
      <c r="E951" s="268"/>
      <c r="F951" s="269"/>
      <c r="G951" s="258"/>
      <c r="H951" s="270"/>
      <c r="I951" s="271"/>
      <c r="J951" s="271"/>
      <c r="K951" s="234"/>
      <c r="L951" s="307"/>
      <c r="M951" s="272"/>
      <c r="N951" s="253"/>
      <c r="O951" s="256"/>
      <c r="P951" s="256"/>
      <c r="Q951" s="256"/>
      <c r="R951" s="256"/>
      <c r="S951" s="234"/>
      <c r="T951" s="258"/>
    </row>
    <row r="952" spans="2:20" ht="22.5" customHeight="1" x14ac:dyDescent="0.25">
      <c r="B952" s="267"/>
      <c r="C952" s="234"/>
      <c r="D952" s="234"/>
      <c r="E952" s="268"/>
      <c r="F952" s="269"/>
      <c r="G952" s="258"/>
      <c r="H952" s="270"/>
      <c r="I952" s="271"/>
      <c r="J952" s="271"/>
      <c r="K952" s="234"/>
      <c r="L952" s="307"/>
      <c r="M952" s="272"/>
      <c r="N952" s="253"/>
      <c r="O952" s="256"/>
      <c r="P952" s="256"/>
      <c r="Q952" s="256"/>
      <c r="R952" s="256"/>
      <c r="S952" s="234"/>
      <c r="T952" s="258"/>
    </row>
    <row r="953" spans="2:20" ht="22.5" customHeight="1" x14ac:dyDescent="0.25">
      <c r="B953" s="267"/>
      <c r="C953" s="234"/>
      <c r="D953" s="234"/>
      <c r="E953" s="268"/>
      <c r="F953" s="269"/>
      <c r="G953" s="258"/>
      <c r="H953" s="270"/>
      <c r="I953" s="271"/>
      <c r="J953" s="271"/>
      <c r="K953" s="234"/>
      <c r="L953" s="307"/>
      <c r="M953" s="272"/>
      <c r="N953" s="253"/>
      <c r="O953" s="256"/>
      <c r="P953" s="256"/>
      <c r="Q953" s="256"/>
      <c r="R953" s="256"/>
      <c r="S953" s="234"/>
      <c r="T953" s="258"/>
    </row>
    <row r="954" spans="2:20" ht="22.5" customHeight="1" x14ac:dyDescent="0.25">
      <c r="B954" s="267"/>
      <c r="C954" s="234"/>
      <c r="D954" s="234"/>
      <c r="E954" s="268"/>
      <c r="F954" s="269"/>
      <c r="G954" s="258"/>
      <c r="H954" s="270"/>
      <c r="I954" s="271"/>
      <c r="J954" s="271"/>
      <c r="K954" s="234"/>
      <c r="L954" s="307"/>
      <c r="M954" s="272"/>
      <c r="N954" s="253"/>
      <c r="O954" s="256"/>
      <c r="P954" s="256"/>
      <c r="Q954" s="256"/>
      <c r="R954" s="256"/>
      <c r="S954" s="234"/>
      <c r="T954" s="258"/>
    </row>
    <row r="955" spans="2:20" ht="22.5" customHeight="1" x14ac:dyDescent="0.25">
      <c r="B955" s="267"/>
      <c r="C955" s="234"/>
      <c r="D955" s="234"/>
      <c r="E955" s="268"/>
      <c r="F955" s="269"/>
      <c r="G955" s="258"/>
      <c r="H955" s="270"/>
      <c r="I955" s="271"/>
      <c r="J955" s="271"/>
      <c r="K955" s="234"/>
      <c r="L955" s="307"/>
      <c r="M955" s="272"/>
      <c r="N955" s="253"/>
      <c r="O955" s="256"/>
      <c r="P955" s="256"/>
      <c r="Q955" s="256"/>
      <c r="R955" s="256"/>
      <c r="S955" s="234"/>
      <c r="T955" s="258"/>
    </row>
    <row r="956" spans="2:20" ht="22.5" customHeight="1" x14ac:dyDescent="0.25">
      <c r="B956" s="267"/>
      <c r="C956" s="234"/>
      <c r="D956" s="234"/>
      <c r="E956" s="268"/>
      <c r="F956" s="269"/>
      <c r="G956" s="258"/>
      <c r="H956" s="270"/>
      <c r="I956" s="271"/>
      <c r="J956" s="271"/>
      <c r="K956" s="234"/>
      <c r="L956" s="307"/>
      <c r="M956" s="272"/>
      <c r="N956" s="253"/>
      <c r="O956" s="256"/>
      <c r="P956" s="256"/>
      <c r="Q956" s="256"/>
      <c r="R956" s="256"/>
      <c r="S956" s="234"/>
      <c r="T956" s="258"/>
    </row>
    <row r="957" spans="2:20" ht="22.5" customHeight="1" x14ac:dyDescent="0.25">
      <c r="B957" s="267"/>
      <c r="C957" s="234"/>
      <c r="D957" s="234"/>
      <c r="E957" s="268"/>
      <c r="F957" s="269"/>
      <c r="G957" s="258"/>
      <c r="H957" s="270"/>
      <c r="I957" s="271"/>
      <c r="J957" s="271"/>
      <c r="K957" s="234"/>
      <c r="L957" s="307"/>
      <c r="M957" s="272"/>
      <c r="N957" s="253"/>
      <c r="O957" s="256"/>
      <c r="P957" s="256"/>
      <c r="Q957" s="256"/>
      <c r="R957" s="256"/>
      <c r="S957" s="234"/>
      <c r="T957" s="258"/>
    </row>
    <row r="958" spans="2:20" ht="22.5" customHeight="1" x14ac:dyDescent="0.25">
      <c r="B958" s="267"/>
      <c r="C958" s="234"/>
      <c r="D958" s="234"/>
      <c r="E958" s="268"/>
      <c r="F958" s="269"/>
      <c r="G958" s="258"/>
      <c r="H958" s="270"/>
      <c r="I958" s="271"/>
      <c r="J958" s="271"/>
      <c r="K958" s="234"/>
      <c r="L958" s="307"/>
      <c r="M958" s="272"/>
      <c r="N958" s="253"/>
      <c r="O958" s="256"/>
      <c r="P958" s="256"/>
      <c r="Q958" s="256"/>
      <c r="R958" s="256"/>
      <c r="S958" s="234"/>
      <c r="T958" s="258"/>
    </row>
    <row r="959" spans="2:20" ht="22.5" customHeight="1" x14ac:dyDescent="0.25">
      <c r="B959" s="267"/>
      <c r="C959" s="234"/>
      <c r="D959" s="234"/>
      <c r="E959" s="268"/>
      <c r="F959" s="269"/>
      <c r="G959" s="258"/>
      <c r="H959" s="270"/>
      <c r="I959" s="271"/>
      <c r="J959" s="271"/>
      <c r="K959" s="234"/>
      <c r="L959" s="307"/>
      <c r="M959" s="272"/>
      <c r="N959" s="253"/>
      <c r="O959" s="256"/>
      <c r="P959" s="256"/>
      <c r="Q959" s="256"/>
      <c r="R959" s="256"/>
      <c r="S959" s="234"/>
      <c r="T959" s="258"/>
    </row>
    <row r="960" spans="2:20" ht="22.5" customHeight="1" x14ac:dyDescent="0.25">
      <c r="B960" s="267"/>
      <c r="C960" s="234"/>
      <c r="D960" s="234"/>
      <c r="E960" s="268"/>
      <c r="F960" s="269"/>
      <c r="G960" s="258"/>
      <c r="H960" s="270"/>
      <c r="I960" s="271"/>
      <c r="J960" s="271"/>
      <c r="K960" s="234"/>
      <c r="L960" s="307"/>
      <c r="M960" s="272"/>
      <c r="N960" s="253"/>
      <c r="O960" s="256"/>
      <c r="P960" s="256"/>
      <c r="Q960" s="256"/>
      <c r="R960" s="256"/>
      <c r="S960" s="234"/>
      <c r="T960" s="258"/>
    </row>
    <row r="961" spans="2:20" ht="22.5" customHeight="1" x14ac:dyDescent="0.25">
      <c r="B961" s="267"/>
      <c r="C961" s="234"/>
      <c r="D961" s="234"/>
      <c r="E961" s="268"/>
      <c r="F961" s="269"/>
      <c r="G961" s="258"/>
      <c r="H961" s="270"/>
      <c r="I961" s="271"/>
      <c r="J961" s="271"/>
      <c r="K961" s="234"/>
      <c r="L961" s="307"/>
      <c r="M961" s="272"/>
      <c r="N961" s="253"/>
      <c r="O961" s="256"/>
      <c r="P961" s="256"/>
      <c r="Q961" s="256"/>
      <c r="R961" s="256"/>
      <c r="S961" s="234"/>
      <c r="T961" s="258"/>
    </row>
    <row r="962" spans="2:20" ht="22.5" customHeight="1" x14ac:dyDescent="0.25">
      <c r="B962" s="267"/>
      <c r="C962" s="234"/>
      <c r="D962" s="234"/>
      <c r="E962" s="268"/>
      <c r="F962" s="269"/>
      <c r="G962" s="258"/>
      <c r="H962" s="270"/>
      <c r="I962" s="271"/>
      <c r="J962" s="271"/>
      <c r="K962" s="234"/>
      <c r="L962" s="307"/>
      <c r="M962" s="272"/>
      <c r="N962" s="253"/>
      <c r="O962" s="256"/>
      <c r="P962" s="256"/>
      <c r="Q962" s="256"/>
      <c r="R962" s="256"/>
      <c r="S962" s="234"/>
      <c r="T962" s="258"/>
    </row>
    <row r="963" spans="2:20" ht="22.5" customHeight="1" x14ac:dyDescent="0.25">
      <c r="B963" s="267"/>
      <c r="C963" s="234"/>
      <c r="D963" s="234"/>
      <c r="E963" s="268"/>
      <c r="F963" s="269"/>
      <c r="G963" s="258"/>
      <c r="H963" s="270"/>
      <c r="I963" s="271"/>
      <c r="J963" s="271"/>
      <c r="K963" s="234"/>
      <c r="L963" s="307"/>
      <c r="M963" s="272"/>
      <c r="N963" s="253"/>
      <c r="O963" s="256"/>
      <c r="P963" s="256"/>
      <c r="Q963" s="256"/>
      <c r="R963" s="256"/>
      <c r="S963" s="234"/>
      <c r="T963" s="258"/>
    </row>
    <row r="964" spans="2:20" ht="22.5" customHeight="1" x14ac:dyDescent="0.25">
      <c r="B964" s="267"/>
      <c r="C964" s="234"/>
      <c r="D964" s="234"/>
      <c r="E964" s="268"/>
      <c r="F964" s="269"/>
      <c r="G964" s="258"/>
      <c r="H964" s="270"/>
      <c r="I964" s="271"/>
      <c r="J964" s="271"/>
      <c r="K964" s="234"/>
      <c r="L964" s="307"/>
      <c r="M964" s="272"/>
      <c r="N964" s="253"/>
      <c r="O964" s="256"/>
      <c r="P964" s="256"/>
      <c r="Q964" s="256"/>
      <c r="R964" s="256"/>
      <c r="S964" s="234"/>
      <c r="T964" s="258"/>
    </row>
    <row r="965" spans="2:20" ht="22.5" customHeight="1" x14ac:dyDescent="0.25">
      <c r="B965" s="267"/>
      <c r="C965" s="234"/>
      <c r="D965" s="234"/>
      <c r="E965" s="268"/>
      <c r="F965" s="269"/>
      <c r="G965" s="258"/>
      <c r="H965" s="270"/>
      <c r="I965" s="271"/>
      <c r="J965" s="271"/>
      <c r="K965" s="234"/>
      <c r="L965" s="307"/>
      <c r="M965" s="272"/>
      <c r="N965" s="253"/>
      <c r="O965" s="256"/>
      <c r="P965" s="256"/>
      <c r="Q965" s="256"/>
      <c r="R965" s="256"/>
      <c r="S965" s="234"/>
      <c r="T965" s="258"/>
    </row>
    <row r="966" spans="2:20" ht="22.5" customHeight="1" x14ac:dyDescent="0.25">
      <c r="B966" s="267"/>
      <c r="C966" s="234"/>
      <c r="D966" s="234"/>
      <c r="E966" s="268"/>
      <c r="F966" s="269"/>
      <c r="G966" s="258"/>
      <c r="H966" s="270"/>
      <c r="I966" s="271"/>
      <c r="J966" s="271"/>
      <c r="K966" s="234"/>
      <c r="L966" s="307"/>
      <c r="M966" s="272"/>
      <c r="N966" s="253"/>
      <c r="O966" s="256"/>
      <c r="P966" s="256"/>
      <c r="Q966" s="256"/>
      <c r="R966" s="256"/>
      <c r="S966" s="234"/>
      <c r="T966" s="258"/>
    </row>
    <row r="967" spans="2:20" ht="22.5" customHeight="1" x14ac:dyDescent="0.25">
      <c r="B967" s="267"/>
      <c r="C967" s="234"/>
      <c r="D967" s="234"/>
      <c r="E967" s="268"/>
      <c r="F967" s="269"/>
      <c r="G967" s="258"/>
      <c r="H967" s="270"/>
      <c r="I967" s="271"/>
      <c r="J967" s="271"/>
      <c r="K967" s="234"/>
      <c r="L967" s="307"/>
      <c r="M967" s="272"/>
      <c r="N967" s="253"/>
      <c r="O967" s="256"/>
      <c r="P967" s="256"/>
      <c r="Q967" s="256"/>
      <c r="R967" s="256"/>
      <c r="S967" s="234"/>
      <c r="T967" s="258"/>
    </row>
    <row r="968" spans="2:20" ht="22.5" customHeight="1" x14ac:dyDescent="0.25">
      <c r="B968" s="267"/>
      <c r="C968" s="234"/>
      <c r="D968" s="234"/>
      <c r="E968" s="268"/>
      <c r="F968" s="269"/>
      <c r="G968" s="258"/>
      <c r="H968" s="270"/>
      <c r="I968" s="271"/>
      <c r="J968" s="271"/>
      <c r="K968" s="234"/>
      <c r="L968" s="307"/>
      <c r="M968" s="272"/>
      <c r="N968" s="253"/>
      <c r="O968" s="256"/>
      <c r="P968" s="256"/>
      <c r="Q968" s="256"/>
      <c r="R968" s="256"/>
      <c r="S968" s="234"/>
      <c r="T968" s="258"/>
    </row>
    <row r="969" spans="2:20" ht="22.5" customHeight="1" x14ac:dyDescent="0.25">
      <c r="B969" s="267"/>
      <c r="C969" s="234"/>
      <c r="D969" s="234"/>
      <c r="E969" s="268"/>
      <c r="F969" s="269"/>
      <c r="G969" s="258"/>
      <c r="H969" s="270"/>
      <c r="I969" s="271"/>
      <c r="J969" s="271"/>
      <c r="K969" s="234"/>
      <c r="L969" s="307"/>
      <c r="M969" s="272"/>
      <c r="N969" s="253"/>
      <c r="O969" s="256"/>
      <c r="P969" s="256"/>
      <c r="Q969" s="256"/>
      <c r="R969" s="256"/>
      <c r="S969" s="234"/>
      <c r="T969" s="258"/>
    </row>
    <row r="970" spans="2:20" ht="22.5" customHeight="1" x14ac:dyDescent="0.25">
      <c r="B970" s="267"/>
      <c r="C970" s="234"/>
      <c r="D970" s="234"/>
      <c r="E970" s="268"/>
      <c r="F970" s="269"/>
      <c r="G970" s="258"/>
      <c r="H970" s="270"/>
      <c r="I970" s="271"/>
      <c r="J970" s="271"/>
      <c r="K970" s="234"/>
      <c r="L970" s="307"/>
      <c r="M970" s="272"/>
      <c r="N970" s="253"/>
      <c r="O970" s="256"/>
      <c r="P970" s="256"/>
      <c r="Q970" s="256"/>
      <c r="R970" s="256"/>
      <c r="S970" s="234"/>
      <c r="T970" s="258"/>
    </row>
    <row r="971" spans="2:20" ht="22.5" customHeight="1" x14ac:dyDescent="0.25">
      <c r="B971" s="267"/>
      <c r="C971" s="234"/>
      <c r="D971" s="234"/>
      <c r="E971" s="268"/>
      <c r="F971" s="269"/>
      <c r="G971" s="258"/>
      <c r="H971" s="270"/>
      <c r="I971" s="271"/>
      <c r="J971" s="271"/>
      <c r="K971" s="234"/>
      <c r="L971" s="307"/>
      <c r="M971" s="272"/>
      <c r="N971" s="253"/>
      <c r="O971" s="256"/>
      <c r="P971" s="256"/>
      <c r="Q971" s="256"/>
      <c r="R971" s="256"/>
      <c r="S971" s="234"/>
      <c r="T971" s="258"/>
    </row>
    <row r="972" spans="2:20" ht="22.5" customHeight="1" x14ac:dyDescent="0.25">
      <c r="B972" s="267"/>
      <c r="C972" s="234"/>
      <c r="D972" s="234"/>
      <c r="E972" s="268"/>
      <c r="F972" s="269"/>
      <c r="G972" s="258"/>
      <c r="H972" s="270"/>
      <c r="I972" s="271"/>
      <c r="J972" s="271"/>
      <c r="K972" s="234"/>
      <c r="L972" s="307"/>
      <c r="M972" s="272"/>
      <c r="N972" s="253"/>
      <c r="O972" s="256"/>
      <c r="P972" s="256"/>
      <c r="Q972" s="256"/>
      <c r="R972" s="256"/>
      <c r="S972" s="234"/>
      <c r="T972" s="258"/>
    </row>
    <row r="973" spans="2:20" ht="22.5" customHeight="1" x14ac:dyDescent="0.25">
      <c r="B973" s="267"/>
      <c r="C973" s="234"/>
      <c r="D973" s="234"/>
      <c r="E973" s="268"/>
      <c r="F973" s="269"/>
      <c r="G973" s="258"/>
      <c r="H973" s="270"/>
      <c r="I973" s="271"/>
      <c r="J973" s="271"/>
      <c r="K973" s="234"/>
      <c r="L973" s="307"/>
      <c r="M973" s="272"/>
      <c r="N973" s="253"/>
      <c r="O973" s="256"/>
      <c r="P973" s="256"/>
      <c r="Q973" s="256"/>
      <c r="R973" s="256"/>
      <c r="S973" s="234"/>
      <c r="T973" s="258"/>
    </row>
    <row r="974" spans="2:20" ht="22.5" customHeight="1" x14ac:dyDescent="0.25">
      <c r="B974" s="267"/>
      <c r="C974" s="234"/>
      <c r="D974" s="234"/>
      <c r="E974" s="268"/>
      <c r="F974" s="269"/>
      <c r="G974" s="258"/>
      <c r="H974" s="270"/>
      <c r="I974" s="271"/>
      <c r="J974" s="271"/>
      <c r="K974" s="234"/>
      <c r="L974" s="307"/>
      <c r="M974" s="272"/>
      <c r="N974" s="253"/>
      <c r="O974" s="256"/>
      <c r="P974" s="256"/>
      <c r="Q974" s="256"/>
      <c r="R974" s="256"/>
      <c r="S974" s="234"/>
      <c r="T974" s="258"/>
    </row>
    <row r="975" spans="2:20" ht="22.5" customHeight="1" x14ac:dyDescent="0.25">
      <c r="B975" s="267"/>
      <c r="C975" s="234"/>
      <c r="D975" s="234"/>
      <c r="E975" s="268"/>
      <c r="F975" s="269"/>
      <c r="G975" s="258"/>
      <c r="H975" s="270"/>
      <c r="I975" s="271"/>
      <c r="J975" s="271"/>
      <c r="K975" s="234"/>
      <c r="L975" s="307"/>
      <c r="M975" s="272"/>
      <c r="N975" s="253"/>
      <c r="O975" s="256"/>
      <c r="P975" s="256"/>
      <c r="Q975" s="256"/>
      <c r="R975" s="256"/>
      <c r="S975" s="234"/>
      <c r="T975" s="258"/>
    </row>
    <row r="976" spans="2:20" ht="22.5" customHeight="1" x14ac:dyDescent="0.25">
      <c r="B976" s="267"/>
      <c r="C976" s="234"/>
      <c r="D976" s="234"/>
      <c r="E976" s="268"/>
      <c r="F976" s="269"/>
      <c r="G976" s="258"/>
      <c r="H976" s="270"/>
      <c r="I976" s="271"/>
      <c r="J976" s="271"/>
      <c r="K976" s="234"/>
      <c r="L976" s="307"/>
      <c r="M976" s="272"/>
      <c r="N976" s="253"/>
      <c r="O976" s="256"/>
      <c r="P976" s="256"/>
      <c r="Q976" s="256"/>
      <c r="R976" s="256"/>
      <c r="S976" s="234"/>
      <c r="T976" s="258"/>
    </row>
    <row r="977" spans="2:20" ht="22.5" customHeight="1" x14ac:dyDescent="0.25">
      <c r="B977" s="267"/>
      <c r="C977" s="234"/>
      <c r="D977" s="234"/>
      <c r="E977" s="268"/>
      <c r="F977" s="269"/>
      <c r="G977" s="258"/>
      <c r="H977" s="270"/>
      <c r="I977" s="271"/>
      <c r="J977" s="271"/>
      <c r="K977" s="234"/>
      <c r="L977" s="307"/>
      <c r="M977" s="272"/>
      <c r="N977" s="253"/>
      <c r="O977" s="256"/>
      <c r="P977" s="256"/>
      <c r="Q977" s="256"/>
      <c r="R977" s="256"/>
      <c r="S977" s="234"/>
      <c r="T977" s="258"/>
    </row>
    <row r="978" spans="2:20" ht="22.5" customHeight="1" x14ac:dyDescent="0.25">
      <c r="B978" s="267"/>
      <c r="C978" s="234"/>
      <c r="D978" s="234"/>
      <c r="E978" s="268"/>
      <c r="F978" s="269"/>
      <c r="G978" s="258"/>
      <c r="H978" s="270"/>
      <c r="I978" s="271"/>
      <c r="J978" s="271"/>
      <c r="K978" s="234"/>
      <c r="L978" s="307"/>
      <c r="M978" s="272"/>
      <c r="N978" s="253"/>
      <c r="O978" s="256"/>
      <c r="P978" s="256"/>
      <c r="Q978" s="256"/>
      <c r="R978" s="256"/>
      <c r="S978" s="234"/>
      <c r="T978" s="258"/>
    </row>
    <row r="979" spans="2:20" ht="22.5" customHeight="1" x14ac:dyDescent="0.25">
      <c r="B979" s="267"/>
      <c r="C979" s="234"/>
      <c r="D979" s="234"/>
      <c r="E979" s="268"/>
      <c r="F979" s="269"/>
      <c r="G979" s="258"/>
      <c r="H979" s="270"/>
      <c r="I979" s="271"/>
      <c r="J979" s="271"/>
      <c r="K979" s="234"/>
      <c r="L979" s="307"/>
      <c r="M979" s="272"/>
      <c r="N979" s="253"/>
      <c r="O979" s="256"/>
      <c r="P979" s="256"/>
      <c r="Q979" s="256"/>
      <c r="R979" s="256"/>
      <c r="S979" s="234"/>
      <c r="T979" s="258"/>
    </row>
    <row r="980" spans="2:20" ht="22.5" customHeight="1" x14ac:dyDescent="0.25">
      <c r="B980" s="267"/>
      <c r="C980" s="234"/>
      <c r="D980" s="234"/>
      <c r="E980" s="268"/>
      <c r="F980" s="269"/>
      <c r="G980" s="258"/>
      <c r="H980" s="270"/>
      <c r="I980" s="271"/>
      <c r="J980" s="271"/>
      <c r="K980" s="234"/>
      <c r="L980" s="307"/>
      <c r="M980" s="272"/>
      <c r="N980" s="253"/>
      <c r="O980" s="256"/>
      <c r="P980" s="256"/>
      <c r="Q980" s="256"/>
      <c r="R980" s="256"/>
      <c r="S980" s="234"/>
      <c r="T980" s="258"/>
    </row>
    <row r="981" spans="2:20" ht="22.5" customHeight="1" x14ac:dyDescent="0.25">
      <c r="B981" s="267"/>
      <c r="C981" s="234"/>
      <c r="D981" s="234"/>
      <c r="E981" s="268"/>
      <c r="F981" s="269"/>
      <c r="G981" s="258"/>
      <c r="H981" s="270"/>
      <c r="I981" s="271"/>
      <c r="J981" s="271"/>
      <c r="K981" s="234"/>
      <c r="L981" s="307"/>
      <c r="M981" s="272"/>
      <c r="N981" s="253"/>
      <c r="O981" s="256"/>
      <c r="P981" s="256"/>
      <c r="Q981" s="256"/>
      <c r="R981" s="256"/>
      <c r="S981" s="234"/>
      <c r="T981" s="258"/>
    </row>
    <row r="982" spans="2:20" ht="22.5" customHeight="1" x14ac:dyDescent="0.25">
      <c r="B982" s="267"/>
      <c r="C982" s="234"/>
      <c r="D982" s="234"/>
      <c r="E982" s="268"/>
      <c r="F982" s="269"/>
      <c r="G982" s="258"/>
      <c r="H982" s="270"/>
      <c r="I982" s="271"/>
      <c r="J982" s="271"/>
      <c r="K982" s="234"/>
      <c r="L982" s="307"/>
      <c r="M982" s="272"/>
      <c r="N982" s="253"/>
      <c r="O982" s="256"/>
      <c r="P982" s="256"/>
      <c r="Q982" s="256"/>
      <c r="R982" s="256"/>
      <c r="S982" s="234"/>
      <c r="T982" s="258"/>
    </row>
    <row r="983" spans="2:20" ht="22.5" customHeight="1" x14ac:dyDescent="0.25">
      <c r="B983" s="267"/>
      <c r="C983" s="234"/>
      <c r="D983" s="234"/>
      <c r="E983" s="268"/>
      <c r="F983" s="269"/>
      <c r="G983" s="258"/>
      <c r="H983" s="270"/>
      <c r="I983" s="271"/>
      <c r="J983" s="271"/>
      <c r="K983" s="234"/>
      <c r="L983" s="307"/>
      <c r="M983" s="272"/>
      <c r="N983" s="253"/>
      <c r="O983" s="256"/>
      <c r="P983" s="256"/>
      <c r="Q983" s="256"/>
      <c r="R983" s="256"/>
      <c r="S983" s="234"/>
      <c r="T983" s="258"/>
    </row>
    <row r="984" spans="2:20" ht="22.5" customHeight="1" x14ac:dyDescent="0.25">
      <c r="B984" s="267"/>
      <c r="C984" s="234"/>
      <c r="D984" s="234"/>
      <c r="E984" s="268"/>
      <c r="F984" s="269"/>
      <c r="G984" s="258"/>
      <c r="H984" s="270"/>
      <c r="I984" s="271"/>
      <c r="J984" s="271"/>
      <c r="K984" s="234"/>
      <c r="L984" s="307"/>
      <c r="M984" s="272"/>
      <c r="N984" s="253"/>
      <c r="O984" s="256"/>
      <c r="P984" s="256"/>
      <c r="Q984" s="256"/>
      <c r="R984" s="256"/>
      <c r="S984" s="234"/>
      <c r="T984" s="258"/>
    </row>
    <row r="985" spans="2:20" ht="22.5" customHeight="1" x14ac:dyDescent="0.25">
      <c r="B985" s="267"/>
      <c r="C985" s="234"/>
      <c r="D985" s="234"/>
      <c r="E985" s="268"/>
      <c r="F985" s="269"/>
      <c r="G985" s="258"/>
      <c r="H985" s="270"/>
      <c r="I985" s="271"/>
      <c r="J985" s="271"/>
      <c r="K985" s="234"/>
      <c r="L985" s="307"/>
      <c r="M985" s="272"/>
      <c r="N985" s="253"/>
      <c r="O985" s="256"/>
      <c r="P985" s="256"/>
      <c r="Q985" s="256"/>
      <c r="R985" s="256"/>
      <c r="S985" s="234"/>
      <c r="T985" s="258"/>
    </row>
    <row r="986" spans="2:20" ht="22.5" customHeight="1" x14ac:dyDescent="0.25">
      <c r="B986" s="267"/>
      <c r="C986" s="234"/>
      <c r="D986" s="234"/>
      <c r="E986" s="268"/>
      <c r="F986" s="269"/>
      <c r="G986" s="258"/>
      <c r="H986" s="270"/>
      <c r="I986" s="271"/>
      <c r="J986" s="271"/>
      <c r="K986" s="234"/>
      <c r="L986" s="307"/>
      <c r="M986" s="272"/>
      <c r="N986" s="253"/>
      <c r="O986" s="256"/>
      <c r="P986" s="256"/>
      <c r="Q986" s="256"/>
      <c r="R986" s="256"/>
      <c r="S986" s="234"/>
      <c r="T986" s="258"/>
    </row>
    <row r="987" spans="2:20" ht="22.5" customHeight="1" x14ac:dyDescent="0.25">
      <c r="B987" s="267"/>
      <c r="C987" s="234"/>
      <c r="D987" s="234"/>
      <c r="E987" s="268"/>
      <c r="F987" s="269"/>
      <c r="G987" s="258"/>
      <c r="H987" s="270"/>
      <c r="I987" s="271"/>
      <c r="J987" s="271"/>
      <c r="K987" s="234"/>
      <c r="L987" s="307"/>
      <c r="M987" s="272"/>
      <c r="N987" s="253"/>
      <c r="O987" s="256"/>
      <c r="P987" s="256"/>
      <c r="Q987" s="256"/>
      <c r="R987" s="256"/>
      <c r="S987" s="234"/>
      <c r="T987" s="258"/>
    </row>
    <row r="988" spans="2:20" ht="22.5" customHeight="1" x14ac:dyDescent="0.25">
      <c r="B988" s="267"/>
      <c r="C988" s="234"/>
      <c r="D988" s="234"/>
      <c r="E988" s="268"/>
      <c r="F988" s="269"/>
      <c r="G988" s="258"/>
      <c r="H988" s="270"/>
      <c r="I988" s="271"/>
      <c r="J988" s="271"/>
      <c r="K988" s="234"/>
      <c r="L988" s="307"/>
      <c r="M988" s="272"/>
      <c r="N988" s="253"/>
      <c r="O988" s="256"/>
      <c r="P988" s="256"/>
      <c r="Q988" s="256"/>
      <c r="R988" s="256"/>
      <c r="S988" s="234"/>
      <c r="T988" s="258"/>
    </row>
    <row r="989" spans="2:20" ht="22.5" customHeight="1" x14ac:dyDescent="0.25">
      <c r="B989" s="267"/>
      <c r="C989" s="234"/>
      <c r="D989" s="234"/>
      <c r="E989" s="268"/>
      <c r="F989" s="269"/>
      <c r="G989" s="258"/>
      <c r="H989" s="270"/>
      <c r="I989" s="271"/>
      <c r="J989" s="271"/>
      <c r="K989" s="234"/>
      <c r="L989" s="307"/>
      <c r="M989" s="272"/>
      <c r="N989" s="253"/>
      <c r="O989" s="256"/>
      <c r="P989" s="256"/>
      <c r="Q989" s="256"/>
      <c r="R989" s="256"/>
      <c r="S989" s="234"/>
      <c r="T989" s="258"/>
    </row>
    <row r="990" spans="2:20" ht="22.5" customHeight="1" x14ac:dyDescent="0.25">
      <c r="B990" s="267"/>
      <c r="C990" s="234"/>
      <c r="D990" s="234"/>
      <c r="E990" s="268"/>
      <c r="F990" s="269"/>
      <c r="G990" s="258"/>
      <c r="H990" s="270"/>
      <c r="I990" s="271"/>
      <c r="J990" s="271"/>
      <c r="K990" s="234"/>
      <c r="L990" s="307"/>
      <c r="M990" s="272"/>
      <c r="N990" s="253"/>
      <c r="O990" s="256"/>
      <c r="P990" s="256"/>
      <c r="Q990" s="256"/>
      <c r="R990" s="256"/>
      <c r="S990" s="234"/>
      <c r="T990" s="258"/>
    </row>
    <row r="991" spans="2:20" ht="22.5" customHeight="1" x14ac:dyDescent="0.25">
      <c r="B991" s="267"/>
      <c r="C991" s="234"/>
      <c r="D991" s="234"/>
      <c r="E991" s="268"/>
      <c r="F991" s="269"/>
      <c r="G991" s="258"/>
      <c r="H991" s="270"/>
      <c r="I991" s="271"/>
      <c r="J991" s="271"/>
      <c r="K991" s="234"/>
      <c r="L991" s="307"/>
      <c r="M991" s="272"/>
      <c r="N991" s="253"/>
      <c r="O991" s="256"/>
      <c r="P991" s="256"/>
      <c r="Q991" s="256"/>
      <c r="R991" s="256"/>
      <c r="S991" s="234"/>
      <c r="T991" s="258"/>
    </row>
    <row r="992" spans="2:20" ht="22.5" customHeight="1" x14ac:dyDescent="0.25">
      <c r="B992" s="267"/>
      <c r="C992" s="234"/>
      <c r="D992" s="234"/>
      <c r="E992" s="268"/>
      <c r="F992" s="269"/>
      <c r="G992" s="258"/>
      <c r="H992" s="270"/>
      <c r="I992" s="271"/>
      <c r="J992" s="271"/>
      <c r="K992" s="234"/>
      <c r="L992" s="307"/>
      <c r="M992" s="272"/>
      <c r="N992" s="253"/>
      <c r="O992" s="256"/>
      <c r="P992" s="256"/>
      <c r="Q992" s="256"/>
      <c r="R992" s="256"/>
      <c r="S992" s="234"/>
      <c r="T992" s="258"/>
    </row>
    <row r="993" spans="2:20" ht="22.5" customHeight="1" x14ac:dyDescent="0.25">
      <c r="B993" s="267"/>
      <c r="C993" s="234"/>
      <c r="D993" s="234"/>
      <c r="E993" s="268"/>
      <c r="F993" s="269"/>
      <c r="G993" s="258"/>
      <c r="H993" s="270"/>
      <c r="I993" s="271"/>
      <c r="J993" s="271"/>
      <c r="K993" s="234"/>
      <c r="L993" s="307"/>
      <c r="M993" s="272"/>
      <c r="N993" s="253"/>
      <c r="O993" s="256"/>
      <c r="P993" s="256"/>
      <c r="Q993" s="256"/>
      <c r="R993" s="256"/>
      <c r="S993" s="234"/>
      <c r="T993" s="258"/>
    </row>
    <row r="994" spans="2:20" ht="22.5" customHeight="1" x14ac:dyDescent="0.25">
      <c r="B994" s="267"/>
      <c r="C994" s="234"/>
      <c r="D994" s="234"/>
      <c r="E994" s="268"/>
      <c r="F994" s="269"/>
      <c r="G994" s="258"/>
      <c r="H994" s="270"/>
      <c r="I994" s="271"/>
      <c r="J994" s="271"/>
      <c r="K994" s="234"/>
      <c r="L994" s="307"/>
      <c r="M994" s="272"/>
      <c r="N994" s="253"/>
      <c r="O994" s="256"/>
      <c r="P994" s="256"/>
      <c r="Q994" s="256"/>
      <c r="R994" s="256"/>
      <c r="S994" s="234"/>
      <c r="T994" s="258"/>
    </row>
    <row r="995" spans="2:20" ht="22.5" customHeight="1" x14ac:dyDescent="0.25">
      <c r="B995" s="267"/>
      <c r="C995" s="234"/>
      <c r="D995" s="234"/>
      <c r="E995" s="268"/>
      <c r="F995" s="269"/>
      <c r="G995" s="258"/>
      <c r="H995" s="270"/>
      <c r="I995" s="271"/>
      <c r="J995" s="271"/>
      <c r="K995" s="234"/>
      <c r="L995" s="307"/>
      <c r="M995" s="272"/>
      <c r="N995" s="253"/>
      <c r="O995" s="256"/>
      <c r="P995" s="256"/>
      <c r="Q995" s="256"/>
      <c r="R995" s="256"/>
      <c r="S995" s="234"/>
      <c r="T995" s="258"/>
    </row>
    <row r="996" spans="2:20" ht="22.5" customHeight="1" x14ac:dyDescent="0.25">
      <c r="B996" s="267"/>
      <c r="C996" s="234"/>
      <c r="D996" s="234"/>
      <c r="E996" s="268"/>
      <c r="F996" s="269"/>
      <c r="G996" s="258"/>
      <c r="H996" s="270"/>
      <c r="I996" s="271"/>
      <c r="J996" s="271"/>
      <c r="K996" s="234"/>
      <c r="L996" s="307"/>
      <c r="M996" s="272"/>
      <c r="N996" s="253"/>
      <c r="O996" s="256"/>
      <c r="P996" s="256"/>
      <c r="Q996" s="256"/>
      <c r="R996" s="256"/>
      <c r="S996" s="234"/>
      <c r="T996" s="258"/>
    </row>
    <row r="997" spans="2:20" ht="22.5" customHeight="1" x14ac:dyDescent="0.25">
      <c r="B997" s="267"/>
      <c r="C997" s="234"/>
      <c r="D997" s="234"/>
      <c r="E997" s="268"/>
      <c r="F997" s="269"/>
      <c r="G997" s="258"/>
      <c r="H997" s="270"/>
      <c r="I997" s="271"/>
      <c r="J997" s="271"/>
      <c r="K997" s="234"/>
      <c r="L997" s="307"/>
      <c r="M997" s="272"/>
      <c r="N997" s="253"/>
      <c r="O997" s="256"/>
      <c r="P997" s="256"/>
      <c r="Q997" s="256"/>
      <c r="R997" s="256"/>
      <c r="S997" s="234"/>
      <c r="T997" s="258"/>
    </row>
    <row r="998" spans="2:20" ht="22.5" customHeight="1" x14ac:dyDescent="0.25">
      <c r="B998" s="267"/>
      <c r="C998" s="234"/>
      <c r="D998" s="234"/>
      <c r="E998" s="268"/>
      <c r="F998" s="269"/>
      <c r="G998" s="258"/>
      <c r="H998" s="270"/>
      <c r="I998" s="271"/>
      <c r="J998" s="271"/>
      <c r="K998" s="234"/>
      <c r="L998" s="307"/>
      <c r="M998" s="272"/>
      <c r="N998" s="253"/>
      <c r="O998" s="256"/>
      <c r="P998" s="256"/>
      <c r="Q998" s="256"/>
      <c r="R998" s="256"/>
      <c r="S998" s="234"/>
      <c r="T998" s="258"/>
    </row>
    <row r="999" spans="2:20" ht="22.5" customHeight="1" x14ac:dyDescent="0.25">
      <c r="B999" s="267"/>
      <c r="C999" s="234"/>
      <c r="D999" s="234"/>
      <c r="E999" s="268"/>
      <c r="F999" s="269"/>
      <c r="G999" s="258"/>
      <c r="H999" s="270"/>
      <c r="I999" s="271"/>
      <c r="J999" s="271"/>
      <c r="K999" s="234"/>
      <c r="L999" s="307"/>
      <c r="M999" s="272"/>
      <c r="N999" s="253"/>
      <c r="O999" s="256"/>
      <c r="P999" s="256"/>
      <c r="Q999" s="256"/>
      <c r="R999" s="256"/>
      <c r="S999" s="234"/>
      <c r="T999" s="258"/>
    </row>
    <row r="1000" spans="2:20" ht="22.5" customHeight="1" x14ac:dyDescent="0.25">
      <c r="B1000" s="267"/>
      <c r="C1000" s="234"/>
      <c r="D1000" s="234"/>
      <c r="E1000" s="268"/>
      <c r="F1000" s="269"/>
      <c r="G1000" s="258"/>
      <c r="H1000" s="270"/>
      <c r="I1000" s="271"/>
      <c r="J1000" s="271"/>
      <c r="K1000" s="234"/>
      <c r="L1000" s="307"/>
      <c r="M1000" s="272"/>
      <c r="N1000" s="253"/>
      <c r="O1000" s="256"/>
      <c r="P1000" s="256"/>
      <c r="Q1000" s="256"/>
      <c r="R1000" s="256"/>
      <c r="S1000" s="234"/>
      <c r="T1000" s="258"/>
    </row>
    <row r="1001" spans="2:20" ht="22.5" customHeight="1" x14ac:dyDescent="0.25">
      <c r="B1001" s="267"/>
      <c r="C1001" s="234"/>
      <c r="D1001" s="234"/>
      <c r="E1001" s="268"/>
      <c r="F1001" s="269"/>
      <c r="G1001" s="258"/>
      <c r="H1001" s="270"/>
      <c r="I1001" s="271"/>
      <c r="J1001" s="271"/>
      <c r="K1001" s="234"/>
      <c r="L1001" s="307"/>
      <c r="M1001" s="272"/>
      <c r="N1001" s="253"/>
      <c r="O1001" s="256"/>
      <c r="P1001" s="256"/>
      <c r="Q1001" s="256"/>
      <c r="R1001" s="256"/>
      <c r="S1001" s="234"/>
      <c r="T1001" s="258"/>
    </row>
    <row r="1002" spans="2:20" ht="22.5" customHeight="1" x14ac:dyDescent="0.25">
      <c r="B1002" s="267"/>
      <c r="C1002" s="234"/>
      <c r="D1002" s="234"/>
      <c r="E1002" s="268"/>
      <c r="F1002" s="269"/>
      <c r="G1002" s="258"/>
      <c r="H1002" s="270"/>
      <c r="I1002" s="271"/>
      <c r="J1002" s="271"/>
      <c r="K1002" s="234"/>
      <c r="L1002" s="307"/>
      <c r="M1002" s="272"/>
      <c r="N1002" s="253"/>
      <c r="O1002" s="256"/>
      <c r="P1002" s="256"/>
      <c r="Q1002" s="256"/>
      <c r="R1002" s="256"/>
      <c r="S1002" s="234"/>
      <c r="T1002" s="258"/>
    </row>
    <row r="1003" spans="2:20" ht="22.5" customHeight="1" x14ac:dyDescent="0.25">
      <c r="B1003" s="267"/>
      <c r="C1003" s="234"/>
      <c r="D1003" s="234"/>
      <c r="E1003" s="268"/>
      <c r="F1003" s="269"/>
      <c r="G1003" s="258"/>
      <c r="H1003" s="270"/>
      <c r="I1003" s="271"/>
      <c r="J1003" s="271"/>
      <c r="K1003" s="234"/>
      <c r="L1003" s="307"/>
      <c r="M1003" s="272"/>
      <c r="N1003" s="253"/>
      <c r="O1003" s="256"/>
      <c r="P1003" s="256"/>
      <c r="Q1003" s="256"/>
      <c r="R1003" s="256"/>
      <c r="S1003" s="234"/>
      <c r="T1003" s="258"/>
    </row>
    <row r="1004" spans="2:20" ht="22.5" customHeight="1" x14ac:dyDescent="0.25">
      <c r="B1004" s="267"/>
      <c r="C1004" s="234"/>
      <c r="D1004" s="234"/>
      <c r="E1004" s="268"/>
      <c r="F1004" s="269"/>
      <c r="G1004" s="258"/>
      <c r="H1004" s="270"/>
      <c r="I1004" s="271"/>
      <c r="J1004" s="271"/>
      <c r="K1004" s="234"/>
      <c r="L1004" s="307"/>
      <c r="M1004" s="272"/>
      <c r="N1004" s="253"/>
      <c r="O1004" s="256"/>
      <c r="P1004" s="256"/>
      <c r="Q1004" s="256"/>
      <c r="R1004" s="256"/>
      <c r="S1004" s="234"/>
      <c r="T1004" s="258"/>
    </row>
    <row r="1005" spans="2:20" ht="22.5" customHeight="1" x14ac:dyDescent="0.25">
      <c r="B1005" s="267"/>
      <c r="C1005" s="234"/>
      <c r="D1005" s="234"/>
      <c r="E1005" s="268"/>
      <c r="F1005" s="269"/>
      <c r="G1005" s="258"/>
      <c r="H1005" s="270"/>
      <c r="I1005" s="271"/>
      <c r="J1005" s="271"/>
      <c r="K1005" s="234"/>
      <c r="L1005" s="307"/>
      <c r="M1005" s="272"/>
      <c r="N1005" s="253"/>
      <c r="O1005" s="256"/>
      <c r="P1005" s="256"/>
      <c r="Q1005" s="256"/>
      <c r="R1005" s="256"/>
      <c r="S1005" s="234"/>
      <c r="T1005" s="258"/>
    </row>
    <row r="1006" spans="2:20" ht="22.5" customHeight="1" x14ac:dyDescent="0.25">
      <c r="B1006" s="267"/>
      <c r="C1006" s="234"/>
      <c r="D1006" s="234"/>
      <c r="E1006" s="268"/>
      <c r="F1006" s="269"/>
      <c r="G1006" s="258"/>
      <c r="H1006" s="270"/>
      <c r="I1006" s="271"/>
      <c r="J1006" s="271"/>
      <c r="K1006" s="234"/>
      <c r="L1006" s="307"/>
      <c r="M1006" s="272"/>
      <c r="N1006" s="253"/>
      <c r="O1006" s="256"/>
      <c r="P1006" s="256"/>
      <c r="Q1006" s="256"/>
      <c r="R1006" s="256"/>
      <c r="S1006" s="234"/>
      <c r="T1006" s="258"/>
    </row>
    <row r="1007" spans="2:20" ht="22.5" customHeight="1" x14ac:dyDescent="0.25">
      <c r="B1007" s="267"/>
      <c r="C1007" s="234"/>
      <c r="D1007" s="234"/>
      <c r="E1007" s="268"/>
      <c r="F1007" s="269"/>
      <c r="G1007" s="258"/>
      <c r="H1007" s="270"/>
      <c r="I1007" s="271"/>
      <c r="J1007" s="271"/>
      <c r="K1007" s="234"/>
      <c r="L1007" s="307"/>
      <c r="M1007" s="272"/>
      <c r="N1007" s="253"/>
      <c r="O1007" s="256"/>
      <c r="P1007" s="256"/>
      <c r="Q1007" s="256"/>
      <c r="R1007" s="256"/>
      <c r="S1007" s="234"/>
      <c r="T1007" s="258"/>
    </row>
    <row r="1008" spans="2:20" ht="22.5" customHeight="1" x14ac:dyDescent="0.25">
      <c r="B1008" s="267"/>
      <c r="C1008" s="234"/>
      <c r="D1008" s="234"/>
      <c r="E1008" s="268"/>
      <c r="F1008" s="269"/>
      <c r="G1008" s="258"/>
      <c r="H1008" s="270"/>
      <c r="I1008" s="271"/>
      <c r="J1008" s="271"/>
      <c r="K1008" s="234"/>
      <c r="L1008" s="307"/>
      <c r="M1008" s="272"/>
      <c r="N1008" s="253"/>
      <c r="O1008" s="256"/>
      <c r="P1008" s="256"/>
      <c r="Q1008" s="256"/>
      <c r="R1008" s="256"/>
      <c r="S1008" s="234"/>
      <c r="T1008" s="258"/>
    </row>
    <row r="1009" spans="2:20" ht="22.5" customHeight="1" x14ac:dyDescent="0.25">
      <c r="B1009" s="267"/>
      <c r="C1009" s="234"/>
      <c r="D1009" s="234"/>
      <c r="E1009" s="268"/>
      <c r="F1009" s="269"/>
      <c r="G1009" s="258"/>
      <c r="H1009" s="270"/>
      <c r="I1009" s="271"/>
      <c r="J1009" s="271"/>
      <c r="K1009" s="234"/>
      <c r="L1009" s="307"/>
      <c r="M1009" s="272"/>
      <c r="N1009" s="253"/>
      <c r="O1009" s="256"/>
      <c r="P1009" s="256"/>
      <c r="Q1009" s="256"/>
      <c r="R1009" s="256"/>
      <c r="S1009" s="234"/>
      <c r="T1009" s="258"/>
    </row>
    <row r="1010" spans="2:20" ht="22.5" customHeight="1" x14ac:dyDescent="0.25">
      <c r="B1010" s="267"/>
      <c r="C1010" s="234"/>
      <c r="D1010" s="234"/>
      <c r="E1010" s="268"/>
      <c r="F1010" s="269"/>
      <c r="G1010" s="258"/>
      <c r="H1010" s="270"/>
      <c r="I1010" s="271"/>
      <c r="J1010" s="271"/>
      <c r="K1010" s="234"/>
      <c r="L1010" s="307"/>
      <c r="M1010" s="272"/>
      <c r="N1010" s="253"/>
      <c r="O1010" s="256"/>
      <c r="P1010" s="256"/>
      <c r="Q1010" s="256"/>
      <c r="R1010" s="256"/>
      <c r="S1010" s="234"/>
      <c r="T1010" s="258"/>
    </row>
    <row r="1011" spans="2:20" ht="22.5" customHeight="1" x14ac:dyDescent="0.25">
      <c r="B1011" s="267"/>
      <c r="C1011" s="234"/>
      <c r="D1011" s="234"/>
      <c r="E1011" s="268"/>
      <c r="F1011" s="269"/>
      <c r="G1011" s="258"/>
      <c r="H1011" s="270"/>
      <c r="I1011" s="271"/>
      <c r="J1011" s="271"/>
      <c r="K1011" s="234"/>
      <c r="L1011" s="307"/>
      <c r="M1011" s="272"/>
      <c r="N1011" s="253"/>
      <c r="O1011" s="256"/>
      <c r="P1011" s="256"/>
      <c r="Q1011" s="256"/>
      <c r="R1011" s="256"/>
      <c r="S1011" s="234"/>
      <c r="T1011" s="258"/>
    </row>
    <row r="1012" spans="2:20" ht="22.5" customHeight="1" x14ac:dyDescent="0.25">
      <c r="B1012" s="267"/>
      <c r="C1012" s="234"/>
      <c r="D1012" s="234"/>
      <c r="E1012" s="268"/>
      <c r="F1012" s="269"/>
      <c r="G1012" s="258"/>
      <c r="H1012" s="270"/>
      <c r="I1012" s="271"/>
      <c r="J1012" s="271"/>
      <c r="K1012" s="234"/>
      <c r="L1012" s="307"/>
      <c r="M1012" s="272"/>
      <c r="N1012" s="253"/>
      <c r="O1012" s="256"/>
      <c r="P1012" s="256"/>
      <c r="Q1012" s="256"/>
      <c r="R1012" s="256"/>
      <c r="S1012" s="234"/>
      <c r="T1012" s="258"/>
    </row>
    <row r="1013" spans="2:20" ht="22.5" customHeight="1" x14ac:dyDescent="0.25">
      <c r="B1013" s="267"/>
      <c r="C1013" s="234"/>
      <c r="D1013" s="234"/>
      <c r="E1013" s="268"/>
      <c r="F1013" s="269"/>
      <c r="G1013" s="258"/>
      <c r="H1013" s="270"/>
      <c r="I1013" s="271"/>
      <c r="J1013" s="271"/>
      <c r="K1013" s="234"/>
      <c r="L1013" s="307"/>
      <c r="M1013" s="272"/>
      <c r="N1013" s="253"/>
      <c r="O1013" s="256"/>
      <c r="P1013" s="256"/>
      <c r="Q1013" s="256"/>
      <c r="R1013" s="256"/>
      <c r="S1013" s="234"/>
      <c r="T1013" s="258"/>
    </row>
    <row r="1014" spans="2:20" ht="22.5" customHeight="1" x14ac:dyDescent="0.25">
      <c r="B1014" s="267"/>
      <c r="C1014" s="234"/>
      <c r="D1014" s="234"/>
      <c r="E1014" s="268"/>
      <c r="F1014" s="269"/>
      <c r="G1014" s="258"/>
      <c r="H1014" s="270"/>
      <c r="I1014" s="271"/>
      <c r="J1014" s="271"/>
      <c r="K1014" s="234"/>
      <c r="L1014" s="307"/>
      <c r="M1014" s="272"/>
      <c r="N1014" s="253"/>
      <c r="O1014" s="256"/>
      <c r="P1014" s="256"/>
      <c r="Q1014" s="256"/>
      <c r="R1014" s="256"/>
      <c r="S1014" s="234"/>
      <c r="T1014" s="258"/>
    </row>
    <row r="1015" spans="2:20" ht="22.5" customHeight="1" x14ac:dyDescent="0.25">
      <c r="B1015" s="267"/>
      <c r="C1015" s="234"/>
      <c r="D1015" s="234"/>
      <c r="E1015" s="268"/>
      <c r="F1015" s="269"/>
      <c r="G1015" s="258"/>
      <c r="H1015" s="270"/>
      <c r="I1015" s="271"/>
      <c r="J1015" s="271"/>
      <c r="K1015" s="234"/>
      <c r="L1015" s="307"/>
      <c r="M1015" s="272"/>
      <c r="N1015" s="253"/>
      <c r="O1015" s="256"/>
      <c r="P1015" s="256"/>
      <c r="Q1015" s="256"/>
      <c r="R1015" s="256"/>
      <c r="S1015" s="234"/>
      <c r="T1015" s="258"/>
    </row>
    <row r="1016" spans="2:20" ht="22.5" customHeight="1" x14ac:dyDescent="0.25">
      <c r="B1016" s="267"/>
      <c r="C1016" s="234"/>
      <c r="D1016" s="234"/>
      <c r="E1016" s="268"/>
      <c r="F1016" s="269"/>
      <c r="G1016" s="258"/>
      <c r="H1016" s="270"/>
      <c r="I1016" s="271"/>
      <c r="J1016" s="271"/>
      <c r="K1016" s="234"/>
      <c r="L1016" s="307"/>
      <c r="M1016" s="272"/>
      <c r="N1016" s="253"/>
      <c r="O1016" s="256"/>
      <c r="P1016" s="256"/>
      <c r="Q1016" s="256"/>
      <c r="R1016" s="256"/>
      <c r="S1016" s="234"/>
      <c r="T1016" s="258"/>
    </row>
    <row r="1017" spans="2:20" ht="22.5" customHeight="1" x14ac:dyDescent="0.25">
      <c r="B1017" s="267"/>
      <c r="C1017" s="234"/>
      <c r="D1017" s="234"/>
      <c r="E1017" s="268"/>
      <c r="F1017" s="269"/>
      <c r="G1017" s="258"/>
      <c r="H1017" s="270"/>
      <c r="I1017" s="271"/>
      <c r="J1017" s="271"/>
      <c r="K1017" s="234"/>
      <c r="L1017" s="307"/>
      <c r="M1017" s="272"/>
      <c r="N1017" s="253"/>
      <c r="O1017" s="256"/>
      <c r="P1017" s="256"/>
      <c r="Q1017" s="256"/>
      <c r="R1017" s="256"/>
      <c r="S1017" s="234"/>
      <c r="T1017" s="258"/>
    </row>
    <row r="1018" spans="2:20" ht="22.5" customHeight="1" x14ac:dyDescent="0.25">
      <c r="B1018" s="267"/>
      <c r="C1018" s="234"/>
      <c r="D1018" s="234"/>
      <c r="E1018" s="268"/>
      <c r="F1018" s="269"/>
      <c r="G1018" s="258"/>
      <c r="H1018" s="270"/>
      <c r="I1018" s="271"/>
      <c r="J1018" s="271"/>
      <c r="K1018" s="234"/>
      <c r="L1018" s="307"/>
      <c r="M1018" s="272"/>
      <c r="N1018" s="253"/>
      <c r="O1018" s="256"/>
      <c r="P1018" s="256"/>
      <c r="Q1018" s="256"/>
      <c r="R1018" s="256"/>
      <c r="S1018" s="234"/>
      <c r="T1018" s="258"/>
    </row>
    <row r="1019" spans="2:20" ht="22.5" customHeight="1" x14ac:dyDescent="0.25">
      <c r="B1019" s="267"/>
      <c r="C1019" s="234"/>
      <c r="D1019" s="234"/>
      <c r="E1019" s="268"/>
      <c r="F1019" s="269"/>
      <c r="G1019" s="258"/>
      <c r="H1019" s="270"/>
      <c r="I1019" s="271"/>
      <c r="J1019" s="271"/>
      <c r="K1019" s="234"/>
      <c r="L1019" s="307"/>
      <c r="M1019" s="272"/>
      <c r="N1019" s="253"/>
      <c r="O1019" s="256"/>
      <c r="P1019" s="256"/>
      <c r="Q1019" s="256"/>
      <c r="R1019" s="256"/>
      <c r="S1019" s="234"/>
      <c r="T1019" s="258"/>
    </row>
    <row r="1020" spans="2:20" ht="22.5" customHeight="1" x14ac:dyDescent="0.25">
      <c r="B1020" s="267"/>
      <c r="C1020" s="234"/>
      <c r="D1020" s="234"/>
      <c r="E1020" s="268"/>
      <c r="F1020" s="269"/>
      <c r="G1020" s="258"/>
      <c r="H1020" s="270"/>
      <c r="I1020" s="271"/>
      <c r="J1020" s="271"/>
      <c r="K1020" s="234"/>
      <c r="L1020" s="307"/>
      <c r="M1020" s="272"/>
      <c r="N1020" s="253"/>
      <c r="O1020" s="256"/>
      <c r="P1020" s="256"/>
      <c r="Q1020" s="256"/>
      <c r="R1020" s="256"/>
      <c r="S1020" s="234"/>
      <c r="T1020" s="258"/>
    </row>
    <row r="1021" spans="2:20" ht="22.5" customHeight="1" x14ac:dyDescent="0.25">
      <c r="B1021" s="267"/>
      <c r="C1021" s="234"/>
      <c r="D1021" s="234"/>
      <c r="E1021" s="268"/>
      <c r="F1021" s="269"/>
      <c r="G1021" s="258"/>
      <c r="H1021" s="270"/>
      <c r="I1021" s="271"/>
      <c r="J1021" s="271"/>
      <c r="K1021" s="234"/>
      <c r="L1021" s="307"/>
      <c r="M1021" s="272"/>
      <c r="N1021" s="253"/>
      <c r="O1021" s="256"/>
      <c r="P1021" s="256"/>
      <c r="Q1021" s="256"/>
      <c r="R1021" s="256"/>
      <c r="S1021" s="234"/>
      <c r="T1021" s="258"/>
    </row>
    <row r="1022" spans="2:20" ht="22.5" customHeight="1" x14ac:dyDescent="0.25">
      <c r="B1022" s="267"/>
      <c r="C1022" s="234"/>
      <c r="D1022" s="234"/>
      <c r="E1022" s="268"/>
      <c r="F1022" s="269"/>
      <c r="G1022" s="258"/>
      <c r="H1022" s="270"/>
      <c r="I1022" s="271"/>
      <c r="J1022" s="271"/>
      <c r="K1022" s="234"/>
      <c r="L1022" s="307"/>
      <c r="M1022" s="272"/>
      <c r="N1022" s="253"/>
      <c r="O1022" s="256"/>
      <c r="P1022" s="256"/>
      <c r="Q1022" s="256"/>
      <c r="R1022" s="256"/>
      <c r="S1022" s="234"/>
      <c r="T1022" s="258"/>
    </row>
    <row r="1023" spans="2:20" ht="22.5" customHeight="1" x14ac:dyDescent="0.25">
      <c r="B1023" s="267"/>
      <c r="C1023" s="234"/>
      <c r="D1023" s="234"/>
      <c r="E1023" s="268"/>
      <c r="F1023" s="269"/>
      <c r="G1023" s="258"/>
      <c r="H1023" s="270"/>
      <c r="I1023" s="271"/>
      <c r="J1023" s="271"/>
      <c r="K1023" s="234"/>
      <c r="L1023" s="307"/>
      <c r="M1023" s="272"/>
      <c r="N1023" s="253"/>
      <c r="O1023" s="256"/>
      <c r="P1023" s="256"/>
      <c r="Q1023" s="256"/>
      <c r="R1023" s="256"/>
      <c r="S1023" s="234"/>
      <c r="T1023" s="258"/>
    </row>
    <row r="1024" spans="2:20" ht="22.5" customHeight="1" x14ac:dyDescent="0.25">
      <c r="B1024" s="267"/>
      <c r="C1024" s="234"/>
      <c r="D1024" s="234"/>
      <c r="E1024" s="268"/>
      <c r="F1024" s="269"/>
      <c r="G1024" s="258"/>
      <c r="H1024" s="270"/>
      <c r="I1024" s="271"/>
      <c r="J1024" s="271"/>
      <c r="K1024" s="234"/>
      <c r="L1024" s="307"/>
      <c r="M1024" s="272"/>
      <c r="N1024" s="253"/>
      <c r="O1024" s="256"/>
      <c r="P1024" s="256"/>
      <c r="Q1024" s="256"/>
      <c r="R1024" s="256"/>
      <c r="S1024" s="234"/>
      <c r="T1024" s="258"/>
    </row>
    <row r="1025" spans="2:20" ht="22.5" customHeight="1" x14ac:dyDescent="0.25">
      <c r="B1025" s="267"/>
      <c r="C1025" s="234"/>
      <c r="D1025" s="234"/>
      <c r="E1025" s="268"/>
      <c r="F1025" s="269"/>
      <c r="G1025" s="258"/>
      <c r="H1025" s="270"/>
      <c r="I1025" s="271"/>
      <c r="J1025" s="271"/>
      <c r="K1025" s="234"/>
      <c r="L1025" s="307"/>
      <c r="M1025" s="272"/>
      <c r="N1025" s="253"/>
      <c r="O1025" s="256"/>
      <c r="P1025" s="256"/>
      <c r="Q1025" s="256"/>
      <c r="R1025" s="256"/>
      <c r="S1025" s="234"/>
      <c r="T1025" s="258"/>
    </row>
    <row r="1026" spans="2:20" ht="22.5" customHeight="1" x14ac:dyDescent="0.25">
      <c r="B1026" s="267"/>
      <c r="C1026" s="234"/>
      <c r="D1026" s="234"/>
      <c r="E1026" s="268"/>
      <c r="F1026" s="269"/>
      <c r="G1026" s="258"/>
      <c r="H1026" s="270"/>
      <c r="I1026" s="271"/>
      <c r="J1026" s="271"/>
      <c r="K1026" s="234"/>
      <c r="L1026" s="307"/>
      <c r="M1026" s="272"/>
      <c r="N1026" s="253"/>
      <c r="O1026" s="256"/>
      <c r="P1026" s="256"/>
      <c r="Q1026" s="256"/>
      <c r="R1026" s="256"/>
      <c r="S1026" s="234"/>
      <c r="T1026" s="258"/>
    </row>
    <row r="1027" spans="2:20" ht="22.5" customHeight="1" x14ac:dyDescent="0.25">
      <c r="B1027" s="267"/>
      <c r="C1027" s="234"/>
      <c r="D1027" s="234"/>
      <c r="E1027" s="268"/>
      <c r="F1027" s="269"/>
      <c r="G1027" s="258"/>
      <c r="H1027" s="270"/>
      <c r="I1027" s="271"/>
      <c r="J1027" s="271"/>
      <c r="K1027" s="234"/>
      <c r="L1027" s="307"/>
      <c r="M1027" s="272"/>
      <c r="N1027" s="253"/>
      <c r="O1027" s="256"/>
      <c r="P1027" s="256"/>
      <c r="Q1027" s="256"/>
      <c r="R1027" s="256"/>
      <c r="S1027" s="234"/>
      <c r="T1027" s="258"/>
    </row>
    <row r="1028" spans="2:20" ht="22.5" customHeight="1" x14ac:dyDescent="0.25">
      <c r="B1028" s="267"/>
      <c r="C1028" s="234"/>
      <c r="D1028" s="234"/>
      <c r="E1028" s="268"/>
      <c r="F1028" s="269"/>
      <c r="G1028" s="258"/>
      <c r="H1028" s="270"/>
      <c r="I1028" s="271"/>
      <c r="J1028" s="271"/>
      <c r="K1028" s="234"/>
      <c r="L1028" s="307"/>
      <c r="M1028" s="272"/>
      <c r="N1028" s="253"/>
      <c r="O1028" s="256"/>
      <c r="P1028" s="256"/>
      <c r="Q1028" s="256"/>
      <c r="R1028" s="256"/>
      <c r="S1028" s="234"/>
      <c r="T1028" s="258"/>
    </row>
    <row r="1029" spans="2:20" ht="22.5" customHeight="1" x14ac:dyDescent="0.25">
      <c r="B1029" s="267"/>
      <c r="C1029" s="234"/>
      <c r="D1029" s="234"/>
      <c r="E1029" s="268"/>
      <c r="F1029" s="269"/>
      <c r="G1029" s="258"/>
      <c r="H1029" s="270"/>
      <c r="I1029" s="271"/>
      <c r="J1029" s="271"/>
      <c r="K1029" s="234"/>
      <c r="L1029" s="307"/>
      <c r="M1029" s="272"/>
      <c r="N1029" s="253"/>
      <c r="O1029" s="256"/>
      <c r="P1029" s="256"/>
      <c r="Q1029" s="256"/>
      <c r="R1029" s="256"/>
      <c r="S1029" s="234"/>
      <c r="T1029" s="258"/>
    </row>
    <row r="1030" spans="2:20" ht="22.5" customHeight="1" x14ac:dyDescent="0.25">
      <c r="B1030" s="267"/>
      <c r="C1030" s="234"/>
      <c r="D1030" s="234"/>
      <c r="E1030" s="268"/>
      <c r="F1030" s="269"/>
      <c r="G1030" s="258"/>
      <c r="H1030" s="270"/>
      <c r="I1030" s="271"/>
      <c r="J1030" s="271"/>
      <c r="K1030" s="234"/>
      <c r="L1030" s="307"/>
      <c r="M1030" s="272"/>
      <c r="N1030" s="253"/>
      <c r="O1030" s="256"/>
      <c r="P1030" s="256"/>
      <c r="Q1030" s="256"/>
      <c r="R1030" s="256"/>
      <c r="S1030" s="234"/>
      <c r="T1030" s="258"/>
    </row>
    <row r="1031" spans="2:20" ht="22.5" customHeight="1" x14ac:dyDescent="0.25">
      <c r="B1031" s="267"/>
      <c r="C1031" s="234"/>
      <c r="D1031" s="234"/>
      <c r="E1031" s="268"/>
      <c r="F1031" s="269"/>
      <c r="G1031" s="258"/>
      <c r="H1031" s="270"/>
      <c r="I1031" s="271"/>
      <c r="J1031" s="271"/>
      <c r="K1031" s="234"/>
      <c r="L1031" s="307"/>
      <c r="M1031" s="272"/>
      <c r="N1031" s="253"/>
      <c r="O1031" s="256"/>
      <c r="P1031" s="256"/>
      <c r="Q1031" s="256"/>
      <c r="R1031" s="256"/>
      <c r="S1031" s="234"/>
      <c r="T1031" s="258"/>
    </row>
    <row r="1032" spans="2:20" ht="22.5" customHeight="1" x14ac:dyDescent="0.25">
      <c r="B1032" s="267"/>
      <c r="C1032" s="234"/>
      <c r="D1032" s="234"/>
      <c r="E1032" s="268"/>
      <c r="F1032" s="269"/>
      <c r="G1032" s="258"/>
      <c r="H1032" s="270"/>
      <c r="I1032" s="271"/>
      <c r="J1032" s="271"/>
      <c r="K1032" s="234"/>
      <c r="L1032" s="307"/>
      <c r="M1032" s="272"/>
      <c r="N1032" s="253"/>
      <c r="O1032" s="256"/>
      <c r="P1032" s="256"/>
      <c r="Q1032" s="256"/>
      <c r="R1032" s="256"/>
      <c r="S1032" s="234"/>
      <c r="T1032" s="258"/>
    </row>
    <row r="1033" spans="2:20" ht="22.5" customHeight="1" x14ac:dyDescent="0.25">
      <c r="B1033" s="267"/>
      <c r="C1033" s="234"/>
      <c r="D1033" s="234"/>
      <c r="E1033" s="268"/>
      <c r="F1033" s="269"/>
      <c r="G1033" s="258"/>
      <c r="H1033" s="270"/>
      <c r="I1033" s="271"/>
      <c r="J1033" s="271"/>
      <c r="K1033" s="234"/>
      <c r="L1033" s="307"/>
      <c r="M1033" s="272"/>
      <c r="N1033" s="253"/>
      <c r="O1033" s="256"/>
      <c r="P1033" s="256"/>
      <c r="Q1033" s="256"/>
      <c r="R1033" s="256"/>
      <c r="S1033" s="234"/>
      <c r="T1033" s="258"/>
    </row>
    <row r="1034" spans="2:20" ht="22.5" customHeight="1" x14ac:dyDescent="0.25">
      <c r="B1034" s="267"/>
      <c r="C1034" s="234"/>
      <c r="D1034" s="234"/>
      <c r="E1034" s="268"/>
      <c r="F1034" s="269"/>
      <c r="G1034" s="258"/>
      <c r="H1034" s="270"/>
      <c r="I1034" s="271"/>
      <c r="J1034" s="271"/>
      <c r="K1034" s="234"/>
      <c r="L1034" s="307"/>
      <c r="M1034" s="272"/>
      <c r="N1034" s="253"/>
      <c r="O1034" s="256"/>
      <c r="P1034" s="256"/>
      <c r="Q1034" s="256"/>
      <c r="R1034" s="256"/>
      <c r="S1034" s="234"/>
      <c r="T1034" s="258"/>
    </row>
    <row r="1035" spans="2:20" ht="22.5" customHeight="1" x14ac:dyDescent="0.25">
      <c r="B1035" s="267"/>
      <c r="C1035" s="234"/>
      <c r="D1035" s="234"/>
      <c r="E1035" s="268"/>
      <c r="F1035" s="269"/>
      <c r="G1035" s="258"/>
      <c r="H1035" s="270"/>
      <c r="I1035" s="271"/>
      <c r="J1035" s="271"/>
      <c r="K1035" s="234"/>
      <c r="L1035" s="307"/>
      <c r="M1035" s="272"/>
      <c r="N1035" s="253"/>
      <c r="O1035" s="256"/>
      <c r="P1035" s="256"/>
      <c r="Q1035" s="256"/>
      <c r="R1035" s="256"/>
      <c r="S1035" s="234"/>
      <c r="T1035" s="258"/>
    </row>
    <row r="1036" spans="2:20" ht="22.5" customHeight="1" x14ac:dyDescent="0.25">
      <c r="B1036" s="267"/>
      <c r="C1036" s="234"/>
      <c r="D1036" s="234"/>
      <c r="E1036" s="268"/>
      <c r="F1036" s="269"/>
      <c r="G1036" s="258"/>
      <c r="H1036" s="270"/>
      <c r="I1036" s="271"/>
      <c r="J1036" s="271"/>
      <c r="K1036" s="234"/>
      <c r="L1036" s="307"/>
      <c r="M1036" s="272"/>
      <c r="N1036" s="253"/>
      <c r="O1036" s="256"/>
      <c r="P1036" s="256"/>
      <c r="Q1036" s="256"/>
      <c r="R1036" s="256"/>
      <c r="S1036" s="234"/>
      <c r="T1036" s="258"/>
    </row>
    <row r="1037" spans="2:20" ht="22.5" customHeight="1" x14ac:dyDescent="0.25">
      <c r="B1037" s="267"/>
      <c r="C1037" s="234"/>
      <c r="D1037" s="234"/>
      <c r="E1037" s="268"/>
      <c r="F1037" s="269"/>
      <c r="G1037" s="258"/>
      <c r="H1037" s="270"/>
      <c r="I1037" s="271"/>
      <c r="J1037" s="271"/>
      <c r="K1037" s="234"/>
      <c r="L1037" s="307"/>
      <c r="M1037" s="272"/>
      <c r="N1037" s="253"/>
      <c r="O1037" s="256"/>
      <c r="P1037" s="256"/>
      <c r="Q1037" s="256"/>
      <c r="R1037" s="256"/>
      <c r="S1037" s="234"/>
      <c r="T1037" s="258"/>
    </row>
    <row r="1038" spans="2:20" ht="22.5" customHeight="1" x14ac:dyDescent="0.25">
      <c r="B1038" s="267"/>
      <c r="C1038" s="234"/>
      <c r="D1038" s="234"/>
      <c r="E1038" s="268"/>
      <c r="F1038" s="269"/>
      <c r="G1038" s="258"/>
      <c r="H1038" s="270"/>
      <c r="I1038" s="271"/>
      <c r="J1038" s="271"/>
      <c r="K1038" s="234"/>
      <c r="L1038" s="307"/>
      <c r="M1038" s="272"/>
      <c r="N1038" s="253"/>
      <c r="O1038" s="256"/>
      <c r="P1038" s="256"/>
      <c r="Q1038" s="256"/>
      <c r="R1038" s="256"/>
      <c r="S1038" s="234"/>
      <c r="T1038" s="258"/>
    </row>
    <row r="1039" spans="2:20" ht="22.5" customHeight="1" x14ac:dyDescent="0.25">
      <c r="B1039" s="267"/>
      <c r="C1039" s="234"/>
      <c r="D1039" s="234"/>
      <c r="E1039" s="268"/>
      <c r="F1039" s="269"/>
      <c r="G1039" s="258"/>
      <c r="H1039" s="270"/>
      <c r="I1039" s="271"/>
      <c r="J1039" s="271"/>
      <c r="K1039" s="234"/>
      <c r="L1039" s="307"/>
      <c r="M1039" s="272"/>
      <c r="N1039" s="253"/>
      <c r="O1039" s="256"/>
      <c r="P1039" s="256"/>
      <c r="Q1039" s="256"/>
      <c r="R1039" s="256"/>
      <c r="S1039" s="234"/>
      <c r="T1039" s="258"/>
    </row>
    <row r="1040" spans="2:20" ht="22.5" customHeight="1" x14ac:dyDescent="0.25">
      <c r="B1040" s="267"/>
      <c r="C1040" s="234"/>
      <c r="D1040" s="234"/>
      <c r="E1040" s="268"/>
      <c r="F1040" s="269"/>
      <c r="G1040" s="258"/>
      <c r="H1040" s="270"/>
      <c r="I1040" s="271"/>
      <c r="J1040" s="271"/>
      <c r="K1040" s="234"/>
      <c r="L1040" s="307"/>
      <c r="M1040" s="272"/>
      <c r="N1040" s="253"/>
      <c r="O1040" s="256"/>
      <c r="P1040" s="256"/>
      <c r="Q1040" s="256"/>
      <c r="R1040" s="256"/>
      <c r="S1040" s="234"/>
      <c r="T1040" s="258"/>
    </row>
    <row r="1041" spans="2:20" ht="22.5" customHeight="1" x14ac:dyDescent="0.25">
      <c r="B1041" s="267"/>
      <c r="C1041" s="234"/>
      <c r="D1041" s="234"/>
      <c r="E1041" s="268"/>
      <c r="F1041" s="269"/>
      <c r="G1041" s="258"/>
      <c r="H1041" s="270"/>
      <c r="I1041" s="271"/>
      <c r="J1041" s="271"/>
      <c r="K1041" s="234"/>
      <c r="L1041" s="307"/>
      <c r="M1041" s="272"/>
      <c r="N1041" s="253"/>
      <c r="O1041" s="256"/>
      <c r="P1041" s="256"/>
      <c r="Q1041" s="256"/>
      <c r="R1041" s="256"/>
      <c r="S1041" s="234"/>
      <c r="T1041" s="258"/>
    </row>
    <row r="1042" spans="2:20" ht="22.5" customHeight="1" x14ac:dyDescent="0.25">
      <c r="B1042" s="267"/>
      <c r="C1042" s="234"/>
      <c r="D1042" s="234"/>
      <c r="E1042" s="268"/>
      <c r="F1042" s="269"/>
      <c r="G1042" s="258"/>
      <c r="H1042" s="270"/>
      <c r="I1042" s="271"/>
      <c r="J1042" s="271"/>
      <c r="K1042" s="234"/>
      <c r="L1042" s="307"/>
      <c r="M1042" s="272"/>
      <c r="N1042" s="253"/>
      <c r="O1042" s="256"/>
      <c r="P1042" s="256"/>
      <c r="Q1042" s="256"/>
      <c r="R1042" s="256"/>
      <c r="S1042" s="234"/>
      <c r="T1042" s="258"/>
    </row>
    <row r="1043" spans="2:20" ht="22.5" customHeight="1" x14ac:dyDescent="0.25">
      <c r="B1043" s="267"/>
      <c r="C1043" s="234"/>
      <c r="D1043" s="234"/>
      <c r="E1043" s="268"/>
      <c r="F1043" s="269"/>
      <c r="G1043" s="258"/>
      <c r="H1043" s="270"/>
      <c r="I1043" s="271"/>
      <c r="J1043" s="271"/>
      <c r="K1043" s="234"/>
      <c r="L1043" s="307"/>
      <c r="M1043" s="272"/>
      <c r="N1043" s="253"/>
      <c r="O1043" s="256"/>
      <c r="P1043" s="256"/>
      <c r="Q1043" s="256"/>
      <c r="R1043" s="256"/>
      <c r="S1043" s="234"/>
      <c r="T1043" s="258"/>
    </row>
    <row r="1044" spans="2:20" ht="22.5" customHeight="1" x14ac:dyDescent="0.25">
      <c r="B1044" s="267"/>
      <c r="C1044" s="234"/>
      <c r="D1044" s="234"/>
      <c r="E1044" s="268"/>
      <c r="F1044" s="269"/>
      <c r="G1044" s="258"/>
      <c r="H1044" s="270"/>
      <c r="I1044" s="271"/>
      <c r="J1044" s="271"/>
      <c r="K1044" s="234"/>
      <c r="L1044" s="307"/>
      <c r="M1044" s="272"/>
      <c r="N1044" s="253"/>
      <c r="O1044" s="256"/>
      <c r="P1044" s="256"/>
      <c r="Q1044" s="256"/>
      <c r="R1044" s="256"/>
      <c r="S1044" s="234"/>
      <c r="T1044" s="258"/>
    </row>
    <row r="1045" spans="2:20" ht="22.5" customHeight="1" x14ac:dyDescent="0.25">
      <c r="B1045" s="267"/>
      <c r="C1045" s="234"/>
      <c r="D1045" s="234"/>
      <c r="E1045" s="268"/>
      <c r="F1045" s="269"/>
      <c r="G1045" s="258"/>
      <c r="H1045" s="270"/>
      <c r="I1045" s="271"/>
      <c r="J1045" s="271"/>
      <c r="K1045" s="234"/>
      <c r="L1045" s="307"/>
      <c r="M1045" s="272"/>
      <c r="N1045" s="253"/>
      <c r="O1045" s="256"/>
      <c r="P1045" s="256"/>
      <c r="Q1045" s="256"/>
      <c r="R1045" s="256"/>
      <c r="S1045" s="234"/>
      <c r="T1045" s="258"/>
    </row>
    <row r="1046" spans="2:20" ht="22.5" customHeight="1" x14ac:dyDescent="0.25">
      <c r="B1046" s="267"/>
      <c r="C1046" s="234"/>
      <c r="D1046" s="234"/>
      <c r="E1046" s="268"/>
      <c r="F1046" s="269"/>
      <c r="G1046" s="258"/>
      <c r="H1046" s="270"/>
      <c r="I1046" s="271"/>
      <c r="J1046" s="271"/>
      <c r="K1046" s="234"/>
      <c r="L1046" s="307"/>
      <c r="M1046" s="272"/>
      <c r="N1046" s="253"/>
      <c r="O1046" s="256"/>
      <c r="P1046" s="256"/>
      <c r="Q1046" s="256"/>
      <c r="R1046" s="256"/>
      <c r="S1046" s="234"/>
      <c r="T1046" s="258"/>
    </row>
    <row r="1047" spans="2:20" ht="22.5" customHeight="1" x14ac:dyDescent="0.25">
      <c r="B1047" s="267"/>
      <c r="C1047" s="234"/>
      <c r="D1047" s="234"/>
      <c r="E1047" s="268"/>
      <c r="F1047" s="269"/>
      <c r="G1047" s="258"/>
      <c r="H1047" s="270"/>
      <c r="I1047" s="271"/>
      <c r="J1047" s="271"/>
      <c r="K1047" s="234"/>
      <c r="L1047" s="307"/>
      <c r="M1047" s="272"/>
      <c r="N1047" s="253"/>
      <c r="O1047" s="256"/>
      <c r="P1047" s="256"/>
      <c r="Q1047" s="256"/>
      <c r="R1047" s="256"/>
      <c r="S1047" s="234"/>
      <c r="T1047" s="258"/>
    </row>
    <row r="1048" spans="2:20" ht="22.5" customHeight="1" x14ac:dyDescent="0.25">
      <c r="B1048" s="267"/>
      <c r="C1048" s="234"/>
      <c r="D1048" s="234"/>
      <c r="E1048" s="268"/>
      <c r="F1048" s="269"/>
      <c r="G1048" s="258"/>
      <c r="H1048" s="270"/>
      <c r="I1048" s="271"/>
      <c r="J1048" s="271"/>
      <c r="K1048" s="234"/>
      <c r="L1048" s="307"/>
      <c r="M1048" s="272"/>
      <c r="N1048" s="253"/>
      <c r="O1048" s="256"/>
      <c r="P1048" s="256"/>
      <c r="Q1048" s="256"/>
      <c r="R1048" s="256"/>
      <c r="S1048" s="234"/>
      <c r="T1048" s="258"/>
    </row>
    <row r="1049" spans="2:20" ht="22.5" customHeight="1" x14ac:dyDescent="0.25">
      <c r="B1049" s="267"/>
      <c r="C1049" s="234"/>
      <c r="D1049" s="234"/>
      <c r="E1049" s="268"/>
      <c r="F1049" s="269"/>
      <c r="G1049" s="258"/>
      <c r="H1049" s="270"/>
      <c r="I1049" s="271"/>
      <c r="J1049" s="271"/>
      <c r="K1049" s="234"/>
      <c r="L1049" s="307"/>
      <c r="M1049" s="272"/>
      <c r="N1049" s="253"/>
      <c r="O1049" s="256"/>
      <c r="P1049" s="256"/>
      <c r="Q1049" s="256"/>
      <c r="R1049" s="256"/>
      <c r="S1049" s="234"/>
      <c r="T1049" s="258"/>
    </row>
    <row r="1050" spans="2:20" ht="22.5" customHeight="1" x14ac:dyDescent="0.25">
      <c r="B1050" s="267"/>
      <c r="C1050" s="234"/>
      <c r="D1050" s="234"/>
      <c r="E1050" s="268"/>
      <c r="F1050" s="269"/>
      <c r="G1050" s="258"/>
      <c r="H1050" s="270"/>
      <c r="I1050" s="271"/>
      <c r="J1050" s="271"/>
      <c r="K1050" s="234"/>
      <c r="L1050" s="307"/>
      <c r="M1050" s="272"/>
      <c r="N1050" s="253"/>
      <c r="O1050" s="256"/>
      <c r="P1050" s="256"/>
      <c r="Q1050" s="256"/>
      <c r="R1050" s="256"/>
      <c r="S1050" s="234"/>
      <c r="T1050" s="258"/>
    </row>
    <row r="1051" spans="2:20" ht="22.5" customHeight="1" x14ac:dyDescent="0.25">
      <c r="B1051" s="267"/>
      <c r="C1051" s="234"/>
      <c r="D1051" s="234"/>
      <c r="E1051" s="268"/>
      <c r="F1051" s="269"/>
      <c r="G1051" s="258"/>
      <c r="H1051" s="270"/>
      <c r="I1051" s="271"/>
      <c r="J1051" s="271"/>
      <c r="K1051" s="234"/>
      <c r="L1051" s="307"/>
      <c r="M1051" s="272"/>
      <c r="N1051" s="253"/>
      <c r="O1051" s="256"/>
      <c r="P1051" s="256"/>
      <c r="Q1051" s="256"/>
      <c r="R1051" s="256"/>
      <c r="S1051" s="234"/>
      <c r="T1051" s="258"/>
    </row>
    <row r="1052" spans="2:20" ht="22.5" customHeight="1" x14ac:dyDescent="0.25">
      <c r="B1052" s="267"/>
      <c r="C1052" s="234"/>
      <c r="D1052" s="234"/>
      <c r="E1052" s="268"/>
      <c r="F1052" s="269"/>
      <c r="G1052" s="258"/>
      <c r="H1052" s="270"/>
      <c r="I1052" s="271"/>
      <c r="J1052" s="271"/>
      <c r="K1052" s="234"/>
      <c r="L1052" s="307"/>
      <c r="M1052" s="272"/>
      <c r="N1052" s="253"/>
      <c r="O1052" s="256"/>
      <c r="P1052" s="256"/>
      <c r="Q1052" s="256"/>
      <c r="R1052" s="256"/>
      <c r="S1052" s="234"/>
      <c r="T1052" s="258"/>
    </row>
    <row r="1053" spans="2:20" ht="22.5" customHeight="1" x14ac:dyDescent="0.25">
      <c r="B1053" s="267"/>
      <c r="C1053" s="234"/>
      <c r="D1053" s="234"/>
      <c r="E1053" s="268"/>
      <c r="F1053" s="269"/>
      <c r="G1053" s="258"/>
      <c r="H1053" s="270"/>
      <c r="I1053" s="271"/>
      <c r="J1053" s="271"/>
      <c r="K1053" s="234"/>
      <c r="L1053" s="307"/>
      <c r="M1053" s="272"/>
      <c r="N1053" s="253"/>
      <c r="O1053" s="256"/>
      <c r="P1053" s="256"/>
      <c r="Q1053" s="256"/>
      <c r="R1053" s="256"/>
      <c r="S1053" s="234"/>
      <c r="T1053" s="258"/>
    </row>
    <row r="1054" spans="2:20" ht="22.5" customHeight="1" x14ac:dyDescent="0.25">
      <c r="B1054" s="267"/>
      <c r="C1054" s="234"/>
      <c r="D1054" s="234"/>
      <c r="E1054" s="268"/>
      <c r="F1054" s="269"/>
      <c r="G1054" s="258"/>
      <c r="H1054" s="270"/>
      <c r="I1054" s="271"/>
      <c r="J1054" s="271"/>
      <c r="K1054" s="234"/>
      <c r="L1054" s="307"/>
      <c r="M1054" s="272"/>
      <c r="N1054" s="253"/>
      <c r="O1054" s="256"/>
      <c r="P1054" s="256"/>
      <c r="Q1054" s="256"/>
      <c r="R1054" s="256"/>
      <c r="S1054" s="234"/>
      <c r="T1054" s="258"/>
    </row>
    <row r="1055" spans="2:20" ht="22.5" customHeight="1" x14ac:dyDescent="0.25">
      <c r="B1055" s="267"/>
      <c r="C1055" s="234"/>
      <c r="D1055" s="234"/>
      <c r="E1055" s="268"/>
      <c r="F1055" s="269"/>
      <c r="G1055" s="258"/>
      <c r="H1055" s="270"/>
      <c r="I1055" s="271"/>
      <c r="J1055" s="271"/>
      <c r="K1055" s="234"/>
      <c r="L1055" s="307"/>
      <c r="M1055" s="272"/>
      <c r="N1055" s="253"/>
      <c r="O1055" s="256"/>
      <c r="P1055" s="256"/>
      <c r="Q1055" s="256"/>
      <c r="R1055" s="256"/>
      <c r="S1055" s="234"/>
      <c r="T1055" s="258"/>
    </row>
    <row r="1056" spans="2:20" ht="22.5" customHeight="1" x14ac:dyDescent="0.25">
      <c r="B1056" s="267"/>
      <c r="C1056" s="234"/>
      <c r="D1056" s="234"/>
      <c r="E1056" s="268"/>
      <c r="F1056" s="269"/>
      <c r="G1056" s="258"/>
      <c r="H1056" s="270"/>
      <c r="I1056" s="271"/>
      <c r="J1056" s="271"/>
      <c r="K1056" s="234"/>
      <c r="L1056" s="307"/>
      <c r="M1056" s="272"/>
      <c r="N1056" s="253"/>
      <c r="O1056" s="256"/>
      <c r="P1056" s="256"/>
      <c r="Q1056" s="256"/>
      <c r="R1056" s="256"/>
      <c r="S1056" s="234"/>
      <c r="T1056" s="258"/>
    </row>
    <row r="1057" spans="2:20" ht="22.5" customHeight="1" x14ac:dyDescent="0.25">
      <c r="B1057" s="267"/>
      <c r="C1057" s="234"/>
      <c r="D1057" s="234"/>
      <c r="E1057" s="268"/>
      <c r="F1057" s="269"/>
      <c r="G1057" s="258"/>
      <c r="H1057" s="270"/>
      <c r="I1057" s="271"/>
      <c r="J1057" s="271"/>
      <c r="K1057" s="234"/>
      <c r="L1057" s="307"/>
      <c r="M1057" s="272"/>
      <c r="N1057" s="253"/>
      <c r="O1057" s="256"/>
      <c r="P1057" s="256"/>
      <c r="Q1057" s="256"/>
      <c r="R1057" s="256"/>
      <c r="S1057" s="234"/>
      <c r="T1057" s="258"/>
    </row>
    <row r="1058" spans="2:20" ht="22.5" customHeight="1" x14ac:dyDescent="0.25">
      <c r="B1058" s="267"/>
      <c r="C1058" s="234"/>
      <c r="D1058" s="234"/>
      <c r="E1058" s="268"/>
      <c r="F1058" s="269"/>
      <c r="G1058" s="258"/>
      <c r="H1058" s="270"/>
      <c r="I1058" s="271"/>
      <c r="J1058" s="271"/>
      <c r="K1058" s="234"/>
      <c r="L1058" s="307"/>
      <c r="M1058" s="272"/>
      <c r="N1058" s="253"/>
      <c r="O1058" s="256"/>
      <c r="P1058" s="256"/>
      <c r="Q1058" s="256"/>
      <c r="R1058" s="256"/>
      <c r="S1058" s="234"/>
      <c r="T1058" s="258"/>
    </row>
    <row r="1059" spans="2:20" ht="22.5" customHeight="1" x14ac:dyDescent="0.25">
      <c r="B1059" s="267"/>
      <c r="C1059" s="234"/>
      <c r="D1059" s="234"/>
      <c r="E1059" s="268"/>
      <c r="F1059" s="269"/>
      <c r="G1059" s="258"/>
      <c r="H1059" s="270"/>
      <c r="I1059" s="271"/>
      <c r="J1059" s="271"/>
      <c r="K1059" s="234"/>
      <c r="L1059" s="307"/>
      <c r="M1059" s="272"/>
      <c r="N1059" s="253"/>
      <c r="O1059" s="256"/>
      <c r="P1059" s="256"/>
      <c r="Q1059" s="256"/>
      <c r="R1059" s="256"/>
      <c r="S1059" s="234"/>
      <c r="T1059" s="258"/>
    </row>
    <row r="1060" spans="2:20" ht="22.5" customHeight="1" x14ac:dyDescent="0.25">
      <c r="B1060" s="267"/>
      <c r="C1060" s="234"/>
      <c r="D1060" s="234"/>
      <c r="E1060" s="268"/>
      <c r="F1060" s="269"/>
      <c r="G1060" s="258"/>
      <c r="H1060" s="270"/>
      <c r="I1060" s="271"/>
      <c r="J1060" s="271"/>
      <c r="K1060" s="234"/>
      <c r="L1060" s="307"/>
      <c r="M1060" s="272"/>
      <c r="N1060" s="253"/>
      <c r="O1060" s="256"/>
      <c r="P1060" s="256"/>
      <c r="Q1060" s="256"/>
      <c r="R1060" s="256"/>
      <c r="S1060" s="234"/>
      <c r="T1060" s="258"/>
    </row>
    <row r="1061" spans="2:20" ht="22.5" customHeight="1" x14ac:dyDescent="0.25">
      <c r="B1061" s="267"/>
      <c r="C1061" s="234"/>
      <c r="D1061" s="234"/>
      <c r="E1061" s="268"/>
      <c r="F1061" s="269"/>
      <c r="G1061" s="258"/>
      <c r="H1061" s="270"/>
      <c r="I1061" s="271"/>
      <c r="J1061" s="271"/>
      <c r="K1061" s="234"/>
      <c r="L1061" s="307"/>
      <c r="M1061" s="272"/>
      <c r="N1061" s="253"/>
      <c r="O1061" s="256"/>
      <c r="P1061" s="256"/>
      <c r="Q1061" s="256"/>
      <c r="R1061" s="256"/>
      <c r="S1061" s="234"/>
      <c r="T1061" s="258"/>
    </row>
    <row r="1062" spans="2:20" ht="22.5" customHeight="1" x14ac:dyDescent="0.25">
      <c r="B1062" s="267"/>
      <c r="C1062" s="234"/>
      <c r="D1062" s="234"/>
      <c r="E1062" s="268"/>
      <c r="F1062" s="269"/>
      <c r="G1062" s="258"/>
      <c r="H1062" s="270"/>
      <c r="I1062" s="271"/>
      <c r="J1062" s="271"/>
      <c r="K1062" s="234"/>
      <c r="L1062" s="307"/>
      <c r="M1062" s="272"/>
      <c r="N1062" s="253"/>
      <c r="O1062" s="256"/>
      <c r="P1062" s="256"/>
      <c r="Q1062" s="256"/>
      <c r="R1062" s="256"/>
      <c r="S1062" s="234"/>
      <c r="T1062" s="258"/>
    </row>
    <row r="1063" spans="2:20" ht="22.5" customHeight="1" x14ac:dyDescent="0.25">
      <c r="B1063" s="267"/>
      <c r="C1063" s="234"/>
      <c r="D1063" s="234"/>
      <c r="E1063" s="268"/>
      <c r="F1063" s="269"/>
      <c r="G1063" s="258"/>
      <c r="H1063" s="270"/>
      <c r="I1063" s="271"/>
      <c r="J1063" s="271"/>
      <c r="K1063" s="234"/>
      <c r="L1063" s="307"/>
      <c r="M1063" s="272"/>
      <c r="N1063" s="253"/>
      <c r="O1063" s="256"/>
      <c r="P1063" s="256"/>
      <c r="Q1063" s="256"/>
      <c r="R1063" s="256"/>
      <c r="S1063" s="234"/>
      <c r="T1063" s="258"/>
    </row>
    <row r="1064" spans="2:20" ht="22.5" customHeight="1" x14ac:dyDescent="0.25">
      <c r="B1064" s="267"/>
      <c r="C1064" s="234"/>
      <c r="D1064" s="234"/>
      <c r="E1064" s="268"/>
      <c r="F1064" s="269"/>
      <c r="G1064" s="258"/>
      <c r="H1064" s="270"/>
      <c r="I1064" s="271"/>
      <c r="J1064" s="271"/>
      <c r="K1064" s="234"/>
      <c r="L1064" s="307"/>
      <c r="M1064" s="272"/>
      <c r="N1064" s="253"/>
      <c r="O1064" s="256"/>
      <c r="P1064" s="256"/>
      <c r="Q1064" s="256"/>
      <c r="R1064" s="256"/>
      <c r="S1064" s="234"/>
      <c r="T1064" s="258"/>
    </row>
    <row r="1065" spans="2:20" ht="22.5" customHeight="1" x14ac:dyDescent="0.25">
      <c r="B1065" s="267"/>
      <c r="C1065" s="234"/>
      <c r="D1065" s="234"/>
      <c r="E1065" s="268"/>
      <c r="F1065" s="269"/>
      <c r="G1065" s="258"/>
      <c r="H1065" s="270"/>
      <c r="I1065" s="271"/>
      <c r="J1065" s="271"/>
      <c r="K1065" s="234"/>
      <c r="L1065" s="307"/>
      <c r="M1065" s="272"/>
      <c r="N1065" s="253"/>
      <c r="O1065" s="256"/>
      <c r="P1065" s="256"/>
      <c r="Q1065" s="256"/>
      <c r="R1065" s="256"/>
      <c r="S1065" s="234"/>
      <c r="T1065" s="258"/>
    </row>
    <row r="1066" spans="2:20" ht="22.5" customHeight="1" x14ac:dyDescent="0.25">
      <c r="B1066" s="267"/>
      <c r="C1066" s="234"/>
      <c r="D1066" s="234"/>
      <c r="E1066" s="268"/>
      <c r="F1066" s="269"/>
      <c r="G1066" s="258"/>
      <c r="H1066" s="270"/>
      <c r="I1066" s="271"/>
      <c r="J1066" s="271"/>
      <c r="K1066" s="234"/>
      <c r="L1066" s="307"/>
      <c r="M1066" s="272"/>
      <c r="N1066" s="253"/>
      <c r="O1066" s="256"/>
      <c r="P1066" s="256"/>
      <c r="Q1066" s="256"/>
      <c r="R1066" s="256"/>
      <c r="S1066" s="234"/>
      <c r="T1066" s="258"/>
    </row>
    <row r="1067" spans="2:20" ht="22.5" customHeight="1" x14ac:dyDescent="0.25">
      <c r="B1067" s="267"/>
      <c r="C1067" s="234"/>
      <c r="D1067" s="234"/>
      <c r="E1067" s="268"/>
      <c r="F1067" s="269"/>
      <c r="G1067" s="258"/>
      <c r="H1067" s="270"/>
      <c r="I1067" s="271"/>
      <c r="J1067" s="271"/>
      <c r="K1067" s="234"/>
      <c r="L1067" s="307"/>
      <c r="M1067" s="272"/>
      <c r="N1067" s="253"/>
      <c r="O1067" s="256"/>
      <c r="P1067" s="256"/>
      <c r="Q1067" s="256"/>
      <c r="R1067" s="256"/>
      <c r="S1067" s="234"/>
      <c r="T1067" s="258"/>
    </row>
    <row r="1068" spans="2:20" ht="22.5" customHeight="1" x14ac:dyDescent="0.25">
      <c r="B1068" s="267"/>
      <c r="C1068" s="234"/>
      <c r="D1068" s="234"/>
      <c r="E1068" s="268"/>
      <c r="F1068" s="269"/>
      <c r="G1068" s="258"/>
      <c r="H1068" s="270"/>
      <c r="I1068" s="271"/>
      <c r="J1068" s="271"/>
      <c r="K1068" s="234"/>
      <c r="L1068" s="307"/>
      <c r="M1068" s="272"/>
      <c r="N1068" s="253"/>
      <c r="O1068" s="256"/>
      <c r="P1068" s="256"/>
      <c r="Q1068" s="256"/>
      <c r="R1068" s="256"/>
      <c r="S1068" s="234"/>
      <c r="T1068" s="258"/>
    </row>
    <row r="1069" spans="2:20" ht="22.5" customHeight="1" x14ac:dyDescent="0.25">
      <c r="B1069" s="267"/>
      <c r="C1069" s="234"/>
      <c r="D1069" s="234"/>
      <c r="E1069" s="268"/>
      <c r="F1069" s="269"/>
      <c r="G1069" s="258"/>
      <c r="H1069" s="270"/>
      <c r="I1069" s="271"/>
      <c r="J1069" s="271"/>
      <c r="K1069" s="234"/>
      <c r="L1069" s="307"/>
      <c r="M1069" s="272"/>
      <c r="N1069" s="253"/>
      <c r="O1069" s="256"/>
      <c r="P1069" s="256"/>
      <c r="Q1069" s="256"/>
      <c r="R1069" s="256"/>
      <c r="S1069" s="234"/>
      <c r="T1069" s="258"/>
    </row>
    <row r="1070" spans="2:20" ht="22.5" customHeight="1" x14ac:dyDescent="0.25">
      <c r="B1070" s="267"/>
      <c r="C1070" s="234"/>
      <c r="D1070" s="234"/>
      <c r="E1070" s="268"/>
      <c r="F1070" s="269"/>
      <c r="G1070" s="258"/>
      <c r="H1070" s="270"/>
      <c r="I1070" s="271"/>
      <c r="J1070" s="271"/>
      <c r="K1070" s="234"/>
      <c r="L1070" s="307"/>
      <c r="M1070" s="272"/>
      <c r="N1070" s="253"/>
      <c r="O1070" s="256"/>
      <c r="P1070" s="256"/>
      <c r="Q1070" s="256"/>
      <c r="R1070" s="256"/>
      <c r="S1070" s="234"/>
      <c r="T1070" s="258"/>
    </row>
    <row r="1071" spans="2:20" ht="22.5" customHeight="1" x14ac:dyDescent="0.25">
      <c r="B1071" s="267"/>
      <c r="C1071" s="234"/>
      <c r="D1071" s="234"/>
      <c r="E1071" s="268"/>
      <c r="F1071" s="269"/>
      <c r="G1071" s="258"/>
      <c r="H1071" s="270"/>
      <c r="I1071" s="271"/>
      <c r="J1071" s="271"/>
      <c r="K1071" s="234"/>
      <c r="L1071" s="307"/>
      <c r="M1071" s="272"/>
      <c r="N1071" s="253"/>
      <c r="O1071" s="256"/>
      <c r="P1071" s="256"/>
      <c r="Q1071" s="256"/>
      <c r="R1071" s="256"/>
      <c r="S1071" s="234"/>
      <c r="T1071" s="258"/>
    </row>
    <row r="1072" spans="2:20" ht="22.5" customHeight="1" x14ac:dyDescent="0.25">
      <c r="B1072" s="267"/>
      <c r="C1072" s="234"/>
      <c r="D1072" s="234"/>
      <c r="E1072" s="268"/>
      <c r="F1072" s="269"/>
      <c r="G1072" s="258"/>
      <c r="H1072" s="270"/>
      <c r="I1072" s="271"/>
      <c r="J1072" s="271"/>
      <c r="K1072" s="234"/>
      <c r="L1072" s="307"/>
      <c r="M1072" s="272"/>
      <c r="N1072" s="253"/>
      <c r="O1072" s="256"/>
      <c r="P1072" s="256"/>
      <c r="Q1072" s="256"/>
      <c r="R1072" s="256"/>
      <c r="S1072" s="234"/>
      <c r="T1072" s="258"/>
    </row>
    <row r="1073" spans="2:20" ht="22.5" customHeight="1" x14ac:dyDescent="0.25">
      <c r="B1073" s="267"/>
      <c r="C1073" s="234"/>
      <c r="D1073" s="234"/>
      <c r="E1073" s="268"/>
      <c r="F1073" s="269"/>
      <c r="G1073" s="258"/>
      <c r="H1073" s="270"/>
      <c r="I1073" s="271"/>
      <c r="J1073" s="271"/>
      <c r="K1073" s="234"/>
      <c r="L1073" s="307"/>
      <c r="M1073" s="272"/>
      <c r="N1073" s="253"/>
      <c r="O1073" s="256"/>
      <c r="P1073" s="256"/>
      <c r="Q1073" s="256"/>
      <c r="R1073" s="256"/>
      <c r="S1073" s="234"/>
      <c r="T1073" s="258"/>
    </row>
    <row r="1074" spans="2:20" ht="22.5" customHeight="1" x14ac:dyDescent="0.25">
      <c r="B1074" s="267"/>
      <c r="C1074" s="234"/>
      <c r="D1074" s="234"/>
      <c r="E1074" s="268"/>
      <c r="F1074" s="269"/>
      <c r="G1074" s="258"/>
      <c r="H1074" s="270"/>
      <c r="I1074" s="271"/>
      <c r="J1074" s="271"/>
      <c r="K1074" s="234"/>
      <c r="L1074" s="307"/>
      <c r="M1074" s="272"/>
      <c r="N1074" s="253"/>
      <c r="O1074" s="256"/>
      <c r="P1074" s="256"/>
      <c r="Q1074" s="256"/>
      <c r="R1074" s="256"/>
      <c r="S1074" s="234"/>
      <c r="T1074" s="258"/>
    </row>
    <row r="1075" spans="2:20" ht="22.5" customHeight="1" x14ac:dyDescent="0.25">
      <c r="B1075" s="267"/>
      <c r="C1075" s="234"/>
      <c r="D1075" s="234"/>
      <c r="E1075" s="268"/>
      <c r="F1075" s="269"/>
      <c r="G1075" s="258"/>
      <c r="H1075" s="270"/>
      <c r="I1075" s="271"/>
      <c r="J1075" s="271"/>
      <c r="K1075" s="234"/>
      <c r="L1075" s="307"/>
      <c r="M1075" s="272"/>
      <c r="N1075" s="253"/>
      <c r="O1075" s="256"/>
      <c r="P1075" s="256"/>
      <c r="Q1075" s="256"/>
      <c r="R1075" s="256"/>
      <c r="S1075" s="234"/>
      <c r="T1075" s="258"/>
    </row>
    <row r="1076" spans="2:20" ht="22.5" customHeight="1" x14ac:dyDescent="0.25">
      <c r="B1076" s="267"/>
      <c r="C1076" s="234"/>
      <c r="D1076" s="234"/>
      <c r="E1076" s="268"/>
      <c r="F1076" s="269"/>
      <c r="G1076" s="258"/>
      <c r="H1076" s="270"/>
      <c r="I1076" s="271"/>
      <c r="J1076" s="271"/>
      <c r="K1076" s="234"/>
      <c r="L1076" s="307"/>
      <c r="M1076" s="272"/>
      <c r="N1076" s="253"/>
      <c r="O1076" s="256"/>
      <c r="P1076" s="256"/>
      <c r="Q1076" s="256"/>
      <c r="R1076" s="256"/>
      <c r="S1076" s="234"/>
      <c r="T1076" s="258"/>
    </row>
    <row r="1077" spans="2:20" ht="22.5" customHeight="1" x14ac:dyDescent="0.25">
      <c r="B1077" s="267"/>
      <c r="C1077" s="234"/>
      <c r="D1077" s="234"/>
      <c r="E1077" s="268"/>
      <c r="F1077" s="269"/>
      <c r="G1077" s="258"/>
      <c r="H1077" s="270"/>
      <c r="I1077" s="271"/>
      <c r="J1077" s="271"/>
      <c r="K1077" s="234"/>
      <c r="L1077" s="307"/>
      <c r="M1077" s="272"/>
      <c r="N1077" s="253"/>
      <c r="O1077" s="256"/>
      <c r="P1077" s="256"/>
      <c r="Q1077" s="256"/>
      <c r="R1077" s="256"/>
      <c r="S1077" s="234"/>
      <c r="T1077" s="258"/>
    </row>
    <row r="1078" spans="2:20" ht="22.5" customHeight="1" x14ac:dyDescent="0.25">
      <c r="B1078" s="267"/>
      <c r="C1078" s="234"/>
      <c r="D1078" s="234"/>
      <c r="E1078" s="268"/>
      <c r="F1078" s="269"/>
      <c r="G1078" s="258"/>
      <c r="H1078" s="270"/>
      <c r="I1078" s="271"/>
      <c r="J1078" s="271"/>
      <c r="K1078" s="234"/>
      <c r="L1078" s="307"/>
      <c r="M1078" s="272"/>
      <c r="N1078" s="253"/>
      <c r="O1078" s="256"/>
      <c r="P1078" s="256"/>
      <c r="Q1078" s="256"/>
      <c r="R1078" s="256"/>
      <c r="S1078" s="234"/>
      <c r="T1078" s="258"/>
    </row>
    <row r="1079" spans="2:20" ht="22.5" customHeight="1" x14ac:dyDescent="0.25">
      <c r="B1079" s="267"/>
      <c r="C1079" s="234"/>
      <c r="D1079" s="234"/>
      <c r="E1079" s="268"/>
      <c r="F1079" s="269"/>
      <c r="G1079" s="258"/>
      <c r="H1079" s="270"/>
      <c r="I1079" s="271"/>
      <c r="J1079" s="271"/>
      <c r="K1079" s="234"/>
      <c r="L1079" s="307"/>
      <c r="M1079" s="272"/>
      <c r="N1079" s="253"/>
      <c r="O1079" s="256"/>
      <c r="P1079" s="256"/>
      <c r="Q1079" s="256"/>
      <c r="R1079" s="256"/>
      <c r="S1079" s="234"/>
      <c r="T1079" s="258"/>
    </row>
    <row r="1080" spans="2:20" ht="22.5" customHeight="1" x14ac:dyDescent="0.25">
      <c r="B1080" s="267"/>
      <c r="C1080" s="234"/>
      <c r="D1080" s="234"/>
      <c r="E1080" s="268"/>
      <c r="F1080" s="269"/>
      <c r="G1080" s="258"/>
      <c r="H1080" s="270"/>
      <c r="I1080" s="271"/>
      <c r="J1080" s="271"/>
      <c r="K1080" s="234"/>
      <c r="L1080" s="307"/>
      <c r="M1080" s="272"/>
      <c r="N1080" s="253"/>
      <c r="O1080" s="256"/>
      <c r="P1080" s="256"/>
      <c r="Q1080" s="256"/>
      <c r="R1080" s="256"/>
      <c r="S1080" s="234"/>
      <c r="T1080" s="258"/>
    </row>
    <row r="1081" spans="2:20" ht="22.5" customHeight="1" x14ac:dyDescent="0.25">
      <c r="B1081" s="267"/>
      <c r="C1081" s="234"/>
      <c r="D1081" s="234"/>
      <c r="E1081" s="268"/>
      <c r="F1081" s="269"/>
      <c r="G1081" s="258"/>
      <c r="H1081" s="270"/>
      <c r="I1081" s="271"/>
      <c r="J1081" s="271"/>
      <c r="K1081" s="234"/>
      <c r="L1081" s="307"/>
      <c r="M1081" s="272"/>
      <c r="N1081" s="253"/>
      <c r="O1081" s="256"/>
      <c r="P1081" s="256"/>
      <c r="Q1081" s="256"/>
      <c r="R1081" s="256"/>
      <c r="S1081" s="234"/>
      <c r="T1081" s="258"/>
    </row>
    <row r="1082" spans="2:20" ht="22.5" customHeight="1" x14ac:dyDescent="0.25">
      <c r="B1082" s="267"/>
      <c r="C1082" s="234"/>
      <c r="D1082" s="234"/>
      <c r="E1082" s="268"/>
      <c r="F1082" s="269"/>
      <c r="G1082" s="258"/>
      <c r="H1082" s="270"/>
      <c r="I1082" s="271"/>
      <c r="J1082" s="271"/>
      <c r="K1082" s="234"/>
      <c r="L1082" s="307"/>
      <c r="M1082" s="272"/>
      <c r="N1082" s="253"/>
      <c r="O1082" s="256"/>
      <c r="P1082" s="256"/>
      <c r="Q1082" s="256"/>
      <c r="R1082" s="256"/>
      <c r="S1082" s="234"/>
      <c r="T1082" s="258"/>
    </row>
    <row r="1083" spans="2:20" ht="22.5" customHeight="1" x14ac:dyDescent="0.25">
      <c r="B1083" s="267"/>
      <c r="C1083" s="234"/>
      <c r="D1083" s="234"/>
      <c r="E1083" s="268"/>
      <c r="F1083" s="269"/>
      <c r="G1083" s="258"/>
      <c r="H1083" s="270"/>
      <c r="I1083" s="271"/>
      <c r="J1083" s="271"/>
      <c r="K1083" s="234"/>
      <c r="L1083" s="307"/>
      <c r="M1083" s="272"/>
      <c r="N1083" s="253"/>
      <c r="O1083" s="256"/>
      <c r="P1083" s="256"/>
      <c r="Q1083" s="256"/>
      <c r="R1083" s="256"/>
      <c r="S1083" s="234"/>
      <c r="T1083" s="258"/>
    </row>
    <row r="1084" spans="2:20" ht="22.5" customHeight="1" x14ac:dyDescent="0.25">
      <c r="B1084" s="267"/>
      <c r="C1084" s="234"/>
      <c r="D1084" s="234"/>
      <c r="E1084" s="268"/>
      <c r="F1084" s="269"/>
      <c r="G1084" s="258"/>
      <c r="H1084" s="270"/>
      <c r="I1084" s="271"/>
      <c r="J1084" s="271"/>
      <c r="K1084" s="234"/>
      <c r="L1084" s="307"/>
      <c r="M1084" s="272"/>
      <c r="N1084" s="253"/>
      <c r="O1084" s="256"/>
      <c r="P1084" s="256"/>
      <c r="Q1084" s="256"/>
      <c r="R1084" s="256"/>
      <c r="S1084" s="234"/>
      <c r="T1084" s="258"/>
    </row>
    <row r="1085" spans="2:20" ht="22.5" customHeight="1" x14ac:dyDescent="0.25">
      <c r="B1085" s="267"/>
      <c r="C1085" s="234"/>
      <c r="D1085" s="234"/>
      <c r="E1085" s="268"/>
      <c r="F1085" s="269"/>
      <c r="G1085" s="258"/>
      <c r="H1085" s="270"/>
      <c r="I1085" s="271"/>
      <c r="J1085" s="271"/>
      <c r="K1085" s="234"/>
      <c r="L1085" s="307"/>
      <c r="M1085" s="272"/>
      <c r="N1085" s="253"/>
      <c r="O1085" s="256"/>
      <c r="P1085" s="256"/>
      <c r="Q1085" s="256"/>
      <c r="R1085" s="256"/>
      <c r="S1085" s="234"/>
      <c r="T1085" s="258"/>
    </row>
    <row r="1086" spans="2:20" ht="22.5" customHeight="1" x14ac:dyDescent="0.25">
      <c r="B1086" s="267"/>
      <c r="C1086" s="234"/>
      <c r="D1086" s="234"/>
      <c r="E1086" s="268"/>
      <c r="F1086" s="269"/>
      <c r="G1086" s="258"/>
      <c r="H1086" s="270"/>
      <c r="I1086" s="271"/>
      <c r="J1086" s="271"/>
      <c r="K1086" s="234"/>
      <c r="L1086" s="307"/>
      <c r="M1086" s="272"/>
      <c r="N1086" s="253"/>
      <c r="O1086" s="256"/>
      <c r="P1086" s="256"/>
      <c r="Q1086" s="256"/>
      <c r="R1086" s="256"/>
      <c r="S1086" s="234"/>
      <c r="T1086" s="258"/>
    </row>
    <row r="1087" spans="2:20" ht="22.5" customHeight="1" x14ac:dyDescent="0.25">
      <c r="B1087" s="267"/>
      <c r="C1087" s="234"/>
      <c r="D1087" s="234"/>
      <c r="E1087" s="268"/>
      <c r="F1087" s="269"/>
      <c r="G1087" s="258"/>
      <c r="H1087" s="270"/>
      <c r="I1087" s="271"/>
      <c r="J1087" s="271"/>
      <c r="K1087" s="234"/>
      <c r="L1087" s="307"/>
      <c r="M1087" s="272"/>
      <c r="N1087" s="253"/>
      <c r="O1087" s="256"/>
      <c r="P1087" s="256"/>
      <c r="Q1087" s="256"/>
      <c r="R1087" s="256"/>
      <c r="S1087" s="234"/>
      <c r="T1087" s="258"/>
    </row>
    <row r="1088" spans="2:20" ht="22.5" customHeight="1" x14ac:dyDescent="0.25">
      <c r="B1088" s="267"/>
      <c r="C1088" s="234"/>
      <c r="D1088" s="234"/>
      <c r="E1088" s="268"/>
      <c r="F1088" s="269"/>
      <c r="G1088" s="258"/>
      <c r="H1088" s="270"/>
      <c r="I1088" s="271"/>
      <c r="J1088" s="271"/>
      <c r="K1088" s="234"/>
      <c r="L1088" s="307"/>
      <c r="M1088" s="272"/>
      <c r="N1088" s="253"/>
      <c r="O1088" s="256"/>
      <c r="P1088" s="256"/>
      <c r="Q1088" s="256"/>
      <c r="R1088" s="256"/>
      <c r="S1088" s="234"/>
      <c r="T1088" s="258"/>
    </row>
    <row r="1089" spans="2:20" ht="22.5" customHeight="1" x14ac:dyDescent="0.25">
      <c r="B1089" s="267"/>
      <c r="C1089" s="234"/>
      <c r="D1089" s="234"/>
      <c r="E1089" s="268"/>
      <c r="F1089" s="269"/>
      <c r="G1089" s="258"/>
      <c r="H1089" s="270"/>
      <c r="I1089" s="271"/>
      <c r="J1089" s="271"/>
      <c r="K1089" s="234"/>
      <c r="L1089" s="307"/>
      <c r="M1089" s="272"/>
      <c r="N1089" s="253"/>
      <c r="O1089" s="256"/>
      <c r="P1089" s="256"/>
      <c r="Q1089" s="256"/>
      <c r="R1089" s="256"/>
      <c r="S1089" s="234"/>
      <c r="T1089" s="258"/>
    </row>
    <row r="1090" spans="2:20" ht="22.5" customHeight="1" x14ac:dyDescent="0.25">
      <c r="B1090" s="267"/>
      <c r="C1090" s="234"/>
      <c r="D1090" s="234"/>
      <c r="E1090" s="268"/>
      <c r="F1090" s="269"/>
      <c r="G1090" s="258"/>
      <c r="H1090" s="270"/>
      <c r="I1090" s="271"/>
      <c r="J1090" s="271"/>
      <c r="K1090" s="234"/>
      <c r="L1090" s="307"/>
      <c r="M1090" s="272"/>
      <c r="N1090" s="253"/>
      <c r="O1090" s="256"/>
      <c r="P1090" s="256"/>
      <c r="Q1090" s="256"/>
      <c r="R1090" s="256"/>
      <c r="S1090" s="234"/>
      <c r="T1090" s="258"/>
    </row>
    <row r="1091" spans="2:20" ht="22.5" customHeight="1" x14ac:dyDescent="0.25">
      <c r="B1091" s="267"/>
      <c r="C1091" s="234"/>
      <c r="D1091" s="234"/>
      <c r="E1091" s="268"/>
      <c r="F1091" s="269"/>
      <c r="G1091" s="258"/>
      <c r="H1091" s="270"/>
      <c r="I1091" s="271"/>
      <c r="J1091" s="271"/>
      <c r="K1091" s="234"/>
      <c r="L1091" s="307"/>
      <c r="M1091" s="272"/>
      <c r="N1091" s="253"/>
      <c r="O1091" s="256"/>
      <c r="P1091" s="256"/>
      <c r="Q1091" s="256"/>
      <c r="R1091" s="256"/>
      <c r="S1091" s="234"/>
      <c r="T1091" s="258"/>
    </row>
    <row r="1092" spans="2:20" ht="22.5" customHeight="1" x14ac:dyDescent="0.25">
      <c r="B1092" s="267"/>
      <c r="C1092" s="234"/>
      <c r="D1092" s="234"/>
      <c r="E1092" s="268"/>
      <c r="F1092" s="269"/>
      <c r="G1092" s="258"/>
      <c r="H1092" s="270"/>
      <c r="I1092" s="271"/>
      <c r="J1092" s="271"/>
      <c r="K1092" s="234"/>
      <c r="L1092" s="307"/>
      <c r="M1092" s="272"/>
      <c r="N1092" s="253"/>
      <c r="O1092" s="256"/>
      <c r="P1092" s="256"/>
      <c r="Q1092" s="256"/>
      <c r="R1092" s="256"/>
      <c r="S1092" s="234"/>
      <c r="T1092" s="258"/>
    </row>
    <row r="1093" spans="2:20" ht="22.5" customHeight="1" x14ac:dyDescent="0.25">
      <c r="B1093" s="267"/>
      <c r="C1093" s="234"/>
      <c r="D1093" s="234"/>
      <c r="E1093" s="268"/>
      <c r="F1093" s="269"/>
      <c r="G1093" s="258"/>
      <c r="H1093" s="270"/>
      <c r="I1093" s="271"/>
      <c r="J1093" s="271"/>
      <c r="K1093" s="234"/>
      <c r="L1093" s="307"/>
      <c r="M1093" s="272"/>
      <c r="N1093" s="253"/>
      <c r="O1093" s="256"/>
      <c r="P1093" s="256"/>
      <c r="Q1093" s="256"/>
      <c r="R1093" s="256"/>
      <c r="S1093" s="234"/>
      <c r="T1093" s="258"/>
    </row>
    <row r="1094" spans="2:20" ht="22.5" customHeight="1" x14ac:dyDescent="0.25">
      <c r="B1094" s="267"/>
      <c r="C1094" s="234"/>
      <c r="D1094" s="234"/>
      <c r="E1094" s="268"/>
      <c r="F1094" s="269"/>
      <c r="G1094" s="258"/>
      <c r="H1094" s="270"/>
      <c r="I1094" s="271"/>
      <c r="J1094" s="271"/>
      <c r="K1094" s="234"/>
      <c r="L1094" s="307"/>
      <c r="M1094" s="272"/>
      <c r="N1094" s="253"/>
      <c r="O1094" s="256"/>
      <c r="P1094" s="256"/>
      <c r="Q1094" s="256"/>
      <c r="R1094" s="256"/>
      <c r="S1094" s="234"/>
      <c r="T1094" s="258"/>
    </row>
    <row r="1095" spans="2:20" ht="22.5" customHeight="1" x14ac:dyDescent="0.25">
      <c r="B1095" s="267"/>
      <c r="C1095" s="234"/>
      <c r="D1095" s="234"/>
      <c r="E1095" s="268"/>
      <c r="F1095" s="269"/>
      <c r="G1095" s="258"/>
      <c r="H1095" s="270"/>
      <c r="I1095" s="271"/>
      <c r="J1095" s="271"/>
      <c r="K1095" s="234"/>
      <c r="L1095" s="307"/>
      <c r="M1095" s="272"/>
      <c r="N1095" s="253"/>
      <c r="O1095" s="256"/>
      <c r="P1095" s="256"/>
      <c r="Q1095" s="256"/>
      <c r="R1095" s="256"/>
      <c r="S1095" s="234"/>
      <c r="T1095" s="258"/>
    </row>
    <row r="1096" spans="2:20" ht="22.5" customHeight="1" x14ac:dyDescent="0.25">
      <c r="B1096" s="267"/>
      <c r="C1096" s="234"/>
      <c r="D1096" s="234"/>
      <c r="E1096" s="268"/>
      <c r="F1096" s="269"/>
      <c r="G1096" s="258"/>
      <c r="H1096" s="270"/>
      <c r="I1096" s="271"/>
      <c r="J1096" s="271"/>
      <c r="K1096" s="234"/>
      <c r="L1096" s="307"/>
      <c r="M1096" s="272"/>
      <c r="N1096" s="253"/>
      <c r="O1096" s="256"/>
      <c r="P1096" s="256"/>
      <c r="Q1096" s="256"/>
      <c r="R1096" s="256"/>
      <c r="S1096" s="234"/>
      <c r="T1096" s="258"/>
    </row>
    <row r="1097" spans="2:20" ht="22.5" customHeight="1" x14ac:dyDescent="0.25">
      <c r="B1097" s="267"/>
      <c r="C1097" s="234"/>
      <c r="D1097" s="234"/>
      <c r="E1097" s="268"/>
      <c r="F1097" s="269"/>
      <c r="G1097" s="258"/>
      <c r="H1097" s="270"/>
      <c r="I1097" s="271"/>
      <c r="J1097" s="271"/>
      <c r="K1097" s="234"/>
      <c r="L1097" s="307"/>
      <c r="M1097" s="272"/>
      <c r="N1097" s="253"/>
      <c r="O1097" s="256"/>
      <c r="P1097" s="256"/>
      <c r="Q1097" s="256"/>
      <c r="R1097" s="256"/>
      <c r="S1097" s="234"/>
      <c r="T1097" s="258"/>
    </row>
    <row r="1098" spans="2:20" ht="22.5" customHeight="1" x14ac:dyDescent="0.25">
      <c r="B1098" s="267"/>
      <c r="C1098" s="234"/>
      <c r="D1098" s="234"/>
      <c r="E1098" s="268"/>
      <c r="F1098" s="269"/>
      <c r="G1098" s="258"/>
      <c r="H1098" s="270"/>
      <c r="I1098" s="271"/>
      <c r="J1098" s="271"/>
      <c r="K1098" s="234"/>
      <c r="L1098" s="307"/>
      <c r="M1098" s="272"/>
      <c r="N1098" s="253"/>
      <c r="O1098" s="256"/>
      <c r="P1098" s="256"/>
      <c r="Q1098" s="256"/>
      <c r="R1098" s="256"/>
      <c r="S1098" s="234"/>
      <c r="T1098" s="258"/>
    </row>
    <row r="1099" spans="2:20" ht="22.5" customHeight="1" x14ac:dyDescent="0.25">
      <c r="B1099" s="267"/>
      <c r="C1099" s="234"/>
      <c r="D1099" s="234"/>
      <c r="E1099" s="268"/>
      <c r="F1099" s="269"/>
      <c r="G1099" s="258"/>
      <c r="H1099" s="270"/>
      <c r="I1099" s="271"/>
      <c r="J1099" s="271"/>
      <c r="K1099" s="234"/>
      <c r="L1099" s="307"/>
      <c r="M1099" s="272"/>
      <c r="N1099" s="253"/>
      <c r="O1099" s="256"/>
      <c r="P1099" s="256"/>
      <c r="Q1099" s="256"/>
      <c r="R1099" s="256"/>
      <c r="S1099" s="234"/>
      <c r="T1099" s="258"/>
    </row>
    <row r="1100" spans="2:20" ht="22.5" customHeight="1" x14ac:dyDescent="0.25">
      <c r="B1100" s="267"/>
      <c r="C1100" s="234"/>
      <c r="D1100" s="234"/>
      <c r="E1100" s="268"/>
      <c r="F1100" s="269"/>
      <c r="G1100" s="258"/>
      <c r="H1100" s="270"/>
      <c r="I1100" s="271"/>
      <c r="J1100" s="271"/>
      <c r="K1100" s="234"/>
      <c r="L1100" s="307"/>
      <c r="M1100" s="272"/>
      <c r="N1100" s="253"/>
      <c r="O1100" s="256"/>
      <c r="P1100" s="256"/>
      <c r="Q1100" s="256"/>
      <c r="R1100" s="256"/>
      <c r="S1100" s="234"/>
      <c r="T1100" s="258"/>
    </row>
    <row r="1101" spans="2:20" ht="22.5" customHeight="1" x14ac:dyDescent="0.25">
      <c r="B1101" s="267"/>
      <c r="C1101" s="234"/>
      <c r="D1101" s="234"/>
      <c r="E1101" s="268"/>
      <c r="F1101" s="269"/>
      <c r="G1101" s="258"/>
      <c r="H1101" s="270"/>
      <c r="I1101" s="271"/>
      <c r="J1101" s="271"/>
      <c r="K1101" s="234"/>
      <c r="L1101" s="307"/>
      <c r="M1101" s="272"/>
      <c r="N1101" s="253"/>
      <c r="O1101" s="256"/>
      <c r="P1101" s="256"/>
      <c r="Q1101" s="256"/>
      <c r="R1101" s="256"/>
      <c r="S1101" s="234"/>
      <c r="T1101" s="258"/>
    </row>
    <row r="1102" spans="2:20" ht="22.5" customHeight="1" x14ac:dyDescent="0.25">
      <c r="B1102" s="267"/>
      <c r="C1102" s="234"/>
      <c r="D1102" s="234"/>
      <c r="E1102" s="268"/>
      <c r="F1102" s="269"/>
      <c r="G1102" s="258"/>
      <c r="H1102" s="270"/>
      <c r="I1102" s="271"/>
      <c r="J1102" s="271"/>
      <c r="K1102" s="234"/>
      <c r="L1102" s="307"/>
      <c r="M1102" s="272"/>
      <c r="N1102" s="253"/>
      <c r="O1102" s="256"/>
      <c r="P1102" s="256"/>
      <c r="Q1102" s="256"/>
      <c r="R1102" s="256"/>
      <c r="S1102" s="234"/>
      <c r="T1102" s="258"/>
    </row>
    <row r="1103" spans="2:20" ht="22.5" customHeight="1" x14ac:dyDescent="0.25">
      <c r="B1103" s="267"/>
      <c r="C1103" s="234"/>
      <c r="D1103" s="234"/>
      <c r="E1103" s="268"/>
      <c r="F1103" s="269"/>
      <c r="G1103" s="258"/>
      <c r="H1103" s="270"/>
      <c r="I1103" s="271"/>
      <c r="J1103" s="271"/>
      <c r="K1103" s="234"/>
      <c r="L1103" s="307"/>
      <c r="M1103" s="272"/>
      <c r="N1103" s="253"/>
      <c r="O1103" s="256"/>
      <c r="P1103" s="256"/>
      <c r="Q1103" s="256"/>
      <c r="R1103" s="256"/>
      <c r="S1103" s="234"/>
      <c r="T1103" s="258"/>
    </row>
    <row r="1104" spans="2:20" ht="22.5" customHeight="1" x14ac:dyDescent="0.25">
      <c r="B1104" s="267"/>
      <c r="C1104" s="234"/>
      <c r="D1104" s="234"/>
      <c r="E1104" s="268"/>
      <c r="F1104" s="269"/>
      <c r="G1104" s="258"/>
      <c r="H1104" s="270"/>
      <c r="I1104" s="271"/>
      <c r="J1104" s="271"/>
      <c r="K1104" s="234"/>
      <c r="L1104" s="307"/>
      <c r="M1104" s="272"/>
      <c r="N1104" s="253"/>
      <c r="O1104" s="256"/>
      <c r="P1104" s="256"/>
      <c r="Q1104" s="256"/>
      <c r="R1104" s="256"/>
      <c r="S1104" s="234"/>
      <c r="T1104" s="258"/>
    </row>
    <row r="1105" spans="2:20" ht="22.5" customHeight="1" x14ac:dyDescent="0.25">
      <c r="B1105" s="267"/>
      <c r="C1105" s="234"/>
      <c r="D1105" s="234"/>
      <c r="E1105" s="268"/>
      <c r="F1105" s="269"/>
      <c r="G1105" s="258"/>
      <c r="H1105" s="270"/>
      <c r="I1105" s="271"/>
      <c r="J1105" s="271"/>
      <c r="K1105" s="234"/>
      <c r="L1105" s="307"/>
      <c r="M1105" s="272"/>
      <c r="N1105" s="253"/>
      <c r="O1105" s="256"/>
      <c r="P1105" s="256"/>
      <c r="Q1105" s="256"/>
      <c r="R1105" s="256"/>
      <c r="S1105" s="234"/>
      <c r="T1105" s="258"/>
    </row>
    <row r="1106" spans="2:20" ht="22.5" customHeight="1" x14ac:dyDescent="0.25">
      <c r="B1106" s="267"/>
      <c r="C1106" s="234"/>
      <c r="D1106" s="234"/>
      <c r="E1106" s="268"/>
      <c r="F1106" s="269"/>
      <c r="G1106" s="258"/>
      <c r="H1106" s="270"/>
      <c r="I1106" s="271"/>
      <c r="J1106" s="271"/>
      <c r="K1106" s="234"/>
      <c r="L1106" s="307"/>
      <c r="M1106" s="272"/>
      <c r="N1106" s="253"/>
      <c r="O1106" s="256"/>
      <c r="P1106" s="256"/>
      <c r="Q1106" s="256"/>
      <c r="R1106" s="256"/>
      <c r="S1106" s="234"/>
      <c r="T1106" s="258"/>
    </row>
    <row r="1107" spans="2:20" ht="22.5" customHeight="1" x14ac:dyDescent="0.25">
      <c r="B1107" s="267"/>
      <c r="C1107" s="234"/>
      <c r="D1107" s="234"/>
      <c r="E1107" s="268"/>
      <c r="F1107" s="269"/>
      <c r="G1107" s="258"/>
      <c r="H1107" s="270"/>
      <c r="I1107" s="271"/>
      <c r="J1107" s="271"/>
      <c r="K1107" s="234"/>
      <c r="L1107" s="307"/>
      <c r="M1107" s="272"/>
      <c r="N1107" s="253"/>
      <c r="O1107" s="256"/>
      <c r="P1107" s="256"/>
      <c r="Q1107" s="256"/>
      <c r="R1107" s="256"/>
      <c r="S1107" s="234"/>
      <c r="T1107" s="258"/>
    </row>
    <row r="1108" spans="2:20" ht="22.5" customHeight="1" x14ac:dyDescent="0.25">
      <c r="B1108" s="267"/>
      <c r="C1108" s="234"/>
      <c r="D1108" s="234"/>
      <c r="E1108" s="268"/>
      <c r="F1108" s="269"/>
      <c r="G1108" s="258"/>
      <c r="H1108" s="270"/>
      <c r="I1108" s="271"/>
      <c r="J1108" s="271"/>
      <c r="K1108" s="234"/>
      <c r="L1108" s="307"/>
      <c r="M1108" s="272"/>
      <c r="N1108" s="253"/>
      <c r="O1108" s="256"/>
      <c r="P1108" s="256"/>
      <c r="Q1108" s="256"/>
      <c r="R1108" s="256"/>
      <c r="S1108" s="234"/>
      <c r="T1108" s="258"/>
    </row>
    <row r="1109" spans="2:20" ht="22.5" customHeight="1" x14ac:dyDescent="0.25">
      <c r="B1109" s="267"/>
      <c r="C1109" s="234"/>
      <c r="D1109" s="234"/>
      <c r="E1109" s="268"/>
      <c r="F1109" s="269"/>
      <c r="G1109" s="258"/>
      <c r="H1109" s="270"/>
      <c r="I1109" s="271"/>
      <c r="J1109" s="271"/>
      <c r="K1109" s="234"/>
      <c r="L1109" s="307"/>
      <c r="M1109" s="272"/>
      <c r="N1109" s="253"/>
      <c r="O1109" s="256"/>
      <c r="P1109" s="256"/>
      <c r="Q1109" s="256"/>
      <c r="R1109" s="256"/>
      <c r="S1109" s="234"/>
      <c r="T1109" s="258"/>
    </row>
    <row r="1110" spans="2:20" ht="22.5" customHeight="1" x14ac:dyDescent="0.25">
      <c r="B1110" s="267"/>
      <c r="C1110" s="234"/>
      <c r="D1110" s="234"/>
      <c r="E1110" s="268"/>
      <c r="F1110" s="269"/>
      <c r="G1110" s="258"/>
      <c r="H1110" s="270"/>
      <c r="I1110" s="271"/>
      <c r="J1110" s="271"/>
      <c r="K1110" s="234"/>
      <c r="L1110" s="307"/>
      <c r="M1110" s="272"/>
      <c r="N1110" s="253"/>
      <c r="O1110" s="256"/>
      <c r="P1110" s="256"/>
      <c r="Q1110" s="256"/>
      <c r="R1110" s="256"/>
      <c r="S1110" s="234"/>
      <c r="T1110" s="258"/>
    </row>
    <row r="1111" spans="2:20" ht="22.5" customHeight="1" x14ac:dyDescent="0.25">
      <c r="B1111" s="267"/>
      <c r="C1111" s="234"/>
      <c r="D1111" s="234"/>
      <c r="E1111" s="268"/>
      <c r="F1111" s="269"/>
      <c r="G1111" s="258"/>
      <c r="H1111" s="270"/>
      <c r="I1111" s="271"/>
      <c r="J1111" s="271"/>
      <c r="K1111" s="234"/>
      <c r="L1111" s="307"/>
      <c r="M1111" s="272"/>
      <c r="N1111" s="253"/>
      <c r="O1111" s="256"/>
      <c r="P1111" s="256"/>
      <c r="Q1111" s="256"/>
      <c r="R1111" s="256"/>
      <c r="S1111" s="234"/>
      <c r="T1111" s="258"/>
    </row>
    <row r="1112" spans="2:20" ht="22.5" customHeight="1" x14ac:dyDescent="0.25">
      <c r="B1112" s="267"/>
      <c r="C1112" s="234"/>
      <c r="D1112" s="234"/>
      <c r="E1112" s="268"/>
      <c r="F1112" s="269"/>
      <c r="G1112" s="258"/>
      <c r="H1112" s="270"/>
      <c r="I1112" s="271"/>
      <c r="J1112" s="271"/>
      <c r="K1112" s="234"/>
      <c r="L1112" s="307"/>
      <c r="M1112" s="272"/>
      <c r="N1112" s="253"/>
      <c r="O1112" s="256"/>
      <c r="P1112" s="256"/>
      <c r="Q1112" s="256"/>
      <c r="R1112" s="256"/>
      <c r="S1112" s="234"/>
      <c r="T1112" s="258"/>
    </row>
    <row r="1113" spans="2:20" ht="22.5" customHeight="1" x14ac:dyDescent="0.25">
      <c r="B1113" s="267"/>
      <c r="C1113" s="234"/>
      <c r="D1113" s="234"/>
      <c r="E1113" s="268"/>
      <c r="F1113" s="269"/>
      <c r="G1113" s="258"/>
      <c r="H1113" s="270"/>
      <c r="I1113" s="271"/>
      <c r="J1113" s="271"/>
      <c r="K1113" s="234"/>
      <c r="L1113" s="307"/>
      <c r="M1113" s="272"/>
      <c r="N1113" s="253"/>
      <c r="O1113" s="256"/>
      <c r="P1113" s="256"/>
      <c r="Q1113" s="256"/>
      <c r="R1113" s="256"/>
      <c r="S1113" s="234"/>
      <c r="T1113" s="258"/>
    </row>
    <row r="1114" spans="2:20" ht="22.5" customHeight="1" x14ac:dyDescent="0.25">
      <c r="B1114" s="267"/>
      <c r="C1114" s="234"/>
      <c r="D1114" s="234"/>
      <c r="E1114" s="268"/>
      <c r="F1114" s="269"/>
      <c r="G1114" s="258"/>
      <c r="H1114" s="270"/>
      <c r="I1114" s="271"/>
      <c r="J1114" s="271"/>
      <c r="K1114" s="234"/>
      <c r="L1114" s="307"/>
      <c r="M1114" s="272"/>
      <c r="N1114" s="253"/>
      <c r="O1114" s="256"/>
      <c r="P1114" s="256"/>
      <c r="Q1114" s="256"/>
      <c r="R1114" s="256"/>
      <c r="S1114" s="234"/>
      <c r="T1114" s="258"/>
    </row>
    <row r="1115" spans="2:20" ht="22.5" customHeight="1" x14ac:dyDescent="0.25">
      <c r="B1115" s="267"/>
      <c r="C1115" s="234"/>
      <c r="D1115" s="234"/>
      <c r="E1115" s="268"/>
      <c r="F1115" s="269"/>
      <c r="G1115" s="258"/>
      <c r="H1115" s="270"/>
      <c r="I1115" s="271"/>
      <c r="J1115" s="271"/>
      <c r="K1115" s="234"/>
      <c r="L1115" s="307"/>
      <c r="M1115" s="272"/>
      <c r="N1115" s="253"/>
      <c r="O1115" s="256"/>
      <c r="P1115" s="256"/>
      <c r="Q1115" s="256"/>
      <c r="R1115" s="256"/>
      <c r="S1115" s="234"/>
      <c r="T1115" s="258"/>
    </row>
    <row r="1116" spans="2:20" ht="22.5" customHeight="1" x14ac:dyDescent="0.25">
      <c r="B1116" s="267"/>
      <c r="C1116" s="234"/>
      <c r="D1116" s="234"/>
      <c r="E1116" s="268"/>
      <c r="F1116" s="269"/>
      <c r="G1116" s="258"/>
      <c r="H1116" s="270"/>
      <c r="I1116" s="271"/>
      <c r="J1116" s="271"/>
      <c r="K1116" s="234"/>
      <c r="L1116" s="307"/>
      <c r="M1116" s="272"/>
      <c r="N1116" s="253"/>
      <c r="O1116" s="256"/>
      <c r="P1116" s="256"/>
      <c r="Q1116" s="256"/>
      <c r="R1116" s="256"/>
      <c r="S1116" s="234"/>
      <c r="T1116" s="258"/>
    </row>
    <row r="1117" spans="2:20" ht="22.5" customHeight="1" x14ac:dyDescent="0.25">
      <c r="B1117" s="267"/>
      <c r="C1117" s="234"/>
      <c r="D1117" s="234"/>
      <c r="E1117" s="268"/>
      <c r="F1117" s="269"/>
      <c r="G1117" s="258"/>
      <c r="H1117" s="270"/>
      <c r="I1117" s="271"/>
      <c r="J1117" s="271"/>
      <c r="K1117" s="234"/>
      <c r="L1117" s="307"/>
      <c r="M1117" s="272"/>
      <c r="N1117" s="253"/>
      <c r="O1117" s="256"/>
      <c r="P1117" s="256"/>
      <c r="Q1117" s="256"/>
      <c r="R1117" s="256"/>
      <c r="S1117" s="234"/>
      <c r="T1117" s="258"/>
    </row>
    <row r="1118" spans="2:20" ht="22.5" customHeight="1" x14ac:dyDescent="0.25">
      <c r="B1118" s="267"/>
      <c r="C1118" s="234"/>
      <c r="D1118" s="234"/>
      <c r="E1118" s="268"/>
      <c r="F1118" s="269"/>
      <c r="G1118" s="258"/>
      <c r="H1118" s="270"/>
      <c r="I1118" s="271"/>
      <c r="J1118" s="271"/>
      <c r="K1118" s="234"/>
      <c r="L1118" s="307"/>
      <c r="M1118" s="272"/>
      <c r="N1118" s="253"/>
      <c r="O1118" s="256"/>
      <c r="P1118" s="256"/>
      <c r="Q1118" s="256"/>
      <c r="R1118" s="256"/>
      <c r="S1118" s="234"/>
      <c r="T1118" s="258"/>
    </row>
    <row r="1119" spans="2:20" ht="22.5" customHeight="1" x14ac:dyDescent="0.25">
      <c r="B1119" s="267"/>
      <c r="C1119" s="234"/>
      <c r="D1119" s="234"/>
      <c r="E1119" s="268"/>
      <c r="F1119" s="269"/>
      <c r="G1119" s="258"/>
      <c r="H1119" s="270"/>
      <c r="I1119" s="271"/>
      <c r="J1119" s="271"/>
      <c r="K1119" s="234"/>
      <c r="L1119" s="307"/>
      <c r="M1119" s="272"/>
      <c r="N1119" s="253"/>
      <c r="O1119" s="256"/>
      <c r="P1119" s="256"/>
      <c r="Q1119" s="256"/>
      <c r="R1119" s="256"/>
      <c r="S1119" s="234"/>
      <c r="T1119" s="258"/>
    </row>
    <row r="1120" spans="2:20" ht="22.5" customHeight="1" x14ac:dyDescent="0.25">
      <c r="B1120" s="267"/>
      <c r="C1120" s="234"/>
      <c r="D1120" s="234"/>
      <c r="E1120" s="268"/>
      <c r="F1120" s="269"/>
      <c r="G1120" s="258"/>
      <c r="H1120" s="270"/>
      <c r="I1120" s="271"/>
      <c r="J1120" s="271"/>
      <c r="K1120" s="234"/>
      <c r="L1120" s="307"/>
      <c r="M1120" s="272"/>
      <c r="N1120" s="253"/>
      <c r="O1120" s="256"/>
      <c r="P1120" s="256"/>
      <c r="Q1120" s="256"/>
      <c r="R1120" s="256"/>
      <c r="S1120" s="234"/>
      <c r="T1120" s="258"/>
    </row>
    <row r="1121" spans="2:20" ht="22.5" customHeight="1" x14ac:dyDescent="0.25">
      <c r="B1121" s="267"/>
      <c r="C1121" s="234"/>
      <c r="D1121" s="234"/>
      <c r="E1121" s="268"/>
      <c r="F1121" s="269"/>
      <c r="G1121" s="258"/>
      <c r="H1121" s="270"/>
      <c r="I1121" s="271"/>
      <c r="J1121" s="271"/>
      <c r="K1121" s="234"/>
      <c r="L1121" s="307"/>
      <c r="M1121" s="272"/>
      <c r="N1121" s="253"/>
      <c r="O1121" s="256"/>
      <c r="P1121" s="256"/>
      <c r="Q1121" s="256"/>
      <c r="R1121" s="256"/>
      <c r="S1121" s="234"/>
      <c r="T1121" s="258"/>
    </row>
    <row r="1122" spans="2:20" ht="22.5" customHeight="1" x14ac:dyDescent="0.25">
      <c r="B1122" s="267"/>
      <c r="C1122" s="234"/>
      <c r="D1122" s="234"/>
      <c r="E1122" s="268"/>
      <c r="F1122" s="269"/>
      <c r="G1122" s="258"/>
      <c r="H1122" s="270"/>
      <c r="I1122" s="271"/>
      <c r="J1122" s="271"/>
      <c r="K1122" s="234"/>
      <c r="L1122" s="307"/>
      <c r="M1122" s="272"/>
      <c r="N1122" s="253"/>
      <c r="O1122" s="256"/>
      <c r="P1122" s="256"/>
      <c r="Q1122" s="256"/>
      <c r="R1122" s="256"/>
      <c r="S1122" s="234"/>
      <c r="T1122" s="258"/>
    </row>
    <row r="1123" spans="2:20" ht="22.5" customHeight="1" x14ac:dyDescent="0.25">
      <c r="B1123" s="267"/>
      <c r="C1123" s="234"/>
      <c r="D1123" s="234"/>
      <c r="E1123" s="268"/>
      <c r="F1123" s="269"/>
      <c r="G1123" s="258"/>
      <c r="H1123" s="270"/>
      <c r="I1123" s="271"/>
      <c r="J1123" s="271"/>
      <c r="K1123" s="234"/>
      <c r="L1123" s="307"/>
      <c r="M1123" s="272"/>
      <c r="N1123" s="253"/>
      <c r="O1123" s="256"/>
      <c r="P1123" s="256"/>
      <c r="Q1123" s="256"/>
      <c r="R1123" s="256"/>
      <c r="S1123" s="234"/>
      <c r="T1123" s="258"/>
    </row>
    <row r="1124" spans="2:20" ht="22.5" customHeight="1" x14ac:dyDescent="0.25">
      <c r="B1124" s="267"/>
      <c r="C1124" s="234"/>
      <c r="D1124" s="234"/>
      <c r="E1124" s="268"/>
      <c r="F1124" s="269"/>
      <c r="G1124" s="258"/>
      <c r="H1124" s="270"/>
      <c r="I1124" s="271"/>
      <c r="J1124" s="271"/>
      <c r="K1124" s="234"/>
      <c r="L1124" s="307"/>
      <c r="M1124" s="272"/>
      <c r="N1124" s="253"/>
      <c r="O1124" s="256"/>
      <c r="P1124" s="256"/>
      <c r="Q1124" s="256"/>
      <c r="R1124" s="256"/>
      <c r="S1124" s="234"/>
      <c r="T1124" s="258"/>
    </row>
    <row r="1125" spans="2:20" ht="22.5" customHeight="1" x14ac:dyDescent="0.25">
      <c r="B1125" s="267"/>
      <c r="C1125" s="234"/>
      <c r="D1125" s="234"/>
      <c r="E1125" s="268"/>
      <c r="F1125" s="269"/>
      <c r="G1125" s="258"/>
      <c r="H1125" s="270"/>
      <c r="I1125" s="271"/>
      <c r="J1125" s="271"/>
      <c r="K1125" s="234"/>
      <c r="L1125" s="307"/>
      <c r="M1125" s="272"/>
      <c r="N1125" s="253"/>
      <c r="O1125" s="256"/>
      <c r="P1125" s="256"/>
      <c r="Q1125" s="256"/>
      <c r="R1125" s="256"/>
      <c r="S1125" s="234"/>
      <c r="T1125" s="258"/>
    </row>
    <row r="1126" spans="2:20" ht="22.5" customHeight="1" x14ac:dyDescent="0.25">
      <c r="B1126" s="267"/>
      <c r="C1126" s="234"/>
      <c r="D1126" s="234"/>
      <c r="E1126" s="268"/>
      <c r="F1126" s="269"/>
      <c r="G1126" s="258"/>
      <c r="H1126" s="270"/>
      <c r="I1126" s="271"/>
      <c r="J1126" s="271"/>
      <c r="K1126" s="234"/>
      <c r="L1126" s="307"/>
      <c r="M1126" s="272"/>
      <c r="N1126" s="253"/>
      <c r="O1126" s="256"/>
      <c r="P1126" s="256"/>
      <c r="Q1126" s="256"/>
      <c r="R1126" s="256"/>
      <c r="S1126" s="234"/>
      <c r="T1126" s="258"/>
    </row>
    <row r="1127" spans="2:20" ht="22.5" customHeight="1" x14ac:dyDescent="0.25">
      <c r="B1127" s="267"/>
      <c r="C1127" s="234"/>
      <c r="D1127" s="234"/>
      <c r="E1127" s="268"/>
      <c r="F1127" s="269"/>
      <c r="G1127" s="258"/>
      <c r="H1127" s="270"/>
      <c r="I1127" s="271"/>
      <c r="J1127" s="271"/>
      <c r="K1127" s="234"/>
      <c r="L1127" s="307"/>
      <c r="M1127" s="272"/>
      <c r="N1127" s="253"/>
      <c r="O1127" s="256"/>
      <c r="P1127" s="256"/>
      <c r="Q1127" s="256"/>
      <c r="R1127" s="256"/>
      <c r="S1127" s="234"/>
      <c r="T1127" s="258"/>
    </row>
    <row r="1128" spans="2:20" ht="22.5" customHeight="1" x14ac:dyDescent="0.25">
      <c r="B1128" s="267"/>
      <c r="C1128" s="234"/>
      <c r="D1128" s="234"/>
      <c r="E1128" s="268"/>
      <c r="F1128" s="269"/>
      <c r="G1128" s="258"/>
      <c r="H1128" s="270"/>
      <c r="I1128" s="271"/>
      <c r="J1128" s="271"/>
      <c r="K1128" s="234"/>
      <c r="L1128" s="307"/>
      <c r="M1128" s="272"/>
      <c r="N1128" s="253"/>
      <c r="O1128" s="256"/>
      <c r="P1128" s="256"/>
      <c r="Q1128" s="256"/>
      <c r="R1128" s="256"/>
      <c r="S1128" s="234"/>
      <c r="T1128" s="258"/>
    </row>
    <row r="1129" spans="2:20" ht="22.5" customHeight="1" x14ac:dyDescent="0.25">
      <c r="B1129" s="267"/>
      <c r="C1129" s="234"/>
      <c r="D1129" s="234"/>
      <c r="E1129" s="268"/>
      <c r="F1129" s="269"/>
      <c r="G1129" s="258"/>
      <c r="H1129" s="270"/>
      <c r="I1129" s="271"/>
      <c r="J1129" s="271"/>
      <c r="K1129" s="234"/>
      <c r="L1129" s="307"/>
      <c r="M1129" s="272"/>
      <c r="N1129" s="253"/>
      <c r="O1129" s="256"/>
      <c r="P1129" s="256"/>
      <c r="Q1129" s="256"/>
      <c r="R1129" s="256"/>
      <c r="S1129" s="234"/>
      <c r="T1129" s="258"/>
    </row>
    <row r="1130" spans="2:20" ht="22.5" customHeight="1" x14ac:dyDescent="0.25">
      <c r="B1130" s="267"/>
      <c r="C1130" s="234"/>
      <c r="D1130" s="234"/>
      <c r="E1130" s="268"/>
      <c r="F1130" s="269"/>
      <c r="G1130" s="258"/>
      <c r="H1130" s="270"/>
      <c r="I1130" s="271"/>
      <c r="J1130" s="271"/>
      <c r="K1130" s="234"/>
      <c r="L1130" s="307"/>
      <c r="M1130" s="272"/>
      <c r="N1130" s="253"/>
      <c r="O1130" s="256"/>
      <c r="P1130" s="256"/>
      <c r="Q1130" s="256"/>
      <c r="R1130" s="256"/>
      <c r="S1130" s="234"/>
      <c r="T1130" s="258"/>
    </row>
    <row r="1131" spans="2:20" ht="22.5" customHeight="1" x14ac:dyDescent="0.25">
      <c r="B1131" s="267"/>
      <c r="C1131" s="234"/>
      <c r="D1131" s="234"/>
      <c r="E1131" s="268"/>
      <c r="F1131" s="269"/>
      <c r="G1131" s="258"/>
      <c r="H1131" s="270"/>
      <c r="I1131" s="271"/>
      <c r="J1131" s="271"/>
      <c r="K1131" s="234"/>
      <c r="L1131" s="307"/>
      <c r="M1131" s="272"/>
      <c r="N1131" s="253"/>
      <c r="O1131" s="256"/>
      <c r="P1131" s="256"/>
      <c r="Q1131" s="256"/>
      <c r="R1131" s="256"/>
      <c r="S1131" s="234"/>
      <c r="T1131" s="258"/>
    </row>
    <row r="1132" spans="2:20" ht="22.5" customHeight="1" x14ac:dyDescent="0.25">
      <c r="B1132" s="267"/>
      <c r="C1132" s="234"/>
      <c r="D1132" s="234"/>
      <c r="E1132" s="268"/>
      <c r="F1132" s="269"/>
      <c r="G1132" s="258"/>
      <c r="H1132" s="270"/>
      <c r="I1132" s="271"/>
      <c r="J1132" s="271"/>
      <c r="K1132" s="234"/>
      <c r="L1132" s="307"/>
      <c r="M1132" s="272"/>
      <c r="N1132" s="253"/>
      <c r="O1132" s="256"/>
      <c r="P1132" s="256"/>
      <c r="Q1132" s="256"/>
      <c r="R1132" s="256"/>
      <c r="S1132" s="234"/>
      <c r="T1132" s="258"/>
    </row>
    <row r="1133" spans="2:20" ht="22.5" customHeight="1" x14ac:dyDescent="0.25">
      <c r="B1133" s="267"/>
      <c r="C1133" s="234"/>
      <c r="D1133" s="234"/>
      <c r="E1133" s="268"/>
      <c r="F1133" s="269"/>
      <c r="G1133" s="258"/>
      <c r="H1133" s="270"/>
      <c r="I1133" s="271"/>
      <c r="J1133" s="271"/>
      <c r="K1133" s="234"/>
      <c r="L1133" s="307"/>
      <c r="M1133" s="272"/>
      <c r="N1133" s="253"/>
      <c r="O1133" s="256"/>
      <c r="P1133" s="256"/>
      <c r="Q1133" s="256"/>
      <c r="R1133" s="256"/>
      <c r="S1133" s="234"/>
      <c r="T1133" s="258"/>
    </row>
    <row r="1134" spans="2:20" ht="22.5" customHeight="1" x14ac:dyDescent="0.25">
      <c r="B1134" s="267"/>
      <c r="C1134" s="234"/>
      <c r="D1134" s="234"/>
      <c r="E1134" s="268"/>
      <c r="F1134" s="269"/>
      <c r="G1134" s="258"/>
      <c r="H1134" s="270"/>
      <c r="I1134" s="271"/>
      <c r="J1134" s="271"/>
      <c r="K1134" s="234"/>
      <c r="L1134" s="307"/>
      <c r="M1134" s="272"/>
      <c r="N1134" s="253"/>
      <c r="O1134" s="256"/>
      <c r="P1134" s="256"/>
      <c r="Q1134" s="256"/>
      <c r="R1134" s="256"/>
      <c r="S1134" s="234"/>
      <c r="T1134" s="258"/>
    </row>
    <row r="1135" spans="2:20" ht="22.5" customHeight="1" x14ac:dyDescent="0.25">
      <c r="B1135" s="267"/>
      <c r="C1135" s="234"/>
      <c r="D1135" s="234"/>
      <c r="E1135" s="268"/>
      <c r="F1135" s="269"/>
      <c r="G1135" s="258"/>
      <c r="H1135" s="270"/>
      <c r="I1135" s="271"/>
      <c r="J1135" s="271"/>
      <c r="K1135" s="234"/>
      <c r="L1135" s="307"/>
      <c r="M1135" s="272"/>
      <c r="N1135" s="253"/>
      <c r="O1135" s="256"/>
      <c r="P1135" s="256"/>
      <c r="Q1135" s="256"/>
      <c r="R1135" s="256"/>
      <c r="S1135" s="234"/>
      <c r="T1135" s="258"/>
    </row>
    <row r="1136" spans="2:20" ht="22.5" customHeight="1" x14ac:dyDescent="0.25">
      <c r="B1136" s="267"/>
      <c r="C1136" s="234"/>
      <c r="D1136" s="234"/>
      <c r="E1136" s="268"/>
      <c r="F1136" s="269"/>
      <c r="G1136" s="258"/>
      <c r="H1136" s="270"/>
      <c r="I1136" s="271"/>
      <c r="J1136" s="271"/>
      <c r="K1136" s="234"/>
      <c r="L1136" s="307"/>
      <c r="M1136" s="272"/>
      <c r="N1136" s="253"/>
      <c r="O1136" s="256"/>
      <c r="P1136" s="256"/>
      <c r="Q1136" s="256"/>
      <c r="R1136" s="256"/>
      <c r="S1136" s="234"/>
      <c r="T1136" s="258"/>
    </row>
    <row r="1137" spans="2:20" ht="22.5" customHeight="1" x14ac:dyDescent="0.25">
      <c r="B1137" s="267"/>
      <c r="C1137" s="234"/>
      <c r="D1137" s="234"/>
      <c r="E1137" s="268"/>
      <c r="F1137" s="269"/>
      <c r="G1137" s="258"/>
      <c r="H1137" s="270"/>
      <c r="I1137" s="271"/>
      <c r="J1137" s="271"/>
      <c r="K1137" s="234"/>
      <c r="L1137" s="307"/>
      <c r="M1137" s="272"/>
      <c r="N1137" s="253"/>
      <c r="O1137" s="256"/>
      <c r="P1137" s="256"/>
      <c r="Q1137" s="256"/>
      <c r="R1137" s="256"/>
      <c r="S1137" s="234"/>
      <c r="T1137" s="258"/>
    </row>
    <row r="1138" spans="2:20" ht="22.5" customHeight="1" x14ac:dyDescent="0.25">
      <c r="B1138" s="267"/>
      <c r="C1138" s="234"/>
      <c r="D1138" s="234"/>
      <c r="E1138" s="268"/>
      <c r="F1138" s="269"/>
      <c r="G1138" s="258"/>
      <c r="H1138" s="270"/>
      <c r="I1138" s="271"/>
      <c r="J1138" s="271"/>
      <c r="K1138" s="234"/>
      <c r="L1138" s="307"/>
      <c r="M1138" s="272"/>
      <c r="N1138" s="253"/>
      <c r="O1138" s="256"/>
      <c r="P1138" s="256"/>
      <c r="Q1138" s="256"/>
      <c r="R1138" s="256"/>
      <c r="S1138" s="234"/>
      <c r="T1138" s="258"/>
    </row>
    <row r="1139" spans="2:20" ht="22.5" customHeight="1" x14ac:dyDescent="0.25">
      <c r="B1139" s="267"/>
      <c r="C1139" s="234"/>
      <c r="D1139" s="234"/>
      <c r="E1139" s="268"/>
      <c r="F1139" s="269"/>
      <c r="G1139" s="258"/>
      <c r="H1139" s="270"/>
      <c r="I1139" s="271"/>
      <c r="J1139" s="271"/>
      <c r="K1139" s="234"/>
      <c r="L1139" s="307"/>
      <c r="M1139" s="272"/>
      <c r="N1139" s="253"/>
      <c r="O1139" s="256"/>
      <c r="P1139" s="256"/>
      <c r="Q1139" s="256"/>
      <c r="R1139" s="256"/>
      <c r="S1139" s="234"/>
      <c r="T1139" s="258"/>
    </row>
    <row r="1140" spans="2:20" ht="22.5" customHeight="1" x14ac:dyDescent="0.25">
      <c r="B1140" s="267"/>
      <c r="C1140" s="234"/>
      <c r="D1140" s="234"/>
      <c r="E1140" s="268"/>
      <c r="F1140" s="269"/>
      <c r="G1140" s="258"/>
      <c r="H1140" s="270"/>
      <c r="I1140" s="271"/>
      <c r="J1140" s="271"/>
      <c r="K1140" s="234"/>
      <c r="L1140" s="307"/>
      <c r="M1140" s="272"/>
      <c r="N1140" s="253"/>
      <c r="O1140" s="256"/>
      <c r="P1140" s="256"/>
      <c r="Q1140" s="256"/>
      <c r="R1140" s="256"/>
      <c r="S1140" s="234"/>
      <c r="T1140" s="258"/>
    </row>
    <row r="1141" spans="2:20" ht="22.5" customHeight="1" x14ac:dyDescent="0.25">
      <c r="B1141" s="267"/>
      <c r="C1141" s="234"/>
      <c r="D1141" s="234"/>
      <c r="E1141" s="268"/>
      <c r="F1141" s="269"/>
      <c r="G1141" s="258"/>
      <c r="H1141" s="270"/>
      <c r="I1141" s="271"/>
      <c r="J1141" s="271"/>
      <c r="K1141" s="234"/>
      <c r="L1141" s="307"/>
      <c r="M1141" s="272"/>
      <c r="N1141" s="253"/>
      <c r="O1141" s="256"/>
      <c r="P1141" s="256"/>
      <c r="Q1141" s="256"/>
      <c r="R1141" s="256"/>
      <c r="S1141" s="234"/>
      <c r="T1141" s="258"/>
    </row>
    <row r="1142" spans="2:20" ht="22.5" customHeight="1" x14ac:dyDescent="0.25">
      <c r="B1142" s="267"/>
      <c r="C1142" s="234"/>
      <c r="D1142" s="234"/>
      <c r="E1142" s="268"/>
      <c r="F1142" s="269"/>
      <c r="G1142" s="258"/>
      <c r="H1142" s="270"/>
      <c r="I1142" s="271"/>
      <c r="J1142" s="271"/>
      <c r="K1142" s="234"/>
      <c r="L1142" s="307"/>
      <c r="M1142" s="272"/>
      <c r="N1142" s="253"/>
      <c r="O1142" s="256"/>
      <c r="P1142" s="256"/>
      <c r="Q1142" s="256"/>
      <c r="R1142" s="256"/>
      <c r="S1142" s="234"/>
      <c r="T1142" s="258"/>
    </row>
    <row r="1143" spans="2:20" ht="22.5" customHeight="1" x14ac:dyDescent="0.25">
      <c r="B1143" s="267"/>
      <c r="C1143" s="234"/>
      <c r="D1143" s="234"/>
      <c r="E1143" s="268"/>
      <c r="F1143" s="269"/>
      <c r="G1143" s="258"/>
      <c r="H1143" s="270"/>
      <c r="I1143" s="271"/>
      <c r="J1143" s="271"/>
      <c r="K1143" s="234"/>
      <c r="L1143" s="307"/>
      <c r="M1143" s="272"/>
      <c r="N1143" s="253"/>
      <c r="O1143" s="256"/>
      <c r="P1143" s="256"/>
      <c r="Q1143" s="256"/>
      <c r="R1143" s="256"/>
      <c r="S1143" s="234"/>
      <c r="T1143" s="258"/>
    </row>
    <row r="1144" spans="2:20" ht="22.5" customHeight="1" x14ac:dyDescent="0.25">
      <c r="B1144" s="267"/>
      <c r="C1144" s="234"/>
      <c r="D1144" s="234"/>
      <c r="E1144" s="268"/>
      <c r="F1144" s="269"/>
      <c r="G1144" s="258"/>
      <c r="H1144" s="270"/>
      <c r="I1144" s="271"/>
      <c r="J1144" s="271"/>
      <c r="K1144" s="234"/>
      <c r="L1144" s="307"/>
      <c r="M1144" s="272"/>
      <c r="N1144" s="253"/>
      <c r="O1144" s="256"/>
      <c r="P1144" s="256"/>
      <c r="Q1144" s="256"/>
      <c r="R1144" s="256"/>
      <c r="S1144" s="234"/>
      <c r="T1144" s="258"/>
    </row>
    <row r="1145" spans="2:20" ht="22.5" customHeight="1" x14ac:dyDescent="0.25">
      <c r="B1145" s="267"/>
      <c r="C1145" s="234"/>
      <c r="D1145" s="234"/>
      <c r="E1145" s="268"/>
      <c r="F1145" s="269"/>
      <c r="G1145" s="258"/>
      <c r="H1145" s="270"/>
      <c r="I1145" s="271"/>
      <c r="J1145" s="271"/>
      <c r="K1145" s="234"/>
      <c r="L1145" s="307"/>
      <c r="M1145" s="272"/>
      <c r="N1145" s="253"/>
      <c r="O1145" s="256"/>
      <c r="P1145" s="256"/>
      <c r="Q1145" s="256"/>
      <c r="R1145" s="256"/>
      <c r="S1145" s="234"/>
      <c r="T1145" s="258"/>
    </row>
    <row r="1146" spans="2:20" ht="22.5" customHeight="1" x14ac:dyDescent="0.25">
      <c r="B1146" s="267"/>
      <c r="C1146" s="234"/>
      <c r="D1146" s="234"/>
      <c r="E1146" s="268"/>
      <c r="F1146" s="269"/>
      <c r="G1146" s="258"/>
      <c r="H1146" s="270"/>
      <c r="I1146" s="271"/>
      <c r="J1146" s="271"/>
      <c r="K1146" s="234"/>
      <c r="L1146" s="307"/>
      <c r="M1146" s="272"/>
      <c r="N1146" s="253"/>
      <c r="O1146" s="256"/>
      <c r="P1146" s="256"/>
      <c r="Q1146" s="256"/>
      <c r="R1146" s="256"/>
      <c r="S1146" s="234"/>
      <c r="T1146" s="258"/>
    </row>
    <row r="1147" spans="2:20" ht="22.5" customHeight="1" x14ac:dyDescent="0.25">
      <c r="B1147" s="267"/>
      <c r="C1147" s="234"/>
      <c r="D1147" s="234"/>
      <c r="E1147" s="268"/>
      <c r="F1147" s="269"/>
      <c r="G1147" s="258"/>
      <c r="H1147" s="270"/>
      <c r="I1147" s="271"/>
      <c r="J1147" s="271"/>
      <c r="K1147" s="234"/>
      <c r="L1147" s="307"/>
      <c r="M1147" s="272"/>
      <c r="N1147" s="253"/>
      <c r="O1147" s="256"/>
      <c r="P1147" s="256"/>
      <c r="Q1147" s="256"/>
      <c r="R1147" s="256"/>
      <c r="S1147" s="234"/>
      <c r="T1147" s="258"/>
    </row>
    <row r="1148" spans="2:20" ht="22.5" customHeight="1" x14ac:dyDescent="0.25">
      <c r="B1148" s="267"/>
      <c r="C1148" s="234"/>
      <c r="D1148" s="234"/>
      <c r="E1148" s="268"/>
      <c r="F1148" s="269"/>
      <c r="G1148" s="258"/>
      <c r="H1148" s="270"/>
      <c r="I1148" s="271"/>
      <c r="J1148" s="271"/>
      <c r="K1148" s="234"/>
      <c r="L1148" s="307"/>
      <c r="M1148" s="272"/>
      <c r="N1148" s="253"/>
      <c r="O1148" s="256"/>
      <c r="P1148" s="256"/>
      <c r="Q1148" s="256"/>
      <c r="R1148" s="256"/>
      <c r="S1148" s="234"/>
      <c r="T1148" s="258"/>
    </row>
    <row r="1149" spans="2:20" ht="22.5" customHeight="1" x14ac:dyDescent="0.25">
      <c r="B1149" s="267"/>
      <c r="C1149" s="234"/>
      <c r="D1149" s="234"/>
      <c r="E1149" s="268"/>
      <c r="F1149" s="269"/>
      <c r="G1149" s="258"/>
      <c r="H1149" s="270"/>
      <c r="I1149" s="271"/>
      <c r="J1149" s="271"/>
      <c r="K1149" s="234"/>
      <c r="L1149" s="307"/>
      <c r="M1149" s="272"/>
      <c r="N1149" s="253"/>
      <c r="O1149" s="256"/>
      <c r="P1149" s="256"/>
      <c r="Q1149" s="256"/>
      <c r="R1149" s="256"/>
      <c r="S1149" s="234"/>
      <c r="T1149" s="258"/>
    </row>
    <row r="1150" spans="2:20" ht="22.5" customHeight="1" x14ac:dyDescent="0.25">
      <c r="B1150" s="267"/>
      <c r="C1150" s="234"/>
      <c r="D1150" s="234"/>
      <c r="E1150" s="268"/>
      <c r="F1150" s="269"/>
      <c r="G1150" s="258"/>
      <c r="H1150" s="270"/>
      <c r="I1150" s="271"/>
      <c r="J1150" s="271"/>
      <c r="K1150" s="234"/>
      <c r="L1150" s="307"/>
      <c r="M1150" s="272"/>
      <c r="N1150" s="253"/>
      <c r="O1150" s="256"/>
      <c r="P1150" s="256"/>
      <c r="Q1150" s="256"/>
      <c r="R1150" s="256"/>
      <c r="S1150" s="234"/>
      <c r="T1150" s="258"/>
    </row>
    <row r="1151" spans="2:20" ht="22.5" customHeight="1" x14ac:dyDescent="0.25">
      <c r="B1151" s="267"/>
      <c r="C1151" s="234"/>
      <c r="D1151" s="234"/>
      <c r="E1151" s="268"/>
      <c r="F1151" s="269"/>
      <c r="G1151" s="258"/>
      <c r="H1151" s="270"/>
      <c r="I1151" s="271"/>
      <c r="J1151" s="271"/>
      <c r="K1151" s="234"/>
      <c r="L1151" s="307"/>
      <c r="M1151" s="272"/>
      <c r="N1151" s="253"/>
      <c r="O1151" s="256"/>
      <c r="P1151" s="256"/>
      <c r="Q1151" s="256"/>
      <c r="R1151" s="256"/>
      <c r="S1151" s="234"/>
      <c r="T1151" s="258"/>
    </row>
    <row r="1152" spans="2:20" ht="22.5" customHeight="1" x14ac:dyDescent="0.25">
      <c r="B1152" s="267"/>
      <c r="C1152" s="234"/>
      <c r="D1152" s="234"/>
      <c r="E1152" s="268"/>
      <c r="F1152" s="269"/>
      <c r="G1152" s="258"/>
      <c r="H1152" s="270"/>
      <c r="I1152" s="271"/>
      <c r="J1152" s="271"/>
      <c r="K1152" s="234"/>
      <c r="L1152" s="307"/>
      <c r="M1152" s="272"/>
      <c r="N1152" s="253"/>
      <c r="O1152" s="256"/>
      <c r="P1152" s="256"/>
      <c r="Q1152" s="256"/>
      <c r="R1152" s="256"/>
      <c r="S1152" s="234"/>
      <c r="T1152" s="258"/>
    </row>
    <row r="1153" spans="2:20" ht="22.5" customHeight="1" x14ac:dyDescent="0.25">
      <c r="B1153" s="267"/>
      <c r="C1153" s="234"/>
      <c r="D1153" s="234"/>
      <c r="E1153" s="268"/>
      <c r="F1153" s="269"/>
      <c r="G1153" s="258"/>
      <c r="H1153" s="270"/>
      <c r="I1153" s="271"/>
      <c r="J1153" s="271"/>
      <c r="K1153" s="234"/>
      <c r="L1153" s="307"/>
      <c r="M1153" s="272"/>
      <c r="N1153" s="253"/>
      <c r="O1153" s="256"/>
      <c r="P1153" s="256"/>
      <c r="Q1153" s="256"/>
      <c r="R1153" s="256"/>
      <c r="S1153" s="234"/>
      <c r="T1153" s="258"/>
    </row>
    <row r="1154" spans="2:20" ht="22.5" customHeight="1" x14ac:dyDescent="0.25">
      <c r="B1154" s="267"/>
      <c r="C1154" s="234"/>
      <c r="D1154" s="234"/>
      <c r="E1154" s="268"/>
      <c r="F1154" s="269"/>
      <c r="G1154" s="258"/>
      <c r="H1154" s="270"/>
      <c r="I1154" s="271"/>
      <c r="J1154" s="271"/>
      <c r="K1154" s="234"/>
      <c r="L1154" s="307"/>
      <c r="M1154" s="272"/>
      <c r="N1154" s="253"/>
      <c r="O1154" s="256"/>
      <c r="P1154" s="256"/>
      <c r="Q1154" s="256"/>
      <c r="R1154" s="256"/>
      <c r="S1154" s="234"/>
      <c r="T1154" s="258"/>
    </row>
    <row r="1155" spans="2:20" ht="22.5" customHeight="1" x14ac:dyDescent="0.25">
      <c r="B1155" s="267"/>
      <c r="C1155" s="234"/>
      <c r="D1155" s="234"/>
      <c r="E1155" s="268"/>
      <c r="F1155" s="269"/>
      <c r="G1155" s="258"/>
      <c r="H1155" s="270"/>
      <c r="I1155" s="271"/>
      <c r="J1155" s="271"/>
      <c r="K1155" s="234"/>
      <c r="L1155" s="307"/>
      <c r="M1155" s="272"/>
      <c r="N1155" s="253"/>
      <c r="O1155" s="256"/>
      <c r="P1155" s="256"/>
      <c r="Q1155" s="256"/>
      <c r="R1155" s="256"/>
      <c r="S1155" s="234"/>
      <c r="T1155" s="258"/>
    </row>
    <row r="1156" spans="2:20" ht="22.5" customHeight="1" x14ac:dyDescent="0.25">
      <c r="B1156" s="267"/>
      <c r="C1156" s="234"/>
      <c r="D1156" s="234"/>
      <c r="E1156" s="268"/>
      <c r="F1156" s="269"/>
      <c r="G1156" s="258"/>
      <c r="H1156" s="270"/>
      <c r="I1156" s="271"/>
      <c r="J1156" s="271"/>
      <c r="K1156" s="234"/>
      <c r="L1156" s="307"/>
      <c r="M1156" s="272"/>
      <c r="N1156" s="253"/>
      <c r="O1156" s="256"/>
      <c r="P1156" s="256"/>
      <c r="Q1156" s="256"/>
      <c r="R1156" s="256"/>
      <c r="S1156" s="234"/>
      <c r="T1156" s="258"/>
    </row>
    <row r="1157" spans="2:20" ht="22.5" customHeight="1" x14ac:dyDescent="0.25">
      <c r="B1157" s="267"/>
      <c r="C1157" s="234"/>
      <c r="D1157" s="234"/>
      <c r="E1157" s="268"/>
      <c r="F1157" s="269"/>
      <c r="G1157" s="258"/>
      <c r="H1157" s="270"/>
      <c r="I1157" s="271"/>
      <c r="J1157" s="271"/>
      <c r="K1157" s="234"/>
      <c r="L1157" s="307"/>
      <c r="M1157" s="272"/>
      <c r="N1157" s="253"/>
      <c r="O1157" s="256"/>
      <c r="P1157" s="256"/>
      <c r="Q1157" s="256"/>
      <c r="R1157" s="256"/>
      <c r="S1157" s="234"/>
      <c r="T1157" s="258"/>
    </row>
    <row r="1158" spans="2:20" ht="22.5" customHeight="1" x14ac:dyDescent="0.25">
      <c r="B1158" s="267"/>
      <c r="C1158" s="234"/>
      <c r="D1158" s="234"/>
      <c r="E1158" s="268"/>
      <c r="F1158" s="269"/>
      <c r="G1158" s="258"/>
      <c r="H1158" s="270"/>
      <c r="I1158" s="271"/>
      <c r="J1158" s="271"/>
      <c r="K1158" s="234"/>
      <c r="L1158" s="307"/>
      <c r="M1158" s="272"/>
      <c r="N1158" s="253"/>
      <c r="O1158" s="256"/>
      <c r="P1158" s="256"/>
      <c r="Q1158" s="256"/>
      <c r="R1158" s="256"/>
      <c r="S1158" s="234"/>
      <c r="T1158" s="258"/>
    </row>
    <row r="1159" spans="2:20" ht="22.5" customHeight="1" x14ac:dyDescent="0.25">
      <c r="B1159" s="267"/>
      <c r="C1159" s="234"/>
      <c r="D1159" s="234"/>
      <c r="E1159" s="268"/>
      <c r="F1159" s="269"/>
      <c r="G1159" s="258"/>
      <c r="H1159" s="270"/>
      <c r="I1159" s="271"/>
      <c r="J1159" s="271"/>
      <c r="K1159" s="234"/>
      <c r="L1159" s="307"/>
      <c r="M1159" s="272"/>
      <c r="N1159" s="253"/>
      <c r="O1159" s="256"/>
      <c r="P1159" s="256"/>
      <c r="Q1159" s="256"/>
      <c r="R1159" s="256"/>
      <c r="S1159" s="234"/>
      <c r="T1159" s="258"/>
    </row>
    <row r="1160" spans="2:20" ht="22.5" customHeight="1" x14ac:dyDescent="0.25">
      <c r="B1160" s="267"/>
      <c r="C1160" s="234"/>
      <c r="D1160" s="234"/>
      <c r="E1160" s="268"/>
      <c r="F1160" s="269"/>
      <c r="G1160" s="258"/>
      <c r="H1160" s="270"/>
      <c r="I1160" s="271"/>
      <c r="J1160" s="271"/>
      <c r="K1160" s="234"/>
      <c r="L1160" s="307"/>
      <c r="M1160" s="272"/>
      <c r="N1160" s="253"/>
      <c r="O1160" s="256"/>
      <c r="P1160" s="256"/>
      <c r="Q1160" s="256"/>
      <c r="R1160" s="256"/>
      <c r="S1160" s="234"/>
      <c r="T1160" s="258"/>
    </row>
    <row r="1161" spans="2:20" ht="22.5" customHeight="1" x14ac:dyDescent="0.25">
      <c r="B1161" s="267"/>
      <c r="C1161" s="234"/>
      <c r="D1161" s="234"/>
      <c r="E1161" s="268"/>
      <c r="F1161" s="269"/>
      <c r="G1161" s="258"/>
      <c r="H1161" s="270"/>
      <c r="I1161" s="271"/>
      <c r="J1161" s="271"/>
      <c r="K1161" s="234"/>
      <c r="L1161" s="307"/>
      <c r="M1161" s="272"/>
      <c r="N1161" s="253"/>
      <c r="O1161" s="256"/>
      <c r="P1161" s="256"/>
      <c r="Q1161" s="256"/>
      <c r="R1161" s="256"/>
      <c r="S1161" s="234"/>
      <c r="T1161" s="258"/>
    </row>
    <row r="1162" spans="2:20" ht="22.5" customHeight="1" x14ac:dyDescent="0.25">
      <c r="B1162" s="267"/>
      <c r="C1162" s="234"/>
      <c r="D1162" s="234"/>
      <c r="E1162" s="268"/>
      <c r="F1162" s="269"/>
      <c r="G1162" s="258"/>
      <c r="H1162" s="270"/>
      <c r="I1162" s="271"/>
      <c r="J1162" s="271"/>
      <c r="K1162" s="234"/>
      <c r="L1162" s="307"/>
      <c r="M1162" s="272"/>
      <c r="N1162" s="253"/>
      <c r="O1162" s="256"/>
      <c r="P1162" s="256"/>
      <c r="Q1162" s="256"/>
      <c r="R1162" s="256"/>
      <c r="S1162" s="234"/>
      <c r="T1162" s="258"/>
    </row>
    <row r="1163" spans="2:20" ht="22.5" customHeight="1" x14ac:dyDescent="0.25">
      <c r="B1163" s="267"/>
      <c r="C1163" s="234"/>
      <c r="D1163" s="234"/>
      <c r="E1163" s="268"/>
      <c r="F1163" s="269"/>
      <c r="G1163" s="258"/>
      <c r="H1163" s="270"/>
      <c r="I1163" s="271"/>
      <c r="J1163" s="271"/>
      <c r="K1163" s="234"/>
      <c r="L1163" s="307"/>
      <c r="M1163" s="272"/>
      <c r="N1163" s="253"/>
      <c r="O1163" s="256"/>
      <c r="P1163" s="256"/>
      <c r="Q1163" s="256"/>
      <c r="R1163" s="256"/>
      <c r="S1163" s="234"/>
      <c r="T1163" s="258"/>
    </row>
    <row r="1164" spans="2:20" ht="22.5" customHeight="1" x14ac:dyDescent="0.25">
      <c r="B1164" s="267"/>
      <c r="C1164" s="234"/>
      <c r="D1164" s="234"/>
      <c r="E1164" s="268"/>
      <c r="F1164" s="269"/>
      <c r="G1164" s="258"/>
      <c r="H1164" s="270"/>
      <c r="I1164" s="271"/>
      <c r="J1164" s="271"/>
      <c r="K1164" s="234"/>
      <c r="L1164" s="307"/>
      <c r="M1164" s="272"/>
      <c r="N1164" s="253"/>
      <c r="O1164" s="256"/>
      <c r="P1164" s="256"/>
      <c r="Q1164" s="256"/>
      <c r="R1164" s="256"/>
      <c r="S1164" s="234"/>
      <c r="T1164" s="258"/>
    </row>
    <row r="1165" spans="2:20" ht="22.5" customHeight="1" x14ac:dyDescent="0.25">
      <c r="B1165" s="267"/>
      <c r="C1165" s="234"/>
      <c r="D1165" s="234"/>
      <c r="E1165" s="268"/>
      <c r="F1165" s="269"/>
      <c r="G1165" s="258"/>
      <c r="H1165" s="270"/>
      <c r="I1165" s="271"/>
      <c r="J1165" s="271"/>
      <c r="K1165" s="234"/>
      <c r="L1165" s="307"/>
      <c r="M1165" s="272"/>
      <c r="N1165" s="253"/>
      <c r="O1165" s="256"/>
      <c r="P1165" s="256"/>
      <c r="Q1165" s="256"/>
      <c r="R1165" s="256"/>
      <c r="S1165" s="234"/>
      <c r="T1165" s="258"/>
    </row>
    <row r="1166" spans="2:20" ht="22.5" customHeight="1" x14ac:dyDescent="0.25">
      <c r="B1166" s="267"/>
      <c r="C1166" s="234"/>
      <c r="D1166" s="234"/>
      <c r="E1166" s="268"/>
      <c r="F1166" s="269"/>
      <c r="G1166" s="258"/>
      <c r="H1166" s="270"/>
      <c r="I1166" s="271"/>
      <c r="J1166" s="271"/>
      <c r="K1166" s="234"/>
      <c r="L1166" s="307"/>
      <c r="M1166" s="272"/>
      <c r="N1166" s="253"/>
      <c r="O1166" s="256"/>
      <c r="P1166" s="256"/>
      <c r="Q1166" s="256"/>
      <c r="R1166" s="256"/>
      <c r="S1166" s="234"/>
      <c r="T1166" s="258"/>
    </row>
    <row r="1167" spans="2:20" ht="22.5" customHeight="1" x14ac:dyDescent="0.25">
      <c r="B1167" s="267"/>
      <c r="C1167" s="234"/>
      <c r="D1167" s="234"/>
      <c r="E1167" s="268"/>
      <c r="F1167" s="269"/>
      <c r="G1167" s="258"/>
      <c r="H1167" s="270"/>
      <c r="I1167" s="271"/>
      <c r="J1167" s="271"/>
      <c r="K1167" s="234"/>
      <c r="L1167" s="307"/>
      <c r="M1167" s="272"/>
      <c r="N1167" s="253"/>
      <c r="O1167" s="256"/>
      <c r="P1167" s="256"/>
      <c r="Q1167" s="256"/>
      <c r="R1167" s="256"/>
      <c r="S1167" s="234"/>
      <c r="T1167" s="258"/>
    </row>
    <row r="1168" spans="2:20" ht="22.5" customHeight="1" x14ac:dyDescent="0.25">
      <c r="B1168" s="267"/>
      <c r="C1168" s="234"/>
      <c r="D1168" s="234"/>
      <c r="E1168" s="268"/>
      <c r="F1168" s="269"/>
      <c r="G1168" s="258"/>
      <c r="H1168" s="270"/>
      <c r="I1168" s="271"/>
      <c r="J1168" s="271"/>
      <c r="K1168" s="234"/>
      <c r="L1168" s="307"/>
      <c r="M1168" s="272"/>
      <c r="N1168" s="253"/>
      <c r="O1168" s="256"/>
      <c r="P1168" s="256"/>
      <c r="Q1168" s="256"/>
      <c r="R1168" s="256"/>
      <c r="S1168" s="234"/>
      <c r="T1168" s="258"/>
    </row>
    <row r="1169" spans="2:20" ht="22.5" customHeight="1" x14ac:dyDescent="0.25">
      <c r="B1169" s="267"/>
      <c r="C1169" s="234"/>
      <c r="D1169" s="234"/>
      <c r="E1169" s="268"/>
      <c r="F1169" s="269"/>
      <c r="G1169" s="258"/>
      <c r="H1169" s="270"/>
      <c r="I1169" s="271"/>
      <c r="J1169" s="271"/>
      <c r="K1169" s="234"/>
      <c r="L1169" s="307"/>
      <c r="M1169" s="272"/>
      <c r="N1169" s="253"/>
      <c r="O1169" s="256"/>
      <c r="P1169" s="256"/>
      <c r="Q1169" s="256"/>
      <c r="R1169" s="256"/>
      <c r="S1169" s="234"/>
      <c r="T1169" s="258"/>
    </row>
    <row r="1170" spans="2:20" ht="22.5" customHeight="1" x14ac:dyDescent="0.25">
      <c r="B1170" s="267"/>
      <c r="C1170" s="234"/>
      <c r="D1170" s="234"/>
      <c r="E1170" s="268"/>
      <c r="F1170" s="269"/>
      <c r="G1170" s="258"/>
      <c r="H1170" s="270"/>
      <c r="I1170" s="271"/>
      <c r="J1170" s="271"/>
      <c r="K1170" s="234"/>
      <c r="L1170" s="307"/>
      <c r="M1170" s="272"/>
      <c r="N1170" s="253"/>
      <c r="O1170" s="256"/>
      <c r="P1170" s="256"/>
      <c r="Q1170" s="256"/>
      <c r="R1170" s="256"/>
      <c r="S1170" s="234"/>
      <c r="T1170" s="258"/>
    </row>
    <row r="1171" spans="2:20" ht="22.5" customHeight="1" x14ac:dyDescent="0.25">
      <c r="B1171" s="267"/>
      <c r="C1171" s="234"/>
      <c r="D1171" s="234"/>
      <c r="E1171" s="268"/>
      <c r="F1171" s="269"/>
      <c r="G1171" s="258"/>
      <c r="H1171" s="270"/>
      <c r="I1171" s="271"/>
      <c r="J1171" s="271"/>
      <c r="K1171" s="234"/>
      <c r="L1171" s="307"/>
      <c r="M1171" s="272"/>
      <c r="N1171" s="253"/>
      <c r="O1171" s="256"/>
      <c r="P1171" s="256"/>
      <c r="Q1171" s="256"/>
      <c r="R1171" s="256"/>
      <c r="S1171" s="234"/>
      <c r="T1171" s="258"/>
    </row>
    <row r="1172" spans="2:20" ht="22.5" customHeight="1" x14ac:dyDescent="0.25">
      <c r="B1172" s="267"/>
      <c r="C1172" s="234"/>
      <c r="D1172" s="234"/>
      <c r="E1172" s="268"/>
      <c r="F1172" s="269"/>
      <c r="G1172" s="258"/>
      <c r="H1172" s="270"/>
      <c r="I1172" s="271"/>
      <c r="J1172" s="271"/>
      <c r="K1172" s="234"/>
      <c r="L1172" s="307"/>
      <c r="M1172" s="272"/>
      <c r="N1172" s="253"/>
      <c r="O1172" s="256"/>
      <c r="P1172" s="256"/>
      <c r="Q1172" s="256"/>
      <c r="R1172" s="256"/>
      <c r="S1172" s="234"/>
      <c r="T1172" s="258"/>
    </row>
    <row r="1173" spans="2:20" ht="22.5" customHeight="1" x14ac:dyDescent="0.25">
      <c r="B1173" s="267"/>
      <c r="C1173" s="234"/>
      <c r="D1173" s="234"/>
      <c r="E1173" s="268"/>
      <c r="F1173" s="269"/>
      <c r="G1173" s="258"/>
      <c r="H1173" s="270"/>
      <c r="I1173" s="271"/>
      <c r="J1173" s="271"/>
      <c r="K1173" s="234"/>
      <c r="L1173" s="307"/>
      <c r="M1173" s="272"/>
      <c r="N1173" s="253"/>
      <c r="O1173" s="256"/>
      <c r="P1173" s="256"/>
      <c r="Q1173" s="256"/>
      <c r="R1173" s="256"/>
      <c r="S1173" s="234"/>
      <c r="T1173" s="258"/>
    </row>
    <row r="1174" spans="2:20" ht="22.5" customHeight="1" x14ac:dyDescent="0.25">
      <c r="B1174" s="267"/>
      <c r="C1174" s="234"/>
      <c r="D1174" s="234"/>
      <c r="E1174" s="268"/>
      <c r="F1174" s="269"/>
      <c r="G1174" s="258"/>
      <c r="H1174" s="270"/>
      <c r="I1174" s="271"/>
      <c r="J1174" s="271"/>
      <c r="K1174" s="234"/>
      <c r="L1174" s="307"/>
      <c r="M1174" s="272"/>
      <c r="N1174" s="253"/>
      <c r="O1174" s="256"/>
      <c r="P1174" s="256"/>
      <c r="Q1174" s="256"/>
      <c r="R1174" s="256"/>
      <c r="S1174" s="234"/>
      <c r="T1174" s="258"/>
    </row>
    <row r="1175" spans="2:20" ht="22.5" customHeight="1" x14ac:dyDescent="0.25">
      <c r="B1175" s="267"/>
      <c r="C1175" s="234"/>
      <c r="D1175" s="234"/>
      <c r="E1175" s="268"/>
      <c r="F1175" s="269"/>
      <c r="G1175" s="258"/>
      <c r="H1175" s="270"/>
      <c r="I1175" s="271"/>
      <c r="J1175" s="271"/>
      <c r="K1175" s="234"/>
      <c r="L1175" s="307"/>
      <c r="M1175" s="272"/>
      <c r="N1175" s="253"/>
      <c r="O1175" s="256"/>
      <c r="P1175" s="256"/>
      <c r="Q1175" s="256"/>
      <c r="R1175" s="256"/>
      <c r="S1175" s="234"/>
      <c r="T1175" s="258"/>
    </row>
    <row r="1176" spans="2:20" ht="22.5" customHeight="1" x14ac:dyDescent="0.25">
      <c r="B1176" s="267"/>
      <c r="C1176" s="234"/>
      <c r="D1176" s="234"/>
      <c r="E1176" s="268"/>
      <c r="F1176" s="269"/>
      <c r="G1176" s="258"/>
      <c r="H1176" s="270"/>
      <c r="I1176" s="271"/>
      <c r="J1176" s="271"/>
      <c r="K1176" s="234"/>
      <c r="L1176" s="307"/>
      <c r="M1176" s="272"/>
      <c r="N1176" s="253"/>
      <c r="O1176" s="256"/>
      <c r="P1176" s="256"/>
      <c r="Q1176" s="256"/>
      <c r="R1176" s="256"/>
      <c r="S1176" s="234"/>
      <c r="T1176" s="258"/>
    </row>
    <row r="1177" spans="2:20" ht="22.5" customHeight="1" x14ac:dyDescent="0.25">
      <c r="B1177" s="267"/>
      <c r="C1177" s="234"/>
      <c r="D1177" s="234"/>
      <c r="E1177" s="268"/>
      <c r="F1177" s="269"/>
      <c r="G1177" s="258"/>
      <c r="H1177" s="270"/>
      <c r="I1177" s="271"/>
      <c r="J1177" s="271"/>
      <c r="K1177" s="234"/>
      <c r="L1177" s="307"/>
      <c r="M1177" s="272"/>
      <c r="N1177" s="253"/>
      <c r="O1177" s="256"/>
      <c r="P1177" s="256"/>
      <c r="Q1177" s="256"/>
      <c r="R1177" s="256"/>
      <c r="S1177" s="234"/>
      <c r="T1177" s="258"/>
    </row>
    <row r="1178" spans="2:20" ht="22.5" customHeight="1" x14ac:dyDescent="0.25">
      <c r="B1178" s="267"/>
      <c r="C1178" s="234"/>
      <c r="D1178" s="234"/>
      <c r="E1178" s="268"/>
      <c r="F1178" s="269"/>
      <c r="G1178" s="258"/>
      <c r="H1178" s="270"/>
      <c r="I1178" s="271"/>
      <c r="J1178" s="271"/>
      <c r="K1178" s="234"/>
      <c r="L1178" s="307"/>
      <c r="M1178" s="272"/>
      <c r="N1178" s="253"/>
      <c r="O1178" s="256"/>
      <c r="P1178" s="256"/>
      <c r="Q1178" s="256"/>
      <c r="R1178" s="256"/>
      <c r="S1178" s="234"/>
      <c r="T1178" s="258"/>
    </row>
    <row r="1179" spans="2:20" ht="22.5" customHeight="1" x14ac:dyDescent="0.25">
      <c r="B1179" s="267"/>
      <c r="C1179" s="234"/>
      <c r="D1179" s="234"/>
      <c r="E1179" s="268"/>
      <c r="F1179" s="269"/>
      <c r="G1179" s="258"/>
      <c r="H1179" s="270"/>
      <c r="I1179" s="271"/>
      <c r="J1179" s="271"/>
      <c r="K1179" s="234"/>
      <c r="L1179" s="307"/>
      <c r="M1179" s="272"/>
      <c r="N1179" s="253"/>
      <c r="O1179" s="256"/>
      <c r="P1179" s="256"/>
      <c r="Q1179" s="256"/>
      <c r="R1179" s="256"/>
      <c r="S1179" s="234"/>
      <c r="T1179" s="258"/>
    </row>
    <row r="1180" spans="2:20" ht="22.5" customHeight="1" x14ac:dyDescent="0.25">
      <c r="B1180" s="267"/>
      <c r="C1180" s="234"/>
      <c r="D1180" s="234"/>
      <c r="E1180" s="268"/>
      <c r="F1180" s="269"/>
      <c r="G1180" s="258"/>
      <c r="H1180" s="270"/>
      <c r="I1180" s="271"/>
      <c r="J1180" s="271"/>
      <c r="K1180" s="234"/>
      <c r="L1180" s="307"/>
      <c r="M1180" s="272"/>
      <c r="N1180" s="253"/>
      <c r="O1180" s="256"/>
      <c r="P1180" s="256"/>
      <c r="Q1180" s="256"/>
      <c r="R1180" s="256"/>
      <c r="S1180" s="234"/>
      <c r="T1180" s="258"/>
    </row>
    <row r="1181" spans="2:20" ht="22.5" customHeight="1" x14ac:dyDescent="0.25">
      <c r="B1181" s="267"/>
      <c r="C1181" s="234"/>
      <c r="D1181" s="234"/>
      <c r="E1181" s="268"/>
      <c r="F1181" s="269"/>
      <c r="G1181" s="258"/>
      <c r="H1181" s="270"/>
      <c r="I1181" s="271"/>
      <c r="J1181" s="271"/>
      <c r="K1181" s="234"/>
      <c r="L1181" s="307"/>
      <c r="M1181" s="272"/>
      <c r="N1181" s="253"/>
      <c r="O1181" s="256"/>
      <c r="P1181" s="256"/>
      <c r="Q1181" s="256"/>
      <c r="R1181" s="256"/>
      <c r="S1181" s="234"/>
      <c r="T1181" s="258"/>
    </row>
    <row r="1182" spans="2:20" ht="22.5" customHeight="1" x14ac:dyDescent="0.25">
      <c r="B1182" s="267"/>
      <c r="C1182" s="234"/>
      <c r="D1182" s="234"/>
      <c r="E1182" s="268"/>
      <c r="F1182" s="269"/>
      <c r="G1182" s="258"/>
      <c r="H1182" s="270"/>
      <c r="I1182" s="271"/>
      <c r="J1182" s="271"/>
      <c r="K1182" s="234"/>
      <c r="L1182" s="307"/>
      <c r="M1182" s="272"/>
      <c r="N1182" s="253"/>
      <c r="O1182" s="256"/>
      <c r="P1182" s="256"/>
      <c r="Q1182" s="256"/>
      <c r="R1182" s="256"/>
      <c r="S1182" s="234"/>
      <c r="T1182" s="258"/>
    </row>
    <row r="1183" spans="2:20" ht="22.5" customHeight="1" x14ac:dyDescent="0.25">
      <c r="B1183" s="267"/>
      <c r="C1183" s="234"/>
      <c r="D1183" s="234"/>
      <c r="E1183" s="268"/>
      <c r="F1183" s="269"/>
      <c r="G1183" s="258"/>
      <c r="H1183" s="270"/>
      <c r="I1183" s="271"/>
      <c r="J1183" s="271"/>
      <c r="K1183" s="234"/>
      <c r="L1183" s="307"/>
      <c r="M1183" s="272"/>
      <c r="N1183" s="253"/>
      <c r="O1183" s="256"/>
      <c r="P1183" s="256"/>
      <c r="Q1183" s="256"/>
      <c r="R1183" s="256"/>
      <c r="S1183" s="234"/>
      <c r="T1183" s="258"/>
    </row>
    <row r="1184" spans="2:20" ht="22.5" customHeight="1" x14ac:dyDescent="0.25">
      <c r="B1184" s="267"/>
      <c r="C1184" s="234"/>
      <c r="D1184" s="234"/>
      <c r="E1184" s="268"/>
      <c r="F1184" s="269"/>
      <c r="G1184" s="258"/>
      <c r="H1184" s="270"/>
      <c r="I1184" s="271"/>
      <c r="J1184" s="271"/>
      <c r="K1184" s="234"/>
      <c r="L1184" s="307"/>
      <c r="M1184" s="272"/>
      <c r="N1184" s="253"/>
      <c r="O1184" s="256"/>
      <c r="P1184" s="256"/>
      <c r="Q1184" s="256"/>
      <c r="R1184" s="256"/>
      <c r="S1184" s="234"/>
      <c r="T1184" s="258"/>
    </row>
    <row r="1185" spans="2:20" ht="22.5" customHeight="1" x14ac:dyDescent="0.25">
      <c r="B1185" s="267"/>
      <c r="C1185" s="234"/>
      <c r="D1185" s="234"/>
      <c r="E1185" s="268"/>
      <c r="F1185" s="269"/>
      <c r="G1185" s="258"/>
      <c r="H1185" s="270"/>
      <c r="I1185" s="271"/>
      <c r="J1185" s="271"/>
      <c r="K1185" s="234"/>
      <c r="L1185" s="307"/>
      <c r="M1185" s="272"/>
      <c r="N1185" s="253"/>
      <c r="O1185" s="256"/>
      <c r="P1185" s="256"/>
      <c r="Q1185" s="256"/>
      <c r="R1185" s="256"/>
      <c r="S1185" s="234"/>
      <c r="T1185" s="258"/>
    </row>
    <row r="1186" spans="2:20" ht="22.5" customHeight="1" x14ac:dyDescent="0.25">
      <c r="B1186" s="267"/>
      <c r="C1186" s="234"/>
      <c r="D1186" s="234"/>
      <c r="E1186" s="268"/>
      <c r="F1186" s="269"/>
      <c r="G1186" s="258"/>
      <c r="H1186" s="270"/>
      <c r="I1186" s="271"/>
      <c r="J1186" s="271"/>
      <c r="K1186" s="234"/>
      <c r="L1186" s="307"/>
      <c r="M1186" s="272"/>
      <c r="N1186" s="253"/>
      <c r="O1186" s="256"/>
      <c r="P1186" s="256"/>
      <c r="Q1186" s="256"/>
      <c r="R1186" s="256"/>
      <c r="S1186" s="234"/>
      <c r="T1186" s="258"/>
    </row>
    <row r="1187" spans="2:20" ht="22.5" customHeight="1" x14ac:dyDescent="0.25">
      <c r="B1187" s="267"/>
      <c r="C1187" s="234"/>
      <c r="D1187" s="234"/>
      <c r="E1187" s="268"/>
      <c r="F1187" s="269"/>
      <c r="G1187" s="258"/>
      <c r="H1187" s="270"/>
      <c r="I1187" s="271"/>
      <c r="J1187" s="271"/>
      <c r="K1187" s="234"/>
      <c r="L1187" s="307"/>
      <c r="M1187" s="272"/>
      <c r="N1187" s="253"/>
      <c r="O1187" s="256"/>
      <c r="P1187" s="256"/>
      <c r="Q1187" s="256"/>
      <c r="R1187" s="256"/>
      <c r="S1187" s="234"/>
      <c r="T1187" s="258"/>
    </row>
    <row r="1188" spans="2:20" ht="22.5" customHeight="1" x14ac:dyDescent="0.25">
      <c r="B1188" s="267"/>
      <c r="C1188" s="234"/>
      <c r="D1188" s="234"/>
      <c r="E1188" s="268"/>
      <c r="F1188" s="269"/>
      <c r="G1188" s="258"/>
      <c r="H1188" s="270"/>
      <c r="I1188" s="271"/>
      <c r="J1188" s="271"/>
      <c r="K1188" s="234"/>
      <c r="L1188" s="307"/>
      <c r="M1188" s="272"/>
      <c r="N1188" s="253"/>
      <c r="O1188" s="256"/>
      <c r="P1188" s="256"/>
      <c r="Q1188" s="256"/>
      <c r="R1188" s="256"/>
      <c r="S1188" s="234"/>
      <c r="T1188" s="258"/>
    </row>
    <row r="1189" spans="2:20" ht="22.5" customHeight="1" x14ac:dyDescent="0.25">
      <c r="B1189" s="267"/>
      <c r="C1189" s="234"/>
      <c r="D1189" s="234"/>
      <c r="E1189" s="268"/>
      <c r="F1189" s="269"/>
      <c r="G1189" s="258"/>
      <c r="H1189" s="270"/>
      <c r="I1189" s="271"/>
      <c r="J1189" s="271"/>
      <c r="K1189" s="234"/>
      <c r="L1189" s="307"/>
      <c r="M1189" s="272"/>
      <c r="N1189" s="253"/>
      <c r="O1189" s="256"/>
      <c r="P1189" s="256"/>
      <c r="Q1189" s="256"/>
      <c r="R1189" s="256"/>
      <c r="S1189" s="234"/>
      <c r="T1189" s="258"/>
    </row>
    <row r="1190" spans="2:20" ht="22.5" customHeight="1" x14ac:dyDescent="0.25">
      <c r="B1190" s="267"/>
      <c r="C1190" s="234"/>
      <c r="D1190" s="234"/>
      <c r="E1190" s="268"/>
      <c r="F1190" s="269"/>
      <c r="G1190" s="258"/>
      <c r="H1190" s="270"/>
      <c r="I1190" s="271"/>
      <c r="J1190" s="271"/>
      <c r="K1190" s="234"/>
      <c r="L1190" s="307"/>
      <c r="M1190" s="272"/>
      <c r="N1190" s="253"/>
      <c r="O1190" s="256"/>
      <c r="P1190" s="256"/>
      <c r="Q1190" s="256"/>
      <c r="R1190" s="256"/>
      <c r="S1190" s="234"/>
      <c r="T1190" s="258"/>
    </row>
    <row r="1191" spans="2:20" ht="22.5" customHeight="1" x14ac:dyDescent="0.25">
      <c r="B1191" s="267"/>
      <c r="C1191" s="234"/>
      <c r="D1191" s="234"/>
      <c r="E1191" s="268"/>
      <c r="F1191" s="269"/>
      <c r="G1191" s="258"/>
      <c r="H1191" s="270"/>
      <c r="I1191" s="271"/>
      <c r="J1191" s="271"/>
      <c r="K1191" s="234"/>
      <c r="L1191" s="307"/>
      <c r="M1191" s="272"/>
      <c r="N1191" s="253"/>
      <c r="O1191" s="256"/>
      <c r="P1191" s="256"/>
      <c r="Q1191" s="256"/>
      <c r="R1191" s="256"/>
      <c r="S1191" s="234"/>
      <c r="T1191" s="258"/>
    </row>
    <row r="1192" spans="2:20" ht="22.5" customHeight="1" x14ac:dyDescent="0.25">
      <c r="B1192" s="267"/>
      <c r="C1192" s="234"/>
      <c r="D1192" s="234"/>
      <c r="E1192" s="268"/>
      <c r="F1192" s="269"/>
      <c r="G1192" s="258"/>
      <c r="H1192" s="270"/>
      <c r="I1192" s="271"/>
      <c r="J1192" s="271"/>
      <c r="K1192" s="234"/>
      <c r="L1192" s="307"/>
      <c r="M1192" s="272"/>
      <c r="N1192" s="253"/>
      <c r="O1192" s="256"/>
      <c r="P1192" s="256"/>
      <c r="Q1192" s="256"/>
      <c r="R1192" s="256"/>
      <c r="S1192" s="234"/>
      <c r="T1192" s="258"/>
    </row>
    <row r="1193" spans="2:20" ht="22.5" customHeight="1" x14ac:dyDescent="0.25">
      <c r="B1193" s="267"/>
      <c r="C1193" s="234"/>
      <c r="D1193" s="234"/>
      <c r="E1193" s="268"/>
      <c r="F1193" s="269"/>
      <c r="G1193" s="258"/>
      <c r="H1193" s="270"/>
      <c r="I1193" s="271"/>
      <c r="J1193" s="271"/>
      <c r="K1193" s="234"/>
      <c r="L1193" s="307"/>
      <c r="M1193" s="272"/>
      <c r="N1193" s="253"/>
      <c r="O1193" s="256"/>
      <c r="P1193" s="256"/>
      <c r="Q1193" s="256"/>
      <c r="R1193" s="256"/>
      <c r="S1193" s="234"/>
      <c r="T1193" s="258"/>
    </row>
    <row r="1194" spans="2:20" ht="22.5" customHeight="1" x14ac:dyDescent="0.25">
      <c r="B1194" s="267"/>
      <c r="C1194" s="234"/>
      <c r="D1194" s="234"/>
      <c r="E1194" s="268"/>
      <c r="F1194" s="269"/>
      <c r="G1194" s="258"/>
      <c r="H1194" s="270"/>
      <c r="I1194" s="271"/>
      <c r="J1194" s="271"/>
      <c r="K1194" s="234"/>
      <c r="L1194" s="307"/>
      <c r="M1194" s="272"/>
      <c r="N1194" s="253"/>
      <c r="O1194" s="256"/>
      <c r="P1194" s="256"/>
      <c r="Q1194" s="256"/>
      <c r="R1194" s="256"/>
      <c r="S1194" s="234"/>
      <c r="T1194" s="258"/>
    </row>
    <row r="1195" spans="2:20" ht="22.5" customHeight="1" x14ac:dyDescent="0.25">
      <c r="B1195" s="267"/>
      <c r="C1195" s="234"/>
      <c r="D1195" s="234"/>
      <c r="E1195" s="268"/>
      <c r="F1195" s="269"/>
      <c r="G1195" s="258"/>
      <c r="H1195" s="270"/>
      <c r="I1195" s="271"/>
      <c r="J1195" s="271"/>
      <c r="K1195" s="234"/>
      <c r="L1195" s="307"/>
      <c r="M1195" s="272"/>
      <c r="N1195" s="253"/>
      <c r="O1195" s="256"/>
      <c r="P1195" s="256"/>
      <c r="Q1195" s="256"/>
      <c r="R1195" s="256"/>
      <c r="S1195" s="234"/>
      <c r="T1195" s="258"/>
    </row>
    <row r="1196" spans="2:20" ht="22.5" customHeight="1" x14ac:dyDescent="0.25">
      <c r="B1196" s="267"/>
      <c r="C1196" s="234"/>
      <c r="D1196" s="234"/>
      <c r="E1196" s="268"/>
      <c r="F1196" s="269"/>
      <c r="G1196" s="258"/>
      <c r="H1196" s="270"/>
      <c r="I1196" s="271"/>
      <c r="J1196" s="271"/>
      <c r="K1196" s="234"/>
      <c r="L1196" s="307"/>
      <c r="M1196" s="272"/>
      <c r="N1196" s="253"/>
      <c r="O1196" s="256"/>
      <c r="P1196" s="256"/>
      <c r="Q1196" s="256"/>
      <c r="R1196" s="256"/>
      <c r="S1196" s="234"/>
      <c r="T1196" s="258"/>
    </row>
    <row r="1197" spans="2:20" ht="22.5" customHeight="1" x14ac:dyDescent="0.25">
      <c r="B1197" s="267"/>
      <c r="C1197" s="234"/>
      <c r="D1197" s="234"/>
      <c r="E1197" s="268"/>
      <c r="F1197" s="269"/>
      <c r="G1197" s="258"/>
      <c r="H1197" s="270"/>
      <c r="I1197" s="271"/>
      <c r="J1197" s="271"/>
      <c r="K1197" s="234"/>
      <c r="L1197" s="307"/>
      <c r="M1197" s="272"/>
      <c r="N1197" s="253"/>
      <c r="O1197" s="256"/>
      <c r="P1197" s="256"/>
      <c r="Q1197" s="256"/>
      <c r="R1197" s="256"/>
      <c r="S1197" s="234"/>
      <c r="T1197" s="258"/>
    </row>
    <row r="1198" spans="2:20" ht="22.5" customHeight="1" x14ac:dyDescent="0.25">
      <c r="B1198" s="267"/>
      <c r="C1198" s="234"/>
      <c r="D1198" s="234"/>
      <c r="E1198" s="268"/>
      <c r="F1198" s="269"/>
      <c r="G1198" s="258"/>
      <c r="H1198" s="270"/>
      <c r="I1198" s="271"/>
      <c r="J1198" s="271"/>
      <c r="K1198" s="234"/>
      <c r="L1198" s="307"/>
      <c r="M1198" s="272"/>
      <c r="N1198" s="253"/>
      <c r="O1198" s="256"/>
      <c r="P1198" s="256"/>
      <c r="Q1198" s="256"/>
      <c r="R1198" s="256"/>
      <c r="S1198" s="234"/>
      <c r="T1198" s="258"/>
    </row>
    <row r="1199" spans="2:20" ht="22.5" customHeight="1" x14ac:dyDescent="0.25">
      <c r="B1199" s="267"/>
      <c r="C1199" s="234"/>
      <c r="D1199" s="234"/>
      <c r="E1199" s="268"/>
      <c r="F1199" s="269"/>
      <c r="G1199" s="258"/>
      <c r="H1199" s="270"/>
      <c r="I1199" s="271"/>
      <c r="J1199" s="271"/>
      <c r="K1199" s="234"/>
      <c r="L1199" s="307"/>
      <c r="M1199" s="272"/>
      <c r="N1199" s="253"/>
      <c r="O1199" s="256"/>
      <c r="P1199" s="256"/>
      <c r="Q1199" s="256"/>
      <c r="R1199" s="256"/>
      <c r="S1199" s="234"/>
      <c r="T1199" s="258"/>
    </row>
    <row r="1200" spans="2:20" ht="22.5" customHeight="1" x14ac:dyDescent="0.25">
      <c r="B1200" s="267"/>
      <c r="C1200" s="234"/>
      <c r="D1200" s="234"/>
      <c r="E1200" s="268"/>
      <c r="F1200" s="269"/>
      <c r="G1200" s="258"/>
      <c r="H1200" s="270"/>
      <c r="I1200" s="271"/>
      <c r="J1200" s="271"/>
      <c r="K1200" s="234"/>
      <c r="L1200" s="307"/>
      <c r="M1200" s="272"/>
      <c r="N1200" s="253"/>
      <c r="O1200" s="256"/>
      <c r="P1200" s="256"/>
      <c r="Q1200" s="256"/>
      <c r="R1200" s="256"/>
      <c r="S1200" s="234"/>
      <c r="T1200" s="258"/>
    </row>
    <row r="1201" spans="2:20" ht="22.5" customHeight="1" x14ac:dyDescent="0.25">
      <c r="B1201" s="267"/>
      <c r="C1201" s="234"/>
      <c r="D1201" s="234"/>
      <c r="E1201" s="268"/>
      <c r="F1201" s="269"/>
      <c r="G1201" s="258"/>
      <c r="H1201" s="270"/>
      <c r="I1201" s="271"/>
      <c r="J1201" s="271"/>
      <c r="K1201" s="234"/>
      <c r="L1201" s="307"/>
      <c r="M1201" s="272"/>
      <c r="N1201" s="253"/>
      <c r="O1201" s="256"/>
      <c r="P1201" s="256"/>
      <c r="Q1201" s="256"/>
      <c r="R1201" s="256"/>
      <c r="S1201" s="234"/>
      <c r="T1201" s="258"/>
    </row>
    <row r="1202" spans="2:20" ht="22.5" customHeight="1" x14ac:dyDescent="0.25">
      <c r="B1202" s="267"/>
      <c r="C1202" s="234"/>
      <c r="D1202" s="234"/>
      <c r="E1202" s="268"/>
      <c r="F1202" s="269"/>
      <c r="G1202" s="258"/>
      <c r="H1202" s="270"/>
      <c r="I1202" s="271"/>
      <c r="J1202" s="271"/>
      <c r="K1202" s="234"/>
      <c r="L1202" s="307"/>
      <c r="M1202" s="272"/>
      <c r="N1202" s="253"/>
      <c r="O1202" s="256"/>
      <c r="P1202" s="256"/>
      <c r="Q1202" s="256"/>
      <c r="R1202" s="256"/>
      <c r="S1202" s="234"/>
      <c r="T1202" s="258"/>
    </row>
    <row r="1203" spans="2:20" ht="22.5" customHeight="1" x14ac:dyDescent="0.25">
      <c r="B1203" s="267"/>
      <c r="C1203" s="234"/>
      <c r="D1203" s="234"/>
      <c r="E1203" s="268"/>
      <c r="F1203" s="269"/>
      <c r="G1203" s="258"/>
      <c r="H1203" s="270"/>
      <c r="I1203" s="271"/>
      <c r="J1203" s="271"/>
      <c r="K1203" s="234"/>
      <c r="L1203" s="307"/>
      <c r="M1203" s="272"/>
      <c r="N1203" s="253"/>
      <c r="O1203" s="256"/>
      <c r="P1203" s="256"/>
      <c r="Q1203" s="256"/>
      <c r="R1203" s="256"/>
      <c r="S1203" s="234"/>
      <c r="T1203" s="258"/>
    </row>
    <row r="1204" spans="2:20" ht="22.5" customHeight="1" x14ac:dyDescent="0.25">
      <c r="B1204" s="267"/>
      <c r="C1204" s="234"/>
      <c r="D1204" s="234"/>
      <c r="E1204" s="268"/>
      <c r="F1204" s="269"/>
      <c r="G1204" s="258"/>
      <c r="H1204" s="270"/>
      <c r="I1204" s="271"/>
      <c r="J1204" s="271"/>
      <c r="K1204" s="234"/>
      <c r="L1204" s="307"/>
      <c r="M1204" s="272"/>
      <c r="N1204" s="253"/>
      <c r="O1204" s="256"/>
      <c r="P1204" s="256"/>
      <c r="Q1204" s="256"/>
      <c r="R1204" s="256"/>
      <c r="S1204" s="234"/>
      <c r="T1204" s="258"/>
    </row>
    <row r="1205" spans="2:20" ht="22.5" customHeight="1" x14ac:dyDescent="0.25">
      <c r="B1205" s="267"/>
      <c r="C1205" s="234"/>
      <c r="D1205" s="234"/>
      <c r="E1205" s="268"/>
      <c r="F1205" s="269"/>
      <c r="G1205" s="258"/>
      <c r="H1205" s="270"/>
      <c r="I1205" s="271"/>
      <c r="J1205" s="271"/>
      <c r="K1205" s="234"/>
      <c r="L1205" s="307"/>
      <c r="M1205" s="272"/>
      <c r="N1205" s="253"/>
      <c r="O1205" s="256"/>
      <c r="P1205" s="256"/>
      <c r="Q1205" s="256"/>
      <c r="R1205" s="256"/>
      <c r="S1205" s="234"/>
      <c r="T1205" s="258"/>
    </row>
    <row r="1206" spans="2:20" ht="22.5" customHeight="1" x14ac:dyDescent="0.25">
      <c r="B1206" s="267"/>
      <c r="C1206" s="234"/>
      <c r="D1206" s="234"/>
      <c r="E1206" s="268"/>
      <c r="F1206" s="269"/>
      <c r="G1206" s="258"/>
      <c r="H1206" s="270"/>
      <c r="I1206" s="271"/>
      <c r="J1206" s="271"/>
      <c r="K1206" s="234"/>
      <c r="L1206" s="307"/>
      <c r="M1206" s="272"/>
      <c r="N1206" s="253"/>
      <c r="O1206" s="256"/>
      <c r="P1206" s="256"/>
      <c r="Q1206" s="256"/>
      <c r="R1206" s="256"/>
      <c r="S1206" s="234"/>
      <c r="T1206" s="258"/>
    </row>
    <row r="1207" spans="2:20" ht="22.5" customHeight="1" x14ac:dyDescent="0.25">
      <c r="B1207" s="267"/>
      <c r="C1207" s="234"/>
      <c r="D1207" s="234"/>
      <c r="E1207" s="268"/>
      <c r="F1207" s="269"/>
      <c r="G1207" s="258"/>
      <c r="H1207" s="270"/>
      <c r="I1207" s="271"/>
      <c r="J1207" s="271"/>
      <c r="K1207" s="234"/>
      <c r="L1207" s="307"/>
      <c r="M1207" s="272"/>
      <c r="N1207" s="253"/>
      <c r="O1207" s="256"/>
      <c r="P1207" s="256"/>
      <c r="Q1207" s="256"/>
      <c r="R1207" s="256"/>
      <c r="S1207" s="234"/>
      <c r="T1207" s="258"/>
    </row>
    <row r="1208" spans="2:20" ht="22.5" customHeight="1" x14ac:dyDescent="0.25">
      <c r="B1208" s="267"/>
      <c r="C1208" s="234"/>
      <c r="D1208" s="234"/>
      <c r="E1208" s="268"/>
      <c r="F1208" s="269"/>
      <c r="G1208" s="258"/>
      <c r="H1208" s="270"/>
      <c r="I1208" s="271"/>
      <c r="J1208" s="271"/>
      <c r="K1208" s="234"/>
      <c r="L1208" s="307"/>
      <c r="M1208" s="272"/>
      <c r="N1208" s="253"/>
      <c r="O1208" s="256"/>
      <c r="P1208" s="256"/>
      <c r="Q1208" s="256"/>
      <c r="R1208" s="256"/>
      <c r="S1208" s="234"/>
      <c r="T1208" s="258"/>
    </row>
    <row r="1209" spans="2:20" ht="22.5" customHeight="1" x14ac:dyDescent="0.25">
      <c r="B1209" s="267"/>
      <c r="C1209" s="234"/>
      <c r="D1209" s="234"/>
      <c r="E1209" s="268"/>
      <c r="F1209" s="269"/>
      <c r="G1209" s="258"/>
      <c r="H1209" s="270"/>
      <c r="I1209" s="271"/>
      <c r="J1209" s="271"/>
      <c r="K1209" s="234"/>
      <c r="L1209" s="307"/>
      <c r="M1209" s="272"/>
      <c r="N1209" s="253"/>
      <c r="O1209" s="256"/>
      <c r="P1209" s="256"/>
      <c r="Q1209" s="256"/>
      <c r="R1209" s="256"/>
      <c r="S1209" s="234"/>
      <c r="T1209" s="258"/>
    </row>
    <row r="1210" spans="2:20" ht="22.5" customHeight="1" x14ac:dyDescent="0.25">
      <c r="B1210" s="267"/>
      <c r="C1210" s="234"/>
      <c r="D1210" s="234"/>
      <c r="E1210" s="268"/>
      <c r="F1210" s="269"/>
      <c r="G1210" s="258"/>
      <c r="H1210" s="270"/>
      <c r="I1210" s="271"/>
      <c r="J1210" s="271"/>
      <c r="K1210" s="234"/>
      <c r="L1210" s="307"/>
      <c r="M1210" s="272"/>
      <c r="N1210" s="253"/>
      <c r="O1210" s="256"/>
      <c r="P1210" s="256"/>
      <c r="Q1210" s="256"/>
      <c r="R1210" s="256"/>
      <c r="S1210" s="234"/>
      <c r="T1210" s="258"/>
    </row>
    <row r="1211" spans="2:20" ht="22.5" customHeight="1" x14ac:dyDescent="0.25">
      <c r="B1211" s="267"/>
      <c r="C1211" s="234"/>
      <c r="D1211" s="234"/>
      <c r="E1211" s="268"/>
      <c r="F1211" s="269"/>
      <c r="G1211" s="258"/>
      <c r="H1211" s="270"/>
      <c r="I1211" s="271"/>
      <c r="J1211" s="271"/>
      <c r="K1211" s="234"/>
      <c r="L1211" s="307"/>
      <c r="M1211" s="272"/>
      <c r="N1211" s="253"/>
      <c r="O1211" s="256"/>
      <c r="P1211" s="256"/>
      <c r="Q1211" s="256"/>
      <c r="R1211" s="256"/>
      <c r="S1211" s="234"/>
      <c r="T1211" s="258"/>
    </row>
    <row r="1212" spans="2:20" ht="22.5" customHeight="1" x14ac:dyDescent="0.25">
      <c r="B1212" s="267"/>
      <c r="C1212" s="234"/>
      <c r="D1212" s="234"/>
      <c r="E1212" s="268"/>
      <c r="F1212" s="269"/>
      <c r="G1212" s="258"/>
      <c r="H1212" s="270"/>
      <c r="I1212" s="271"/>
      <c r="J1212" s="271"/>
      <c r="K1212" s="234"/>
      <c r="L1212" s="307"/>
      <c r="M1212" s="272"/>
      <c r="N1212" s="253"/>
      <c r="O1212" s="256"/>
      <c r="P1212" s="256"/>
      <c r="Q1212" s="256"/>
      <c r="R1212" s="256"/>
      <c r="S1212" s="234"/>
      <c r="T1212" s="258"/>
    </row>
    <row r="1213" spans="2:20" ht="22.5" customHeight="1" x14ac:dyDescent="0.25">
      <c r="B1213" s="267"/>
      <c r="C1213" s="234"/>
      <c r="D1213" s="234"/>
      <c r="E1213" s="268"/>
      <c r="F1213" s="269"/>
      <c r="G1213" s="258"/>
      <c r="H1213" s="270"/>
      <c r="I1213" s="271"/>
      <c r="J1213" s="271"/>
      <c r="K1213" s="234"/>
      <c r="L1213" s="307"/>
      <c r="M1213" s="272"/>
      <c r="N1213" s="253"/>
      <c r="O1213" s="256"/>
      <c r="P1213" s="256"/>
      <c r="Q1213" s="256"/>
      <c r="R1213" s="256"/>
      <c r="S1213" s="234"/>
      <c r="T1213" s="258"/>
    </row>
    <row r="1214" spans="2:20" ht="22.5" customHeight="1" x14ac:dyDescent="0.25">
      <c r="B1214" s="267"/>
      <c r="C1214" s="234"/>
      <c r="D1214" s="234"/>
      <c r="E1214" s="268"/>
      <c r="F1214" s="269"/>
      <c r="G1214" s="258"/>
      <c r="H1214" s="270"/>
      <c r="I1214" s="271"/>
      <c r="J1214" s="271"/>
      <c r="K1214" s="234"/>
      <c r="L1214" s="307"/>
      <c r="M1214" s="272"/>
      <c r="N1214" s="253"/>
      <c r="O1214" s="256"/>
      <c r="P1214" s="256"/>
      <c r="Q1214" s="256"/>
      <c r="R1214" s="256"/>
      <c r="S1214" s="234"/>
      <c r="T1214" s="258"/>
    </row>
    <row r="1215" spans="2:20" ht="22.5" customHeight="1" x14ac:dyDescent="0.25">
      <c r="B1215" s="267"/>
      <c r="C1215" s="234"/>
      <c r="D1215" s="234"/>
      <c r="E1215" s="268"/>
      <c r="F1215" s="269"/>
      <c r="G1215" s="258"/>
      <c r="H1215" s="270"/>
      <c r="I1215" s="271"/>
      <c r="J1215" s="271"/>
      <c r="K1215" s="234"/>
      <c r="L1215" s="307"/>
      <c r="M1215" s="272"/>
      <c r="N1215" s="253"/>
      <c r="O1215" s="256"/>
      <c r="P1215" s="256"/>
      <c r="Q1215" s="256"/>
      <c r="R1215" s="256"/>
      <c r="S1215" s="234"/>
      <c r="T1215" s="258"/>
    </row>
    <row r="1216" spans="2:20" ht="22.5" customHeight="1" x14ac:dyDescent="0.25">
      <c r="B1216" s="267"/>
      <c r="C1216" s="234"/>
      <c r="D1216" s="234"/>
      <c r="E1216" s="268"/>
      <c r="F1216" s="269"/>
      <c r="G1216" s="258"/>
      <c r="H1216" s="270"/>
      <c r="I1216" s="271"/>
      <c r="J1216" s="271"/>
      <c r="K1216" s="234"/>
      <c r="L1216" s="307"/>
      <c r="M1216" s="272"/>
      <c r="N1216" s="253"/>
      <c r="O1216" s="256"/>
      <c r="P1216" s="256"/>
      <c r="Q1216" s="256"/>
      <c r="R1216" s="256"/>
      <c r="S1216" s="234"/>
      <c r="T1216" s="258"/>
    </row>
    <row r="1217" spans="2:20" ht="22.5" customHeight="1" x14ac:dyDescent="0.25">
      <c r="B1217" s="267"/>
      <c r="C1217" s="234"/>
      <c r="D1217" s="234"/>
      <c r="E1217" s="268"/>
      <c r="F1217" s="269"/>
      <c r="G1217" s="258"/>
      <c r="H1217" s="270"/>
      <c r="I1217" s="271"/>
      <c r="J1217" s="271"/>
      <c r="K1217" s="234"/>
      <c r="L1217" s="307"/>
      <c r="M1217" s="272"/>
      <c r="N1217" s="253"/>
      <c r="O1217" s="256"/>
      <c r="P1217" s="256"/>
      <c r="Q1217" s="256"/>
      <c r="R1217" s="256"/>
      <c r="S1217" s="234"/>
      <c r="T1217" s="258"/>
    </row>
    <row r="1218" spans="2:20" ht="22.5" customHeight="1" x14ac:dyDescent="0.25">
      <c r="B1218" s="267"/>
      <c r="C1218" s="234"/>
      <c r="D1218" s="234"/>
      <c r="E1218" s="268"/>
      <c r="F1218" s="269"/>
      <c r="G1218" s="258"/>
      <c r="H1218" s="270"/>
      <c r="I1218" s="271"/>
      <c r="J1218" s="271"/>
      <c r="K1218" s="234"/>
      <c r="L1218" s="307"/>
      <c r="M1218" s="272"/>
      <c r="N1218" s="253"/>
      <c r="O1218" s="256"/>
      <c r="P1218" s="256"/>
      <c r="Q1218" s="256"/>
      <c r="R1218" s="256"/>
      <c r="S1218" s="234"/>
      <c r="T1218" s="258"/>
    </row>
    <row r="1219" spans="2:20" ht="22.5" customHeight="1" x14ac:dyDescent="0.25">
      <c r="B1219" s="267"/>
      <c r="C1219" s="234"/>
      <c r="D1219" s="234"/>
      <c r="E1219" s="268"/>
      <c r="F1219" s="269"/>
      <c r="G1219" s="258"/>
      <c r="H1219" s="270"/>
      <c r="I1219" s="271"/>
      <c r="J1219" s="271"/>
      <c r="K1219" s="234"/>
      <c r="L1219" s="307"/>
      <c r="M1219" s="272"/>
      <c r="N1219" s="253"/>
      <c r="O1219" s="256"/>
      <c r="P1219" s="256"/>
      <c r="Q1219" s="256"/>
      <c r="R1219" s="256"/>
      <c r="S1219" s="234"/>
      <c r="T1219" s="258"/>
    </row>
    <row r="1220" spans="2:20" ht="22.5" customHeight="1" x14ac:dyDescent="0.25">
      <c r="B1220" s="267"/>
      <c r="C1220" s="234"/>
      <c r="D1220" s="234"/>
      <c r="E1220" s="268"/>
      <c r="F1220" s="269"/>
      <c r="G1220" s="258"/>
      <c r="H1220" s="270"/>
      <c r="I1220" s="271"/>
      <c r="J1220" s="271"/>
      <c r="K1220" s="234"/>
      <c r="L1220" s="307"/>
      <c r="M1220" s="272"/>
      <c r="N1220" s="253"/>
      <c r="O1220" s="256"/>
      <c r="P1220" s="256"/>
      <c r="Q1220" s="256"/>
      <c r="R1220" s="256"/>
      <c r="S1220" s="234"/>
      <c r="T1220" s="258"/>
    </row>
    <row r="1221" spans="2:20" ht="22.5" customHeight="1" x14ac:dyDescent="0.25">
      <c r="B1221" s="267"/>
      <c r="C1221" s="234"/>
      <c r="D1221" s="234"/>
      <c r="E1221" s="268"/>
      <c r="F1221" s="269"/>
      <c r="G1221" s="258"/>
      <c r="H1221" s="270"/>
      <c r="I1221" s="271"/>
      <c r="J1221" s="271"/>
      <c r="K1221" s="234"/>
      <c r="L1221" s="307"/>
      <c r="M1221" s="272"/>
      <c r="N1221" s="253"/>
      <c r="O1221" s="256"/>
      <c r="P1221" s="256"/>
      <c r="Q1221" s="256"/>
      <c r="R1221" s="256"/>
      <c r="S1221" s="234"/>
      <c r="T1221" s="258"/>
    </row>
    <row r="1222" spans="2:20" ht="22.5" customHeight="1" x14ac:dyDescent="0.25">
      <c r="B1222" s="267"/>
      <c r="C1222" s="234"/>
      <c r="D1222" s="234"/>
      <c r="E1222" s="268"/>
      <c r="F1222" s="269"/>
      <c r="G1222" s="258"/>
      <c r="H1222" s="270"/>
      <c r="I1222" s="271"/>
      <c r="J1222" s="271"/>
      <c r="K1222" s="234"/>
      <c r="L1222" s="307"/>
      <c r="M1222" s="272"/>
      <c r="N1222" s="253"/>
      <c r="O1222" s="256"/>
      <c r="P1222" s="256"/>
      <c r="Q1222" s="256"/>
      <c r="R1222" s="256"/>
      <c r="S1222" s="234"/>
      <c r="T1222" s="258"/>
    </row>
    <row r="1223" spans="2:20" ht="22.5" customHeight="1" x14ac:dyDescent="0.25">
      <c r="B1223" s="267"/>
      <c r="C1223" s="234"/>
      <c r="D1223" s="234"/>
      <c r="E1223" s="268"/>
      <c r="F1223" s="269"/>
      <c r="G1223" s="258"/>
      <c r="H1223" s="270"/>
      <c r="I1223" s="271"/>
      <c r="J1223" s="271"/>
      <c r="K1223" s="234"/>
      <c r="L1223" s="307"/>
      <c r="M1223" s="272"/>
      <c r="N1223" s="253"/>
      <c r="O1223" s="256"/>
      <c r="P1223" s="256"/>
      <c r="Q1223" s="256"/>
      <c r="R1223" s="256"/>
      <c r="S1223" s="234"/>
      <c r="T1223" s="258"/>
    </row>
    <row r="1224" spans="2:20" ht="22.5" customHeight="1" x14ac:dyDescent="0.25">
      <c r="B1224" s="267"/>
      <c r="C1224" s="234"/>
      <c r="D1224" s="234"/>
      <c r="E1224" s="268"/>
      <c r="F1224" s="269"/>
      <c r="G1224" s="258"/>
      <c r="H1224" s="270"/>
      <c r="I1224" s="271"/>
      <c r="J1224" s="271"/>
      <c r="K1224" s="234"/>
      <c r="L1224" s="307"/>
      <c r="M1224" s="272"/>
      <c r="N1224" s="253"/>
      <c r="O1224" s="256"/>
      <c r="P1224" s="256"/>
      <c r="Q1224" s="256"/>
      <c r="R1224" s="256"/>
      <c r="S1224" s="234"/>
      <c r="T1224" s="258"/>
    </row>
    <row r="1225" spans="2:20" ht="22.5" customHeight="1" x14ac:dyDescent="0.25">
      <c r="B1225" s="267"/>
      <c r="C1225" s="234"/>
      <c r="D1225" s="234"/>
      <c r="E1225" s="268"/>
      <c r="F1225" s="269"/>
      <c r="G1225" s="258"/>
      <c r="H1225" s="270"/>
      <c r="I1225" s="271"/>
      <c r="J1225" s="271"/>
      <c r="K1225" s="234"/>
      <c r="L1225" s="307"/>
      <c r="M1225" s="272"/>
      <c r="N1225" s="253"/>
      <c r="O1225" s="256"/>
      <c r="P1225" s="256"/>
      <c r="Q1225" s="256"/>
      <c r="R1225" s="256"/>
      <c r="S1225" s="234"/>
      <c r="T1225" s="258"/>
    </row>
    <row r="1226" spans="2:20" ht="22.5" customHeight="1" x14ac:dyDescent="0.25">
      <c r="B1226" s="267"/>
      <c r="C1226" s="234"/>
      <c r="D1226" s="234"/>
      <c r="E1226" s="268"/>
      <c r="F1226" s="269"/>
      <c r="G1226" s="258"/>
      <c r="H1226" s="270"/>
      <c r="I1226" s="271"/>
      <c r="J1226" s="271"/>
      <c r="K1226" s="234"/>
      <c r="L1226" s="307"/>
      <c r="M1226" s="272"/>
      <c r="N1226" s="253"/>
      <c r="O1226" s="256"/>
      <c r="P1226" s="256"/>
      <c r="Q1226" s="256"/>
      <c r="R1226" s="256"/>
      <c r="S1226" s="234"/>
      <c r="T1226" s="258"/>
    </row>
    <row r="1227" spans="2:20" ht="22.5" customHeight="1" x14ac:dyDescent="0.25">
      <c r="B1227" s="267"/>
      <c r="C1227" s="234"/>
      <c r="D1227" s="234"/>
      <c r="E1227" s="268"/>
      <c r="F1227" s="269"/>
      <c r="G1227" s="258"/>
      <c r="H1227" s="270"/>
      <c r="I1227" s="271"/>
      <c r="J1227" s="271"/>
      <c r="K1227" s="234"/>
      <c r="L1227" s="307"/>
      <c r="M1227" s="272"/>
      <c r="N1227" s="253"/>
      <c r="O1227" s="256"/>
      <c r="P1227" s="256"/>
      <c r="Q1227" s="256"/>
      <c r="R1227" s="256"/>
      <c r="S1227" s="234"/>
      <c r="T1227" s="258"/>
    </row>
    <row r="1228" spans="2:20" ht="22.5" customHeight="1" x14ac:dyDescent="0.25">
      <c r="B1228" s="267"/>
      <c r="C1228" s="234"/>
      <c r="D1228" s="234"/>
      <c r="E1228" s="268"/>
      <c r="F1228" s="269"/>
      <c r="G1228" s="258"/>
      <c r="H1228" s="270"/>
      <c r="I1228" s="271"/>
      <c r="J1228" s="271"/>
      <c r="K1228" s="234"/>
      <c r="L1228" s="307"/>
      <c r="M1228" s="272"/>
      <c r="N1228" s="253"/>
      <c r="O1228" s="256"/>
      <c r="P1228" s="256"/>
      <c r="Q1228" s="256"/>
      <c r="R1228" s="256"/>
      <c r="S1228" s="234"/>
      <c r="T1228" s="258"/>
    </row>
    <row r="1229" spans="2:20" ht="22.5" customHeight="1" x14ac:dyDescent="0.25">
      <c r="B1229" s="267"/>
      <c r="C1229" s="234"/>
      <c r="D1229" s="234"/>
      <c r="E1229" s="268"/>
      <c r="F1229" s="269"/>
      <c r="G1229" s="258"/>
      <c r="H1229" s="270"/>
      <c r="I1229" s="271"/>
      <c r="J1229" s="271"/>
      <c r="K1229" s="234"/>
      <c r="L1229" s="307"/>
      <c r="M1229" s="272"/>
      <c r="N1229" s="253"/>
      <c r="O1229" s="256"/>
      <c r="P1229" s="256"/>
      <c r="Q1229" s="256"/>
      <c r="R1229" s="256"/>
      <c r="S1229" s="234"/>
      <c r="T1229" s="258"/>
    </row>
    <row r="1230" spans="2:20" ht="22.5" customHeight="1" x14ac:dyDescent="0.25">
      <c r="B1230" s="267"/>
      <c r="C1230" s="234"/>
      <c r="D1230" s="234"/>
      <c r="E1230" s="268"/>
      <c r="F1230" s="269"/>
      <c r="G1230" s="258"/>
      <c r="H1230" s="270"/>
      <c r="I1230" s="271"/>
      <c r="J1230" s="271"/>
      <c r="K1230" s="234"/>
      <c r="L1230" s="307"/>
      <c r="M1230" s="272"/>
      <c r="N1230" s="253"/>
      <c r="O1230" s="256"/>
      <c r="P1230" s="256"/>
      <c r="Q1230" s="256"/>
      <c r="R1230" s="256"/>
      <c r="S1230" s="234"/>
      <c r="T1230" s="258"/>
    </row>
    <row r="1231" spans="2:20" ht="22.5" customHeight="1" x14ac:dyDescent="0.25">
      <c r="B1231" s="267"/>
      <c r="C1231" s="234"/>
      <c r="D1231" s="234"/>
      <c r="E1231" s="268"/>
      <c r="F1231" s="269"/>
      <c r="G1231" s="258"/>
      <c r="H1231" s="270"/>
      <c r="I1231" s="271"/>
      <c r="J1231" s="271"/>
      <c r="K1231" s="234"/>
      <c r="L1231" s="307"/>
      <c r="M1231" s="272"/>
      <c r="N1231" s="253"/>
      <c r="O1231" s="256"/>
      <c r="P1231" s="256"/>
      <c r="Q1231" s="256"/>
      <c r="R1231" s="256"/>
      <c r="S1231" s="234"/>
      <c r="T1231" s="258"/>
    </row>
    <row r="1232" spans="2:20" ht="22.5" customHeight="1" x14ac:dyDescent="0.25">
      <c r="B1232" s="267"/>
      <c r="C1232" s="234"/>
      <c r="D1232" s="234"/>
      <c r="E1232" s="268"/>
      <c r="F1232" s="269"/>
      <c r="G1232" s="258"/>
      <c r="H1232" s="270"/>
      <c r="I1232" s="271"/>
      <c r="J1232" s="271"/>
      <c r="K1232" s="234"/>
      <c r="L1232" s="307"/>
      <c r="M1232" s="272"/>
      <c r="N1232" s="253"/>
      <c r="O1232" s="256"/>
      <c r="P1232" s="256"/>
      <c r="Q1232" s="256"/>
      <c r="R1232" s="256"/>
      <c r="S1232" s="234"/>
      <c r="T1232" s="258"/>
    </row>
    <row r="1233" spans="2:20" ht="22.5" customHeight="1" x14ac:dyDescent="0.25">
      <c r="B1233" s="267"/>
      <c r="C1233" s="234"/>
      <c r="D1233" s="234"/>
      <c r="E1233" s="268"/>
      <c r="F1233" s="269"/>
      <c r="G1233" s="258"/>
      <c r="H1233" s="270"/>
      <c r="I1233" s="271"/>
      <c r="J1233" s="271"/>
      <c r="K1233" s="234"/>
      <c r="L1233" s="307"/>
      <c r="M1233" s="272"/>
      <c r="N1233" s="253"/>
      <c r="O1233" s="256"/>
      <c r="P1233" s="256"/>
      <c r="Q1233" s="256"/>
      <c r="R1233" s="256"/>
      <c r="S1233" s="234"/>
      <c r="T1233" s="258"/>
    </row>
    <row r="1234" spans="2:20" ht="22.5" customHeight="1" x14ac:dyDescent="0.25">
      <c r="B1234" s="267"/>
      <c r="C1234" s="234"/>
      <c r="D1234" s="234"/>
      <c r="E1234" s="268"/>
      <c r="F1234" s="269"/>
      <c r="G1234" s="258"/>
      <c r="H1234" s="270"/>
      <c r="I1234" s="271"/>
      <c r="J1234" s="271"/>
      <c r="K1234" s="234"/>
      <c r="L1234" s="307"/>
      <c r="M1234" s="272"/>
      <c r="N1234" s="253"/>
      <c r="O1234" s="256"/>
      <c r="P1234" s="256"/>
      <c r="Q1234" s="256"/>
      <c r="R1234" s="256"/>
      <c r="S1234" s="234"/>
      <c r="T1234" s="258"/>
    </row>
    <row r="1235" spans="2:20" ht="22.5" customHeight="1" x14ac:dyDescent="0.25">
      <c r="B1235" s="267"/>
      <c r="C1235" s="234"/>
      <c r="D1235" s="234"/>
      <c r="E1235" s="268"/>
      <c r="F1235" s="269"/>
      <c r="G1235" s="258"/>
      <c r="H1235" s="270"/>
      <c r="I1235" s="271"/>
      <c r="J1235" s="271"/>
      <c r="K1235" s="234"/>
      <c r="L1235" s="307"/>
      <c r="M1235" s="272"/>
      <c r="N1235" s="253"/>
      <c r="O1235" s="256"/>
      <c r="P1235" s="256"/>
      <c r="Q1235" s="256"/>
      <c r="R1235" s="256"/>
      <c r="S1235" s="234"/>
      <c r="T1235" s="258"/>
    </row>
    <row r="1236" spans="2:20" ht="22.5" customHeight="1" x14ac:dyDescent="0.25">
      <c r="B1236" s="267"/>
      <c r="C1236" s="234"/>
      <c r="D1236" s="234"/>
      <c r="E1236" s="268"/>
      <c r="F1236" s="269"/>
      <c r="G1236" s="258"/>
      <c r="H1236" s="270"/>
      <c r="I1236" s="271"/>
      <c r="J1236" s="271"/>
      <c r="K1236" s="234"/>
      <c r="L1236" s="307"/>
      <c r="M1236" s="272"/>
      <c r="N1236" s="253"/>
      <c r="O1236" s="256"/>
      <c r="P1236" s="256"/>
      <c r="Q1236" s="256"/>
      <c r="R1236" s="256"/>
      <c r="S1236" s="234"/>
      <c r="T1236" s="258"/>
    </row>
    <row r="1237" spans="2:20" ht="22.5" customHeight="1" x14ac:dyDescent="0.25">
      <c r="B1237" s="267"/>
      <c r="C1237" s="234"/>
      <c r="D1237" s="234"/>
      <c r="E1237" s="268"/>
      <c r="F1237" s="269"/>
      <c r="G1237" s="258"/>
      <c r="H1237" s="270"/>
      <c r="I1237" s="271"/>
      <c r="J1237" s="271"/>
      <c r="K1237" s="234"/>
      <c r="L1237" s="307"/>
      <c r="M1237" s="272"/>
      <c r="N1237" s="253"/>
      <c r="O1237" s="256"/>
      <c r="P1237" s="256"/>
      <c r="Q1237" s="256"/>
      <c r="R1237" s="256"/>
      <c r="S1237" s="234"/>
      <c r="T1237" s="258"/>
    </row>
    <row r="1238" spans="2:20" ht="22.5" customHeight="1" x14ac:dyDescent="0.25">
      <c r="B1238" s="267"/>
      <c r="C1238" s="234"/>
      <c r="D1238" s="234"/>
      <c r="E1238" s="268"/>
      <c r="F1238" s="269"/>
      <c r="G1238" s="258"/>
      <c r="H1238" s="270"/>
      <c r="I1238" s="271"/>
      <c r="J1238" s="271"/>
      <c r="K1238" s="234"/>
      <c r="L1238" s="307"/>
      <c r="M1238" s="272"/>
      <c r="N1238" s="253"/>
      <c r="O1238" s="256"/>
      <c r="P1238" s="256"/>
      <c r="Q1238" s="256"/>
      <c r="R1238" s="256"/>
      <c r="S1238" s="234"/>
      <c r="T1238" s="258"/>
    </row>
    <row r="1239" spans="2:20" ht="22.5" customHeight="1" x14ac:dyDescent="0.25">
      <c r="B1239" s="267"/>
      <c r="C1239" s="234"/>
      <c r="D1239" s="234"/>
      <c r="E1239" s="268"/>
      <c r="F1239" s="269"/>
      <c r="G1239" s="258"/>
      <c r="H1239" s="270"/>
      <c r="I1239" s="271"/>
      <c r="J1239" s="271"/>
      <c r="K1239" s="234"/>
      <c r="L1239" s="307"/>
      <c r="M1239" s="272"/>
      <c r="N1239" s="253"/>
      <c r="O1239" s="256"/>
      <c r="P1239" s="256"/>
      <c r="Q1239" s="256"/>
      <c r="R1239" s="256"/>
      <c r="S1239" s="234"/>
      <c r="T1239" s="258"/>
    </row>
    <row r="1240" spans="2:20" ht="22.5" customHeight="1" x14ac:dyDescent="0.25">
      <c r="B1240" s="267"/>
      <c r="C1240" s="234"/>
      <c r="D1240" s="234"/>
      <c r="E1240" s="268"/>
      <c r="F1240" s="269"/>
      <c r="G1240" s="258"/>
      <c r="H1240" s="270"/>
      <c r="I1240" s="271"/>
      <c r="J1240" s="271"/>
      <c r="K1240" s="234"/>
      <c r="L1240" s="307"/>
      <c r="M1240" s="272"/>
      <c r="N1240" s="253"/>
      <c r="O1240" s="256"/>
      <c r="P1240" s="256"/>
      <c r="Q1240" s="256"/>
      <c r="R1240" s="256"/>
      <c r="S1240" s="234"/>
      <c r="T1240" s="258"/>
    </row>
    <row r="1241" spans="2:20" ht="22.5" customHeight="1" x14ac:dyDescent="0.25">
      <c r="B1241" s="267"/>
      <c r="C1241" s="234"/>
      <c r="D1241" s="234"/>
      <c r="E1241" s="268"/>
      <c r="F1241" s="269"/>
      <c r="G1241" s="258"/>
      <c r="H1241" s="270"/>
      <c r="I1241" s="271"/>
      <c r="J1241" s="271"/>
      <c r="K1241" s="234"/>
      <c r="L1241" s="307"/>
      <c r="M1241" s="272"/>
      <c r="N1241" s="253"/>
      <c r="O1241" s="256"/>
      <c r="P1241" s="256"/>
      <c r="Q1241" s="256"/>
      <c r="R1241" s="256"/>
      <c r="S1241" s="234"/>
      <c r="T1241" s="258"/>
    </row>
    <row r="1242" spans="2:20" ht="22.5" customHeight="1" x14ac:dyDescent="0.25">
      <c r="B1242" s="267"/>
      <c r="C1242" s="234"/>
      <c r="D1242" s="234"/>
      <c r="E1242" s="268"/>
      <c r="F1242" s="269"/>
      <c r="G1242" s="258"/>
      <c r="H1242" s="270"/>
      <c r="I1242" s="271"/>
      <c r="J1242" s="271"/>
      <c r="K1242" s="234"/>
      <c r="L1242" s="307"/>
      <c r="M1242" s="272"/>
      <c r="N1242" s="253"/>
      <c r="O1242" s="256"/>
      <c r="P1242" s="256"/>
      <c r="Q1242" s="256"/>
      <c r="R1242" s="256"/>
      <c r="S1242" s="234"/>
      <c r="T1242" s="258"/>
    </row>
    <row r="1243" spans="2:20" ht="22.5" customHeight="1" x14ac:dyDescent="0.25">
      <c r="B1243" s="267"/>
      <c r="C1243" s="234"/>
      <c r="D1243" s="234"/>
      <c r="E1243" s="268"/>
      <c r="F1243" s="269"/>
      <c r="G1243" s="258"/>
      <c r="H1243" s="270"/>
      <c r="I1243" s="271"/>
      <c r="J1243" s="271"/>
      <c r="K1243" s="234"/>
      <c r="L1243" s="307"/>
      <c r="M1243" s="272"/>
      <c r="N1243" s="253"/>
      <c r="O1243" s="256"/>
      <c r="P1243" s="256"/>
      <c r="Q1243" s="256"/>
      <c r="R1243" s="256"/>
      <c r="S1243" s="234"/>
      <c r="T1243" s="258"/>
    </row>
    <row r="1244" spans="2:20" ht="22.5" customHeight="1" x14ac:dyDescent="0.25">
      <c r="B1244" s="267"/>
      <c r="C1244" s="234"/>
      <c r="D1244" s="234"/>
      <c r="E1244" s="268"/>
      <c r="F1244" s="269"/>
      <c r="G1244" s="258"/>
      <c r="H1244" s="270"/>
      <c r="I1244" s="271"/>
      <c r="J1244" s="271"/>
      <c r="K1244" s="234"/>
      <c r="L1244" s="307"/>
      <c r="M1244" s="272"/>
      <c r="N1244" s="253"/>
      <c r="O1244" s="256"/>
      <c r="P1244" s="256"/>
      <c r="Q1244" s="256"/>
      <c r="R1244" s="256"/>
      <c r="S1244" s="234"/>
      <c r="T1244" s="258"/>
    </row>
    <row r="1245" spans="2:20" ht="22.5" customHeight="1" x14ac:dyDescent="0.25">
      <c r="B1245" s="267"/>
      <c r="C1245" s="234"/>
      <c r="D1245" s="234"/>
      <c r="E1245" s="268"/>
      <c r="F1245" s="269"/>
      <c r="G1245" s="258"/>
      <c r="H1245" s="270"/>
      <c r="I1245" s="271"/>
      <c r="J1245" s="271"/>
      <c r="K1245" s="234"/>
      <c r="L1245" s="307"/>
      <c r="M1245" s="272"/>
      <c r="N1245" s="253"/>
      <c r="O1245" s="256"/>
      <c r="P1245" s="256"/>
      <c r="Q1245" s="256"/>
      <c r="R1245" s="256"/>
      <c r="S1245" s="234"/>
      <c r="T1245" s="258"/>
    </row>
    <row r="1246" spans="2:20" ht="22.5" customHeight="1" x14ac:dyDescent="0.25">
      <c r="B1246" s="267"/>
      <c r="C1246" s="234"/>
      <c r="D1246" s="234"/>
      <c r="E1246" s="268"/>
      <c r="F1246" s="269"/>
      <c r="G1246" s="258"/>
      <c r="H1246" s="270"/>
      <c r="I1246" s="271"/>
      <c r="J1246" s="271"/>
      <c r="K1246" s="234"/>
      <c r="L1246" s="307"/>
      <c r="M1246" s="272"/>
      <c r="N1246" s="253"/>
      <c r="O1246" s="256"/>
      <c r="P1246" s="256"/>
      <c r="Q1246" s="256"/>
      <c r="R1246" s="256"/>
      <c r="S1246" s="234"/>
      <c r="T1246" s="258"/>
    </row>
    <row r="1247" spans="2:20" ht="22.5" customHeight="1" x14ac:dyDescent="0.25">
      <c r="B1247" s="267"/>
      <c r="C1247" s="234"/>
      <c r="D1247" s="234"/>
      <c r="E1247" s="268"/>
      <c r="F1247" s="269"/>
      <c r="G1247" s="258"/>
      <c r="H1247" s="270"/>
      <c r="I1247" s="271"/>
      <c r="J1247" s="271"/>
      <c r="K1247" s="234"/>
      <c r="L1247" s="307"/>
      <c r="M1247" s="272"/>
      <c r="N1247" s="253"/>
      <c r="O1247" s="256"/>
      <c r="P1247" s="256"/>
      <c r="Q1247" s="256"/>
      <c r="R1247" s="256"/>
      <c r="S1247" s="234"/>
      <c r="T1247" s="258"/>
    </row>
    <row r="1248" spans="2:20" ht="22.5" customHeight="1" x14ac:dyDescent="0.25">
      <c r="B1248" s="267"/>
      <c r="C1248" s="234"/>
      <c r="D1248" s="234"/>
      <c r="E1248" s="268"/>
      <c r="F1248" s="269"/>
      <c r="G1248" s="258"/>
      <c r="H1248" s="270"/>
      <c r="I1248" s="271"/>
      <c r="J1248" s="271"/>
      <c r="K1248" s="234"/>
      <c r="L1248" s="307"/>
      <c r="M1248" s="272"/>
      <c r="N1248" s="253"/>
      <c r="O1248" s="256"/>
      <c r="P1248" s="256"/>
      <c r="Q1248" s="256"/>
      <c r="R1248" s="256"/>
      <c r="S1248" s="234"/>
      <c r="T1248" s="258"/>
    </row>
    <row r="1249" spans="2:20" ht="22.5" customHeight="1" x14ac:dyDescent="0.25">
      <c r="B1249" s="267"/>
      <c r="C1249" s="234"/>
      <c r="D1249" s="234"/>
      <c r="E1249" s="268"/>
      <c r="F1249" s="269"/>
      <c r="G1249" s="258"/>
      <c r="H1249" s="270"/>
      <c r="I1249" s="271"/>
      <c r="J1249" s="271"/>
      <c r="K1249" s="234"/>
      <c r="L1249" s="307"/>
      <c r="M1249" s="272"/>
      <c r="N1249" s="253"/>
      <c r="O1249" s="256"/>
      <c r="P1249" s="256"/>
      <c r="Q1249" s="256"/>
      <c r="R1249" s="256"/>
      <c r="S1249" s="234"/>
      <c r="T1249" s="258"/>
    </row>
    <row r="1250" spans="2:20" ht="22.5" customHeight="1" x14ac:dyDescent="0.25">
      <c r="B1250" s="267"/>
      <c r="C1250" s="234"/>
      <c r="D1250" s="234"/>
      <c r="E1250" s="268"/>
      <c r="F1250" s="269"/>
      <c r="G1250" s="258"/>
      <c r="H1250" s="270"/>
      <c r="I1250" s="271"/>
      <c r="J1250" s="271"/>
      <c r="K1250" s="234"/>
      <c r="L1250" s="307"/>
      <c r="M1250" s="272"/>
      <c r="N1250" s="253"/>
      <c r="O1250" s="256"/>
      <c r="P1250" s="256"/>
      <c r="Q1250" s="256"/>
      <c r="R1250" s="256"/>
      <c r="S1250" s="234"/>
      <c r="T1250" s="258"/>
    </row>
    <row r="1251" spans="2:20" ht="22.5" customHeight="1" x14ac:dyDescent="0.25">
      <c r="B1251" s="267"/>
      <c r="C1251" s="234"/>
      <c r="D1251" s="234"/>
      <c r="E1251" s="268"/>
      <c r="F1251" s="269"/>
      <c r="G1251" s="258"/>
      <c r="H1251" s="270"/>
      <c r="I1251" s="271"/>
      <c r="J1251" s="271"/>
      <c r="K1251" s="234"/>
      <c r="L1251" s="307"/>
      <c r="M1251" s="272"/>
      <c r="N1251" s="253"/>
      <c r="O1251" s="256"/>
      <c r="P1251" s="256"/>
      <c r="Q1251" s="256"/>
      <c r="R1251" s="256"/>
      <c r="S1251" s="234"/>
      <c r="T1251" s="258"/>
    </row>
    <row r="1252" spans="2:20" ht="22.5" customHeight="1" x14ac:dyDescent="0.25">
      <c r="B1252" s="267"/>
      <c r="C1252" s="234"/>
      <c r="D1252" s="234"/>
      <c r="E1252" s="268"/>
      <c r="F1252" s="269"/>
      <c r="G1252" s="258"/>
      <c r="H1252" s="270"/>
      <c r="I1252" s="271"/>
      <c r="J1252" s="271"/>
      <c r="K1252" s="234"/>
      <c r="L1252" s="307"/>
      <c r="M1252" s="272"/>
      <c r="N1252" s="253"/>
      <c r="O1252" s="256"/>
      <c r="P1252" s="256"/>
      <c r="Q1252" s="256"/>
      <c r="R1252" s="256"/>
      <c r="S1252" s="234"/>
      <c r="T1252" s="258"/>
    </row>
    <row r="1253" spans="2:20" ht="22.5" customHeight="1" x14ac:dyDescent="0.25">
      <c r="B1253" s="267"/>
      <c r="C1253" s="234"/>
      <c r="D1253" s="234"/>
      <c r="E1253" s="268"/>
      <c r="F1253" s="269"/>
      <c r="G1253" s="258"/>
      <c r="H1253" s="270"/>
      <c r="I1253" s="271"/>
      <c r="J1253" s="271"/>
      <c r="K1253" s="234"/>
      <c r="L1253" s="307"/>
      <c r="M1253" s="272"/>
      <c r="N1253" s="253"/>
      <c r="O1253" s="256"/>
      <c r="P1253" s="256"/>
      <c r="Q1253" s="256"/>
      <c r="R1253" s="256"/>
      <c r="S1253" s="234"/>
      <c r="T1253" s="258"/>
    </row>
    <row r="1254" spans="2:20" ht="22.5" customHeight="1" x14ac:dyDescent="0.25">
      <c r="B1254" s="267"/>
      <c r="C1254" s="234"/>
      <c r="D1254" s="234"/>
      <c r="E1254" s="268"/>
      <c r="F1254" s="269"/>
      <c r="G1254" s="258"/>
      <c r="H1254" s="270"/>
      <c r="I1254" s="271"/>
      <c r="J1254" s="271"/>
      <c r="K1254" s="234"/>
      <c r="L1254" s="307"/>
      <c r="M1254" s="272"/>
      <c r="N1254" s="253"/>
      <c r="O1254" s="256"/>
      <c r="P1254" s="256"/>
      <c r="Q1254" s="256"/>
      <c r="R1254" s="256"/>
      <c r="S1254" s="234"/>
      <c r="T1254" s="258"/>
    </row>
    <row r="1255" spans="2:20" ht="22.5" customHeight="1" x14ac:dyDescent="0.25">
      <c r="B1255" s="267"/>
      <c r="C1255" s="234"/>
      <c r="D1255" s="234"/>
      <c r="E1255" s="268"/>
      <c r="F1255" s="269"/>
      <c r="G1255" s="258"/>
      <c r="H1255" s="270"/>
      <c r="I1255" s="271"/>
      <c r="J1255" s="271"/>
      <c r="K1255" s="234"/>
      <c r="L1255" s="307"/>
      <c r="M1255" s="272"/>
      <c r="N1255" s="253"/>
      <c r="O1255" s="256"/>
      <c r="P1255" s="256"/>
      <c r="Q1255" s="256"/>
      <c r="R1255" s="256"/>
      <c r="S1255" s="234"/>
      <c r="T1255" s="258"/>
    </row>
    <row r="1256" spans="2:20" ht="22.5" customHeight="1" x14ac:dyDescent="0.25">
      <c r="B1256" s="267"/>
      <c r="C1256" s="234"/>
      <c r="D1256" s="234"/>
      <c r="E1256" s="268"/>
      <c r="F1256" s="269"/>
      <c r="G1256" s="258"/>
      <c r="H1256" s="270"/>
      <c r="I1256" s="271"/>
      <c r="J1256" s="271"/>
      <c r="K1256" s="234"/>
      <c r="L1256" s="307"/>
      <c r="M1256" s="272"/>
      <c r="N1256" s="253"/>
      <c r="O1256" s="256"/>
      <c r="P1256" s="256"/>
      <c r="Q1256" s="256"/>
      <c r="R1256" s="256"/>
      <c r="S1256" s="234"/>
      <c r="T1256" s="258"/>
    </row>
    <row r="1257" spans="2:20" ht="22.5" customHeight="1" x14ac:dyDescent="0.25">
      <c r="B1257" s="267"/>
      <c r="C1257" s="234"/>
      <c r="D1257" s="234"/>
      <c r="E1257" s="268"/>
      <c r="F1257" s="269"/>
      <c r="G1257" s="258"/>
      <c r="H1257" s="270"/>
      <c r="I1257" s="271"/>
      <c r="J1257" s="271"/>
      <c r="K1257" s="234"/>
      <c r="L1257" s="307"/>
      <c r="M1257" s="272"/>
      <c r="N1257" s="253"/>
      <c r="O1257" s="256"/>
      <c r="P1257" s="256"/>
      <c r="Q1257" s="256"/>
      <c r="R1257" s="256"/>
      <c r="S1257" s="234"/>
      <c r="T1257" s="258"/>
    </row>
    <row r="1258" spans="2:20" ht="22.5" customHeight="1" x14ac:dyDescent="0.25">
      <c r="B1258" s="267"/>
      <c r="C1258" s="234"/>
      <c r="D1258" s="234"/>
      <c r="E1258" s="268"/>
      <c r="F1258" s="269"/>
      <c r="G1258" s="258"/>
      <c r="H1258" s="270"/>
      <c r="I1258" s="271"/>
      <c r="J1258" s="271"/>
      <c r="K1258" s="234"/>
      <c r="L1258" s="307"/>
      <c r="M1258" s="272"/>
      <c r="N1258" s="253"/>
      <c r="O1258" s="256"/>
      <c r="P1258" s="256"/>
      <c r="Q1258" s="256"/>
      <c r="R1258" s="256"/>
      <c r="S1258" s="234"/>
      <c r="T1258" s="258"/>
    </row>
    <row r="1259" spans="2:20" ht="22.5" customHeight="1" x14ac:dyDescent="0.25">
      <c r="B1259" s="267"/>
      <c r="C1259" s="234"/>
      <c r="D1259" s="234"/>
      <c r="E1259" s="268"/>
      <c r="F1259" s="269"/>
      <c r="G1259" s="258"/>
      <c r="H1259" s="270"/>
      <c r="I1259" s="271"/>
      <c r="J1259" s="271"/>
      <c r="K1259" s="234"/>
      <c r="L1259" s="307"/>
      <c r="M1259" s="272"/>
      <c r="N1259" s="253"/>
      <c r="O1259" s="256"/>
      <c r="P1259" s="256"/>
      <c r="Q1259" s="256"/>
      <c r="R1259" s="256"/>
      <c r="S1259" s="234"/>
      <c r="T1259" s="258"/>
    </row>
    <row r="1260" spans="2:20" ht="22.5" customHeight="1" x14ac:dyDescent="0.25">
      <c r="B1260" s="267"/>
      <c r="C1260" s="234"/>
      <c r="D1260" s="234"/>
      <c r="E1260" s="268"/>
      <c r="F1260" s="269"/>
      <c r="G1260" s="258"/>
      <c r="H1260" s="270"/>
      <c r="I1260" s="271"/>
      <c r="J1260" s="271"/>
      <c r="K1260" s="234"/>
      <c r="L1260" s="307"/>
      <c r="M1260" s="272"/>
      <c r="N1260" s="253"/>
      <c r="O1260" s="256"/>
      <c r="P1260" s="256"/>
      <c r="Q1260" s="256"/>
      <c r="R1260" s="256"/>
      <c r="S1260" s="234"/>
      <c r="T1260" s="258"/>
    </row>
    <row r="1261" spans="2:20" ht="22.5" customHeight="1" x14ac:dyDescent="0.25">
      <c r="B1261" s="267"/>
      <c r="C1261" s="234"/>
      <c r="D1261" s="234"/>
      <c r="E1261" s="268"/>
      <c r="F1261" s="269"/>
      <c r="G1261" s="258"/>
      <c r="H1261" s="270"/>
      <c r="I1261" s="271"/>
      <c r="J1261" s="271"/>
      <c r="K1261" s="234"/>
      <c r="L1261" s="307"/>
      <c r="M1261" s="272"/>
      <c r="N1261" s="253"/>
      <c r="O1261" s="256"/>
      <c r="P1261" s="256"/>
      <c r="Q1261" s="256"/>
      <c r="R1261" s="256"/>
      <c r="S1261" s="234"/>
      <c r="T1261" s="258"/>
    </row>
    <row r="1262" spans="2:20" ht="22.5" customHeight="1" x14ac:dyDescent="0.25">
      <c r="B1262" s="267"/>
      <c r="C1262" s="234"/>
      <c r="D1262" s="234"/>
      <c r="E1262" s="268"/>
      <c r="F1262" s="269"/>
      <c r="G1262" s="258"/>
      <c r="H1262" s="270"/>
      <c r="I1262" s="271"/>
      <c r="J1262" s="271"/>
      <c r="K1262" s="234"/>
      <c r="L1262" s="307"/>
      <c r="M1262" s="272"/>
      <c r="N1262" s="253"/>
      <c r="O1262" s="256"/>
      <c r="P1262" s="256"/>
      <c r="Q1262" s="256"/>
      <c r="R1262" s="256"/>
      <c r="S1262" s="234"/>
      <c r="T1262" s="258"/>
    </row>
    <row r="1263" spans="2:20" ht="22.5" customHeight="1" x14ac:dyDescent="0.25">
      <c r="B1263" s="267"/>
      <c r="C1263" s="234"/>
      <c r="D1263" s="234"/>
      <c r="E1263" s="268"/>
      <c r="F1263" s="269"/>
      <c r="G1263" s="258"/>
      <c r="H1263" s="270"/>
      <c r="I1263" s="271"/>
      <c r="J1263" s="271"/>
      <c r="K1263" s="234"/>
      <c r="L1263" s="307"/>
      <c r="M1263" s="272"/>
      <c r="N1263" s="253"/>
      <c r="O1263" s="256"/>
      <c r="P1263" s="256"/>
      <c r="Q1263" s="256"/>
      <c r="R1263" s="256"/>
      <c r="S1263" s="234"/>
      <c r="T1263" s="258"/>
    </row>
    <row r="1264" spans="2:20" ht="22.5" customHeight="1" x14ac:dyDescent="0.25">
      <c r="B1264" s="267"/>
      <c r="C1264" s="234"/>
      <c r="D1264" s="234"/>
      <c r="E1264" s="268"/>
      <c r="F1264" s="269"/>
      <c r="G1264" s="258"/>
      <c r="H1264" s="270"/>
      <c r="I1264" s="271"/>
      <c r="J1264" s="271"/>
      <c r="K1264" s="234"/>
      <c r="L1264" s="307"/>
      <c r="M1264" s="272"/>
      <c r="N1264" s="253"/>
      <c r="O1264" s="256"/>
      <c r="P1264" s="256"/>
      <c r="Q1264" s="256"/>
      <c r="R1264" s="256"/>
      <c r="S1264" s="234"/>
      <c r="T1264" s="258"/>
    </row>
    <row r="1265" spans="2:20" ht="22.5" customHeight="1" x14ac:dyDescent="0.25">
      <c r="B1265" s="267"/>
      <c r="C1265" s="234"/>
      <c r="D1265" s="234"/>
      <c r="E1265" s="268"/>
      <c r="F1265" s="269"/>
      <c r="G1265" s="258"/>
      <c r="H1265" s="270"/>
      <c r="I1265" s="271"/>
      <c r="J1265" s="271"/>
      <c r="K1265" s="234"/>
      <c r="L1265" s="307"/>
      <c r="M1265" s="272"/>
      <c r="N1265" s="253"/>
      <c r="O1265" s="256"/>
      <c r="P1265" s="256"/>
      <c r="Q1265" s="256"/>
      <c r="R1265" s="256"/>
      <c r="S1265" s="234"/>
      <c r="T1265" s="258"/>
    </row>
    <row r="1266" spans="2:20" ht="22.5" customHeight="1" x14ac:dyDescent="0.25">
      <c r="B1266" s="267"/>
      <c r="C1266" s="234"/>
      <c r="D1266" s="234"/>
      <c r="E1266" s="268"/>
      <c r="F1266" s="269"/>
      <c r="G1266" s="258"/>
      <c r="H1266" s="270"/>
      <c r="I1266" s="271"/>
      <c r="J1266" s="271"/>
      <c r="K1266" s="234"/>
      <c r="L1266" s="307"/>
      <c r="M1266" s="272"/>
      <c r="N1266" s="253"/>
      <c r="O1266" s="256"/>
      <c r="P1266" s="256"/>
      <c r="Q1266" s="256"/>
      <c r="R1266" s="256"/>
      <c r="S1266" s="234"/>
      <c r="T1266" s="258"/>
    </row>
    <row r="1267" spans="2:20" ht="22.5" customHeight="1" x14ac:dyDescent="0.25">
      <c r="B1267" s="267"/>
      <c r="C1267" s="234"/>
      <c r="D1267" s="234"/>
      <c r="E1267" s="268"/>
      <c r="F1267" s="269"/>
      <c r="G1267" s="258"/>
      <c r="H1267" s="270"/>
      <c r="I1267" s="271"/>
      <c r="J1267" s="271"/>
      <c r="K1267" s="234"/>
      <c r="L1267" s="307"/>
      <c r="M1267" s="272"/>
      <c r="N1267" s="253"/>
      <c r="O1267" s="256"/>
      <c r="P1267" s="256"/>
      <c r="Q1267" s="256"/>
      <c r="R1267" s="256"/>
      <c r="S1267" s="234"/>
      <c r="T1267" s="258"/>
    </row>
    <row r="1268" spans="2:20" ht="22.5" customHeight="1" x14ac:dyDescent="0.25">
      <c r="B1268" s="267"/>
      <c r="C1268" s="234"/>
      <c r="D1268" s="234"/>
      <c r="E1268" s="268"/>
      <c r="F1268" s="269"/>
      <c r="G1268" s="258"/>
      <c r="H1268" s="270"/>
      <c r="I1268" s="271"/>
      <c r="J1268" s="271"/>
      <c r="K1268" s="234"/>
      <c r="L1268" s="307"/>
      <c r="M1268" s="272"/>
      <c r="N1268" s="253"/>
      <c r="O1268" s="256"/>
      <c r="P1268" s="256"/>
      <c r="Q1268" s="256"/>
      <c r="R1268" s="256"/>
      <c r="S1268" s="234"/>
      <c r="T1268" s="258"/>
    </row>
    <row r="1269" spans="2:20" ht="22.5" customHeight="1" x14ac:dyDescent="0.25">
      <c r="B1269" s="267"/>
      <c r="C1269" s="234"/>
      <c r="D1269" s="234"/>
      <c r="E1269" s="268"/>
      <c r="F1269" s="269"/>
      <c r="G1269" s="258"/>
      <c r="H1269" s="270"/>
      <c r="I1269" s="271"/>
      <c r="J1269" s="271"/>
      <c r="K1269" s="234"/>
      <c r="L1269" s="307"/>
      <c r="M1269" s="272"/>
      <c r="N1269" s="253"/>
      <c r="O1269" s="256"/>
      <c r="P1269" s="256"/>
      <c r="Q1269" s="256"/>
      <c r="R1269" s="256"/>
      <c r="S1269" s="234"/>
      <c r="T1269" s="258"/>
    </row>
    <row r="1270" spans="2:20" ht="22.5" customHeight="1" x14ac:dyDescent="0.25">
      <c r="B1270" s="267"/>
      <c r="C1270" s="234"/>
      <c r="D1270" s="234"/>
      <c r="E1270" s="268"/>
      <c r="F1270" s="269"/>
      <c r="G1270" s="258"/>
      <c r="H1270" s="270"/>
      <c r="I1270" s="271"/>
      <c r="J1270" s="271"/>
      <c r="K1270" s="234"/>
      <c r="L1270" s="307"/>
      <c r="M1270" s="272"/>
      <c r="N1270" s="253"/>
      <c r="O1270" s="256"/>
      <c r="P1270" s="256"/>
      <c r="Q1270" s="256"/>
      <c r="R1270" s="256"/>
      <c r="S1270" s="234"/>
      <c r="T1270" s="258"/>
    </row>
    <row r="1271" spans="2:20" ht="22.5" customHeight="1" x14ac:dyDescent="0.25">
      <c r="B1271" s="267"/>
      <c r="C1271" s="234"/>
      <c r="D1271" s="234"/>
      <c r="E1271" s="268"/>
      <c r="F1271" s="269"/>
      <c r="G1271" s="258"/>
      <c r="H1271" s="270"/>
      <c r="I1271" s="271"/>
      <c r="J1271" s="271"/>
      <c r="K1271" s="234"/>
      <c r="L1271" s="307"/>
      <c r="M1271" s="272"/>
      <c r="N1271" s="253"/>
      <c r="O1271" s="256"/>
      <c r="P1271" s="256"/>
      <c r="Q1271" s="256"/>
      <c r="R1271" s="256"/>
      <c r="S1271" s="234"/>
      <c r="T1271" s="258"/>
    </row>
    <row r="1272" spans="2:20" ht="22.5" customHeight="1" x14ac:dyDescent="0.25">
      <c r="B1272" s="267"/>
      <c r="C1272" s="234"/>
      <c r="D1272" s="234"/>
      <c r="E1272" s="268"/>
      <c r="F1272" s="269"/>
      <c r="G1272" s="258"/>
      <c r="H1272" s="270"/>
      <c r="I1272" s="271"/>
      <c r="J1272" s="271"/>
      <c r="K1272" s="234"/>
      <c r="L1272" s="307"/>
      <c r="M1272" s="272"/>
      <c r="N1272" s="253"/>
      <c r="O1272" s="256"/>
      <c r="P1272" s="256"/>
      <c r="Q1272" s="256"/>
      <c r="R1272" s="256"/>
      <c r="S1272" s="234"/>
      <c r="T1272" s="258"/>
    </row>
    <row r="1273" spans="2:20" ht="22.5" customHeight="1" x14ac:dyDescent="0.25">
      <c r="B1273" s="267"/>
      <c r="C1273" s="234"/>
      <c r="D1273" s="234"/>
      <c r="E1273" s="268"/>
      <c r="F1273" s="269"/>
      <c r="G1273" s="258"/>
      <c r="H1273" s="270"/>
      <c r="I1273" s="271"/>
      <c r="J1273" s="271"/>
      <c r="K1273" s="234"/>
      <c r="L1273" s="307"/>
      <c r="M1273" s="272"/>
      <c r="N1273" s="253"/>
      <c r="O1273" s="256"/>
      <c r="P1273" s="256"/>
      <c r="Q1273" s="256"/>
      <c r="R1273" s="256"/>
      <c r="S1273" s="234"/>
      <c r="T1273" s="258"/>
    </row>
    <row r="1274" spans="2:20" ht="22.5" customHeight="1" x14ac:dyDescent="0.25">
      <c r="B1274" s="267"/>
      <c r="C1274" s="234"/>
      <c r="D1274" s="234"/>
      <c r="E1274" s="268"/>
      <c r="F1274" s="269"/>
      <c r="G1274" s="258"/>
      <c r="H1274" s="270"/>
      <c r="I1274" s="271"/>
      <c r="J1274" s="271"/>
      <c r="K1274" s="234"/>
      <c r="L1274" s="307"/>
      <c r="M1274" s="272"/>
      <c r="N1274" s="253"/>
      <c r="O1274" s="256"/>
      <c r="P1274" s="256"/>
      <c r="Q1274" s="256"/>
      <c r="R1274" s="256"/>
      <c r="S1274" s="234"/>
      <c r="T1274" s="258"/>
    </row>
    <row r="1275" spans="2:20" ht="22.5" customHeight="1" x14ac:dyDescent="0.25">
      <c r="B1275" s="267"/>
      <c r="C1275" s="234"/>
      <c r="D1275" s="234"/>
      <c r="E1275" s="268"/>
      <c r="F1275" s="269"/>
      <c r="G1275" s="258"/>
      <c r="H1275" s="270"/>
      <c r="I1275" s="271"/>
      <c r="J1275" s="271"/>
      <c r="K1275" s="234"/>
      <c r="L1275" s="307"/>
      <c r="M1275" s="272"/>
      <c r="N1275" s="253"/>
      <c r="O1275" s="256"/>
      <c r="P1275" s="256"/>
      <c r="Q1275" s="256"/>
      <c r="R1275" s="256"/>
      <c r="S1275" s="234"/>
      <c r="T1275" s="258"/>
    </row>
    <row r="1276" spans="2:20" ht="22.5" customHeight="1" x14ac:dyDescent="0.25">
      <c r="B1276" s="267"/>
      <c r="C1276" s="234"/>
      <c r="D1276" s="234"/>
      <c r="E1276" s="268"/>
      <c r="F1276" s="269"/>
      <c r="G1276" s="258"/>
      <c r="H1276" s="270"/>
      <c r="I1276" s="271"/>
      <c r="J1276" s="271"/>
      <c r="K1276" s="234"/>
      <c r="L1276" s="307"/>
      <c r="M1276" s="272"/>
      <c r="N1276" s="253"/>
      <c r="O1276" s="256"/>
      <c r="P1276" s="256"/>
      <c r="Q1276" s="256"/>
      <c r="R1276" s="256"/>
      <c r="S1276" s="234"/>
      <c r="T1276" s="258"/>
    </row>
    <row r="1277" spans="2:20" ht="22.5" customHeight="1" x14ac:dyDescent="0.25">
      <c r="B1277" s="267"/>
      <c r="C1277" s="234"/>
      <c r="D1277" s="234"/>
      <c r="E1277" s="268"/>
      <c r="F1277" s="269"/>
      <c r="G1277" s="258"/>
      <c r="H1277" s="270"/>
      <c r="I1277" s="271"/>
      <c r="J1277" s="271"/>
      <c r="K1277" s="234"/>
      <c r="L1277" s="307"/>
      <c r="M1277" s="272"/>
      <c r="N1277" s="253"/>
      <c r="O1277" s="256"/>
      <c r="P1277" s="256"/>
      <c r="Q1277" s="256"/>
      <c r="R1277" s="256"/>
      <c r="S1277" s="234"/>
      <c r="T1277" s="258"/>
    </row>
    <row r="1278" spans="2:20" ht="22.5" customHeight="1" x14ac:dyDescent="0.25">
      <c r="B1278" s="267"/>
      <c r="C1278" s="234"/>
      <c r="D1278" s="234"/>
      <c r="E1278" s="268"/>
      <c r="F1278" s="269"/>
      <c r="G1278" s="258"/>
      <c r="H1278" s="270"/>
      <c r="I1278" s="271"/>
      <c r="J1278" s="271"/>
      <c r="K1278" s="234"/>
      <c r="L1278" s="307"/>
      <c r="M1278" s="272"/>
      <c r="N1278" s="253"/>
      <c r="O1278" s="256"/>
      <c r="P1278" s="256"/>
      <c r="Q1278" s="256"/>
      <c r="R1278" s="256"/>
      <c r="S1278" s="234"/>
      <c r="T1278" s="258"/>
    </row>
    <row r="1279" spans="2:20" ht="22.5" customHeight="1" x14ac:dyDescent="0.25">
      <c r="B1279" s="267"/>
      <c r="C1279" s="234"/>
      <c r="D1279" s="234"/>
      <c r="E1279" s="268"/>
      <c r="F1279" s="269"/>
      <c r="G1279" s="258"/>
      <c r="H1279" s="270"/>
      <c r="I1279" s="271"/>
      <c r="J1279" s="271"/>
      <c r="K1279" s="234"/>
      <c r="L1279" s="307"/>
      <c r="M1279" s="272"/>
      <c r="N1279" s="253"/>
      <c r="O1279" s="256"/>
      <c r="P1279" s="256"/>
      <c r="Q1279" s="256"/>
      <c r="R1279" s="256"/>
      <c r="S1279" s="234"/>
      <c r="T1279" s="258"/>
    </row>
    <row r="1280" spans="2:20" ht="22.5" customHeight="1" x14ac:dyDescent="0.25">
      <c r="B1280" s="267"/>
      <c r="C1280" s="234"/>
      <c r="D1280" s="234"/>
      <c r="E1280" s="268"/>
      <c r="F1280" s="269"/>
      <c r="G1280" s="258"/>
      <c r="H1280" s="270"/>
      <c r="I1280" s="271"/>
      <c r="J1280" s="271"/>
      <c r="K1280" s="234"/>
      <c r="L1280" s="307"/>
      <c r="M1280" s="272"/>
      <c r="N1280" s="253"/>
      <c r="O1280" s="256"/>
      <c r="P1280" s="256"/>
      <c r="Q1280" s="256"/>
      <c r="R1280" s="256"/>
      <c r="S1280" s="234"/>
      <c r="T1280" s="258"/>
    </row>
    <row r="1281" spans="2:20" ht="22.5" customHeight="1" x14ac:dyDescent="0.25">
      <c r="B1281" s="267"/>
      <c r="C1281" s="234"/>
      <c r="D1281" s="234"/>
      <c r="E1281" s="268"/>
      <c r="F1281" s="269"/>
      <c r="G1281" s="258"/>
      <c r="H1281" s="270"/>
      <c r="I1281" s="271"/>
      <c r="J1281" s="271"/>
      <c r="K1281" s="234"/>
      <c r="L1281" s="307"/>
      <c r="M1281" s="272"/>
      <c r="N1281" s="253"/>
      <c r="O1281" s="256"/>
      <c r="P1281" s="256"/>
      <c r="Q1281" s="256"/>
      <c r="R1281" s="256"/>
      <c r="S1281" s="234"/>
      <c r="T1281" s="258"/>
    </row>
    <row r="1282" spans="2:20" ht="22.5" customHeight="1" x14ac:dyDescent="0.25">
      <c r="B1282" s="267"/>
      <c r="C1282" s="234"/>
      <c r="D1282" s="234"/>
      <c r="E1282" s="268"/>
      <c r="F1282" s="269"/>
      <c r="G1282" s="258"/>
      <c r="H1282" s="270"/>
      <c r="I1282" s="271"/>
      <c r="J1282" s="271"/>
      <c r="K1282" s="234"/>
      <c r="L1282" s="307"/>
      <c r="M1282" s="272"/>
      <c r="N1282" s="253"/>
      <c r="O1282" s="256"/>
      <c r="P1282" s="256"/>
      <c r="Q1282" s="256"/>
      <c r="R1282" s="256"/>
      <c r="S1282" s="234"/>
      <c r="T1282" s="258"/>
    </row>
    <row r="1283" spans="2:20" ht="22.5" customHeight="1" x14ac:dyDescent="0.25">
      <c r="B1283" s="267"/>
      <c r="C1283" s="234"/>
      <c r="D1283" s="234"/>
      <c r="E1283" s="268"/>
      <c r="F1283" s="269"/>
      <c r="G1283" s="258"/>
      <c r="H1283" s="270"/>
      <c r="I1283" s="271"/>
      <c r="J1283" s="271"/>
      <c r="K1283" s="234"/>
      <c r="L1283" s="307"/>
      <c r="M1283" s="272"/>
      <c r="N1283" s="253"/>
      <c r="O1283" s="256"/>
      <c r="P1283" s="256"/>
      <c r="Q1283" s="256"/>
      <c r="R1283" s="256"/>
      <c r="S1283" s="234"/>
      <c r="T1283" s="258"/>
    </row>
    <row r="1284" spans="2:20" ht="22.5" customHeight="1" x14ac:dyDescent="0.25">
      <c r="B1284" s="267"/>
      <c r="C1284" s="234"/>
      <c r="D1284" s="234"/>
      <c r="E1284" s="268"/>
      <c r="F1284" s="269"/>
      <c r="G1284" s="258"/>
      <c r="H1284" s="270"/>
      <c r="I1284" s="271"/>
      <c r="J1284" s="271"/>
      <c r="K1284" s="234"/>
      <c r="L1284" s="307"/>
      <c r="M1284" s="272"/>
      <c r="N1284" s="253"/>
      <c r="O1284" s="256"/>
      <c r="P1284" s="256"/>
      <c r="Q1284" s="256"/>
      <c r="R1284" s="256"/>
      <c r="S1284" s="234"/>
      <c r="T1284" s="258"/>
    </row>
    <row r="1285" spans="2:20" ht="22.5" customHeight="1" x14ac:dyDescent="0.25">
      <c r="B1285" s="267"/>
      <c r="C1285" s="234"/>
      <c r="D1285" s="234"/>
      <c r="E1285" s="268"/>
      <c r="F1285" s="269"/>
      <c r="G1285" s="258"/>
      <c r="H1285" s="270"/>
      <c r="I1285" s="271"/>
      <c r="J1285" s="271"/>
      <c r="K1285" s="234"/>
      <c r="L1285" s="307"/>
      <c r="M1285" s="272"/>
      <c r="N1285" s="253"/>
      <c r="O1285" s="256"/>
      <c r="P1285" s="256"/>
      <c r="Q1285" s="256"/>
      <c r="R1285" s="256"/>
      <c r="S1285" s="234"/>
      <c r="T1285" s="258"/>
    </row>
    <row r="1286" spans="2:20" ht="22.5" customHeight="1" x14ac:dyDescent="0.25">
      <c r="B1286" s="267"/>
      <c r="C1286" s="234"/>
      <c r="D1286" s="234"/>
      <c r="E1286" s="268"/>
      <c r="F1286" s="269"/>
      <c r="G1286" s="258"/>
      <c r="H1286" s="270"/>
      <c r="I1286" s="271"/>
      <c r="J1286" s="271"/>
      <c r="K1286" s="234"/>
      <c r="L1286" s="307"/>
      <c r="M1286" s="272"/>
      <c r="N1286" s="253"/>
      <c r="O1286" s="256"/>
      <c r="P1286" s="256"/>
      <c r="Q1286" s="256"/>
      <c r="R1286" s="256"/>
      <c r="S1286" s="234"/>
      <c r="T1286" s="258"/>
    </row>
    <row r="1287" spans="2:20" ht="22.5" customHeight="1" x14ac:dyDescent="0.25">
      <c r="B1287" s="267"/>
      <c r="C1287" s="234"/>
      <c r="D1287" s="234"/>
      <c r="E1287" s="268"/>
      <c r="F1287" s="269"/>
      <c r="G1287" s="258"/>
      <c r="H1287" s="270"/>
      <c r="I1287" s="271"/>
      <c r="J1287" s="271"/>
      <c r="K1287" s="234"/>
      <c r="L1287" s="307"/>
      <c r="M1287" s="272"/>
      <c r="N1287" s="253"/>
      <c r="O1287" s="256"/>
      <c r="P1287" s="256"/>
      <c r="Q1287" s="256"/>
      <c r="R1287" s="256"/>
      <c r="S1287" s="234"/>
      <c r="T1287" s="258"/>
    </row>
    <row r="1288" spans="2:20" ht="22.5" customHeight="1" x14ac:dyDescent="0.25">
      <c r="B1288" s="267"/>
      <c r="C1288" s="234"/>
      <c r="D1288" s="234"/>
      <c r="E1288" s="268"/>
      <c r="F1288" s="269"/>
      <c r="G1288" s="258"/>
      <c r="H1288" s="270"/>
      <c r="I1288" s="271"/>
      <c r="J1288" s="271"/>
      <c r="K1288" s="234"/>
      <c r="L1288" s="307"/>
      <c r="M1288" s="272"/>
      <c r="N1288" s="253"/>
      <c r="O1288" s="256"/>
      <c r="P1288" s="256"/>
      <c r="Q1288" s="256"/>
      <c r="R1288" s="256"/>
      <c r="S1288" s="234"/>
      <c r="T1288" s="258"/>
    </row>
    <row r="1289" spans="2:20" ht="22.5" customHeight="1" x14ac:dyDescent="0.25">
      <c r="B1289" s="267"/>
      <c r="C1289" s="234"/>
      <c r="D1289" s="234"/>
      <c r="E1289" s="268"/>
      <c r="F1289" s="269"/>
      <c r="G1289" s="258"/>
      <c r="H1289" s="270"/>
      <c r="I1289" s="271"/>
      <c r="J1289" s="271"/>
      <c r="K1289" s="234"/>
      <c r="L1289" s="307"/>
      <c r="M1289" s="272"/>
      <c r="N1289" s="253"/>
      <c r="O1289" s="256"/>
      <c r="P1289" s="256"/>
      <c r="Q1289" s="256"/>
      <c r="R1289" s="256"/>
      <c r="S1289" s="234"/>
      <c r="T1289" s="258"/>
    </row>
    <row r="1290" spans="2:20" ht="22.5" customHeight="1" x14ac:dyDescent="0.25">
      <c r="B1290" s="267"/>
      <c r="C1290" s="234"/>
      <c r="D1290" s="234"/>
      <c r="E1290" s="268"/>
      <c r="F1290" s="269"/>
      <c r="G1290" s="258"/>
      <c r="H1290" s="270"/>
      <c r="I1290" s="271"/>
      <c r="J1290" s="271"/>
      <c r="K1290" s="234"/>
      <c r="L1290" s="307"/>
      <c r="M1290" s="272"/>
      <c r="N1290" s="253"/>
      <c r="O1290" s="256"/>
      <c r="P1290" s="256"/>
      <c r="Q1290" s="256"/>
      <c r="R1290" s="256"/>
      <c r="S1290" s="234"/>
      <c r="T1290" s="258"/>
    </row>
    <row r="1291" spans="2:20" ht="22.5" customHeight="1" x14ac:dyDescent="0.25">
      <c r="B1291" s="267"/>
      <c r="C1291" s="234"/>
      <c r="D1291" s="234"/>
      <c r="E1291" s="268"/>
      <c r="F1291" s="269"/>
      <c r="G1291" s="258"/>
      <c r="H1291" s="270"/>
      <c r="I1291" s="271"/>
      <c r="J1291" s="271"/>
      <c r="K1291" s="234"/>
      <c r="L1291" s="307"/>
      <c r="M1291" s="272"/>
      <c r="N1291" s="253"/>
      <c r="O1291" s="256"/>
      <c r="P1291" s="256"/>
      <c r="Q1291" s="256"/>
      <c r="R1291" s="256"/>
      <c r="S1291" s="234"/>
      <c r="T1291" s="258"/>
    </row>
    <row r="1292" spans="2:20" ht="22.5" customHeight="1" x14ac:dyDescent="0.25">
      <c r="B1292" s="267"/>
      <c r="C1292" s="234"/>
      <c r="D1292" s="234"/>
      <c r="E1292" s="268"/>
      <c r="F1292" s="269"/>
      <c r="G1292" s="258"/>
      <c r="H1292" s="270"/>
      <c r="I1292" s="271"/>
      <c r="J1292" s="271"/>
      <c r="K1292" s="234"/>
      <c r="L1292" s="307"/>
      <c r="M1292" s="272"/>
      <c r="N1292" s="253"/>
      <c r="O1292" s="256"/>
      <c r="P1292" s="256"/>
      <c r="Q1292" s="256"/>
      <c r="R1292" s="256"/>
      <c r="S1292" s="234"/>
      <c r="T1292" s="258"/>
    </row>
    <row r="1293" spans="2:20" ht="22.5" customHeight="1" x14ac:dyDescent="0.25">
      <c r="B1293" s="267"/>
      <c r="C1293" s="234"/>
      <c r="D1293" s="234"/>
      <c r="E1293" s="268"/>
      <c r="F1293" s="269"/>
      <c r="G1293" s="258"/>
      <c r="H1293" s="270"/>
      <c r="I1293" s="271"/>
      <c r="J1293" s="271"/>
      <c r="K1293" s="234"/>
      <c r="L1293" s="307"/>
      <c r="M1293" s="272"/>
      <c r="N1293" s="253"/>
      <c r="O1293" s="256"/>
      <c r="P1293" s="256"/>
      <c r="Q1293" s="256"/>
      <c r="R1293" s="256"/>
      <c r="S1293" s="234"/>
      <c r="T1293" s="258"/>
    </row>
    <row r="1294" spans="2:20" ht="22.5" customHeight="1" x14ac:dyDescent="0.25">
      <c r="B1294" s="267"/>
      <c r="C1294" s="234"/>
      <c r="D1294" s="234"/>
      <c r="E1294" s="268"/>
      <c r="F1294" s="269"/>
      <c r="G1294" s="258"/>
      <c r="H1294" s="270"/>
      <c r="I1294" s="271"/>
      <c r="J1294" s="271"/>
      <c r="K1294" s="234"/>
      <c r="L1294" s="307"/>
      <c r="M1294" s="272"/>
      <c r="N1294" s="253"/>
      <c r="O1294" s="256"/>
      <c r="P1294" s="256"/>
      <c r="Q1294" s="256"/>
      <c r="R1294" s="256"/>
      <c r="S1294" s="234"/>
      <c r="T1294" s="258"/>
    </row>
    <row r="1295" spans="2:20" ht="22.5" customHeight="1" x14ac:dyDescent="0.25">
      <c r="B1295" s="267"/>
      <c r="C1295" s="234"/>
      <c r="D1295" s="234"/>
      <c r="E1295" s="268"/>
      <c r="F1295" s="269"/>
      <c r="G1295" s="258"/>
      <c r="H1295" s="270"/>
      <c r="I1295" s="271"/>
      <c r="J1295" s="271"/>
      <c r="K1295" s="234"/>
      <c r="L1295" s="307"/>
      <c r="M1295" s="272"/>
      <c r="N1295" s="253"/>
      <c r="O1295" s="256"/>
      <c r="P1295" s="256"/>
      <c r="Q1295" s="256"/>
      <c r="R1295" s="256"/>
      <c r="S1295" s="234"/>
      <c r="T1295" s="258"/>
    </row>
    <row r="1296" spans="2:20" ht="22.5" customHeight="1" x14ac:dyDescent="0.25">
      <c r="B1296" s="267"/>
      <c r="C1296" s="234"/>
      <c r="D1296" s="234"/>
      <c r="E1296" s="268"/>
      <c r="F1296" s="269"/>
      <c r="G1296" s="258"/>
      <c r="H1296" s="270"/>
      <c r="I1296" s="271"/>
      <c r="J1296" s="271"/>
      <c r="K1296" s="234"/>
      <c r="L1296" s="307"/>
      <c r="M1296" s="272"/>
      <c r="N1296" s="253"/>
      <c r="O1296" s="256"/>
      <c r="P1296" s="256"/>
      <c r="Q1296" s="256"/>
      <c r="R1296" s="256"/>
      <c r="S1296" s="234"/>
      <c r="T1296" s="258"/>
    </row>
    <row r="1297" spans="2:20" ht="22.5" customHeight="1" x14ac:dyDescent="0.25">
      <c r="B1297" s="267"/>
      <c r="C1297" s="234"/>
      <c r="D1297" s="234"/>
      <c r="E1297" s="268"/>
      <c r="F1297" s="269"/>
      <c r="G1297" s="258"/>
      <c r="H1297" s="270"/>
      <c r="I1297" s="271"/>
      <c r="J1297" s="271"/>
      <c r="K1297" s="234"/>
      <c r="L1297" s="307"/>
      <c r="M1297" s="272"/>
      <c r="N1297" s="253"/>
      <c r="O1297" s="256"/>
      <c r="P1297" s="256"/>
      <c r="Q1297" s="256"/>
      <c r="R1297" s="256"/>
      <c r="S1297" s="234"/>
      <c r="T1297" s="258"/>
    </row>
    <row r="1298" spans="2:20" ht="22.5" customHeight="1" x14ac:dyDescent="0.25">
      <c r="B1298" s="267"/>
      <c r="C1298" s="234"/>
      <c r="D1298" s="234"/>
      <c r="E1298" s="268"/>
      <c r="F1298" s="269"/>
      <c r="G1298" s="258"/>
      <c r="H1298" s="270"/>
      <c r="I1298" s="271"/>
      <c r="J1298" s="271"/>
      <c r="K1298" s="234"/>
      <c r="L1298" s="307"/>
      <c r="M1298" s="272"/>
      <c r="N1298" s="253"/>
      <c r="O1298" s="256"/>
      <c r="P1298" s="256"/>
      <c r="Q1298" s="256"/>
      <c r="R1298" s="256"/>
      <c r="S1298" s="234"/>
      <c r="T1298" s="258"/>
    </row>
    <row r="1299" spans="2:20" ht="22.5" customHeight="1" x14ac:dyDescent="0.25">
      <c r="B1299" s="267"/>
      <c r="C1299" s="234"/>
      <c r="D1299" s="234"/>
      <c r="E1299" s="268"/>
      <c r="F1299" s="269"/>
      <c r="G1299" s="258"/>
      <c r="H1299" s="270"/>
      <c r="I1299" s="271"/>
      <c r="J1299" s="271"/>
      <c r="K1299" s="234"/>
      <c r="L1299" s="307"/>
      <c r="M1299" s="272"/>
      <c r="N1299" s="253"/>
      <c r="O1299" s="256"/>
      <c r="P1299" s="256"/>
      <c r="Q1299" s="256"/>
      <c r="R1299" s="256"/>
      <c r="S1299" s="234"/>
      <c r="T1299" s="258"/>
    </row>
    <row r="1300" spans="2:20" ht="22.5" customHeight="1" x14ac:dyDescent="0.25">
      <c r="B1300" s="267"/>
      <c r="C1300" s="234"/>
      <c r="D1300" s="234"/>
      <c r="E1300" s="268"/>
      <c r="F1300" s="269"/>
      <c r="G1300" s="258"/>
      <c r="H1300" s="270"/>
      <c r="I1300" s="271"/>
      <c r="J1300" s="271"/>
      <c r="K1300" s="234"/>
      <c r="L1300" s="307"/>
      <c r="M1300" s="272"/>
      <c r="N1300" s="253"/>
      <c r="O1300" s="256"/>
      <c r="P1300" s="256"/>
      <c r="Q1300" s="256"/>
      <c r="R1300" s="256"/>
      <c r="S1300" s="234"/>
      <c r="T1300" s="258"/>
    </row>
    <row r="1301" spans="2:20" ht="22.5" customHeight="1" x14ac:dyDescent="0.25">
      <c r="B1301" s="267"/>
      <c r="C1301" s="234"/>
      <c r="D1301" s="234"/>
      <c r="E1301" s="268"/>
      <c r="F1301" s="269"/>
      <c r="G1301" s="258"/>
      <c r="H1301" s="270"/>
      <c r="I1301" s="271"/>
      <c r="J1301" s="271"/>
      <c r="K1301" s="234"/>
      <c r="L1301" s="307"/>
      <c r="M1301" s="272"/>
      <c r="N1301" s="253"/>
      <c r="O1301" s="256"/>
      <c r="P1301" s="256"/>
      <c r="Q1301" s="256"/>
      <c r="R1301" s="256"/>
      <c r="S1301" s="234"/>
      <c r="T1301" s="258"/>
    </row>
    <row r="1302" spans="2:20" ht="22.5" customHeight="1" x14ac:dyDescent="0.25">
      <c r="B1302" s="267"/>
      <c r="C1302" s="234"/>
      <c r="D1302" s="234"/>
      <c r="E1302" s="268"/>
      <c r="F1302" s="269"/>
      <c r="G1302" s="258"/>
      <c r="H1302" s="270"/>
      <c r="I1302" s="271"/>
      <c r="J1302" s="271"/>
      <c r="K1302" s="234"/>
      <c r="L1302" s="307"/>
      <c r="M1302" s="272"/>
      <c r="N1302" s="253"/>
      <c r="O1302" s="256"/>
      <c r="P1302" s="256"/>
      <c r="Q1302" s="256"/>
      <c r="R1302" s="256"/>
      <c r="S1302" s="234"/>
      <c r="T1302" s="258"/>
    </row>
    <row r="1303" spans="2:20" ht="22.5" customHeight="1" x14ac:dyDescent="0.25">
      <c r="B1303" s="267"/>
      <c r="C1303" s="234"/>
      <c r="D1303" s="234"/>
      <c r="E1303" s="268"/>
      <c r="F1303" s="269"/>
      <c r="G1303" s="258"/>
      <c r="H1303" s="270"/>
      <c r="I1303" s="271"/>
      <c r="J1303" s="271"/>
      <c r="K1303" s="234"/>
      <c r="L1303" s="307"/>
      <c r="M1303" s="272"/>
      <c r="N1303" s="253"/>
      <c r="O1303" s="256"/>
      <c r="P1303" s="256"/>
      <c r="Q1303" s="256"/>
      <c r="R1303" s="256"/>
      <c r="S1303" s="234"/>
      <c r="T1303" s="258"/>
    </row>
    <row r="1304" spans="2:20" ht="22.5" customHeight="1" x14ac:dyDescent="0.25">
      <c r="B1304" s="267"/>
      <c r="C1304" s="234"/>
      <c r="D1304" s="234"/>
      <c r="E1304" s="268"/>
      <c r="F1304" s="269"/>
      <c r="G1304" s="258"/>
      <c r="H1304" s="270"/>
      <c r="I1304" s="271"/>
      <c r="J1304" s="271"/>
      <c r="K1304" s="234"/>
      <c r="L1304" s="307"/>
      <c r="M1304" s="272"/>
      <c r="N1304" s="253"/>
      <c r="O1304" s="256"/>
      <c r="P1304" s="256"/>
      <c r="Q1304" s="256"/>
      <c r="R1304" s="256"/>
      <c r="S1304" s="234"/>
      <c r="T1304" s="258"/>
    </row>
    <row r="1305" spans="2:20" ht="22.5" customHeight="1" x14ac:dyDescent="0.25">
      <c r="B1305" s="267"/>
      <c r="C1305" s="234"/>
      <c r="D1305" s="234"/>
      <c r="E1305" s="268"/>
      <c r="F1305" s="269"/>
      <c r="G1305" s="258"/>
      <c r="H1305" s="270"/>
      <c r="I1305" s="271"/>
      <c r="J1305" s="271"/>
      <c r="K1305" s="234"/>
      <c r="L1305" s="307"/>
      <c r="M1305" s="272"/>
      <c r="N1305" s="253"/>
      <c r="O1305" s="256"/>
      <c r="P1305" s="256"/>
      <c r="Q1305" s="256"/>
      <c r="R1305" s="256"/>
      <c r="S1305" s="234"/>
      <c r="T1305" s="258"/>
    </row>
    <row r="1306" spans="2:20" ht="22.5" customHeight="1" x14ac:dyDescent="0.25">
      <c r="B1306" s="267"/>
      <c r="C1306" s="234"/>
      <c r="D1306" s="234"/>
      <c r="E1306" s="268"/>
      <c r="F1306" s="269"/>
      <c r="G1306" s="258"/>
      <c r="H1306" s="270"/>
      <c r="I1306" s="271"/>
      <c r="J1306" s="271"/>
      <c r="K1306" s="234"/>
      <c r="L1306" s="307"/>
      <c r="M1306" s="272"/>
      <c r="N1306" s="253"/>
      <c r="O1306" s="256"/>
      <c r="P1306" s="256"/>
      <c r="Q1306" s="256"/>
      <c r="R1306" s="256"/>
      <c r="S1306" s="234"/>
      <c r="T1306" s="258"/>
    </row>
    <row r="1307" spans="2:20" ht="22.5" customHeight="1" x14ac:dyDescent="0.25">
      <c r="B1307" s="267"/>
      <c r="C1307" s="234"/>
      <c r="D1307" s="234"/>
      <c r="E1307" s="268"/>
      <c r="F1307" s="269"/>
      <c r="G1307" s="258"/>
      <c r="H1307" s="270"/>
      <c r="I1307" s="271"/>
      <c r="J1307" s="271"/>
      <c r="K1307" s="234"/>
      <c r="L1307" s="307"/>
      <c r="M1307" s="272"/>
      <c r="N1307" s="253"/>
      <c r="O1307" s="256"/>
      <c r="P1307" s="256"/>
      <c r="Q1307" s="256"/>
      <c r="R1307" s="256"/>
      <c r="S1307" s="234"/>
      <c r="T1307" s="258"/>
    </row>
    <row r="1308" spans="2:20" ht="22.5" customHeight="1" x14ac:dyDescent="0.25">
      <c r="B1308" s="267"/>
      <c r="C1308" s="234"/>
      <c r="D1308" s="234"/>
      <c r="E1308" s="268"/>
      <c r="F1308" s="269"/>
      <c r="G1308" s="258"/>
      <c r="H1308" s="270"/>
      <c r="I1308" s="271"/>
      <c r="J1308" s="271"/>
      <c r="K1308" s="234"/>
      <c r="L1308" s="307"/>
      <c r="M1308" s="272"/>
      <c r="N1308" s="253"/>
      <c r="O1308" s="256"/>
      <c r="P1308" s="256"/>
      <c r="Q1308" s="256"/>
      <c r="R1308" s="256"/>
      <c r="S1308" s="234"/>
      <c r="T1308" s="258"/>
    </row>
    <row r="1309" spans="2:20" ht="22.5" customHeight="1" x14ac:dyDescent="0.25">
      <c r="B1309" s="267"/>
      <c r="C1309" s="234"/>
      <c r="D1309" s="234"/>
      <c r="E1309" s="268"/>
      <c r="F1309" s="269"/>
      <c r="G1309" s="258"/>
      <c r="H1309" s="270"/>
      <c r="I1309" s="271"/>
      <c r="J1309" s="271"/>
      <c r="K1309" s="234"/>
      <c r="L1309" s="307"/>
      <c r="M1309" s="272"/>
      <c r="N1309" s="253"/>
      <c r="O1309" s="256"/>
      <c r="P1309" s="256"/>
      <c r="Q1309" s="256"/>
      <c r="R1309" s="256"/>
      <c r="S1309" s="234"/>
      <c r="T1309" s="258"/>
    </row>
    <row r="1310" spans="2:20" ht="22.5" customHeight="1" x14ac:dyDescent="0.25">
      <c r="B1310" s="267"/>
      <c r="C1310" s="234"/>
      <c r="D1310" s="234"/>
      <c r="E1310" s="268"/>
      <c r="F1310" s="269"/>
      <c r="G1310" s="258"/>
      <c r="H1310" s="270"/>
      <c r="I1310" s="271"/>
      <c r="J1310" s="271"/>
      <c r="K1310" s="234"/>
      <c r="L1310" s="307"/>
      <c r="M1310" s="272"/>
      <c r="N1310" s="253"/>
      <c r="O1310" s="256"/>
      <c r="P1310" s="256"/>
      <c r="Q1310" s="256"/>
      <c r="R1310" s="256"/>
      <c r="S1310" s="234"/>
      <c r="T1310" s="258"/>
    </row>
    <row r="1311" spans="2:20" ht="22.5" customHeight="1" x14ac:dyDescent="0.25">
      <c r="B1311" s="267"/>
      <c r="C1311" s="234"/>
      <c r="D1311" s="234"/>
      <c r="E1311" s="268"/>
      <c r="F1311" s="269"/>
      <c r="G1311" s="258"/>
      <c r="H1311" s="270"/>
      <c r="I1311" s="271"/>
      <c r="J1311" s="271"/>
      <c r="K1311" s="234"/>
      <c r="L1311" s="307"/>
      <c r="M1311" s="272"/>
      <c r="N1311" s="253"/>
      <c r="O1311" s="256"/>
      <c r="P1311" s="256"/>
      <c r="Q1311" s="256"/>
      <c r="R1311" s="256"/>
      <c r="S1311" s="234"/>
      <c r="T1311" s="258"/>
    </row>
    <row r="1312" spans="2:20" ht="22.5" customHeight="1" x14ac:dyDescent="0.25">
      <c r="B1312" s="267"/>
      <c r="C1312" s="234"/>
      <c r="D1312" s="234"/>
      <c r="E1312" s="268"/>
      <c r="F1312" s="269"/>
      <c r="G1312" s="258"/>
      <c r="H1312" s="270"/>
      <c r="I1312" s="271"/>
      <c r="J1312" s="271"/>
      <c r="K1312" s="234"/>
      <c r="L1312" s="307"/>
      <c r="M1312" s="272"/>
      <c r="N1312" s="253"/>
      <c r="O1312" s="256"/>
      <c r="P1312" s="256"/>
      <c r="Q1312" s="256"/>
      <c r="R1312" s="256"/>
      <c r="S1312" s="234"/>
      <c r="T1312" s="258"/>
    </row>
    <row r="1313" spans="2:20" ht="22.5" customHeight="1" x14ac:dyDescent="0.25">
      <c r="B1313" s="267"/>
      <c r="C1313" s="234"/>
      <c r="D1313" s="234"/>
      <c r="E1313" s="268"/>
      <c r="F1313" s="269"/>
      <c r="G1313" s="258"/>
      <c r="H1313" s="270"/>
      <c r="I1313" s="271"/>
      <c r="J1313" s="271"/>
      <c r="K1313" s="234"/>
      <c r="L1313" s="307"/>
      <c r="M1313" s="272"/>
      <c r="N1313" s="253"/>
      <c r="O1313" s="256"/>
      <c r="P1313" s="256"/>
      <c r="Q1313" s="256"/>
      <c r="R1313" s="256"/>
      <c r="S1313" s="234"/>
      <c r="T1313" s="258"/>
    </row>
    <row r="1314" spans="2:20" ht="22.5" customHeight="1" x14ac:dyDescent="0.25">
      <c r="B1314" s="267"/>
      <c r="C1314" s="234"/>
      <c r="D1314" s="234"/>
      <c r="E1314" s="268"/>
      <c r="F1314" s="269"/>
      <c r="G1314" s="258"/>
      <c r="H1314" s="270"/>
      <c r="I1314" s="271"/>
      <c r="J1314" s="271"/>
      <c r="K1314" s="234"/>
      <c r="L1314" s="307"/>
      <c r="M1314" s="272"/>
      <c r="N1314" s="253"/>
      <c r="O1314" s="256"/>
      <c r="P1314" s="256"/>
      <c r="Q1314" s="256"/>
      <c r="R1314" s="256"/>
      <c r="S1314" s="234"/>
      <c r="T1314" s="258"/>
    </row>
    <row r="1315" spans="2:20" ht="22.5" customHeight="1" x14ac:dyDescent="0.25">
      <c r="B1315" s="267"/>
      <c r="C1315" s="234"/>
      <c r="D1315" s="234"/>
      <c r="E1315" s="268"/>
      <c r="F1315" s="269"/>
      <c r="G1315" s="258"/>
      <c r="H1315" s="270"/>
      <c r="I1315" s="271"/>
      <c r="J1315" s="271"/>
      <c r="K1315" s="234"/>
      <c r="L1315" s="307"/>
      <c r="M1315" s="272"/>
      <c r="N1315" s="253"/>
      <c r="O1315" s="256"/>
      <c r="P1315" s="256"/>
      <c r="Q1315" s="256"/>
      <c r="R1315" s="256"/>
      <c r="S1315" s="234"/>
      <c r="T1315" s="258"/>
    </row>
    <row r="1316" spans="2:20" ht="22.5" customHeight="1" x14ac:dyDescent="0.25">
      <c r="B1316" s="267"/>
      <c r="C1316" s="234"/>
      <c r="D1316" s="234"/>
      <c r="E1316" s="268"/>
      <c r="F1316" s="269"/>
      <c r="G1316" s="258"/>
      <c r="H1316" s="270"/>
      <c r="I1316" s="271"/>
      <c r="J1316" s="271"/>
      <c r="K1316" s="234"/>
      <c r="L1316" s="307"/>
      <c r="M1316" s="272"/>
      <c r="N1316" s="253"/>
      <c r="O1316" s="256"/>
      <c r="P1316" s="256"/>
      <c r="Q1316" s="256"/>
      <c r="R1316" s="256"/>
      <c r="S1316" s="234"/>
      <c r="T1316" s="258"/>
    </row>
    <row r="1317" spans="2:20" ht="22.5" customHeight="1" x14ac:dyDescent="0.25">
      <c r="B1317" s="267"/>
      <c r="C1317" s="234"/>
      <c r="D1317" s="234"/>
      <c r="E1317" s="268"/>
      <c r="F1317" s="269"/>
      <c r="G1317" s="258"/>
      <c r="H1317" s="270"/>
      <c r="I1317" s="271"/>
      <c r="J1317" s="271"/>
      <c r="K1317" s="234"/>
      <c r="L1317" s="307"/>
      <c r="M1317" s="272"/>
      <c r="N1317" s="253"/>
      <c r="O1317" s="256"/>
      <c r="P1317" s="256"/>
      <c r="Q1317" s="256"/>
      <c r="R1317" s="256"/>
      <c r="S1317" s="234"/>
      <c r="T1317" s="258"/>
    </row>
    <row r="1318" spans="2:20" ht="22.5" customHeight="1" x14ac:dyDescent="0.25">
      <c r="B1318" s="267"/>
      <c r="C1318" s="234"/>
      <c r="D1318" s="234"/>
      <c r="E1318" s="268"/>
      <c r="F1318" s="269"/>
      <c r="G1318" s="258"/>
      <c r="H1318" s="270"/>
      <c r="I1318" s="271"/>
      <c r="J1318" s="271"/>
      <c r="K1318" s="234"/>
      <c r="L1318" s="307"/>
      <c r="M1318" s="272"/>
      <c r="N1318" s="253"/>
      <c r="O1318" s="256"/>
      <c r="P1318" s="256"/>
      <c r="Q1318" s="256"/>
      <c r="R1318" s="256"/>
      <c r="S1318" s="234"/>
      <c r="T1318" s="258"/>
    </row>
    <row r="1319" spans="2:20" ht="22.5" customHeight="1" x14ac:dyDescent="0.25">
      <c r="B1319" s="267"/>
      <c r="C1319" s="234"/>
      <c r="D1319" s="234"/>
      <c r="E1319" s="268"/>
      <c r="F1319" s="269"/>
      <c r="G1319" s="258"/>
      <c r="H1319" s="270"/>
      <c r="I1319" s="271"/>
      <c r="J1319" s="271"/>
      <c r="K1319" s="234"/>
      <c r="L1319" s="307"/>
      <c r="M1319" s="272"/>
      <c r="N1319" s="253"/>
      <c r="O1319" s="256"/>
      <c r="P1319" s="256"/>
      <c r="Q1319" s="256"/>
      <c r="R1319" s="256"/>
      <c r="S1319" s="234"/>
      <c r="T1319" s="258"/>
    </row>
    <row r="1320" spans="2:20" ht="22.5" customHeight="1" x14ac:dyDescent="0.25">
      <c r="B1320" s="267"/>
      <c r="C1320" s="234"/>
      <c r="D1320" s="234"/>
      <c r="E1320" s="268"/>
      <c r="F1320" s="269"/>
      <c r="G1320" s="258"/>
      <c r="H1320" s="270"/>
      <c r="I1320" s="271"/>
      <c r="J1320" s="271"/>
      <c r="K1320" s="234"/>
      <c r="L1320" s="307"/>
      <c r="M1320" s="272"/>
      <c r="N1320" s="253"/>
      <c r="O1320" s="256"/>
      <c r="P1320" s="256"/>
      <c r="Q1320" s="256"/>
      <c r="R1320" s="256"/>
      <c r="S1320" s="234"/>
      <c r="T1320" s="258"/>
    </row>
    <row r="1321" spans="2:20" ht="22.5" customHeight="1" x14ac:dyDescent="0.25">
      <c r="B1321" s="267"/>
      <c r="C1321" s="234"/>
      <c r="D1321" s="234"/>
      <c r="E1321" s="268"/>
      <c r="F1321" s="269"/>
      <c r="G1321" s="258"/>
      <c r="H1321" s="270"/>
      <c r="I1321" s="271"/>
      <c r="J1321" s="271"/>
      <c r="K1321" s="234"/>
      <c r="L1321" s="307"/>
      <c r="M1321" s="272"/>
      <c r="N1321" s="253"/>
      <c r="O1321" s="256"/>
      <c r="P1321" s="256"/>
      <c r="Q1321" s="256"/>
      <c r="R1321" s="256"/>
      <c r="S1321" s="234"/>
      <c r="T1321" s="258"/>
    </row>
    <row r="1322" spans="2:20" ht="22.5" customHeight="1" x14ac:dyDescent="0.25">
      <c r="B1322" s="267"/>
      <c r="C1322" s="234"/>
      <c r="D1322" s="234"/>
      <c r="E1322" s="268"/>
      <c r="F1322" s="269"/>
      <c r="G1322" s="258"/>
      <c r="H1322" s="270"/>
      <c r="I1322" s="271"/>
      <c r="J1322" s="271"/>
      <c r="K1322" s="234"/>
      <c r="L1322" s="307"/>
      <c r="M1322" s="272"/>
      <c r="N1322" s="253"/>
      <c r="O1322" s="256"/>
      <c r="P1322" s="256"/>
      <c r="Q1322" s="256"/>
      <c r="R1322" s="256"/>
      <c r="S1322" s="234"/>
      <c r="T1322" s="258"/>
    </row>
    <row r="1323" spans="2:20" ht="22.5" customHeight="1" x14ac:dyDescent="0.25">
      <c r="B1323" s="267"/>
      <c r="C1323" s="234"/>
      <c r="D1323" s="234"/>
      <c r="E1323" s="268"/>
      <c r="F1323" s="269"/>
      <c r="G1323" s="258"/>
      <c r="H1323" s="270"/>
      <c r="I1323" s="271"/>
      <c r="J1323" s="271"/>
      <c r="K1323" s="234"/>
      <c r="L1323" s="307"/>
      <c r="M1323" s="272"/>
      <c r="N1323" s="253"/>
      <c r="O1323" s="256"/>
      <c r="P1323" s="256"/>
      <c r="Q1323" s="256"/>
      <c r="R1323" s="256"/>
      <c r="S1323" s="234"/>
      <c r="T1323" s="258"/>
    </row>
    <row r="1324" spans="2:20" ht="22.5" customHeight="1" x14ac:dyDescent="0.25">
      <c r="B1324" s="267"/>
      <c r="C1324" s="234"/>
      <c r="D1324" s="234"/>
      <c r="E1324" s="268"/>
      <c r="F1324" s="269"/>
      <c r="G1324" s="258"/>
      <c r="H1324" s="270"/>
      <c r="I1324" s="271"/>
      <c r="J1324" s="271"/>
      <c r="K1324" s="234"/>
      <c r="L1324" s="307"/>
      <c r="M1324" s="272"/>
      <c r="N1324" s="253"/>
      <c r="O1324" s="256"/>
      <c r="P1324" s="256"/>
      <c r="Q1324" s="256"/>
      <c r="R1324" s="256"/>
      <c r="S1324" s="234"/>
      <c r="T1324" s="258"/>
    </row>
    <row r="1325" spans="2:20" ht="22.5" customHeight="1" x14ac:dyDescent="0.25">
      <c r="B1325" s="267"/>
      <c r="C1325" s="234"/>
      <c r="D1325" s="234"/>
      <c r="E1325" s="268"/>
      <c r="F1325" s="269"/>
      <c r="G1325" s="258"/>
      <c r="H1325" s="270"/>
      <c r="I1325" s="271"/>
      <c r="J1325" s="271"/>
      <c r="K1325" s="234"/>
      <c r="L1325" s="307"/>
      <c r="M1325" s="272"/>
      <c r="N1325" s="253"/>
      <c r="O1325" s="256"/>
      <c r="P1325" s="256"/>
      <c r="Q1325" s="256"/>
      <c r="R1325" s="256"/>
      <c r="S1325" s="234"/>
      <c r="T1325" s="258"/>
    </row>
    <row r="1326" spans="2:20" ht="22.5" customHeight="1" x14ac:dyDescent="0.25">
      <c r="B1326" s="267"/>
      <c r="C1326" s="234"/>
      <c r="D1326" s="234"/>
      <c r="E1326" s="268"/>
      <c r="F1326" s="269"/>
      <c r="G1326" s="258"/>
      <c r="H1326" s="270"/>
      <c r="I1326" s="271"/>
      <c r="J1326" s="271"/>
      <c r="K1326" s="234"/>
      <c r="L1326" s="307"/>
      <c r="M1326" s="272"/>
      <c r="N1326" s="253"/>
      <c r="O1326" s="256"/>
      <c r="P1326" s="256"/>
      <c r="Q1326" s="256"/>
      <c r="R1326" s="256"/>
      <c r="S1326" s="234"/>
      <c r="T1326" s="258"/>
    </row>
    <row r="1327" spans="2:20" ht="22.5" customHeight="1" x14ac:dyDescent="0.25">
      <c r="B1327" s="267"/>
      <c r="C1327" s="234"/>
      <c r="D1327" s="234"/>
      <c r="E1327" s="268"/>
      <c r="F1327" s="269"/>
      <c r="G1327" s="258"/>
      <c r="H1327" s="270"/>
      <c r="I1327" s="271"/>
      <c r="J1327" s="271"/>
      <c r="K1327" s="234"/>
      <c r="L1327" s="307"/>
      <c r="M1327" s="272"/>
      <c r="N1327" s="253"/>
      <c r="O1327" s="256"/>
      <c r="P1327" s="256"/>
      <c r="Q1327" s="256"/>
      <c r="R1327" s="256"/>
      <c r="S1327" s="234"/>
      <c r="T1327" s="258"/>
    </row>
    <row r="1328" spans="2:20" ht="22.5" customHeight="1" x14ac:dyDescent="0.25">
      <c r="B1328" s="267"/>
      <c r="C1328" s="234"/>
      <c r="D1328" s="234"/>
      <c r="E1328" s="268"/>
      <c r="F1328" s="269"/>
      <c r="G1328" s="258"/>
      <c r="H1328" s="270"/>
      <c r="I1328" s="271"/>
      <c r="J1328" s="271"/>
      <c r="K1328" s="234"/>
      <c r="L1328" s="307"/>
      <c r="M1328" s="272"/>
      <c r="N1328" s="253"/>
      <c r="O1328" s="256"/>
      <c r="P1328" s="256"/>
      <c r="Q1328" s="256"/>
      <c r="R1328" s="256"/>
      <c r="S1328" s="234"/>
      <c r="T1328" s="258"/>
    </row>
    <row r="1329" spans="2:20" ht="22.5" customHeight="1" x14ac:dyDescent="0.25">
      <c r="B1329" s="267"/>
      <c r="C1329" s="234"/>
      <c r="D1329" s="234"/>
      <c r="E1329" s="268"/>
      <c r="F1329" s="269"/>
      <c r="G1329" s="258"/>
      <c r="H1329" s="270"/>
      <c r="I1329" s="271"/>
      <c r="J1329" s="271"/>
      <c r="K1329" s="234"/>
      <c r="L1329" s="307"/>
      <c r="M1329" s="272"/>
      <c r="N1329" s="253"/>
      <c r="O1329" s="256"/>
      <c r="P1329" s="256"/>
      <c r="Q1329" s="256"/>
      <c r="R1329" s="256"/>
      <c r="S1329" s="234"/>
      <c r="T1329" s="258"/>
    </row>
    <row r="1330" spans="2:20" ht="22.5" customHeight="1" x14ac:dyDescent="0.25">
      <c r="B1330" s="267"/>
      <c r="C1330" s="234"/>
      <c r="D1330" s="234"/>
      <c r="E1330" s="268"/>
      <c r="F1330" s="269"/>
      <c r="G1330" s="258"/>
      <c r="H1330" s="270"/>
      <c r="I1330" s="271"/>
      <c r="J1330" s="271"/>
      <c r="K1330" s="234"/>
      <c r="L1330" s="307"/>
      <c r="M1330" s="272"/>
      <c r="N1330" s="253"/>
      <c r="O1330" s="256"/>
      <c r="P1330" s="256"/>
      <c r="Q1330" s="256"/>
      <c r="R1330" s="256"/>
      <c r="S1330" s="234"/>
      <c r="T1330" s="258"/>
    </row>
    <row r="1331" spans="2:20" ht="22.5" customHeight="1" x14ac:dyDescent="0.25">
      <c r="B1331" s="267"/>
      <c r="C1331" s="234"/>
      <c r="D1331" s="234"/>
      <c r="E1331" s="268"/>
      <c r="F1331" s="269"/>
      <c r="G1331" s="258"/>
      <c r="H1331" s="270"/>
      <c r="I1331" s="271"/>
      <c r="J1331" s="271"/>
      <c r="K1331" s="234"/>
      <c r="L1331" s="307"/>
      <c r="M1331" s="272"/>
      <c r="N1331" s="253"/>
      <c r="O1331" s="256"/>
      <c r="P1331" s="256"/>
      <c r="Q1331" s="256"/>
      <c r="R1331" s="256"/>
      <c r="S1331" s="234"/>
      <c r="T1331" s="258"/>
    </row>
    <row r="1332" spans="2:20" ht="22.5" customHeight="1" x14ac:dyDescent="0.25">
      <c r="B1332" s="267"/>
      <c r="C1332" s="234"/>
      <c r="D1332" s="234"/>
      <c r="E1332" s="268"/>
      <c r="F1332" s="269"/>
      <c r="G1332" s="258"/>
      <c r="H1332" s="270"/>
      <c r="I1332" s="271"/>
      <c r="J1332" s="271"/>
      <c r="K1332" s="234"/>
      <c r="L1332" s="307"/>
      <c r="M1332" s="272"/>
      <c r="N1332" s="253"/>
      <c r="O1332" s="256"/>
      <c r="P1332" s="256"/>
      <c r="Q1332" s="256"/>
      <c r="R1332" s="256"/>
      <c r="S1332" s="234"/>
      <c r="T1332" s="258"/>
    </row>
    <row r="1333" spans="2:20" ht="22.5" customHeight="1" x14ac:dyDescent="0.25">
      <c r="B1333" s="267"/>
      <c r="C1333" s="234"/>
      <c r="D1333" s="234"/>
      <c r="E1333" s="268"/>
      <c r="F1333" s="269"/>
      <c r="G1333" s="258"/>
      <c r="H1333" s="270"/>
      <c r="I1333" s="271"/>
      <c r="J1333" s="271"/>
      <c r="K1333" s="234"/>
      <c r="L1333" s="307"/>
      <c r="M1333" s="272"/>
      <c r="N1333" s="253"/>
      <c r="O1333" s="256"/>
      <c r="P1333" s="256"/>
      <c r="Q1333" s="256"/>
      <c r="R1333" s="256"/>
      <c r="S1333" s="234"/>
      <c r="T1333" s="258"/>
    </row>
    <row r="1334" spans="2:20" ht="22.5" customHeight="1" x14ac:dyDescent="0.25">
      <c r="B1334" s="267"/>
      <c r="C1334" s="234"/>
      <c r="D1334" s="234"/>
      <c r="E1334" s="268"/>
      <c r="F1334" s="269"/>
      <c r="G1334" s="258"/>
      <c r="H1334" s="270"/>
      <c r="I1334" s="271"/>
      <c r="J1334" s="271"/>
      <c r="K1334" s="234"/>
      <c r="L1334" s="307"/>
      <c r="M1334" s="272"/>
      <c r="N1334" s="253"/>
      <c r="O1334" s="256"/>
      <c r="P1334" s="256"/>
      <c r="Q1334" s="256"/>
      <c r="R1334" s="256"/>
      <c r="S1334" s="234"/>
      <c r="T1334" s="258"/>
    </row>
    <row r="1335" spans="2:20" ht="22.5" customHeight="1" x14ac:dyDescent="0.25">
      <c r="B1335" s="267"/>
      <c r="C1335" s="234"/>
      <c r="D1335" s="234"/>
      <c r="E1335" s="268"/>
      <c r="F1335" s="269"/>
      <c r="G1335" s="258"/>
      <c r="H1335" s="270"/>
      <c r="I1335" s="271"/>
      <c r="J1335" s="271"/>
      <c r="K1335" s="234"/>
      <c r="L1335" s="307"/>
      <c r="M1335" s="272"/>
      <c r="N1335" s="253"/>
      <c r="O1335" s="256"/>
      <c r="P1335" s="256"/>
      <c r="Q1335" s="256"/>
      <c r="R1335" s="256"/>
      <c r="S1335" s="234"/>
      <c r="T1335" s="258"/>
    </row>
    <row r="1336" spans="2:20" ht="22.5" customHeight="1" x14ac:dyDescent="0.25">
      <c r="B1336" s="267"/>
      <c r="C1336" s="234"/>
      <c r="D1336" s="234"/>
      <c r="E1336" s="268"/>
      <c r="F1336" s="269"/>
      <c r="G1336" s="258"/>
      <c r="H1336" s="270"/>
      <c r="I1336" s="271"/>
      <c r="J1336" s="271"/>
      <c r="K1336" s="234"/>
      <c r="L1336" s="307"/>
      <c r="M1336" s="272"/>
      <c r="N1336" s="253"/>
      <c r="O1336" s="256"/>
      <c r="P1336" s="256"/>
      <c r="Q1336" s="256"/>
      <c r="R1336" s="256"/>
      <c r="S1336" s="234"/>
      <c r="T1336" s="258"/>
    </row>
    <row r="1337" spans="2:20" ht="22.5" customHeight="1" x14ac:dyDescent="0.25">
      <c r="B1337" s="267"/>
      <c r="C1337" s="234"/>
      <c r="D1337" s="234"/>
      <c r="E1337" s="268"/>
      <c r="F1337" s="269"/>
      <c r="G1337" s="258"/>
      <c r="H1337" s="270"/>
      <c r="I1337" s="271"/>
      <c r="J1337" s="271"/>
      <c r="K1337" s="234"/>
      <c r="L1337" s="307"/>
      <c r="M1337" s="272"/>
      <c r="N1337" s="253"/>
      <c r="O1337" s="256"/>
      <c r="P1337" s="256"/>
      <c r="Q1337" s="256"/>
      <c r="R1337" s="256"/>
      <c r="S1337" s="234"/>
      <c r="T1337" s="258"/>
    </row>
    <row r="1338" spans="2:20" ht="22.5" customHeight="1" x14ac:dyDescent="0.25">
      <c r="B1338" s="267"/>
      <c r="C1338" s="234"/>
      <c r="D1338" s="234"/>
      <c r="E1338" s="268"/>
      <c r="F1338" s="269"/>
      <c r="G1338" s="258"/>
      <c r="H1338" s="270"/>
      <c r="I1338" s="271"/>
      <c r="J1338" s="271"/>
      <c r="K1338" s="234"/>
      <c r="L1338" s="307"/>
      <c r="M1338" s="272"/>
      <c r="N1338" s="253"/>
      <c r="O1338" s="256"/>
      <c r="P1338" s="256"/>
      <c r="Q1338" s="256"/>
      <c r="R1338" s="256"/>
      <c r="S1338" s="234"/>
      <c r="T1338" s="258"/>
    </row>
    <row r="1339" spans="2:20" ht="22.5" customHeight="1" x14ac:dyDescent="0.25">
      <c r="B1339" s="267"/>
      <c r="C1339" s="234"/>
      <c r="D1339" s="234"/>
      <c r="E1339" s="268"/>
      <c r="F1339" s="269"/>
      <c r="G1339" s="258"/>
      <c r="H1339" s="270"/>
      <c r="I1339" s="271"/>
      <c r="J1339" s="271"/>
      <c r="K1339" s="234"/>
      <c r="L1339" s="307"/>
      <c r="M1339" s="272"/>
      <c r="N1339" s="253"/>
      <c r="O1339" s="256"/>
      <c r="P1339" s="256"/>
      <c r="Q1339" s="256"/>
      <c r="R1339" s="256"/>
      <c r="S1339" s="234"/>
      <c r="T1339" s="258"/>
    </row>
    <row r="1340" spans="2:20" ht="22.5" customHeight="1" x14ac:dyDescent="0.25">
      <c r="B1340" s="267"/>
      <c r="C1340" s="234"/>
      <c r="D1340" s="234"/>
      <c r="E1340" s="268"/>
      <c r="F1340" s="269"/>
      <c r="G1340" s="258"/>
      <c r="H1340" s="270"/>
      <c r="I1340" s="271"/>
      <c r="J1340" s="271"/>
      <c r="K1340" s="234"/>
      <c r="L1340" s="307"/>
      <c r="M1340" s="272"/>
      <c r="N1340" s="253"/>
      <c r="O1340" s="256"/>
      <c r="P1340" s="256"/>
      <c r="Q1340" s="256"/>
      <c r="R1340" s="256"/>
      <c r="S1340" s="234"/>
      <c r="T1340" s="258"/>
    </row>
    <row r="1341" spans="2:20" ht="22.5" customHeight="1" x14ac:dyDescent="0.25">
      <c r="B1341" s="267"/>
      <c r="C1341" s="234"/>
      <c r="D1341" s="234"/>
      <c r="E1341" s="268"/>
      <c r="F1341" s="269"/>
      <c r="G1341" s="258"/>
      <c r="H1341" s="270"/>
      <c r="I1341" s="271"/>
      <c r="J1341" s="271"/>
      <c r="K1341" s="234"/>
      <c r="L1341" s="307"/>
      <c r="M1341" s="272"/>
      <c r="N1341" s="253"/>
      <c r="O1341" s="256"/>
      <c r="P1341" s="256"/>
      <c r="Q1341" s="256"/>
      <c r="R1341" s="256"/>
      <c r="S1341" s="234"/>
      <c r="T1341" s="258"/>
    </row>
    <row r="1342" spans="2:20" ht="22.5" customHeight="1" x14ac:dyDescent="0.25">
      <c r="B1342" s="267"/>
      <c r="C1342" s="234"/>
      <c r="D1342" s="234"/>
      <c r="E1342" s="268"/>
      <c r="F1342" s="269"/>
      <c r="G1342" s="258"/>
      <c r="H1342" s="270"/>
      <c r="I1342" s="271"/>
      <c r="J1342" s="271"/>
      <c r="K1342" s="234"/>
      <c r="L1342" s="307"/>
      <c r="M1342" s="272"/>
      <c r="N1342" s="253"/>
      <c r="O1342" s="256"/>
      <c r="P1342" s="256"/>
      <c r="Q1342" s="256"/>
      <c r="R1342" s="256"/>
      <c r="S1342" s="234"/>
      <c r="T1342" s="258"/>
    </row>
    <row r="1343" spans="2:20" ht="22.5" customHeight="1" x14ac:dyDescent="0.25">
      <c r="B1343" s="267"/>
      <c r="C1343" s="234"/>
      <c r="D1343" s="234"/>
      <c r="E1343" s="268"/>
      <c r="F1343" s="269"/>
      <c r="G1343" s="258"/>
      <c r="H1343" s="270"/>
      <c r="I1343" s="271"/>
      <c r="J1343" s="271"/>
      <c r="K1343" s="234"/>
      <c r="L1343" s="307"/>
      <c r="M1343" s="272"/>
      <c r="N1343" s="253"/>
      <c r="O1343" s="256"/>
      <c r="P1343" s="256"/>
      <c r="Q1343" s="256"/>
      <c r="R1343" s="256"/>
      <c r="S1343" s="234"/>
      <c r="T1343" s="258"/>
    </row>
    <row r="1344" spans="2:20" ht="22.5" customHeight="1" x14ac:dyDescent="0.25">
      <c r="B1344" s="267"/>
      <c r="C1344" s="234"/>
      <c r="D1344" s="234"/>
      <c r="E1344" s="268"/>
      <c r="F1344" s="269"/>
      <c r="G1344" s="258"/>
      <c r="H1344" s="270"/>
      <c r="I1344" s="271"/>
      <c r="J1344" s="271"/>
      <c r="K1344" s="234"/>
      <c r="L1344" s="307"/>
      <c r="M1344" s="272"/>
      <c r="N1344" s="253"/>
      <c r="O1344" s="256"/>
      <c r="P1344" s="256"/>
      <c r="Q1344" s="256"/>
      <c r="R1344" s="256"/>
      <c r="S1344" s="234"/>
      <c r="T1344" s="258"/>
    </row>
    <row r="1345" spans="2:20" ht="22.5" customHeight="1" x14ac:dyDescent="0.25">
      <c r="B1345" s="267"/>
      <c r="C1345" s="234"/>
      <c r="D1345" s="234"/>
      <c r="E1345" s="268"/>
      <c r="F1345" s="269"/>
      <c r="G1345" s="258"/>
      <c r="H1345" s="270"/>
      <c r="I1345" s="271"/>
      <c r="J1345" s="271"/>
      <c r="K1345" s="234"/>
      <c r="L1345" s="307"/>
      <c r="M1345" s="272"/>
      <c r="N1345" s="253"/>
      <c r="O1345" s="256"/>
      <c r="P1345" s="256"/>
      <c r="Q1345" s="256"/>
      <c r="R1345" s="256"/>
      <c r="S1345" s="234"/>
      <c r="T1345" s="258"/>
    </row>
    <row r="1346" spans="2:20" ht="22.5" customHeight="1" x14ac:dyDescent="0.25">
      <c r="B1346" s="267"/>
      <c r="C1346" s="234"/>
      <c r="D1346" s="234"/>
      <c r="E1346" s="268"/>
      <c r="F1346" s="269"/>
      <c r="G1346" s="258"/>
      <c r="H1346" s="270"/>
      <c r="I1346" s="271"/>
      <c r="J1346" s="271"/>
      <c r="K1346" s="234"/>
      <c r="L1346" s="307"/>
      <c r="M1346" s="272"/>
      <c r="N1346" s="253"/>
      <c r="O1346" s="256"/>
      <c r="P1346" s="256"/>
      <c r="Q1346" s="256"/>
      <c r="R1346" s="256"/>
      <c r="S1346" s="234"/>
      <c r="T1346" s="258"/>
    </row>
    <row r="1347" spans="2:20" ht="22.5" customHeight="1" x14ac:dyDescent="0.25">
      <c r="B1347" s="267"/>
      <c r="C1347" s="234"/>
      <c r="D1347" s="234"/>
      <c r="E1347" s="268"/>
      <c r="F1347" s="269"/>
      <c r="G1347" s="258"/>
      <c r="H1347" s="270"/>
      <c r="I1347" s="271"/>
      <c r="J1347" s="271"/>
      <c r="K1347" s="234"/>
      <c r="L1347" s="307"/>
      <c r="M1347" s="272"/>
      <c r="N1347" s="253"/>
      <c r="O1347" s="256"/>
      <c r="P1347" s="256"/>
      <c r="Q1347" s="256"/>
      <c r="R1347" s="256"/>
      <c r="S1347" s="234"/>
      <c r="T1347" s="258"/>
    </row>
    <row r="1348" spans="2:20" ht="22.5" customHeight="1" x14ac:dyDescent="0.25">
      <c r="B1348" s="267"/>
      <c r="C1348" s="234"/>
      <c r="D1348" s="234"/>
      <c r="E1348" s="268"/>
      <c r="F1348" s="269"/>
      <c r="G1348" s="258"/>
      <c r="H1348" s="270"/>
      <c r="I1348" s="271"/>
      <c r="J1348" s="271"/>
      <c r="K1348" s="234"/>
      <c r="L1348" s="307"/>
      <c r="M1348" s="272"/>
      <c r="N1348" s="253"/>
      <c r="O1348" s="256"/>
      <c r="P1348" s="256"/>
      <c r="Q1348" s="256"/>
      <c r="R1348" s="256"/>
      <c r="S1348" s="234"/>
      <c r="T1348" s="258"/>
    </row>
    <row r="1349" spans="2:20" ht="22.5" customHeight="1" x14ac:dyDescent="0.25">
      <c r="B1349" s="267"/>
      <c r="C1349" s="234"/>
      <c r="D1349" s="234"/>
      <c r="E1349" s="268"/>
      <c r="F1349" s="269"/>
      <c r="G1349" s="258"/>
      <c r="H1349" s="270"/>
      <c r="I1349" s="271"/>
      <c r="J1349" s="271"/>
      <c r="K1349" s="234"/>
      <c r="L1349" s="307"/>
      <c r="M1349" s="272"/>
      <c r="N1349" s="253"/>
      <c r="O1349" s="256"/>
      <c r="P1349" s="256"/>
      <c r="Q1349" s="256"/>
      <c r="R1349" s="256"/>
      <c r="S1349" s="234"/>
      <c r="T1349" s="258"/>
    </row>
    <row r="1350" spans="2:20" ht="22.5" customHeight="1" x14ac:dyDescent="0.25">
      <c r="B1350" s="267"/>
      <c r="C1350" s="234"/>
      <c r="D1350" s="234"/>
      <c r="E1350" s="268"/>
      <c r="F1350" s="269"/>
      <c r="G1350" s="258"/>
      <c r="H1350" s="270"/>
      <c r="I1350" s="271"/>
      <c r="J1350" s="271"/>
      <c r="K1350" s="234"/>
      <c r="L1350" s="307"/>
      <c r="M1350" s="272"/>
      <c r="N1350" s="253"/>
      <c r="O1350" s="256"/>
      <c r="P1350" s="256"/>
      <c r="Q1350" s="256"/>
      <c r="R1350" s="256"/>
      <c r="S1350" s="234"/>
      <c r="T1350" s="258"/>
    </row>
    <row r="1351" spans="2:20" ht="22.5" customHeight="1" x14ac:dyDescent="0.25">
      <c r="B1351" s="267"/>
      <c r="C1351" s="234"/>
      <c r="D1351" s="234"/>
      <c r="E1351" s="268"/>
      <c r="F1351" s="269"/>
      <c r="G1351" s="258"/>
      <c r="H1351" s="270"/>
      <c r="I1351" s="271"/>
      <c r="J1351" s="271"/>
      <c r="K1351" s="234"/>
      <c r="L1351" s="307"/>
      <c r="M1351" s="272"/>
      <c r="N1351" s="253"/>
      <c r="O1351" s="256"/>
      <c r="P1351" s="256"/>
      <c r="Q1351" s="256"/>
      <c r="R1351" s="256"/>
      <c r="S1351" s="234"/>
      <c r="T1351" s="258"/>
    </row>
    <row r="1352" spans="2:20" ht="22.5" customHeight="1" x14ac:dyDescent="0.25">
      <c r="B1352" s="267"/>
      <c r="C1352" s="234"/>
      <c r="D1352" s="234"/>
      <c r="E1352" s="268"/>
      <c r="F1352" s="269"/>
      <c r="G1352" s="258"/>
      <c r="H1352" s="270"/>
      <c r="I1352" s="271"/>
      <c r="J1352" s="271"/>
      <c r="K1352" s="234"/>
      <c r="L1352" s="307"/>
      <c r="M1352" s="272"/>
      <c r="N1352" s="253"/>
      <c r="O1352" s="256"/>
      <c r="P1352" s="256"/>
      <c r="Q1352" s="256"/>
      <c r="R1352" s="256"/>
      <c r="S1352" s="234"/>
      <c r="T1352" s="258"/>
    </row>
    <row r="1353" spans="2:20" ht="22.5" customHeight="1" x14ac:dyDescent="0.25">
      <c r="B1353" s="267"/>
      <c r="C1353" s="234"/>
      <c r="D1353" s="234"/>
      <c r="E1353" s="268"/>
      <c r="F1353" s="269"/>
      <c r="G1353" s="258"/>
      <c r="H1353" s="270"/>
      <c r="I1353" s="271"/>
      <c r="J1353" s="271"/>
      <c r="K1353" s="234"/>
      <c r="L1353" s="307"/>
      <c r="M1353" s="272"/>
      <c r="N1353" s="253"/>
      <c r="O1353" s="256"/>
      <c r="P1353" s="256"/>
      <c r="Q1353" s="256"/>
      <c r="R1353" s="256"/>
      <c r="S1353" s="234"/>
      <c r="T1353" s="258"/>
    </row>
    <row r="1354" spans="2:20" ht="22.5" customHeight="1" x14ac:dyDescent="0.25">
      <c r="B1354" s="267"/>
      <c r="C1354" s="234"/>
      <c r="D1354" s="234"/>
      <c r="E1354" s="268"/>
      <c r="F1354" s="269"/>
      <c r="G1354" s="258"/>
      <c r="H1354" s="270"/>
      <c r="I1354" s="271"/>
      <c r="J1354" s="271"/>
      <c r="K1354" s="234"/>
      <c r="L1354" s="307"/>
      <c r="M1354" s="272"/>
      <c r="N1354" s="253"/>
      <c r="O1354" s="256"/>
      <c r="P1354" s="256"/>
      <c r="Q1354" s="256"/>
      <c r="R1354" s="256"/>
      <c r="S1354" s="234"/>
      <c r="T1354" s="258"/>
    </row>
    <row r="1355" spans="2:20" ht="22.5" customHeight="1" x14ac:dyDescent="0.25">
      <c r="B1355" s="267"/>
      <c r="C1355" s="234"/>
      <c r="D1355" s="234"/>
      <c r="E1355" s="268"/>
      <c r="F1355" s="269"/>
      <c r="G1355" s="258"/>
      <c r="H1355" s="270"/>
      <c r="I1355" s="271"/>
      <c r="J1355" s="271"/>
      <c r="K1355" s="234"/>
      <c r="L1355" s="307"/>
      <c r="M1355" s="272"/>
      <c r="N1355" s="253"/>
      <c r="O1355" s="256"/>
      <c r="P1355" s="256"/>
      <c r="Q1355" s="256"/>
      <c r="R1355" s="256"/>
      <c r="S1355" s="234"/>
      <c r="T1355" s="258"/>
    </row>
    <row r="1356" spans="2:20" ht="22.5" customHeight="1" x14ac:dyDescent="0.25">
      <c r="B1356" s="267"/>
      <c r="C1356" s="234"/>
      <c r="D1356" s="234"/>
      <c r="E1356" s="268"/>
      <c r="F1356" s="269"/>
      <c r="G1356" s="258"/>
      <c r="H1356" s="270"/>
      <c r="I1356" s="271"/>
      <c r="J1356" s="271"/>
      <c r="K1356" s="234"/>
      <c r="L1356" s="307"/>
      <c r="M1356" s="272"/>
      <c r="N1356" s="253"/>
      <c r="O1356" s="256"/>
      <c r="P1356" s="256"/>
      <c r="Q1356" s="256"/>
      <c r="R1356" s="256"/>
      <c r="S1356" s="234"/>
      <c r="T1356" s="258"/>
    </row>
    <row r="1357" spans="2:20" ht="22.5" customHeight="1" x14ac:dyDescent="0.25">
      <c r="B1357" s="267"/>
      <c r="C1357" s="234"/>
      <c r="D1357" s="234"/>
      <c r="E1357" s="268"/>
      <c r="F1357" s="269"/>
      <c r="G1357" s="258"/>
      <c r="H1357" s="270"/>
      <c r="I1357" s="271"/>
      <c r="J1357" s="271"/>
      <c r="K1357" s="234"/>
      <c r="L1357" s="307"/>
      <c r="M1357" s="272"/>
      <c r="N1357" s="253"/>
      <c r="O1357" s="256"/>
      <c r="P1357" s="256"/>
      <c r="Q1357" s="256"/>
      <c r="R1357" s="256"/>
      <c r="S1357" s="234"/>
      <c r="T1357" s="258"/>
    </row>
    <row r="1358" spans="2:20" ht="22.5" customHeight="1" x14ac:dyDescent="0.25">
      <c r="B1358" s="267"/>
      <c r="C1358" s="234"/>
      <c r="D1358" s="234"/>
      <c r="E1358" s="268"/>
      <c r="F1358" s="269"/>
      <c r="G1358" s="258"/>
      <c r="H1358" s="270"/>
      <c r="I1358" s="271"/>
      <c r="J1358" s="271"/>
      <c r="K1358" s="234"/>
      <c r="L1358" s="307"/>
      <c r="M1358" s="272"/>
      <c r="N1358" s="253"/>
      <c r="O1358" s="256"/>
      <c r="P1358" s="256"/>
      <c r="Q1358" s="256"/>
      <c r="R1358" s="256"/>
      <c r="S1358" s="234"/>
      <c r="T1358" s="258"/>
    </row>
    <row r="1359" spans="2:20" ht="22.5" customHeight="1" x14ac:dyDescent="0.25">
      <c r="B1359" s="267"/>
      <c r="C1359" s="234"/>
      <c r="D1359" s="234"/>
      <c r="E1359" s="268"/>
      <c r="F1359" s="269"/>
      <c r="G1359" s="258"/>
      <c r="H1359" s="270"/>
      <c r="I1359" s="271"/>
      <c r="J1359" s="271"/>
      <c r="K1359" s="234"/>
      <c r="L1359" s="307"/>
      <c r="M1359" s="272"/>
      <c r="N1359" s="253"/>
      <c r="O1359" s="256"/>
      <c r="P1359" s="256"/>
      <c r="Q1359" s="256"/>
      <c r="R1359" s="256"/>
      <c r="S1359" s="234"/>
      <c r="T1359" s="258"/>
    </row>
    <row r="1360" spans="2:20" ht="22.5" customHeight="1" x14ac:dyDescent="0.25">
      <c r="B1360" s="267"/>
      <c r="C1360" s="234"/>
      <c r="D1360" s="234"/>
      <c r="E1360" s="268"/>
      <c r="F1360" s="269"/>
      <c r="G1360" s="258"/>
      <c r="H1360" s="270"/>
      <c r="I1360" s="271"/>
      <c r="J1360" s="271"/>
      <c r="K1360" s="234"/>
      <c r="L1360" s="307"/>
      <c r="M1360" s="272"/>
      <c r="N1360" s="253"/>
      <c r="O1360" s="256"/>
      <c r="P1360" s="256"/>
      <c r="Q1360" s="256"/>
      <c r="R1360" s="256"/>
      <c r="S1360" s="234"/>
      <c r="T1360" s="258"/>
    </row>
    <row r="1361" spans="2:20" ht="22.5" customHeight="1" x14ac:dyDescent="0.25">
      <c r="B1361" s="267"/>
      <c r="C1361" s="234"/>
      <c r="D1361" s="234"/>
      <c r="E1361" s="268"/>
      <c r="F1361" s="269"/>
      <c r="G1361" s="258"/>
      <c r="H1361" s="270"/>
      <c r="I1361" s="271"/>
      <c r="J1361" s="271"/>
      <c r="K1361" s="234"/>
      <c r="L1361" s="307"/>
      <c r="M1361" s="272"/>
      <c r="N1361" s="253"/>
      <c r="O1361" s="256"/>
      <c r="P1361" s="256"/>
      <c r="Q1361" s="256"/>
      <c r="R1361" s="256"/>
      <c r="S1361" s="234"/>
      <c r="T1361" s="258"/>
    </row>
    <row r="1362" spans="2:20" ht="22.5" customHeight="1" x14ac:dyDescent="0.25">
      <c r="B1362" s="267"/>
      <c r="C1362" s="234"/>
      <c r="D1362" s="234"/>
      <c r="E1362" s="268"/>
      <c r="F1362" s="269"/>
      <c r="G1362" s="258"/>
      <c r="H1362" s="270"/>
      <c r="I1362" s="271"/>
      <c r="J1362" s="271"/>
      <c r="K1362" s="234"/>
      <c r="L1362" s="307"/>
      <c r="M1362" s="272"/>
      <c r="N1362" s="253"/>
      <c r="O1362" s="256"/>
      <c r="P1362" s="256"/>
      <c r="Q1362" s="256"/>
      <c r="R1362" s="256"/>
      <c r="S1362" s="234"/>
      <c r="T1362" s="258"/>
    </row>
    <row r="1363" spans="2:20" ht="22.5" customHeight="1" x14ac:dyDescent="0.25">
      <c r="B1363" s="267"/>
      <c r="C1363" s="234"/>
      <c r="D1363" s="234"/>
      <c r="E1363" s="268"/>
      <c r="F1363" s="269"/>
      <c r="G1363" s="258"/>
      <c r="H1363" s="270"/>
      <c r="I1363" s="271"/>
      <c r="J1363" s="271"/>
      <c r="K1363" s="234"/>
      <c r="L1363" s="307"/>
      <c r="M1363" s="272"/>
      <c r="N1363" s="253"/>
      <c r="O1363" s="256"/>
      <c r="P1363" s="256"/>
      <c r="Q1363" s="256"/>
      <c r="R1363" s="256"/>
      <c r="S1363" s="234"/>
      <c r="T1363" s="258"/>
    </row>
    <row r="1364" spans="2:20" ht="22.5" customHeight="1" x14ac:dyDescent="0.25">
      <c r="B1364" s="267"/>
      <c r="C1364" s="234"/>
      <c r="D1364" s="234"/>
      <c r="E1364" s="268"/>
      <c r="F1364" s="269"/>
      <c r="G1364" s="258"/>
      <c r="H1364" s="270"/>
      <c r="I1364" s="271"/>
      <c r="J1364" s="271"/>
      <c r="K1364" s="234"/>
      <c r="L1364" s="307"/>
      <c r="M1364" s="272"/>
      <c r="N1364" s="253"/>
      <c r="O1364" s="256"/>
      <c r="P1364" s="256"/>
      <c r="Q1364" s="256"/>
      <c r="R1364" s="256"/>
      <c r="S1364" s="234"/>
      <c r="T1364" s="258"/>
    </row>
    <row r="1365" spans="2:20" ht="22.5" customHeight="1" x14ac:dyDescent="0.25">
      <c r="B1365" s="267"/>
      <c r="C1365" s="234"/>
      <c r="D1365" s="234"/>
      <c r="E1365" s="268"/>
      <c r="F1365" s="269"/>
      <c r="G1365" s="258"/>
      <c r="H1365" s="270"/>
      <c r="I1365" s="271"/>
      <c r="J1365" s="271"/>
      <c r="K1365" s="234"/>
      <c r="L1365" s="307"/>
      <c r="M1365" s="272"/>
      <c r="N1365" s="253"/>
      <c r="O1365" s="256"/>
      <c r="P1365" s="256"/>
      <c r="Q1365" s="256"/>
      <c r="R1365" s="256"/>
      <c r="S1365" s="234"/>
      <c r="T1365" s="258"/>
    </row>
    <row r="1366" spans="2:20" ht="22.5" customHeight="1" x14ac:dyDescent="0.25">
      <c r="B1366" s="267"/>
      <c r="C1366" s="234"/>
      <c r="D1366" s="234"/>
      <c r="E1366" s="268"/>
      <c r="F1366" s="269"/>
      <c r="G1366" s="258"/>
      <c r="H1366" s="270"/>
      <c r="I1366" s="271"/>
      <c r="J1366" s="271"/>
      <c r="K1366" s="234"/>
      <c r="L1366" s="307"/>
      <c r="M1366" s="272"/>
      <c r="N1366" s="253"/>
      <c r="O1366" s="256"/>
      <c r="P1366" s="256"/>
      <c r="Q1366" s="256"/>
      <c r="R1366" s="256"/>
      <c r="S1366" s="234"/>
      <c r="T1366" s="258"/>
    </row>
    <row r="1367" spans="2:20" ht="22.5" customHeight="1" x14ac:dyDescent="0.25">
      <c r="B1367" s="267"/>
      <c r="C1367" s="234"/>
      <c r="D1367" s="234"/>
      <c r="E1367" s="268"/>
      <c r="F1367" s="269"/>
      <c r="G1367" s="258"/>
      <c r="H1367" s="270"/>
      <c r="I1367" s="271"/>
      <c r="J1367" s="271"/>
      <c r="K1367" s="234"/>
      <c r="L1367" s="307"/>
      <c r="M1367" s="272"/>
      <c r="N1367" s="253"/>
      <c r="O1367" s="256"/>
      <c r="P1367" s="256"/>
      <c r="Q1367" s="256"/>
      <c r="R1367" s="256"/>
      <c r="S1367" s="234"/>
      <c r="T1367" s="258"/>
    </row>
    <row r="1368" spans="2:20" ht="22.5" customHeight="1" x14ac:dyDescent="0.25">
      <c r="B1368" s="267"/>
      <c r="C1368" s="234"/>
      <c r="D1368" s="234"/>
      <c r="E1368" s="268"/>
      <c r="F1368" s="269"/>
      <c r="G1368" s="258"/>
      <c r="H1368" s="270"/>
      <c r="I1368" s="271"/>
      <c r="J1368" s="271"/>
      <c r="K1368" s="234"/>
      <c r="L1368" s="307"/>
      <c r="M1368" s="272"/>
      <c r="N1368" s="253"/>
      <c r="O1368" s="256"/>
      <c r="P1368" s="256"/>
      <c r="Q1368" s="256"/>
      <c r="R1368" s="256"/>
      <c r="S1368" s="234"/>
      <c r="T1368" s="258"/>
    </row>
    <row r="1369" spans="2:20" ht="22.5" customHeight="1" x14ac:dyDescent="0.25">
      <c r="B1369" s="267"/>
      <c r="C1369" s="234"/>
      <c r="D1369" s="234"/>
      <c r="E1369" s="268"/>
      <c r="F1369" s="269"/>
      <c r="G1369" s="258"/>
      <c r="H1369" s="270"/>
      <c r="I1369" s="271"/>
      <c r="J1369" s="271"/>
      <c r="K1369" s="234"/>
      <c r="L1369" s="307"/>
      <c r="M1369" s="272"/>
      <c r="N1369" s="253"/>
      <c r="O1369" s="256"/>
      <c r="P1369" s="256"/>
      <c r="Q1369" s="256"/>
      <c r="R1369" s="256"/>
      <c r="S1369" s="234"/>
      <c r="T1369" s="258"/>
    </row>
    <row r="1370" spans="2:20" ht="22.5" customHeight="1" x14ac:dyDescent="0.25">
      <c r="B1370" s="267"/>
      <c r="C1370" s="234"/>
      <c r="D1370" s="234"/>
      <c r="E1370" s="268"/>
      <c r="F1370" s="269"/>
      <c r="G1370" s="258"/>
      <c r="H1370" s="270"/>
      <c r="I1370" s="271"/>
      <c r="J1370" s="271"/>
      <c r="K1370" s="234"/>
      <c r="L1370" s="307"/>
      <c r="M1370" s="272"/>
      <c r="N1370" s="253"/>
      <c r="O1370" s="256"/>
      <c r="P1370" s="256"/>
      <c r="Q1370" s="256"/>
      <c r="R1370" s="256"/>
      <c r="S1370" s="234"/>
      <c r="T1370" s="258"/>
    </row>
    <row r="1371" spans="2:20" ht="22.5" customHeight="1" x14ac:dyDescent="0.25">
      <c r="B1371" s="267"/>
      <c r="C1371" s="234"/>
      <c r="D1371" s="234"/>
      <c r="E1371" s="268"/>
      <c r="F1371" s="269"/>
      <c r="G1371" s="258"/>
      <c r="H1371" s="270"/>
      <c r="I1371" s="271"/>
      <c r="J1371" s="271"/>
      <c r="K1371" s="234"/>
      <c r="L1371" s="307"/>
      <c r="M1371" s="272"/>
      <c r="N1371" s="253"/>
      <c r="O1371" s="256"/>
      <c r="P1371" s="256"/>
      <c r="Q1371" s="256"/>
      <c r="R1371" s="256"/>
      <c r="S1371" s="234"/>
      <c r="T1371" s="258"/>
    </row>
    <row r="1372" spans="2:20" ht="22.5" customHeight="1" x14ac:dyDescent="0.25">
      <c r="B1372" s="267"/>
      <c r="C1372" s="234"/>
      <c r="D1372" s="234"/>
      <c r="E1372" s="268"/>
      <c r="F1372" s="269"/>
      <c r="G1372" s="258"/>
      <c r="H1372" s="270"/>
      <c r="I1372" s="271"/>
      <c r="J1372" s="271"/>
      <c r="K1372" s="234"/>
      <c r="L1372" s="307"/>
      <c r="M1372" s="272"/>
      <c r="N1372" s="253"/>
      <c r="O1372" s="256"/>
      <c r="P1372" s="256"/>
      <c r="Q1372" s="256"/>
      <c r="R1372" s="256"/>
      <c r="S1372" s="234"/>
      <c r="T1372" s="258"/>
    </row>
    <row r="1373" spans="2:20" ht="22.5" customHeight="1" x14ac:dyDescent="0.25">
      <c r="B1373" s="267"/>
      <c r="C1373" s="234"/>
      <c r="D1373" s="234"/>
      <c r="E1373" s="268"/>
      <c r="F1373" s="269"/>
      <c r="G1373" s="258"/>
      <c r="H1373" s="270"/>
      <c r="I1373" s="271"/>
      <c r="J1373" s="271"/>
      <c r="K1373" s="234"/>
      <c r="L1373" s="307"/>
      <c r="M1373" s="272"/>
      <c r="N1373" s="253"/>
      <c r="O1373" s="256"/>
      <c r="P1373" s="256"/>
      <c r="Q1373" s="256"/>
      <c r="R1373" s="256"/>
      <c r="S1373" s="234"/>
      <c r="T1373" s="258"/>
    </row>
    <row r="1374" spans="2:20" ht="22.5" customHeight="1" x14ac:dyDescent="0.25">
      <c r="B1374" s="267"/>
      <c r="C1374" s="234"/>
      <c r="D1374" s="234"/>
      <c r="E1374" s="268"/>
      <c r="F1374" s="269"/>
      <c r="G1374" s="258"/>
      <c r="H1374" s="270"/>
      <c r="I1374" s="271"/>
      <c r="J1374" s="271"/>
      <c r="K1374" s="234"/>
      <c r="L1374" s="307"/>
      <c r="M1374" s="272"/>
      <c r="N1374" s="253"/>
      <c r="O1374" s="256"/>
      <c r="P1374" s="256"/>
      <c r="Q1374" s="256"/>
      <c r="R1374" s="256"/>
      <c r="S1374" s="234"/>
      <c r="T1374" s="258"/>
    </row>
    <row r="1375" spans="2:20" ht="22.5" customHeight="1" x14ac:dyDescent="0.25">
      <c r="B1375" s="267"/>
      <c r="C1375" s="234"/>
      <c r="D1375" s="234"/>
      <c r="E1375" s="268"/>
      <c r="F1375" s="269"/>
      <c r="G1375" s="258"/>
      <c r="H1375" s="270"/>
      <c r="I1375" s="271"/>
      <c r="J1375" s="271"/>
      <c r="K1375" s="234"/>
      <c r="L1375" s="307"/>
      <c r="M1375" s="272"/>
      <c r="N1375" s="253"/>
      <c r="O1375" s="256"/>
      <c r="P1375" s="256"/>
      <c r="Q1375" s="256"/>
      <c r="R1375" s="256"/>
      <c r="S1375" s="234"/>
      <c r="T1375" s="258"/>
    </row>
    <row r="1376" spans="2:20" ht="22.5" customHeight="1" x14ac:dyDescent="0.25">
      <c r="B1376" s="267"/>
      <c r="C1376" s="234"/>
      <c r="D1376" s="234"/>
      <c r="E1376" s="268"/>
      <c r="F1376" s="269"/>
      <c r="G1376" s="258"/>
      <c r="H1376" s="270"/>
      <c r="I1376" s="271"/>
      <c r="J1376" s="271"/>
      <c r="K1376" s="234"/>
      <c r="L1376" s="307"/>
      <c r="M1376" s="272"/>
      <c r="N1376" s="253"/>
      <c r="O1376" s="256"/>
      <c r="P1376" s="256"/>
      <c r="Q1376" s="256"/>
      <c r="R1376" s="256"/>
      <c r="S1376" s="234"/>
      <c r="T1376" s="258"/>
    </row>
    <row r="1377" spans="2:20" ht="22.5" customHeight="1" x14ac:dyDescent="0.25">
      <c r="B1377" s="267"/>
      <c r="C1377" s="234"/>
      <c r="D1377" s="234"/>
      <c r="E1377" s="268"/>
      <c r="F1377" s="269"/>
      <c r="G1377" s="258"/>
      <c r="H1377" s="270"/>
      <c r="I1377" s="271"/>
      <c r="J1377" s="271"/>
      <c r="K1377" s="234"/>
      <c r="L1377" s="307"/>
      <c r="M1377" s="272"/>
      <c r="N1377" s="253"/>
      <c r="O1377" s="256"/>
      <c r="P1377" s="256"/>
      <c r="Q1377" s="256"/>
      <c r="R1377" s="256"/>
      <c r="S1377" s="234"/>
      <c r="T1377" s="258"/>
    </row>
    <row r="1378" spans="2:20" ht="22.5" customHeight="1" x14ac:dyDescent="0.25">
      <c r="B1378" s="267"/>
      <c r="C1378" s="234"/>
      <c r="D1378" s="234"/>
      <c r="E1378" s="268"/>
      <c r="F1378" s="269"/>
      <c r="G1378" s="258"/>
      <c r="H1378" s="270"/>
      <c r="I1378" s="271"/>
      <c r="J1378" s="271"/>
      <c r="K1378" s="234"/>
      <c r="L1378" s="307"/>
      <c r="M1378" s="272"/>
      <c r="N1378" s="253"/>
      <c r="O1378" s="256"/>
      <c r="P1378" s="256"/>
      <c r="Q1378" s="256"/>
      <c r="R1378" s="256"/>
      <c r="S1378" s="234"/>
      <c r="T1378" s="258"/>
    </row>
    <row r="1379" spans="2:20" ht="22.5" customHeight="1" x14ac:dyDescent="0.25">
      <c r="B1379" s="267"/>
      <c r="C1379" s="234"/>
      <c r="D1379" s="234"/>
      <c r="E1379" s="268"/>
      <c r="F1379" s="269"/>
      <c r="G1379" s="258"/>
      <c r="H1379" s="270"/>
      <c r="I1379" s="271"/>
      <c r="J1379" s="271"/>
      <c r="K1379" s="234"/>
      <c r="L1379" s="307"/>
      <c r="M1379" s="272"/>
      <c r="N1379" s="253"/>
      <c r="O1379" s="256"/>
      <c r="P1379" s="256"/>
      <c r="Q1379" s="256"/>
      <c r="R1379" s="256"/>
      <c r="S1379" s="234"/>
      <c r="T1379" s="258"/>
    </row>
    <row r="1380" spans="2:20" ht="22.5" customHeight="1" x14ac:dyDescent="0.25">
      <c r="B1380" s="267"/>
      <c r="C1380" s="234"/>
      <c r="D1380" s="234"/>
      <c r="E1380" s="268"/>
      <c r="F1380" s="269"/>
      <c r="G1380" s="258"/>
      <c r="H1380" s="270"/>
      <c r="I1380" s="271"/>
      <c r="J1380" s="271"/>
      <c r="K1380" s="234"/>
      <c r="L1380" s="307"/>
      <c r="M1380" s="272"/>
      <c r="N1380" s="253"/>
      <c r="O1380" s="256"/>
      <c r="P1380" s="256"/>
      <c r="Q1380" s="256"/>
      <c r="R1380" s="256"/>
      <c r="S1380" s="234"/>
      <c r="T1380" s="258"/>
    </row>
    <row r="1381" spans="2:20" ht="22.5" customHeight="1" x14ac:dyDescent="0.25">
      <c r="B1381" s="267"/>
      <c r="C1381" s="234"/>
      <c r="D1381" s="234"/>
      <c r="E1381" s="268"/>
      <c r="F1381" s="269"/>
      <c r="G1381" s="258"/>
      <c r="H1381" s="270"/>
      <c r="I1381" s="271"/>
      <c r="J1381" s="271"/>
      <c r="K1381" s="234"/>
      <c r="L1381" s="307"/>
      <c r="M1381" s="272"/>
      <c r="N1381" s="253"/>
      <c r="O1381" s="256"/>
      <c r="P1381" s="256"/>
      <c r="Q1381" s="256"/>
      <c r="R1381" s="256"/>
      <c r="S1381" s="234"/>
      <c r="T1381" s="258"/>
    </row>
    <row r="1382" spans="2:20" ht="22.5" customHeight="1" x14ac:dyDescent="0.25">
      <c r="B1382" s="267"/>
      <c r="C1382" s="234"/>
      <c r="D1382" s="234"/>
      <c r="E1382" s="268"/>
      <c r="F1382" s="269"/>
      <c r="G1382" s="258"/>
      <c r="H1382" s="270"/>
      <c r="I1382" s="271"/>
      <c r="J1382" s="271"/>
      <c r="K1382" s="234"/>
      <c r="L1382" s="307"/>
      <c r="M1382" s="272"/>
      <c r="N1382" s="253"/>
      <c r="O1382" s="256"/>
      <c r="P1382" s="256"/>
      <c r="Q1382" s="256"/>
      <c r="R1382" s="256"/>
      <c r="S1382" s="234"/>
      <c r="T1382" s="258"/>
    </row>
    <row r="1383" spans="2:20" ht="22.5" customHeight="1" x14ac:dyDescent="0.25">
      <c r="B1383" s="267"/>
      <c r="C1383" s="234"/>
      <c r="D1383" s="234"/>
      <c r="E1383" s="268"/>
      <c r="F1383" s="269"/>
      <c r="G1383" s="258"/>
      <c r="H1383" s="270"/>
      <c r="I1383" s="271"/>
      <c r="J1383" s="271"/>
      <c r="K1383" s="234"/>
      <c r="L1383" s="307"/>
      <c r="M1383" s="272"/>
      <c r="N1383" s="253"/>
      <c r="O1383" s="256"/>
      <c r="P1383" s="256"/>
      <c r="Q1383" s="256"/>
      <c r="R1383" s="256"/>
      <c r="S1383" s="234"/>
      <c r="T1383" s="258"/>
    </row>
    <row r="1384" spans="2:20" ht="22.5" customHeight="1" x14ac:dyDescent="0.25">
      <c r="B1384" s="267"/>
      <c r="C1384" s="234"/>
      <c r="D1384" s="234"/>
      <c r="E1384" s="268"/>
      <c r="F1384" s="269"/>
      <c r="G1384" s="258"/>
      <c r="H1384" s="270"/>
      <c r="I1384" s="271"/>
      <c r="J1384" s="271"/>
      <c r="K1384" s="234"/>
      <c r="L1384" s="307"/>
      <c r="M1384" s="272"/>
      <c r="N1384" s="253"/>
      <c r="O1384" s="256"/>
      <c r="P1384" s="256"/>
      <c r="Q1384" s="256"/>
      <c r="R1384" s="256"/>
      <c r="S1384" s="234"/>
      <c r="T1384" s="258"/>
    </row>
    <row r="1385" spans="2:20" ht="22.5" customHeight="1" x14ac:dyDescent="0.25">
      <c r="B1385" s="267"/>
      <c r="C1385" s="234"/>
      <c r="D1385" s="234"/>
      <c r="E1385" s="268"/>
      <c r="F1385" s="269"/>
      <c r="G1385" s="258"/>
      <c r="H1385" s="270"/>
      <c r="I1385" s="271"/>
      <c r="J1385" s="271"/>
      <c r="K1385" s="234"/>
      <c r="L1385" s="307"/>
      <c r="M1385" s="272"/>
      <c r="N1385" s="253"/>
      <c r="O1385" s="256"/>
      <c r="P1385" s="256"/>
      <c r="Q1385" s="256"/>
      <c r="R1385" s="256"/>
      <c r="S1385" s="234"/>
      <c r="T1385" s="258"/>
    </row>
    <row r="1386" spans="2:20" ht="22.5" customHeight="1" x14ac:dyDescent="0.25">
      <c r="B1386" s="267"/>
      <c r="C1386" s="234"/>
      <c r="D1386" s="234"/>
      <c r="E1386" s="268"/>
      <c r="F1386" s="269"/>
      <c r="G1386" s="258"/>
      <c r="H1386" s="270"/>
      <c r="I1386" s="271"/>
      <c r="J1386" s="271"/>
      <c r="K1386" s="234"/>
      <c r="L1386" s="307"/>
      <c r="M1386" s="272"/>
      <c r="N1386" s="253"/>
      <c r="O1386" s="256"/>
      <c r="P1386" s="256"/>
      <c r="Q1386" s="256"/>
      <c r="R1386" s="256"/>
      <c r="S1386" s="234"/>
      <c r="T1386" s="258"/>
    </row>
    <row r="1387" spans="2:20" ht="22.5" customHeight="1" x14ac:dyDescent="0.25">
      <c r="B1387" s="267"/>
      <c r="C1387" s="234"/>
      <c r="D1387" s="234"/>
      <c r="E1387" s="268"/>
      <c r="F1387" s="269"/>
      <c r="G1387" s="258"/>
      <c r="H1387" s="270"/>
      <c r="I1387" s="271"/>
      <c r="J1387" s="271"/>
      <c r="K1387" s="234"/>
      <c r="L1387" s="307"/>
      <c r="M1387" s="272"/>
      <c r="N1387" s="253"/>
      <c r="O1387" s="256"/>
      <c r="P1387" s="256"/>
      <c r="Q1387" s="256"/>
      <c r="R1387" s="256"/>
      <c r="S1387" s="234"/>
      <c r="T1387" s="258"/>
    </row>
    <row r="1388" spans="2:20" ht="22.5" customHeight="1" x14ac:dyDescent="0.25">
      <c r="B1388" s="267"/>
      <c r="C1388" s="234"/>
      <c r="D1388" s="234"/>
      <c r="E1388" s="268"/>
      <c r="F1388" s="269"/>
      <c r="G1388" s="258"/>
      <c r="H1388" s="270"/>
      <c r="I1388" s="271"/>
      <c r="J1388" s="271"/>
      <c r="K1388" s="234"/>
      <c r="L1388" s="307"/>
      <c r="M1388" s="272"/>
      <c r="N1388" s="253"/>
      <c r="O1388" s="256"/>
      <c r="P1388" s="256"/>
      <c r="Q1388" s="256"/>
      <c r="R1388" s="256"/>
      <c r="S1388" s="234"/>
      <c r="T1388" s="258"/>
    </row>
    <row r="1389" spans="2:20" ht="22.5" customHeight="1" x14ac:dyDescent="0.25">
      <c r="B1389" s="267"/>
      <c r="C1389" s="234"/>
      <c r="D1389" s="234"/>
      <c r="E1389" s="268"/>
      <c r="F1389" s="269"/>
      <c r="G1389" s="258"/>
      <c r="H1389" s="270"/>
      <c r="I1389" s="271"/>
      <c r="J1389" s="271"/>
      <c r="K1389" s="234"/>
      <c r="L1389" s="307"/>
      <c r="M1389" s="272"/>
      <c r="N1389" s="253"/>
      <c r="O1389" s="256"/>
      <c r="P1389" s="256"/>
      <c r="Q1389" s="256"/>
      <c r="R1389" s="256"/>
      <c r="S1389" s="234"/>
      <c r="T1389" s="258"/>
    </row>
    <row r="1390" spans="2:20" ht="22.5" customHeight="1" x14ac:dyDescent="0.25">
      <c r="B1390" s="267"/>
      <c r="C1390" s="234"/>
      <c r="D1390" s="234"/>
      <c r="E1390" s="268"/>
      <c r="F1390" s="269"/>
      <c r="G1390" s="258"/>
      <c r="H1390" s="270"/>
      <c r="I1390" s="271"/>
      <c r="J1390" s="271"/>
      <c r="K1390" s="234"/>
      <c r="L1390" s="307"/>
      <c r="M1390" s="272"/>
      <c r="N1390" s="253"/>
      <c r="O1390" s="256"/>
      <c r="P1390" s="256"/>
      <c r="Q1390" s="256"/>
      <c r="R1390" s="256"/>
      <c r="S1390" s="234"/>
      <c r="T1390" s="258"/>
    </row>
    <row r="1391" spans="2:20" ht="22.5" customHeight="1" x14ac:dyDescent="0.25">
      <c r="B1391" s="267"/>
      <c r="C1391" s="234"/>
      <c r="D1391" s="234"/>
      <c r="E1391" s="268"/>
      <c r="F1391" s="269"/>
      <c r="G1391" s="258"/>
      <c r="H1391" s="270"/>
      <c r="I1391" s="271"/>
      <c r="J1391" s="271"/>
      <c r="K1391" s="234"/>
      <c r="L1391" s="307"/>
      <c r="M1391" s="272"/>
      <c r="N1391" s="253"/>
      <c r="O1391" s="256"/>
      <c r="P1391" s="256"/>
      <c r="Q1391" s="256"/>
      <c r="R1391" s="256"/>
      <c r="S1391" s="234"/>
      <c r="T1391" s="258"/>
    </row>
    <row r="1392" spans="2:20" ht="22.5" customHeight="1" x14ac:dyDescent="0.25">
      <c r="B1392" s="267"/>
      <c r="C1392" s="234"/>
      <c r="D1392" s="234"/>
      <c r="E1392" s="268"/>
      <c r="F1392" s="269"/>
      <c r="G1392" s="258"/>
      <c r="H1392" s="270"/>
      <c r="I1392" s="271"/>
      <c r="J1392" s="271"/>
      <c r="K1392" s="234"/>
      <c r="L1392" s="307"/>
      <c r="M1392" s="272"/>
      <c r="N1392" s="253"/>
      <c r="O1392" s="256"/>
      <c r="P1392" s="256"/>
      <c r="Q1392" s="256"/>
      <c r="R1392" s="256"/>
      <c r="S1392" s="234"/>
      <c r="T1392" s="258"/>
    </row>
    <row r="1393" spans="2:20" ht="22.5" customHeight="1" x14ac:dyDescent="0.25">
      <c r="B1393" s="267"/>
      <c r="C1393" s="234"/>
      <c r="D1393" s="234"/>
      <c r="E1393" s="268"/>
      <c r="F1393" s="269"/>
      <c r="G1393" s="258"/>
      <c r="H1393" s="270"/>
      <c r="I1393" s="271"/>
      <c r="J1393" s="271"/>
      <c r="K1393" s="234"/>
      <c r="L1393" s="307"/>
      <c r="M1393" s="272"/>
      <c r="N1393" s="253"/>
      <c r="O1393" s="256"/>
      <c r="P1393" s="256"/>
      <c r="Q1393" s="256"/>
      <c r="R1393" s="256"/>
      <c r="S1393" s="234"/>
      <c r="T1393" s="258"/>
    </row>
    <row r="1394" spans="2:20" ht="22.5" customHeight="1" x14ac:dyDescent="0.25">
      <c r="B1394" s="267"/>
      <c r="C1394" s="234"/>
      <c r="D1394" s="234"/>
      <c r="E1394" s="268"/>
      <c r="F1394" s="269"/>
      <c r="G1394" s="258"/>
      <c r="H1394" s="270"/>
      <c r="I1394" s="271"/>
      <c r="J1394" s="271"/>
      <c r="K1394" s="234"/>
      <c r="L1394" s="307"/>
      <c r="M1394" s="272"/>
      <c r="N1394" s="253"/>
      <c r="O1394" s="256"/>
      <c r="P1394" s="256"/>
      <c r="Q1394" s="256"/>
      <c r="R1394" s="256"/>
      <c r="S1394" s="234"/>
      <c r="T1394" s="258"/>
    </row>
    <row r="1395" spans="2:20" ht="22.5" customHeight="1" x14ac:dyDescent="0.25">
      <c r="B1395" s="267"/>
      <c r="C1395" s="234"/>
      <c r="D1395" s="234"/>
      <c r="E1395" s="268"/>
      <c r="F1395" s="269"/>
      <c r="G1395" s="258"/>
      <c r="H1395" s="270"/>
      <c r="I1395" s="271"/>
      <c r="J1395" s="271"/>
      <c r="K1395" s="234"/>
      <c r="L1395" s="307"/>
      <c r="M1395" s="272"/>
      <c r="N1395" s="253"/>
      <c r="O1395" s="256"/>
      <c r="P1395" s="256"/>
      <c r="Q1395" s="256"/>
      <c r="R1395" s="256"/>
      <c r="S1395" s="234"/>
      <c r="T1395" s="258"/>
    </row>
    <row r="1396" spans="2:20" ht="22.5" customHeight="1" x14ac:dyDescent="0.25">
      <c r="B1396" s="267"/>
      <c r="C1396" s="234"/>
      <c r="D1396" s="234"/>
      <c r="E1396" s="268"/>
      <c r="F1396" s="269"/>
      <c r="G1396" s="258"/>
      <c r="H1396" s="270"/>
      <c r="I1396" s="271"/>
      <c r="J1396" s="271"/>
      <c r="K1396" s="234"/>
      <c r="L1396" s="307"/>
      <c r="M1396" s="272"/>
      <c r="N1396" s="253"/>
      <c r="O1396" s="256"/>
      <c r="P1396" s="256"/>
      <c r="Q1396" s="256"/>
      <c r="R1396" s="256"/>
      <c r="S1396" s="234"/>
      <c r="T1396" s="258"/>
    </row>
    <row r="1397" spans="2:20" ht="22.5" customHeight="1" x14ac:dyDescent="0.25">
      <c r="B1397" s="267"/>
      <c r="C1397" s="234"/>
      <c r="D1397" s="234"/>
      <c r="E1397" s="268"/>
      <c r="F1397" s="269"/>
      <c r="G1397" s="258"/>
      <c r="H1397" s="270"/>
      <c r="I1397" s="271"/>
      <c r="J1397" s="271"/>
      <c r="K1397" s="234"/>
      <c r="L1397" s="307"/>
      <c r="M1397" s="272"/>
      <c r="N1397" s="253"/>
      <c r="O1397" s="256"/>
      <c r="P1397" s="256"/>
      <c r="Q1397" s="256"/>
      <c r="R1397" s="256"/>
      <c r="S1397" s="234"/>
      <c r="T1397" s="258"/>
    </row>
    <row r="1398" spans="2:20" ht="22.5" customHeight="1" x14ac:dyDescent="0.25">
      <c r="B1398" s="267"/>
      <c r="C1398" s="234"/>
      <c r="D1398" s="234"/>
      <c r="E1398" s="268"/>
      <c r="F1398" s="269"/>
      <c r="G1398" s="258"/>
      <c r="H1398" s="270"/>
      <c r="I1398" s="271"/>
      <c r="J1398" s="271"/>
      <c r="K1398" s="234"/>
      <c r="L1398" s="307"/>
      <c r="M1398" s="272"/>
      <c r="N1398" s="253"/>
      <c r="O1398" s="256"/>
      <c r="P1398" s="256"/>
      <c r="Q1398" s="256"/>
      <c r="R1398" s="256"/>
      <c r="S1398" s="234"/>
      <c r="T1398" s="258"/>
    </row>
    <row r="1399" spans="2:20" ht="22.5" customHeight="1" x14ac:dyDescent="0.25">
      <c r="B1399" s="267"/>
      <c r="C1399" s="234"/>
      <c r="D1399" s="234"/>
      <c r="E1399" s="268"/>
      <c r="F1399" s="269"/>
      <c r="G1399" s="258"/>
      <c r="H1399" s="270"/>
      <c r="I1399" s="271"/>
      <c r="J1399" s="271"/>
      <c r="K1399" s="234"/>
      <c r="L1399" s="307"/>
      <c r="M1399" s="272"/>
      <c r="N1399" s="253"/>
      <c r="O1399" s="256"/>
      <c r="P1399" s="256"/>
      <c r="Q1399" s="256"/>
      <c r="R1399" s="256"/>
      <c r="S1399" s="234"/>
      <c r="T1399" s="258"/>
    </row>
    <row r="1400" spans="2:20" ht="22.5" customHeight="1" x14ac:dyDescent="0.25">
      <c r="B1400" s="267"/>
      <c r="C1400" s="234"/>
      <c r="D1400" s="234"/>
      <c r="E1400" s="268"/>
      <c r="F1400" s="269"/>
      <c r="G1400" s="258"/>
      <c r="H1400" s="270"/>
      <c r="I1400" s="271"/>
      <c r="J1400" s="271"/>
      <c r="K1400" s="234"/>
      <c r="L1400" s="307"/>
      <c r="M1400" s="272"/>
      <c r="N1400" s="253"/>
      <c r="O1400" s="256"/>
      <c r="P1400" s="256"/>
      <c r="Q1400" s="256"/>
      <c r="R1400" s="256"/>
      <c r="S1400" s="234"/>
      <c r="T1400" s="258"/>
    </row>
    <row r="1401" spans="2:20" ht="22.5" customHeight="1" x14ac:dyDescent="0.25">
      <c r="B1401" s="267"/>
      <c r="C1401" s="234"/>
      <c r="D1401" s="234"/>
      <c r="E1401" s="268"/>
      <c r="F1401" s="269"/>
      <c r="G1401" s="258"/>
      <c r="H1401" s="270"/>
      <c r="I1401" s="271"/>
      <c r="J1401" s="271"/>
      <c r="K1401" s="234"/>
      <c r="L1401" s="307"/>
      <c r="M1401" s="272"/>
      <c r="N1401" s="253"/>
      <c r="O1401" s="256"/>
      <c r="P1401" s="256"/>
      <c r="Q1401" s="256"/>
      <c r="R1401" s="256"/>
      <c r="S1401" s="234"/>
      <c r="T1401" s="258"/>
    </row>
    <row r="1402" spans="2:20" ht="22.5" customHeight="1" x14ac:dyDescent="0.25">
      <c r="B1402" s="267"/>
      <c r="C1402" s="234"/>
      <c r="D1402" s="234"/>
      <c r="E1402" s="268"/>
      <c r="F1402" s="269"/>
      <c r="G1402" s="258"/>
      <c r="H1402" s="270"/>
      <c r="I1402" s="271"/>
      <c r="J1402" s="271"/>
      <c r="K1402" s="234"/>
      <c r="L1402" s="307"/>
      <c r="M1402" s="272"/>
      <c r="N1402" s="253"/>
      <c r="O1402" s="256"/>
      <c r="P1402" s="256"/>
      <c r="Q1402" s="256"/>
      <c r="R1402" s="256"/>
      <c r="S1402" s="234"/>
      <c r="T1402" s="258"/>
    </row>
    <row r="1403" spans="2:20" ht="22.5" customHeight="1" x14ac:dyDescent="0.25">
      <c r="B1403" s="267"/>
      <c r="C1403" s="234"/>
      <c r="D1403" s="234"/>
      <c r="E1403" s="268"/>
      <c r="F1403" s="269"/>
      <c r="G1403" s="258"/>
      <c r="H1403" s="270"/>
      <c r="I1403" s="271"/>
      <c r="J1403" s="271"/>
      <c r="K1403" s="234"/>
      <c r="L1403" s="307"/>
      <c r="M1403" s="272"/>
      <c r="N1403" s="253"/>
      <c r="O1403" s="256"/>
      <c r="P1403" s="256"/>
      <c r="Q1403" s="256"/>
      <c r="R1403" s="256"/>
      <c r="S1403" s="234"/>
      <c r="T1403" s="258"/>
    </row>
    <row r="1404" spans="2:20" ht="22.5" customHeight="1" x14ac:dyDescent="0.25">
      <c r="B1404" s="267"/>
      <c r="C1404" s="234"/>
      <c r="D1404" s="234"/>
      <c r="E1404" s="268"/>
      <c r="F1404" s="269"/>
      <c r="G1404" s="258"/>
      <c r="H1404" s="270"/>
      <c r="I1404" s="271"/>
      <c r="J1404" s="271"/>
      <c r="K1404" s="234"/>
      <c r="L1404" s="307"/>
      <c r="M1404" s="272"/>
      <c r="N1404" s="253"/>
      <c r="O1404" s="256"/>
      <c r="P1404" s="256"/>
      <c r="Q1404" s="256"/>
      <c r="R1404" s="256"/>
      <c r="S1404" s="234"/>
      <c r="T1404" s="258"/>
    </row>
    <row r="1405" spans="2:20" ht="22.5" customHeight="1" x14ac:dyDescent="0.25">
      <c r="B1405" s="267"/>
      <c r="C1405" s="234"/>
      <c r="D1405" s="234"/>
      <c r="E1405" s="268"/>
      <c r="F1405" s="269"/>
      <c r="G1405" s="258"/>
      <c r="H1405" s="270"/>
      <c r="I1405" s="271"/>
      <c r="J1405" s="271"/>
      <c r="K1405" s="234"/>
      <c r="L1405" s="307"/>
      <c r="M1405" s="272"/>
      <c r="N1405" s="253"/>
      <c r="O1405" s="256"/>
      <c r="P1405" s="256"/>
      <c r="Q1405" s="256"/>
      <c r="R1405" s="256"/>
      <c r="S1405" s="234"/>
      <c r="T1405" s="258"/>
    </row>
    <row r="1406" spans="2:20" ht="22.5" customHeight="1" x14ac:dyDescent="0.25">
      <c r="B1406" s="267"/>
      <c r="C1406" s="234"/>
      <c r="D1406" s="234"/>
      <c r="E1406" s="268"/>
      <c r="F1406" s="269"/>
      <c r="G1406" s="258"/>
      <c r="H1406" s="270"/>
      <c r="I1406" s="271"/>
      <c r="J1406" s="271"/>
      <c r="K1406" s="234"/>
      <c r="L1406" s="307"/>
      <c r="M1406" s="272"/>
      <c r="N1406" s="253"/>
      <c r="O1406" s="256"/>
      <c r="P1406" s="256"/>
      <c r="Q1406" s="256"/>
      <c r="R1406" s="256"/>
      <c r="S1406" s="234"/>
      <c r="T1406" s="258"/>
    </row>
    <row r="1407" spans="2:20" ht="22.5" customHeight="1" x14ac:dyDescent="0.25">
      <c r="B1407" s="267"/>
      <c r="C1407" s="234"/>
      <c r="D1407" s="234"/>
      <c r="E1407" s="268"/>
      <c r="F1407" s="269"/>
      <c r="G1407" s="258"/>
      <c r="H1407" s="270"/>
      <c r="I1407" s="271"/>
      <c r="J1407" s="271"/>
      <c r="K1407" s="234"/>
      <c r="L1407" s="307"/>
      <c r="M1407" s="272"/>
      <c r="N1407" s="253"/>
      <c r="O1407" s="256"/>
      <c r="P1407" s="256"/>
      <c r="Q1407" s="256"/>
      <c r="R1407" s="256"/>
      <c r="S1407" s="234"/>
      <c r="T1407" s="258"/>
    </row>
    <row r="1408" spans="2:20" ht="22.5" customHeight="1" x14ac:dyDescent="0.25">
      <c r="B1408" s="267"/>
      <c r="C1408" s="234"/>
      <c r="D1408" s="234"/>
      <c r="E1408" s="268"/>
      <c r="F1408" s="269"/>
      <c r="G1408" s="258"/>
      <c r="H1408" s="270"/>
      <c r="I1408" s="271"/>
      <c r="J1408" s="271"/>
      <c r="K1408" s="234"/>
      <c r="L1408" s="307"/>
      <c r="M1408" s="272"/>
      <c r="N1408" s="253"/>
      <c r="O1408" s="256"/>
      <c r="P1408" s="256"/>
      <c r="Q1408" s="256"/>
      <c r="R1408" s="256"/>
      <c r="S1408" s="234"/>
      <c r="T1408" s="258"/>
    </row>
    <row r="1409" spans="2:20" ht="22.5" customHeight="1" x14ac:dyDescent="0.25">
      <c r="B1409" s="267"/>
      <c r="C1409" s="234"/>
      <c r="D1409" s="234"/>
      <c r="E1409" s="268"/>
      <c r="F1409" s="269"/>
      <c r="G1409" s="258"/>
      <c r="H1409" s="270"/>
      <c r="I1409" s="271"/>
      <c r="J1409" s="271"/>
      <c r="K1409" s="234"/>
      <c r="L1409" s="307"/>
      <c r="M1409" s="272"/>
      <c r="N1409" s="253"/>
      <c r="O1409" s="256"/>
      <c r="P1409" s="256"/>
      <c r="Q1409" s="256"/>
      <c r="R1409" s="256"/>
      <c r="S1409" s="234"/>
      <c r="T1409" s="258"/>
    </row>
    <row r="1410" spans="2:20" ht="22.5" customHeight="1" x14ac:dyDescent="0.25">
      <c r="B1410" s="267"/>
      <c r="C1410" s="234"/>
      <c r="D1410" s="234"/>
      <c r="E1410" s="268"/>
      <c r="F1410" s="269"/>
      <c r="G1410" s="258"/>
      <c r="H1410" s="270"/>
      <c r="I1410" s="271"/>
      <c r="J1410" s="271"/>
      <c r="K1410" s="234"/>
      <c r="L1410" s="307"/>
      <c r="M1410" s="272"/>
      <c r="N1410" s="253"/>
      <c r="O1410" s="256"/>
      <c r="P1410" s="256"/>
      <c r="Q1410" s="256"/>
      <c r="R1410" s="256"/>
      <c r="S1410" s="234"/>
      <c r="T1410" s="258"/>
    </row>
    <row r="1411" spans="2:20" ht="22.5" customHeight="1" x14ac:dyDescent="0.25">
      <c r="B1411" s="267"/>
      <c r="C1411" s="234"/>
      <c r="D1411" s="234"/>
      <c r="E1411" s="268"/>
      <c r="F1411" s="269"/>
      <c r="G1411" s="258"/>
      <c r="H1411" s="270"/>
      <c r="I1411" s="271"/>
      <c r="J1411" s="271"/>
      <c r="K1411" s="234"/>
      <c r="L1411" s="307"/>
      <c r="M1411" s="272"/>
      <c r="N1411" s="253"/>
      <c r="O1411" s="256"/>
      <c r="P1411" s="256"/>
      <c r="Q1411" s="256"/>
      <c r="R1411" s="256"/>
      <c r="S1411" s="234"/>
      <c r="T1411" s="258"/>
    </row>
    <row r="1412" spans="2:20" ht="22.5" customHeight="1" x14ac:dyDescent="0.25">
      <c r="B1412" s="267"/>
      <c r="C1412" s="234"/>
      <c r="D1412" s="234"/>
      <c r="E1412" s="268"/>
      <c r="F1412" s="269"/>
      <c r="G1412" s="258"/>
      <c r="H1412" s="270"/>
      <c r="I1412" s="271"/>
      <c r="J1412" s="271"/>
      <c r="K1412" s="234"/>
      <c r="L1412" s="307"/>
      <c r="M1412" s="272"/>
      <c r="N1412" s="253"/>
      <c r="O1412" s="256"/>
      <c r="P1412" s="256"/>
      <c r="Q1412" s="256"/>
      <c r="R1412" s="256"/>
      <c r="S1412" s="234"/>
      <c r="T1412" s="258"/>
    </row>
    <row r="1413" spans="2:20" ht="22.5" customHeight="1" x14ac:dyDescent="0.25">
      <c r="B1413" s="267"/>
      <c r="C1413" s="234"/>
      <c r="D1413" s="234"/>
      <c r="E1413" s="268"/>
      <c r="F1413" s="269"/>
      <c r="G1413" s="258"/>
      <c r="H1413" s="270"/>
      <c r="I1413" s="271"/>
      <c r="J1413" s="271"/>
      <c r="K1413" s="234"/>
      <c r="L1413" s="307"/>
      <c r="M1413" s="272"/>
      <c r="N1413" s="253"/>
      <c r="O1413" s="256"/>
      <c r="P1413" s="256"/>
      <c r="Q1413" s="256"/>
      <c r="R1413" s="256"/>
      <c r="S1413" s="234"/>
      <c r="T1413" s="258"/>
    </row>
    <row r="1414" spans="2:20" ht="22.5" customHeight="1" x14ac:dyDescent="0.25">
      <c r="B1414" s="267"/>
      <c r="C1414" s="234"/>
      <c r="D1414" s="234"/>
      <c r="E1414" s="268"/>
      <c r="F1414" s="269"/>
      <c r="G1414" s="258"/>
      <c r="H1414" s="270"/>
      <c r="I1414" s="271"/>
      <c r="J1414" s="271"/>
      <c r="K1414" s="234"/>
      <c r="L1414" s="307"/>
      <c r="M1414" s="272"/>
      <c r="N1414" s="253"/>
      <c r="O1414" s="256"/>
      <c r="P1414" s="256"/>
      <c r="Q1414" s="256"/>
      <c r="R1414" s="256"/>
      <c r="S1414" s="234"/>
      <c r="T1414" s="258"/>
    </row>
    <row r="1415" spans="2:20" ht="22.5" customHeight="1" x14ac:dyDescent="0.25">
      <c r="B1415" s="267"/>
      <c r="C1415" s="234"/>
      <c r="D1415" s="234"/>
      <c r="E1415" s="268"/>
      <c r="F1415" s="269"/>
      <c r="G1415" s="258"/>
      <c r="H1415" s="270"/>
      <c r="I1415" s="271"/>
      <c r="J1415" s="271"/>
      <c r="K1415" s="234"/>
      <c r="L1415" s="307"/>
      <c r="M1415" s="272"/>
      <c r="N1415" s="253"/>
      <c r="O1415" s="256"/>
      <c r="P1415" s="256"/>
      <c r="Q1415" s="256"/>
      <c r="R1415" s="256"/>
      <c r="S1415" s="234"/>
      <c r="T1415" s="258"/>
    </row>
    <row r="1416" spans="2:20" ht="22.5" customHeight="1" x14ac:dyDescent="0.25">
      <c r="B1416" s="267"/>
      <c r="C1416" s="234"/>
      <c r="D1416" s="234"/>
      <c r="E1416" s="268"/>
      <c r="F1416" s="269"/>
      <c r="G1416" s="258"/>
      <c r="H1416" s="270"/>
      <c r="I1416" s="271"/>
      <c r="J1416" s="271"/>
      <c r="K1416" s="234"/>
      <c r="L1416" s="307"/>
      <c r="M1416" s="272"/>
      <c r="N1416" s="253"/>
      <c r="O1416" s="256"/>
      <c r="P1416" s="256"/>
      <c r="Q1416" s="256"/>
      <c r="R1416" s="256"/>
      <c r="S1416" s="234"/>
      <c r="T1416" s="258"/>
    </row>
    <row r="1417" spans="2:20" ht="22.5" customHeight="1" x14ac:dyDescent="0.25">
      <c r="B1417" s="267"/>
      <c r="C1417" s="234"/>
      <c r="D1417" s="234"/>
      <c r="E1417" s="268"/>
      <c r="F1417" s="269"/>
      <c r="G1417" s="258"/>
      <c r="H1417" s="270"/>
      <c r="I1417" s="271"/>
      <c r="J1417" s="271"/>
      <c r="K1417" s="234"/>
      <c r="L1417" s="307"/>
      <c r="M1417" s="272"/>
      <c r="N1417" s="253"/>
      <c r="O1417" s="256"/>
      <c r="P1417" s="256"/>
      <c r="Q1417" s="256"/>
      <c r="R1417" s="256"/>
      <c r="S1417" s="234"/>
      <c r="T1417" s="258"/>
    </row>
    <row r="1418" spans="2:20" ht="22.5" customHeight="1" x14ac:dyDescent="0.25">
      <c r="B1418" s="267"/>
      <c r="C1418" s="234"/>
      <c r="D1418" s="234"/>
      <c r="E1418" s="268"/>
      <c r="F1418" s="269"/>
      <c r="G1418" s="258"/>
      <c r="H1418" s="270"/>
      <c r="I1418" s="271"/>
      <c r="J1418" s="271"/>
      <c r="K1418" s="234"/>
      <c r="L1418" s="307"/>
      <c r="M1418" s="272"/>
      <c r="N1418" s="253"/>
      <c r="O1418" s="256"/>
      <c r="P1418" s="256"/>
      <c r="Q1418" s="256"/>
      <c r="R1418" s="256"/>
      <c r="S1418" s="234"/>
      <c r="T1418" s="258"/>
    </row>
    <row r="1419" spans="2:20" ht="22.5" customHeight="1" x14ac:dyDescent="0.25">
      <c r="B1419" s="267"/>
      <c r="C1419" s="234"/>
      <c r="D1419" s="234"/>
      <c r="E1419" s="268"/>
      <c r="F1419" s="269"/>
      <c r="G1419" s="258"/>
      <c r="H1419" s="270"/>
      <c r="I1419" s="271"/>
      <c r="J1419" s="271"/>
      <c r="K1419" s="234"/>
      <c r="L1419" s="307"/>
      <c r="M1419" s="272"/>
      <c r="N1419" s="253"/>
      <c r="O1419" s="256"/>
      <c r="P1419" s="256"/>
      <c r="Q1419" s="256"/>
      <c r="R1419" s="256"/>
      <c r="S1419" s="234"/>
      <c r="T1419" s="258"/>
    </row>
    <row r="1420" spans="2:20" ht="22.5" customHeight="1" x14ac:dyDescent="0.25">
      <c r="B1420" s="267"/>
      <c r="C1420" s="234"/>
      <c r="D1420" s="234"/>
      <c r="E1420" s="268"/>
      <c r="F1420" s="269"/>
      <c r="G1420" s="258"/>
      <c r="H1420" s="270"/>
      <c r="I1420" s="271"/>
      <c r="J1420" s="271"/>
      <c r="K1420" s="234"/>
      <c r="L1420" s="307"/>
      <c r="M1420" s="272"/>
      <c r="N1420" s="253"/>
      <c r="O1420" s="256"/>
      <c r="P1420" s="256"/>
      <c r="Q1420" s="256"/>
      <c r="R1420" s="256"/>
      <c r="S1420" s="234"/>
      <c r="T1420" s="258"/>
    </row>
    <row r="1421" spans="2:20" ht="22.5" customHeight="1" x14ac:dyDescent="0.25">
      <c r="B1421" s="267"/>
      <c r="C1421" s="234"/>
      <c r="D1421" s="234"/>
      <c r="E1421" s="268"/>
      <c r="F1421" s="269"/>
      <c r="G1421" s="258"/>
      <c r="H1421" s="270"/>
      <c r="I1421" s="271"/>
      <c r="J1421" s="271"/>
      <c r="K1421" s="234"/>
      <c r="L1421" s="307"/>
      <c r="M1421" s="272"/>
      <c r="N1421" s="253"/>
      <c r="O1421" s="256"/>
      <c r="P1421" s="256"/>
      <c r="Q1421" s="256"/>
      <c r="R1421" s="256"/>
      <c r="S1421" s="234"/>
      <c r="T1421" s="258"/>
    </row>
    <row r="1422" spans="2:20" ht="22.5" customHeight="1" x14ac:dyDescent="0.25">
      <c r="B1422" s="267"/>
      <c r="C1422" s="234"/>
      <c r="D1422" s="234"/>
      <c r="E1422" s="268"/>
      <c r="F1422" s="269"/>
      <c r="G1422" s="258"/>
      <c r="H1422" s="270"/>
      <c r="I1422" s="271"/>
      <c r="J1422" s="271"/>
      <c r="K1422" s="234"/>
      <c r="L1422" s="307"/>
      <c r="M1422" s="272"/>
      <c r="N1422" s="253"/>
      <c r="O1422" s="256"/>
      <c r="P1422" s="256"/>
      <c r="Q1422" s="256"/>
      <c r="R1422" s="256"/>
      <c r="S1422" s="234"/>
      <c r="T1422" s="258"/>
    </row>
    <row r="1423" spans="2:20" ht="22.5" customHeight="1" x14ac:dyDescent="0.25">
      <c r="B1423" s="267"/>
      <c r="C1423" s="234"/>
      <c r="D1423" s="234"/>
      <c r="E1423" s="268"/>
      <c r="F1423" s="269"/>
      <c r="G1423" s="258"/>
      <c r="H1423" s="270"/>
      <c r="I1423" s="271"/>
      <c r="J1423" s="271"/>
      <c r="K1423" s="234"/>
      <c r="L1423" s="307"/>
      <c r="M1423" s="272"/>
      <c r="N1423" s="253"/>
      <c r="O1423" s="256"/>
      <c r="P1423" s="256"/>
      <c r="Q1423" s="256"/>
      <c r="R1423" s="256"/>
      <c r="S1423" s="234"/>
      <c r="T1423" s="258"/>
    </row>
    <row r="1424" spans="2:20" ht="22.5" customHeight="1" x14ac:dyDescent="0.25">
      <c r="B1424" s="267"/>
      <c r="C1424" s="234"/>
      <c r="D1424" s="234"/>
      <c r="E1424" s="268"/>
      <c r="F1424" s="269"/>
      <c r="G1424" s="258"/>
      <c r="H1424" s="270"/>
      <c r="I1424" s="271"/>
      <c r="J1424" s="271"/>
      <c r="K1424" s="234"/>
      <c r="L1424" s="307"/>
      <c r="M1424" s="272"/>
      <c r="N1424" s="253"/>
      <c r="O1424" s="256"/>
      <c r="P1424" s="256"/>
      <c r="Q1424" s="256"/>
      <c r="R1424" s="256"/>
      <c r="S1424" s="234"/>
      <c r="T1424" s="258"/>
    </row>
    <row r="1425" spans="2:20" ht="22.5" customHeight="1" x14ac:dyDescent="0.25">
      <c r="B1425" s="267"/>
      <c r="C1425" s="234"/>
      <c r="D1425" s="234"/>
      <c r="E1425" s="268"/>
      <c r="F1425" s="269"/>
      <c r="G1425" s="258"/>
      <c r="H1425" s="270"/>
      <c r="I1425" s="271"/>
      <c r="J1425" s="271"/>
      <c r="K1425" s="234"/>
      <c r="L1425" s="307"/>
      <c r="M1425" s="272"/>
      <c r="N1425" s="253"/>
      <c r="O1425" s="256"/>
      <c r="P1425" s="256"/>
      <c r="Q1425" s="256"/>
      <c r="R1425" s="256"/>
      <c r="S1425" s="234"/>
      <c r="T1425" s="258"/>
    </row>
    <row r="1426" spans="2:20" ht="22.5" customHeight="1" x14ac:dyDescent="0.25">
      <c r="B1426" s="267"/>
      <c r="C1426" s="234"/>
      <c r="D1426" s="234"/>
      <c r="E1426" s="268"/>
      <c r="F1426" s="269"/>
      <c r="G1426" s="258"/>
      <c r="H1426" s="270"/>
      <c r="I1426" s="271"/>
      <c r="J1426" s="271"/>
      <c r="K1426" s="234"/>
      <c r="L1426" s="307"/>
      <c r="M1426" s="272"/>
      <c r="N1426" s="253"/>
      <c r="O1426" s="256"/>
      <c r="P1426" s="256"/>
      <c r="Q1426" s="256"/>
      <c r="R1426" s="256"/>
      <c r="S1426" s="234"/>
      <c r="T1426" s="258"/>
    </row>
    <row r="1427" spans="2:20" ht="22.5" customHeight="1" x14ac:dyDescent="0.25">
      <c r="B1427" s="267"/>
      <c r="C1427" s="234"/>
      <c r="D1427" s="234"/>
      <c r="E1427" s="268"/>
      <c r="F1427" s="269"/>
      <c r="G1427" s="258"/>
      <c r="H1427" s="270"/>
      <c r="I1427" s="271"/>
      <c r="J1427" s="271"/>
      <c r="K1427" s="234"/>
      <c r="L1427" s="307"/>
      <c r="M1427" s="272"/>
      <c r="N1427" s="253"/>
      <c r="O1427" s="256"/>
      <c r="P1427" s="256"/>
      <c r="Q1427" s="256"/>
      <c r="R1427" s="256"/>
      <c r="S1427" s="234"/>
      <c r="T1427" s="258"/>
    </row>
    <row r="1428" spans="2:20" ht="22.5" customHeight="1" x14ac:dyDescent="0.25">
      <c r="B1428" s="267"/>
      <c r="C1428" s="234"/>
      <c r="D1428" s="234"/>
      <c r="E1428" s="268"/>
      <c r="F1428" s="269"/>
      <c r="G1428" s="258"/>
      <c r="H1428" s="270"/>
      <c r="I1428" s="271"/>
      <c r="J1428" s="271"/>
      <c r="K1428" s="234"/>
      <c r="L1428" s="307"/>
      <c r="M1428" s="272"/>
      <c r="N1428" s="253"/>
      <c r="O1428" s="256"/>
      <c r="P1428" s="256"/>
      <c r="Q1428" s="256"/>
      <c r="R1428" s="256"/>
      <c r="S1428" s="234"/>
      <c r="T1428" s="258"/>
    </row>
    <row r="1429" spans="2:20" ht="22.5" customHeight="1" x14ac:dyDescent="0.25">
      <c r="B1429" s="267"/>
      <c r="C1429" s="234"/>
      <c r="D1429" s="234"/>
      <c r="E1429" s="268"/>
      <c r="F1429" s="269"/>
      <c r="G1429" s="258"/>
      <c r="H1429" s="270"/>
      <c r="I1429" s="271"/>
      <c r="J1429" s="271"/>
      <c r="K1429" s="234"/>
      <c r="L1429" s="307"/>
      <c r="M1429" s="272"/>
      <c r="N1429" s="253"/>
      <c r="O1429" s="256"/>
      <c r="P1429" s="256"/>
      <c r="Q1429" s="256"/>
      <c r="R1429" s="256"/>
      <c r="S1429" s="234"/>
      <c r="T1429" s="258"/>
    </row>
    <row r="1430" spans="2:20" ht="22.5" customHeight="1" x14ac:dyDescent="0.25">
      <c r="B1430" s="267"/>
      <c r="C1430" s="234"/>
      <c r="D1430" s="234"/>
      <c r="E1430" s="268"/>
      <c r="F1430" s="269"/>
      <c r="G1430" s="258"/>
      <c r="H1430" s="270"/>
      <c r="I1430" s="271"/>
      <c r="J1430" s="271"/>
      <c r="K1430" s="234"/>
      <c r="L1430" s="307"/>
      <c r="M1430" s="272"/>
      <c r="N1430" s="253"/>
      <c r="O1430" s="256"/>
      <c r="P1430" s="256"/>
      <c r="Q1430" s="256"/>
      <c r="R1430" s="256"/>
      <c r="S1430" s="234"/>
      <c r="T1430" s="258"/>
    </row>
    <row r="1431" spans="2:20" ht="22.5" customHeight="1" x14ac:dyDescent="0.25">
      <c r="B1431" s="267"/>
      <c r="C1431" s="234"/>
      <c r="D1431" s="234"/>
      <c r="E1431" s="268"/>
      <c r="F1431" s="269"/>
      <c r="G1431" s="258"/>
      <c r="H1431" s="270"/>
      <c r="I1431" s="271"/>
      <c r="J1431" s="271"/>
      <c r="K1431" s="234"/>
      <c r="L1431" s="307"/>
      <c r="M1431" s="272"/>
      <c r="N1431" s="253"/>
      <c r="O1431" s="256"/>
      <c r="P1431" s="256"/>
      <c r="Q1431" s="256"/>
      <c r="R1431" s="256"/>
      <c r="S1431" s="234"/>
      <c r="T1431" s="258"/>
    </row>
    <row r="1432" spans="2:20" ht="22.5" customHeight="1" x14ac:dyDescent="0.25">
      <c r="B1432" s="267"/>
      <c r="C1432" s="234"/>
      <c r="D1432" s="234"/>
      <c r="E1432" s="268"/>
      <c r="F1432" s="269"/>
      <c r="G1432" s="258"/>
      <c r="H1432" s="270"/>
      <c r="I1432" s="271"/>
      <c r="J1432" s="271"/>
      <c r="K1432" s="234"/>
      <c r="L1432" s="307"/>
      <c r="M1432" s="272"/>
      <c r="N1432" s="253"/>
      <c r="O1432" s="256"/>
      <c r="P1432" s="256"/>
      <c r="Q1432" s="256"/>
      <c r="R1432" s="256"/>
      <c r="S1432" s="234"/>
      <c r="T1432" s="258"/>
    </row>
    <row r="1433" spans="2:20" ht="22.5" customHeight="1" x14ac:dyDescent="0.25">
      <c r="B1433" s="267"/>
      <c r="C1433" s="234"/>
      <c r="D1433" s="234"/>
      <c r="E1433" s="268"/>
      <c r="F1433" s="269"/>
      <c r="G1433" s="258"/>
      <c r="H1433" s="270"/>
      <c r="I1433" s="271"/>
      <c r="J1433" s="271"/>
      <c r="K1433" s="234"/>
      <c r="L1433" s="307"/>
      <c r="M1433" s="272"/>
      <c r="N1433" s="253"/>
      <c r="O1433" s="256"/>
      <c r="P1433" s="256"/>
      <c r="Q1433" s="256"/>
      <c r="R1433" s="256"/>
      <c r="S1433" s="234"/>
      <c r="T1433" s="258"/>
    </row>
    <row r="1434" spans="2:20" ht="22.5" customHeight="1" x14ac:dyDescent="0.25">
      <c r="B1434" s="267"/>
      <c r="C1434" s="234"/>
      <c r="D1434" s="234"/>
      <c r="E1434" s="268"/>
      <c r="F1434" s="269"/>
      <c r="G1434" s="258"/>
      <c r="H1434" s="270"/>
      <c r="I1434" s="271"/>
      <c r="J1434" s="271"/>
      <c r="K1434" s="234"/>
      <c r="L1434" s="307"/>
      <c r="M1434" s="272"/>
      <c r="N1434" s="253"/>
      <c r="O1434" s="256"/>
      <c r="P1434" s="256"/>
      <c r="Q1434" s="256"/>
      <c r="R1434" s="256"/>
      <c r="S1434" s="234"/>
      <c r="T1434" s="258"/>
    </row>
    <row r="1435" spans="2:20" ht="22.5" customHeight="1" x14ac:dyDescent="0.25">
      <c r="B1435" s="267"/>
      <c r="C1435" s="234"/>
      <c r="D1435" s="234"/>
      <c r="E1435" s="268"/>
      <c r="F1435" s="269"/>
      <c r="G1435" s="258"/>
      <c r="H1435" s="270"/>
      <c r="I1435" s="271"/>
      <c r="J1435" s="271"/>
      <c r="K1435" s="234"/>
      <c r="L1435" s="307"/>
      <c r="M1435" s="272"/>
      <c r="N1435" s="253"/>
      <c r="O1435" s="256"/>
      <c r="P1435" s="256"/>
      <c r="Q1435" s="256"/>
      <c r="R1435" s="256"/>
      <c r="S1435" s="234"/>
      <c r="T1435" s="258"/>
    </row>
    <row r="1436" spans="2:20" ht="22.5" customHeight="1" x14ac:dyDescent="0.25">
      <c r="B1436" s="267"/>
      <c r="C1436" s="234"/>
      <c r="D1436" s="234"/>
      <c r="E1436" s="268"/>
      <c r="F1436" s="269"/>
      <c r="G1436" s="258"/>
      <c r="H1436" s="270"/>
      <c r="I1436" s="271"/>
      <c r="J1436" s="271"/>
      <c r="K1436" s="234"/>
      <c r="L1436" s="307"/>
      <c r="M1436" s="272"/>
      <c r="N1436" s="253"/>
      <c r="O1436" s="256"/>
      <c r="P1436" s="256"/>
      <c r="Q1436" s="256"/>
      <c r="R1436" s="256"/>
      <c r="S1436" s="234"/>
      <c r="T1436" s="258"/>
    </row>
    <row r="1437" spans="2:20" ht="22.5" customHeight="1" x14ac:dyDescent="0.25">
      <c r="B1437" s="267"/>
      <c r="C1437" s="234"/>
      <c r="D1437" s="234"/>
      <c r="E1437" s="268"/>
      <c r="F1437" s="269"/>
      <c r="G1437" s="258"/>
      <c r="H1437" s="270"/>
      <c r="I1437" s="271"/>
      <c r="J1437" s="271"/>
      <c r="K1437" s="234"/>
      <c r="L1437" s="307"/>
      <c r="M1437" s="272"/>
      <c r="N1437" s="253"/>
      <c r="O1437" s="256"/>
      <c r="P1437" s="256"/>
      <c r="Q1437" s="256"/>
      <c r="R1437" s="256"/>
      <c r="S1437" s="234"/>
      <c r="T1437" s="258"/>
    </row>
    <row r="1438" spans="2:20" ht="22.5" customHeight="1" x14ac:dyDescent="0.25">
      <c r="B1438" s="267"/>
      <c r="C1438" s="234"/>
      <c r="D1438" s="234"/>
      <c r="E1438" s="268"/>
      <c r="F1438" s="269"/>
      <c r="G1438" s="258"/>
      <c r="H1438" s="270"/>
      <c r="I1438" s="271"/>
      <c r="J1438" s="271"/>
      <c r="K1438" s="234"/>
      <c r="L1438" s="307"/>
      <c r="M1438" s="272"/>
      <c r="N1438" s="253"/>
      <c r="O1438" s="256"/>
      <c r="P1438" s="256"/>
      <c r="Q1438" s="256"/>
      <c r="R1438" s="256"/>
      <c r="S1438" s="234"/>
      <c r="T1438" s="258"/>
    </row>
    <row r="1439" spans="2:20" ht="22.5" customHeight="1" x14ac:dyDescent="0.25">
      <c r="B1439" s="267"/>
      <c r="C1439" s="234"/>
      <c r="D1439" s="234"/>
      <c r="E1439" s="268"/>
      <c r="F1439" s="269"/>
      <c r="G1439" s="258"/>
      <c r="H1439" s="270"/>
      <c r="I1439" s="271"/>
      <c r="J1439" s="271"/>
      <c r="K1439" s="234"/>
      <c r="L1439" s="307"/>
      <c r="M1439" s="272"/>
      <c r="N1439" s="253"/>
      <c r="O1439" s="256"/>
      <c r="P1439" s="256"/>
      <c r="Q1439" s="256"/>
      <c r="R1439" s="256"/>
      <c r="S1439" s="234"/>
      <c r="T1439" s="258"/>
    </row>
    <row r="1440" spans="2:20" ht="22.5" customHeight="1" x14ac:dyDescent="0.25">
      <c r="B1440" s="267"/>
      <c r="C1440" s="234"/>
      <c r="D1440" s="234"/>
      <c r="E1440" s="268"/>
      <c r="F1440" s="269"/>
      <c r="G1440" s="258"/>
      <c r="H1440" s="270"/>
      <c r="I1440" s="271"/>
      <c r="J1440" s="271"/>
      <c r="K1440" s="234"/>
      <c r="L1440" s="307"/>
      <c r="M1440" s="272"/>
      <c r="N1440" s="253"/>
      <c r="O1440" s="256"/>
      <c r="P1440" s="256"/>
      <c r="Q1440" s="256"/>
      <c r="R1440" s="256"/>
      <c r="S1440" s="234"/>
      <c r="T1440" s="258"/>
    </row>
    <row r="1441" spans="2:20" ht="22.5" customHeight="1" x14ac:dyDescent="0.25">
      <c r="B1441" s="267"/>
      <c r="C1441" s="234"/>
      <c r="D1441" s="234"/>
      <c r="E1441" s="268"/>
      <c r="F1441" s="269"/>
      <c r="G1441" s="258"/>
      <c r="H1441" s="270"/>
      <c r="I1441" s="271"/>
      <c r="J1441" s="271"/>
      <c r="K1441" s="234"/>
      <c r="L1441" s="307"/>
      <c r="M1441" s="272"/>
      <c r="N1441" s="253"/>
      <c r="O1441" s="256"/>
      <c r="P1441" s="256"/>
      <c r="Q1441" s="256"/>
      <c r="R1441" s="256"/>
      <c r="S1441" s="234"/>
      <c r="T1441" s="258"/>
    </row>
    <row r="1442" spans="2:20" ht="22.5" customHeight="1" x14ac:dyDescent="0.25">
      <c r="B1442" s="267"/>
      <c r="C1442" s="234"/>
      <c r="D1442" s="234"/>
      <c r="E1442" s="268"/>
      <c r="F1442" s="269"/>
      <c r="G1442" s="258"/>
      <c r="H1442" s="270"/>
      <c r="I1442" s="271"/>
      <c r="J1442" s="271"/>
      <c r="K1442" s="234"/>
      <c r="L1442" s="307"/>
      <c r="M1442" s="272"/>
      <c r="N1442" s="253"/>
      <c r="O1442" s="256"/>
      <c r="P1442" s="256"/>
      <c r="Q1442" s="256"/>
      <c r="R1442" s="256"/>
      <c r="S1442" s="234"/>
      <c r="T1442" s="258"/>
    </row>
    <row r="1443" spans="2:20" ht="22.5" customHeight="1" x14ac:dyDescent="0.25">
      <c r="B1443" s="267"/>
      <c r="C1443" s="234"/>
      <c r="D1443" s="234"/>
      <c r="E1443" s="268"/>
      <c r="F1443" s="269"/>
      <c r="G1443" s="258"/>
      <c r="H1443" s="270"/>
      <c r="I1443" s="271"/>
      <c r="J1443" s="271"/>
      <c r="K1443" s="234"/>
      <c r="L1443" s="307"/>
      <c r="M1443" s="272"/>
      <c r="N1443" s="253"/>
      <c r="O1443" s="256"/>
      <c r="P1443" s="256"/>
      <c r="Q1443" s="256"/>
      <c r="R1443" s="256"/>
      <c r="S1443" s="234"/>
      <c r="T1443" s="258"/>
    </row>
    <row r="1444" spans="2:20" ht="22.5" customHeight="1" x14ac:dyDescent="0.25">
      <c r="B1444" s="267"/>
      <c r="C1444" s="234"/>
      <c r="D1444" s="234"/>
      <c r="E1444" s="268"/>
      <c r="F1444" s="269"/>
      <c r="G1444" s="258"/>
      <c r="H1444" s="270"/>
      <c r="I1444" s="271"/>
      <c r="J1444" s="271"/>
      <c r="K1444" s="234"/>
      <c r="L1444" s="307"/>
      <c r="M1444" s="272"/>
      <c r="N1444" s="253"/>
      <c r="O1444" s="256"/>
      <c r="P1444" s="256"/>
      <c r="Q1444" s="256"/>
      <c r="R1444" s="256"/>
      <c r="S1444" s="234"/>
      <c r="T1444" s="258"/>
    </row>
    <row r="1445" spans="2:20" ht="22.5" customHeight="1" x14ac:dyDescent="0.25">
      <c r="B1445" s="267"/>
      <c r="C1445" s="234"/>
      <c r="D1445" s="234"/>
      <c r="E1445" s="268"/>
      <c r="F1445" s="269"/>
      <c r="G1445" s="258"/>
      <c r="H1445" s="270"/>
      <c r="I1445" s="271"/>
      <c r="J1445" s="271"/>
      <c r="K1445" s="234"/>
      <c r="L1445" s="307"/>
      <c r="M1445" s="272"/>
      <c r="N1445" s="253"/>
      <c r="O1445" s="256"/>
      <c r="P1445" s="256"/>
      <c r="Q1445" s="256"/>
      <c r="R1445" s="256"/>
      <c r="S1445" s="234"/>
      <c r="T1445" s="258"/>
    </row>
    <row r="1446" spans="2:20" ht="22.5" customHeight="1" x14ac:dyDescent="0.25">
      <c r="B1446" s="267"/>
      <c r="C1446" s="234"/>
      <c r="D1446" s="234"/>
      <c r="E1446" s="268"/>
      <c r="F1446" s="269"/>
      <c r="G1446" s="258"/>
      <c r="H1446" s="270"/>
      <c r="I1446" s="271"/>
      <c r="J1446" s="271"/>
      <c r="K1446" s="234"/>
      <c r="L1446" s="307"/>
      <c r="M1446" s="272"/>
      <c r="N1446" s="253"/>
      <c r="O1446" s="256"/>
      <c r="P1446" s="256"/>
      <c r="Q1446" s="256"/>
      <c r="R1446" s="256"/>
      <c r="S1446" s="234"/>
      <c r="T1446" s="258"/>
    </row>
    <row r="1447" spans="2:20" ht="22.5" customHeight="1" x14ac:dyDescent="0.25">
      <c r="B1447" s="267"/>
      <c r="C1447" s="234"/>
      <c r="D1447" s="234"/>
      <c r="E1447" s="268"/>
      <c r="F1447" s="269"/>
      <c r="G1447" s="258"/>
      <c r="H1447" s="270"/>
      <c r="I1447" s="271"/>
      <c r="J1447" s="271"/>
      <c r="K1447" s="234"/>
      <c r="L1447" s="307"/>
      <c r="M1447" s="272"/>
      <c r="N1447" s="253"/>
      <c r="O1447" s="256"/>
      <c r="P1447" s="256"/>
      <c r="Q1447" s="256"/>
      <c r="R1447" s="256"/>
      <c r="S1447" s="234"/>
      <c r="T1447" s="258"/>
    </row>
    <row r="1448" spans="2:20" ht="22.5" customHeight="1" x14ac:dyDescent="0.25">
      <c r="B1448" s="267"/>
      <c r="C1448" s="234"/>
      <c r="D1448" s="234"/>
      <c r="E1448" s="268"/>
      <c r="F1448" s="269"/>
      <c r="G1448" s="258"/>
      <c r="H1448" s="270"/>
      <c r="I1448" s="271"/>
      <c r="J1448" s="271"/>
      <c r="K1448" s="234"/>
      <c r="L1448" s="307"/>
      <c r="M1448" s="272"/>
      <c r="N1448" s="253"/>
      <c r="O1448" s="256"/>
      <c r="P1448" s="256"/>
      <c r="Q1448" s="256"/>
      <c r="R1448" s="256"/>
      <c r="S1448" s="234"/>
      <c r="T1448" s="258"/>
    </row>
    <row r="1449" spans="2:20" ht="22.5" customHeight="1" x14ac:dyDescent="0.25">
      <c r="B1449" s="267"/>
      <c r="C1449" s="234"/>
      <c r="D1449" s="234"/>
      <c r="E1449" s="268"/>
      <c r="F1449" s="269"/>
      <c r="G1449" s="258"/>
      <c r="H1449" s="270"/>
      <c r="I1449" s="271"/>
      <c r="J1449" s="271"/>
      <c r="K1449" s="234"/>
      <c r="L1449" s="307"/>
      <c r="M1449" s="272"/>
      <c r="N1449" s="253"/>
      <c r="O1449" s="256"/>
      <c r="P1449" s="256"/>
      <c r="Q1449" s="256"/>
      <c r="R1449" s="256"/>
      <c r="S1449" s="234"/>
      <c r="T1449" s="258"/>
    </row>
    <row r="1450" spans="2:20" ht="22.5" customHeight="1" x14ac:dyDescent="0.25">
      <c r="B1450" s="267"/>
      <c r="C1450" s="234"/>
      <c r="D1450" s="234"/>
      <c r="E1450" s="268"/>
      <c r="F1450" s="269"/>
      <c r="G1450" s="258"/>
      <c r="H1450" s="270"/>
      <c r="I1450" s="271"/>
      <c r="J1450" s="271"/>
      <c r="K1450" s="234"/>
      <c r="L1450" s="307"/>
      <c r="M1450" s="272"/>
      <c r="N1450" s="253"/>
      <c r="O1450" s="256"/>
      <c r="P1450" s="256"/>
      <c r="Q1450" s="256"/>
      <c r="R1450" s="256"/>
      <c r="S1450" s="234"/>
      <c r="T1450" s="258"/>
    </row>
    <row r="1451" spans="2:20" ht="22.5" customHeight="1" x14ac:dyDescent="0.25">
      <c r="B1451" s="267"/>
      <c r="C1451" s="234"/>
      <c r="D1451" s="234"/>
      <c r="E1451" s="268"/>
      <c r="F1451" s="269"/>
      <c r="G1451" s="258"/>
      <c r="H1451" s="270"/>
      <c r="I1451" s="271"/>
      <c r="J1451" s="271"/>
      <c r="K1451" s="234"/>
      <c r="L1451" s="307"/>
      <c r="M1451" s="272"/>
      <c r="N1451" s="253"/>
      <c r="O1451" s="256"/>
      <c r="P1451" s="256"/>
      <c r="Q1451" s="256"/>
      <c r="R1451" s="256"/>
      <c r="S1451" s="234"/>
      <c r="T1451" s="258"/>
    </row>
    <row r="1452" spans="2:20" ht="22.5" customHeight="1" x14ac:dyDescent="0.25">
      <c r="B1452" s="267"/>
      <c r="C1452" s="234"/>
      <c r="D1452" s="234"/>
      <c r="E1452" s="268"/>
      <c r="F1452" s="269"/>
      <c r="G1452" s="258"/>
      <c r="H1452" s="270"/>
      <c r="I1452" s="271"/>
      <c r="J1452" s="271"/>
      <c r="K1452" s="234"/>
      <c r="L1452" s="307"/>
      <c r="M1452" s="272"/>
      <c r="N1452" s="253"/>
      <c r="O1452" s="256"/>
      <c r="P1452" s="256"/>
      <c r="Q1452" s="256"/>
      <c r="R1452" s="256"/>
      <c r="S1452" s="234"/>
      <c r="T1452" s="258"/>
    </row>
    <row r="1453" spans="2:20" ht="22.5" customHeight="1" x14ac:dyDescent="0.25">
      <c r="B1453" s="267"/>
      <c r="C1453" s="234"/>
      <c r="D1453" s="234"/>
      <c r="E1453" s="268"/>
      <c r="F1453" s="269"/>
      <c r="G1453" s="258"/>
      <c r="H1453" s="270"/>
      <c r="I1453" s="271"/>
      <c r="J1453" s="271"/>
      <c r="K1453" s="234"/>
      <c r="L1453" s="307"/>
      <c r="M1453" s="272"/>
      <c r="N1453" s="253"/>
      <c r="O1453" s="256"/>
      <c r="P1453" s="256"/>
      <c r="Q1453" s="256"/>
      <c r="R1453" s="256"/>
      <c r="S1453" s="234"/>
      <c r="T1453" s="258"/>
    </row>
    <row r="1454" spans="2:20" ht="22.5" customHeight="1" x14ac:dyDescent="0.25">
      <c r="B1454" s="267"/>
      <c r="C1454" s="234"/>
      <c r="D1454" s="234"/>
      <c r="E1454" s="268"/>
      <c r="F1454" s="269"/>
      <c r="G1454" s="258"/>
      <c r="H1454" s="270"/>
      <c r="I1454" s="271"/>
      <c r="J1454" s="271"/>
      <c r="K1454" s="234"/>
      <c r="L1454" s="307"/>
      <c r="M1454" s="272"/>
      <c r="N1454" s="253"/>
      <c r="O1454" s="256"/>
      <c r="P1454" s="256"/>
      <c r="Q1454" s="256"/>
      <c r="R1454" s="256"/>
      <c r="S1454" s="234"/>
      <c r="T1454" s="258"/>
    </row>
    <row r="1455" spans="2:20" ht="22.5" customHeight="1" x14ac:dyDescent="0.25">
      <c r="B1455" s="267"/>
      <c r="C1455" s="234"/>
      <c r="D1455" s="234"/>
      <c r="E1455" s="268"/>
      <c r="F1455" s="269"/>
      <c r="G1455" s="258"/>
      <c r="H1455" s="270"/>
      <c r="I1455" s="271"/>
      <c r="J1455" s="271"/>
      <c r="K1455" s="234"/>
      <c r="L1455" s="307"/>
      <c r="M1455" s="272"/>
      <c r="N1455" s="253"/>
      <c r="O1455" s="256"/>
      <c r="P1455" s="256"/>
      <c r="Q1455" s="256"/>
      <c r="R1455" s="256"/>
      <c r="S1455" s="234"/>
      <c r="T1455" s="258"/>
    </row>
    <row r="1456" spans="2:20" ht="22.5" customHeight="1" x14ac:dyDescent="0.25">
      <c r="B1456" s="267"/>
      <c r="C1456" s="234"/>
      <c r="D1456" s="234"/>
      <c r="E1456" s="268"/>
      <c r="F1456" s="269"/>
      <c r="G1456" s="258"/>
      <c r="H1456" s="270"/>
      <c r="I1456" s="271"/>
      <c r="J1456" s="271"/>
      <c r="K1456" s="234"/>
      <c r="L1456" s="307"/>
      <c r="M1456" s="272"/>
      <c r="N1456" s="253"/>
      <c r="O1456" s="256"/>
      <c r="P1456" s="256"/>
      <c r="Q1456" s="256"/>
      <c r="R1456" s="256"/>
      <c r="S1456" s="234"/>
      <c r="T1456" s="258"/>
    </row>
    <row r="1457" spans="2:20" ht="22.5" customHeight="1" x14ac:dyDescent="0.25">
      <c r="B1457" s="267"/>
      <c r="C1457" s="234"/>
      <c r="D1457" s="234"/>
      <c r="E1457" s="268"/>
      <c r="F1457" s="269"/>
      <c r="G1457" s="258"/>
      <c r="H1457" s="270"/>
      <c r="I1457" s="271"/>
      <c r="J1457" s="271"/>
      <c r="K1457" s="234"/>
      <c r="L1457" s="307"/>
      <c r="M1457" s="272"/>
      <c r="N1457" s="253"/>
      <c r="O1457" s="256"/>
      <c r="P1457" s="256"/>
      <c r="Q1457" s="256"/>
      <c r="R1457" s="256"/>
      <c r="S1457" s="234"/>
      <c r="T1457" s="258"/>
    </row>
    <row r="1458" spans="2:20" ht="22.5" customHeight="1" x14ac:dyDescent="0.25">
      <c r="B1458" s="267"/>
      <c r="C1458" s="234"/>
      <c r="D1458" s="234"/>
      <c r="E1458" s="268"/>
      <c r="F1458" s="269"/>
      <c r="G1458" s="258"/>
      <c r="H1458" s="270"/>
      <c r="I1458" s="271"/>
      <c r="J1458" s="271"/>
      <c r="K1458" s="234"/>
      <c r="L1458" s="307"/>
      <c r="M1458" s="272"/>
      <c r="N1458" s="253"/>
      <c r="O1458" s="256"/>
      <c r="P1458" s="256"/>
      <c r="Q1458" s="256"/>
      <c r="R1458" s="256"/>
      <c r="S1458" s="234"/>
      <c r="T1458" s="258"/>
    </row>
    <row r="1459" spans="2:20" ht="22.5" customHeight="1" x14ac:dyDescent="0.25">
      <c r="B1459" s="267"/>
      <c r="C1459" s="234"/>
      <c r="D1459" s="234"/>
      <c r="E1459" s="268"/>
      <c r="F1459" s="269"/>
      <c r="G1459" s="258"/>
      <c r="H1459" s="270"/>
      <c r="I1459" s="271"/>
      <c r="J1459" s="271"/>
      <c r="K1459" s="234"/>
      <c r="L1459" s="307"/>
      <c r="M1459" s="272"/>
      <c r="N1459" s="253"/>
      <c r="O1459" s="256"/>
      <c r="P1459" s="256"/>
      <c r="Q1459" s="256"/>
      <c r="R1459" s="256"/>
      <c r="S1459" s="234"/>
      <c r="T1459" s="258"/>
    </row>
    <row r="1460" spans="2:20" ht="22.5" customHeight="1" x14ac:dyDescent="0.25">
      <c r="B1460" s="267"/>
      <c r="C1460" s="234"/>
      <c r="D1460" s="234"/>
      <c r="E1460" s="268"/>
      <c r="F1460" s="269"/>
      <c r="G1460" s="258"/>
      <c r="H1460" s="270"/>
      <c r="I1460" s="271"/>
      <c r="J1460" s="271"/>
      <c r="K1460" s="234"/>
      <c r="L1460" s="307"/>
      <c r="M1460" s="272"/>
      <c r="N1460" s="253"/>
      <c r="O1460" s="256"/>
      <c r="P1460" s="256"/>
      <c r="Q1460" s="256"/>
      <c r="R1460" s="256"/>
      <c r="S1460" s="234"/>
      <c r="T1460" s="258"/>
    </row>
    <row r="1461" spans="2:20" ht="22.5" customHeight="1" x14ac:dyDescent="0.25">
      <c r="B1461" s="267"/>
      <c r="C1461" s="234"/>
      <c r="D1461" s="234"/>
      <c r="E1461" s="268"/>
      <c r="F1461" s="269"/>
      <c r="G1461" s="258"/>
      <c r="H1461" s="270"/>
      <c r="I1461" s="271"/>
      <c r="J1461" s="271"/>
      <c r="K1461" s="234"/>
      <c r="L1461" s="307"/>
      <c r="M1461" s="272"/>
      <c r="N1461" s="253"/>
      <c r="O1461" s="256"/>
      <c r="P1461" s="256"/>
      <c r="Q1461" s="256"/>
      <c r="R1461" s="256"/>
      <c r="S1461" s="234"/>
      <c r="T1461" s="258"/>
    </row>
    <row r="1462" spans="2:20" ht="22.5" customHeight="1" x14ac:dyDescent="0.25">
      <c r="B1462" s="267"/>
      <c r="C1462" s="234"/>
      <c r="D1462" s="234"/>
      <c r="E1462" s="268"/>
      <c r="F1462" s="269"/>
      <c r="G1462" s="258"/>
      <c r="H1462" s="270"/>
      <c r="I1462" s="271"/>
      <c r="J1462" s="271"/>
      <c r="K1462" s="234"/>
      <c r="L1462" s="307"/>
      <c r="M1462" s="272"/>
      <c r="N1462" s="253"/>
      <c r="O1462" s="256"/>
      <c r="P1462" s="256"/>
      <c r="Q1462" s="256"/>
      <c r="R1462" s="256"/>
      <c r="S1462" s="234"/>
      <c r="T1462" s="258"/>
    </row>
    <row r="1463" spans="2:20" ht="22.5" customHeight="1" x14ac:dyDescent="0.25">
      <c r="B1463" s="267"/>
      <c r="C1463" s="234"/>
      <c r="D1463" s="234"/>
      <c r="E1463" s="268"/>
      <c r="F1463" s="269"/>
      <c r="G1463" s="258"/>
      <c r="H1463" s="270"/>
      <c r="I1463" s="271"/>
      <c r="J1463" s="271"/>
      <c r="K1463" s="234"/>
      <c r="L1463" s="307"/>
      <c r="M1463" s="272"/>
      <c r="N1463" s="253"/>
      <c r="O1463" s="256"/>
      <c r="P1463" s="256"/>
      <c r="Q1463" s="256"/>
      <c r="R1463" s="256"/>
      <c r="S1463" s="234"/>
      <c r="T1463" s="258"/>
    </row>
    <row r="1464" spans="2:20" ht="22.5" customHeight="1" x14ac:dyDescent="0.25">
      <c r="B1464" s="267"/>
      <c r="C1464" s="234"/>
      <c r="D1464" s="234"/>
      <c r="E1464" s="268"/>
      <c r="F1464" s="269"/>
      <c r="G1464" s="258"/>
      <c r="H1464" s="270"/>
      <c r="I1464" s="271"/>
      <c r="J1464" s="271"/>
      <c r="K1464" s="234"/>
      <c r="L1464" s="307"/>
      <c r="M1464" s="272"/>
      <c r="N1464" s="253"/>
      <c r="O1464" s="256"/>
      <c r="P1464" s="256"/>
      <c r="Q1464" s="256"/>
      <c r="R1464" s="256"/>
      <c r="S1464" s="234"/>
      <c r="T1464" s="258"/>
    </row>
    <row r="1465" spans="2:20" ht="22.5" customHeight="1" x14ac:dyDescent="0.25">
      <c r="B1465" s="267"/>
      <c r="C1465" s="234"/>
      <c r="D1465" s="234"/>
      <c r="E1465" s="268"/>
      <c r="F1465" s="269"/>
      <c r="G1465" s="258"/>
      <c r="H1465" s="270"/>
      <c r="I1465" s="271"/>
      <c r="J1465" s="271"/>
      <c r="K1465" s="234"/>
      <c r="L1465" s="307"/>
      <c r="M1465" s="272"/>
      <c r="N1465" s="253"/>
      <c r="O1465" s="256"/>
      <c r="P1465" s="256"/>
      <c r="Q1465" s="256"/>
      <c r="R1465" s="256"/>
      <c r="S1465" s="234"/>
      <c r="T1465" s="258"/>
    </row>
    <row r="1466" spans="2:20" ht="22.5" customHeight="1" x14ac:dyDescent="0.25">
      <c r="B1466" s="267"/>
      <c r="C1466" s="234"/>
      <c r="D1466" s="234"/>
      <c r="E1466" s="268"/>
      <c r="F1466" s="269"/>
      <c r="G1466" s="258"/>
      <c r="H1466" s="270"/>
      <c r="I1466" s="271"/>
      <c r="J1466" s="271"/>
      <c r="K1466" s="234"/>
      <c r="L1466" s="307"/>
      <c r="M1466" s="272"/>
      <c r="N1466" s="253"/>
      <c r="O1466" s="256"/>
      <c r="P1466" s="256"/>
      <c r="Q1466" s="256"/>
      <c r="R1466" s="256"/>
      <c r="S1466" s="234"/>
      <c r="T1466" s="258"/>
    </row>
    <row r="1467" spans="2:20" ht="22.5" customHeight="1" x14ac:dyDescent="0.25">
      <c r="B1467" s="267"/>
      <c r="C1467" s="234"/>
      <c r="D1467" s="234"/>
      <c r="E1467" s="268"/>
      <c r="F1467" s="269"/>
      <c r="G1467" s="258"/>
      <c r="H1467" s="270"/>
      <c r="I1467" s="271"/>
      <c r="J1467" s="271"/>
      <c r="K1467" s="234"/>
      <c r="L1467" s="307"/>
      <c r="M1467" s="272"/>
      <c r="N1467" s="253"/>
      <c r="O1467" s="256"/>
      <c r="P1467" s="256"/>
      <c r="Q1467" s="256"/>
      <c r="R1467" s="256"/>
      <c r="S1467" s="234"/>
      <c r="T1467" s="258"/>
    </row>
    <row r="1468" spans="2:20" ht="22.5" customHeight="1" x14ac:dyDescent="0.25">
      <c r="B1468" s="267"/>
      <c r="C1468" s="234"/>
      <c r="D1468" s="234"/>
      <c r="E1468" s="268"/>
      <c r="F1468" s="269"/>
      <c r="G1468" s="258"/>
      <c r="H1468" s="270"/>
      <c r="I1468" s="271"/>
      <c r="J1468" s="271"/>
      <c r="K1468" s="234"/>
      <c r="L1468" s="307"/>
      <c r="M1468" s="272"/>
      <c r="N1468" s="253"/>
      <c r="O1468" s="256"/>
      <c r="P1468" s="256"/>
      <c r="Q1468" s="256"/>
      <c r="R1468" s="256"/>
      <c r="S1468" s="234"/>
      <c r="T1468" s="258"/>
    </row>
    <row r="1469" spans="2:20" ht="22.5" customHeight="1" x14ac:dyDescent="0.25">
      <c r="B1469" s="267"/>
      <c r="C1469" s="234"/>
      <c r="D1469" s="234"/>
      <c r="E1469" s="268"/>
      <c r="F1469" s="269"/>
      <c r="G1469" s="258"/>
      <c r="H1469" s="270"/>
      <c r="I1469" s="271"/>
      <c r="J1469" s="271"/>
      <c r="K1469" s="234"/>
      <c r="L1469" s="307"/>
      <c r="M1469" s="272"/>
      <c r="N1469" s="253"/>
      <c r="O1469" s="256"/>
      <c r="P1469" s="256"/>
      <c r="Q1469" s="256"/>
      <c r="R1469" s="256"/>
      <c r="S1469" s="234"/>
      <c r="T1469" s="258"/>
    </row>
    <row r="1470" spans="2:20" ht="22.5" customHeight="1" x14ac:dyDescent="0.25">
      <c r="B1470" s="267"/>
      <c r="C1470" s="234"/>
      <c r="D1470" s="234"/>
      <c r="E1470" s="268"/>
      <c r="F1470" s="269"/>
      <c r="G1470" s="258"/>
      <c r="H1470" s="270"/>
      <c r="I1470" s="271"/>
      <c r="J1470" s="271"/>
      <c r="K1470" s="234"/>
      <c r="L1470" s="307"/>
      <c r="M1470" s="272"/>
      <c r="N1470" s="253"/>
      <c r="O1470" s="256"/>
      <c r="P1470" s="256"/>
      <c r="Q1470" s="256"/>
      <c r="R1470" s="256"/>
      <c r="S1470" s="234"/>
      <c r="T1470" s="258"/>
    </row>
    <row r="1471" spans="2:20" ht="22.5" customHeight="1" x14ac:dyDescent="0.25">
      <c r="B1471" s="267"/>
      <c r="C1471" s="234"/>
      <c r="D1471" s="234"/>
      <c r="E1471" s="268"/>
      <c r="F1471" s="269"/>
      <c r="G1471" s="258"/>
      <c r="H1471" s="270"/>
      <c r="I1471" s="271"/>
      <c r="J1471" s="271"/>
      <c r="K1471" s="234"/>
      <c r="L1471" s="307"/>
      <c r="M1471" s="272"/>
      <c r="N1471" s="253"/>
      <c r="O1471" s="256"/>
      <c r="P1471" s="256"/>
      <c r="Q1471" s="256"/>
      <c r="R1471" s="256"/>
      <c r="S1471" s="234"/>
      <c r="T1471" s="258"/>
    </row>
    <row r="1472" spans="2:20" ht="22.5" customHeight="1" x14ac:dyDescent="0.25">
      <c r="B1472" s="267"/>
      <c r="C1472" s="234"/>
      <c r="D1472" s="234"/>
      <c r="E1472" s="268"/>
      <c r="F1472" s="269"/>
      <c r="G1472" s="258"/>
      <c r="H1472" s="270"/>
      <c r="I1472" s="271"/>
      <c r="J1472" s="271"/>
      <c r="K1472" s="234"/>
      <c r="L1472" s="307"/>
      <c r="M1472" s="272"/>
      <c r="N1472" s="253"/>
      <c r="O1472" s="256"/>
      <c r="P1472" s="256"/>
      <c r="Q1472" s="256"/>
      <c r="R1472" s="256"/>
      <c r="S1472" s="234"/>
      <c r="T1472" s="258"/>
    </row>
    <row r="1473" spans="2:20" ht="22.5" customHeight="1" x14ac:dyDescent="0.25">
      <c r="B1473" s="267"/>
      <c r="C1473" s="234"/>
      <c r="D1473" s="234"/>
      <c r="E1473" s="268"/>
      <c r="F1473" s="269"/>
      <c r="G1473" s="258"/>
      <c r="H1473" s="270"/>
      <c r="I1473" s="271"/>
      <c r="J1473" s="271"/>
      <c r="K1473" s="234"/>
      <c r="L1473" s="307"/>
      <c r="M1473" s="272"/>
      <c r="N1473" s="253"/>
      <c r="O1473" s="256"/>
      <c r="P1473" s="256"/>
      <c r="Q1473" s="256"/>
      <c r="R1473" s="256"/>
      <c r="S1473" s="234"/>
      <c r="T1473" s="258"/>
    </row>
    <row r="1474" spans="2:20" ht="22.5" customHeight="1" x14ac:dyDescent="0.25">
      <c r="B1474" s="267"/>
      <c r="C1474" s="234"/>
      <c r="D1474" s="234"/>
      <c r="E1474" s="268"/>
      <c r="F1474" s="269"/>
      <c r="G1474" s="258"/>
      <c r="H1474" s="270"/>
      <c r="I1474" s="271"/>
      <c r="J1474" s="271"/>
      <c r="K1474" s="234"/>
      <c r="L1474" s="307"/>
      <c r="M1474" s="272"/>
      <c r="N1474" s="253"/>
      <c r="O1474" s="256"/>
      <c r="P1474" s="256"/>
      <c r="Q1474" s="256"/>
      <c r="R1474" s="256"/>
      <c r="S1474" s="234"/>
      <c r="T1474" s="258"/>
    </row>
    <row r="1475" spans="2:20" ht="22.5" customHeight="1" x14ac:dyDescent="0.25">
      <c r="B1475" s="267"/>
      <c r="C1475" s="234"/>
      <c r="D1475" s="234"/>
      <c r="E1475" s="268"/>
      <c r="F1475" s="269"/>
      <c r="G1475" s="258"/>
      <c r="H1475" s="270"/>
      <c r="I1475" s="271"/>
      <c r="J1475" s="271"/>
      <c r="K1475" s="234"/>
      <c r="L1475" s="307"/>
      <c r="M1475" s="272"/>
      <c r="N1475" s="253"/>
      <c r="O1475" s="256"/>
      <c r="P1475" s="256"/>
      <c r="Q1475" s="256"/>
      <c r="R1475" s="256"/>
      <c r="S1475" s="234"/>
      <c r="T1475" s="258"/>
    </row>
    <row r="1476" spans="2:20" ht="22.5" customHeight="1" x14ac:dyDescent="0.25">
      <c r="B1476" s="267"/>
      <c r="C1476" s="234"/>
      <c r="D1476" s="234"/>
      <c r="E1476" s="268"/>
      <c r="F1476" s="269"/>
      <c r="G1476" s="258"/>
      <c r="H1476" s="270"/>
      <c r="I1476" s="271"/>
      <c r="J1476" s="271"/>
      <c r="K1476" s="234"/>
      <c r="L1476" s="307"/>
      <c r="M1476" s="272"/>
      <c r="N1476" s="253"/>
      <c r="O1476" s="256"/>
      <c r="P1476" s="256"/>
      <c r="Q1476" s="256"/>
      <c r="R1476" s="256"/>
      <c r="S1476" s="234"/>
      <c r="T1476" s="258"/>
    </row>
    <row r="1477" spans="2:20" ht="22.5" customHeight="1" x14ac:dyDescent="0.25">
      <c r="B1477" s="267"/>
      <c r="C1477" s="234"/>
      <c r="D1477" s="234"/>
      <c r="E1477" s="268"/>
      <c r="F1477" s="269"/>
      <c r="G1477" s="258"/>
      <c r="H1477" s="270"/>
      <c r="I1477" s="271"/>
      <c r="J1477" s="271"/>
      <c r="K1477" s="234"/>
      <c r="L1477" s="307"/>
      <c r="M1477" s="272"/>
      <c r="N1477" s="253"/>
      <c r="O1477" s="256"/>
      <c r="P1477" s="256"/>
      <c r="Q1477" s="256"/>
      <c r="R1477" s="256"/>
      <c r="S1477" s="234"/>
      <c r="T1477" s="258"/>
    </row>
    <row r="1478" spans="2:20" ht="22.5" customHeight="1" x14ac:dyDescent="0.25">
      <c r="B1478" s="267"/>
      <c r="C1478" s="234"/>
      <c r="D1478" s="234"/>
      <c r="E1478" s="268"/>
      <c r="F1478" s="269"/>
      <c r="G1478" s="258"/>
      <c r="H1478" s="270"/>
      <c r="I1478" s="271"/>
      <c r="J1478" s="271"/>
      <c r="K1478" s="234"/>
      <c r="L1478" s="307"/>
      <c r="M1478" s="272"/>
      <c r="N1478" s="253"/>
      <c r="O1478" s="256"/>
      <c r="P1478" s="256"/>
      <c r="Q1478" s="256"/>
      <c r="R1478" s="256"/>
      <c r="S1478" s="234"/>
      <c r="T1478" s="258"/>
    </row>
    <row r="1479" spans="2:20" ht="22.5" customHeight="1" x14ac:dyDescent="0.25">
      <c r="B1479" s="267"/>
      <c r="C1479" s="234"/>
      <c r="D1479" s="234"/>
      <c r="E1479" s="268"/>
      <c r="F1479" s="269"/>
      <c r="G1479" s="258"/>
      <c r="H1479" s="270"/>
      <c r="I1479" s="271"/>
      <c r="J1479" s="271"/>
      <c r="K1479" s="234"/>
      <c r="L1479" s="307"/>
      <c r="M1479" s="272"/>
      <c r="N1479" s="253"/>
      <c r="O1479" s="256"/>
      <c r="P1479" s="256"/>
      <c r="Q1479" s="256"/>
      <c r="R1479" s="256"/>
      <c r="S1479" s="234"/>
      <c r="T1479" s="258"/>
    </row>
    <row r="1480" spans="2:20" ht="22.5" customHeight="1" x14ac:dyDescent="0.25">
      <c r="B1480" s="267"/>
      <c r="C1480" s="234"/>
      <c r="D1480" s="234"/>
      <c r="E1480" s="268"/>
      <c r="F1480" s="269"/>
      <c r="G1480" s="258"/>
      <c r="H1480" s="270"/>
      <c r="I1480" s="271"/>
      <c r="J1480" s="271"/>
      <c r="K1480" s="234"/>
      <c r="L1480" s="307"/>
      <c r="M1480" s="272"/>
      <c r="N1480" s="253"/>
      <c r="O1480" s="256"/>
      <c r="P1480" s="256"/>
      <c r="Q1480" s="256"/>
      <c r="R1480" s="256"/>
      <c r="S1480" s="234"/>
      <c r="T1480" s="258"/>
    </row>
    <row r="1481" spans="2:20" ht="22.5" customHeight="1" x14ac:dyDescent="0.25">
      <c r="B1481" s="267"/>
      <c r="C1481" s="234"/>
      <c r="D1481" s="234"/>
      <c r="E1481" s="268"/>
      <c r="F1481" s="269"/>
      <c r="G1481" s="258"/>
      <c r="H1481" s="270"/>
      <c r="I1481" s="271"/>
      <c r="J1481" s="271"/>
      <c r="K1481" s="234"/>
      <c r="L1481" s="307"/>
      <c r="M1481" s="272"/>
      <c r="N1481" s="253"/>
      <c r="O1481" s="256"/>
      <c r="P1481" s="256"/>
      <c r="Q1481" s="256"/>
      <c r="R1481" s="256"/>
      <c r="S1481" s="234"/>
      <c r="T1481" s="258"/>
    </row>
    <row r="1482" spans="2:20" ht="22.5" customHeight="1" x14ac:dyDescent="0.25">
      <c r="B1482" s="267"/>
      <c r="C1482" s="234"/>
      <c r="D1482" s="234"/>
      <c r="E1482" s="268"/>
      <c r="F1482" s="269"/>
      <c r="G1482" s="258"/>
      <c r="H1482" s="270"/>
      <c r="I1482" s="271"/>
      <c r="J1482" s="271"/>
      <c r="K1482" s="234"/>
      <c r="L1482" s="307"/>
      <c r="M1482" s="272"/>
      <c r="N1482" s="253"/>
      <c r="O1482" s="256"/>
      <c r="P1482" s="256"/>
      <c r="Q1482" s="256"/>
      <c r="R1482" s="256"/>
      <c r="S1482" s="234"/>
      <c r="T1482" s="258"/>
    </row>
    <row r="1483" spans="2:20" ht="22.5" customHeight="1" x14ac:dyDescent="0.25">
      <c r="B1483" s="267"/>
      <c r="C1483" s="234"/>
      <c r="D1483" s="234"/>
      <c r="E1483" s="268"/>
      <c r="F1483" s="269"/>
      <c r="G1483" s="258"/>
      <c r="H1483" s="270"/>
      <c r="I1483" s="271"/>
      <c r="J1483" s="271"/>
      <c r="K1483" s="234"/>
      <c r="L1483" s="307"/>
      <c r="M1483" s="272"/>
      <c r="N1483" s="253"/>
      <c r="O1483" s="256"/>
      <c r="P1483" s="256"/>
      <c r="Q1483" s="256"/>
      <c r="R1483" s="256"/>
      <c r="S1483" s="234"/>
      <c r="T1483" s="258"/>
    </row>
    <row r="1484" spans="2:20" ht="22.5" customHeight="1" x14ac:dyDescent="0.25">
      <c r="B1484" s="267"/>
      <c r="C1484" s="234"/>
      <c r="D1484" s="234"/>
      <c r="E1484" s="268"/>
      <c r="F1484" s="269"/>
      <c r="G1484" s="258"/>
      <c r="H1484" s="270"/>
      <c r="I1484" s="271"/>
      <c r="J1484" s="271"/>
      <c r="K1484" s="234"/>
      <c r="L1484" s="307"/>
      <c r="M1484" s="272"/>
      <c r="N1484" s="253"/>
      <c r="O1484" s="256"/>
      <c r="P1484" s="256"/>
      <c r="Q1484" s="256"/>
      <c r="R1484" s="256"/>
      <c r="S1484" s="234"/>
      <c r="T1484" s="258"/>
    </row>
    <row r="1485" spans="2:20" ht="22.5" customHeight="1" x14ac:dyDescent="0.25">
      <c r="B1485" s="267"/>
      <c r="C1485" s="234"/>
      <c r="D1485" s="234"/>
      <c r="E1485" s="268"/>
      <c r="F1485" s="269"/>
      <c r="G1485" s="258"/>
      <c r="H1485" s="270"/>
      <c r="I1485" s="271"/>
      <c r="J1485" s="271"/>
      <c r="K1485" s="234"/>
      <c r="L1485" s="307"/>
      <c r="M1485" s="272"/>
      <c r="N1485" s="253"/>
      <c r="O1485" s="256"/>
      <c r="P1485" s="256"/>
      <c r="Q1485" s="256"/>
      <c r="R1485" s="256"/>
      <c r="S1485" s="234"/>
      <c r="T1485" s="258"/>
    </row>
    <row r="1486" spans="2:20" ht="22.5" customHeight="1" x14ac:dyDescent="0.25">
      <c r="B1486" s="267"/>
      <c r="C1486" s="234"/>
      <c r="D1486" s="234"/>
      <c r="E1486" s="268"/>
      <c r="F1486" s="269"/>
      <c r="G1486" s="258"/>
      <c r="H1486" s="270"/>
      <c r="I1486" s="271"/>
      <c r="J1486" s="271"/>
      <c r="K1486" s="234"/>
      <c r="L1486" s="307"/>
      <c r="M1486" s="272"/>
      <c r="N1486" s="253"/>
      <c r="O1486" s="256"/>
      <c r="P1486" s="256"/>
      <c r="Q1486" s="256"/>
      <c r="R1486" s="256"/>
      <c r="S1486" s="234"/>
      <c r="T1486" s="258"/>
    </row>
    <row r="1487" spans="2:20" ht="22.5" customHeight="1" x14ac:dyDescent="0.25">
      <c r="B1487" s="267"/>
      <c r="C1487" s="234"/>
      <c r="D1487" s="234"/>
      <c r="E1487" s="268"/>
      <c r="F1487" s="269"/>
      <c r="G1487" s="258"/>
      <c r="H1487" s="270"/>
      <c r="I1487" s="271"/>
      <c r="J1487" s="271"/>
      <c r="K1487" s="234"/>
      <c r="L1487" s="307"/>
      <c r="M1487" s="272"/>
      <c r="N1487" s="253"/>
      <c r="O1487" s="256"/>
      <c r="P1487" s="256"/>
      <c r="Q1487" s="256"/>
      <c r="R1487" s="256"/>
      <c r="S1487" s="234"/>
      <c r="T1487" s="258"/>
    </row>
    <row r="1488" spans="2:20" ht="22.5" customHeight="1" x14ac:dyDescent="0.25">
      <c r="B1488" s="267"/>
      <c r="C1488" s="234"/>
      <c r="D1488" s="234"/>
      <c r="E1488" s="268"/>
      <c r="F1488" s="269"/>
      <c r="G1488" s="258"/>
      <c r="H1488" s="270"/>
      <c r="I1488" s="271"/>
      <c r="J1488" s="271"/>
      <c r="K1488" s="234"/>
      <c r="L1488" s="307"/>
      <c r="M1488" s="272"/>
      <c r="N1488" s="253"/>
      <c r="O1488" s="256"/>
      <c r="P1488" s="256"/>
      <c r="Q1488" s="256"/>
      <c r="R1488" s="256"/>
      <c r="S1488" s="234"/>
      <c r="T1488" s="258"/>
    </row>
    <row r="1489" spans="2:20" ht="22.5" customHeight="1" x14ac:dyDescent="0.25">
      <c r="B1489" s="267"/>
      <c r="C1489" s="234"/>
      <c r="D1489" s="234"/>
      <c r="E1489" s="268"/>
      <c r="F1489" s="269"/>
      <c r="G1489" s="258"/>
      <c r="H1489" s="270"/>
      <c r="I1489" s="271"/>
      <c r="J1489" s="271"/>
      <c r="K1489" s="234"/>
      <c r="L1489" s="307"/>
      <c r="M1489" s="272"/>
      <c r="N1489" s="253"/>
      <c r="O1489" s="256"/>
      <c r="P1489" s="256"/>
      <c r="Q1489" s="256"/>
      <c r="R1489" s="256"/>
      <c r="S1489" s="234"/>
      <c r="T1489" s="258"/>
    </row>
    <row r="1490" spans="2:20" ht="22.5" customHeight="1" x14ac:dyDescent="0.25">
      <c r="B1490" s="267"/>
      <c r="C1490" s="234"/>
      <c r="D1490" s="234"/>
      <c r="E1490" s="268"/>
      <c r="F1490" s="269"/>
      <c r="G1490" s="258"/>
      <c r="H1490" s="270"/>
      <c r="I1490" s="271"/>
      <c r="J1490" s="271"/>
      <c r="K1490" s="234"/>
      <c r="L1490" s="307"/>
      <c r="M1490" s="272"/>
      <c r="N1490" s="253"/>
      <c r="O1490" s="256"/>
      <c r="P1490" s="256"/>
      <c r="Q1490" s="256"/>
      <c r="R1490" s="256"/>
      <c r="S1490" s="234"/>
      <c r="T1490" s="258"/>
    </row>
    <row r="1491" spans="2:20" ht="22.5" customHeight="1" x14ac:dyDescent="0.25">
      <c r="B1491" s="267"/>
      <c r="C1491" s="234"/>
      <c r="D1491" s="234"/>
      <c r="E1491" s="268"/>
      <c r="F1491" s="269"/>
      <c r="G1491" s="258"/>
      <c r="H1491" s="270"/>
      <c r="I1491" s="271"/>
      <c r="J1491" s="271"/>
      <c r="K1491" s="234"/>
      <c r="L1491" s="307"/>
      <c r="M1491" s="272"/>
      <c r="N1491" s="253"/>
      <c r="O1491" s="256"/>
      <c r="P1491" s="256"/>
      <c r="Q1491" s="256"/>
      <c r="R1491" s="256"/>
      <c r="S1491" s="234"/>
      <c r="T1491" s="258"/>
    </row>
    <row r="1492" spans="2:20" ht="22.5" customHeight="1" x14ac:dyDescent="0.25">
      <c r="B1492" s="267"/>
      <c r="C1492" s="234"/>
      <c r="D1492" s="234"/>
      <c r="E1492" s="268"/>
      <c r="F1492" s="269"/>
      <c r="G1492" s="258"/>
      <c r="H1492" s="270"/>
      <c r="I1492" s="271"/>
      <c r="J1492" s="271"/>
      <c r="K1492" s="234"/>
      <c r="L1492" s="307"/>
      <c r="M1492" s="272"/>
      <c r="N1492" s="253"/>
      <c r="O1492" s="256"/>
      <c r="P1492" s="256"/>
      <c r="Q1492" s="256"/>
      <c r="R1492" s="256"/>
      <c r="S1492" s="234"/>
      <c r="T1492" s="258"/>
    </row>
    <row r="1493" spans="2:20" ht="22.5" customHeight="1" x14ac:dyDescent="0.25">
      <c r="B1493" s="267"/>
      <c r="C1493" s="234"/>
      <c r="D1493" s="234"/>
      <c r="E1493" s="268"/>
      <c r="F1493" s="269"/>
      <c r="G1493" s="258"/>
      <c r="H1493" s="270"/>
      <c r="I1493" s="271"/>
      <c r="J1493" s="271"/>
      <c r="K1493" s="234"/>
      <c r="L1493" s="307"/>
      <c r="M1493" s="272"/>
      <c r="N1493" s="253"/>
      <c r="O1493" s="256"/>
      <c r="P1493" s="256"/>
      <c r="Q1493" s="256"/>
      <c r="R1493" s="256"/>
      <c r="S1493" s="234"/>
      <c r="T1493" s="258"/>
    </row>
    <row r="1494" spans="2:20" ht="22.5" customHeight="1" x14ac:dyDescent="0.25">
      <c r="B1494" s="267"/>
      <c r="C1494" s="234"/>
      <c r="D1494" s="234"/>
      <c r="E1494" s="268"/>
      <c r="F1494" s="269"/>
      <c r="G1494" s="258"/>
      <c r="H1494" s="270"/>
      <c r="I1494" s="271"/>
      <c r="J1494" s="271"/>
      <c r="K1494" s="234"/>
      <c r="L1494" s="307"/>
      <c r="M1494" s="272"/>
      <c r="N1494" s="253"/>
      <c r="O1494" s="256"/>
      <c r="P1494" s="256"/>
      <c r="Q1494" s="256"/>
      <c r="R1494" s="256"/>
      <c r="S1494" s="234"/>
      <c r="T1494" s="258"/>
    </row>
    <row r="1495" spans="2:20" ht="22.5" customHeight="1" x14ac:dyDescent="0.25">
      <c r="B1495" s="267"/>
      <c r="C1495" s="234"/>
      <c r="D1495" s="234"/>
      <c r="E1495" s="268"/>
      <c r="F1495" s="269"/>
      <c r="G1495" s="258"/>
      <c r="H1495" s="270"/>
      <c r="I1495" s="271"/>
      <c r="J1495" s="271"/>
      <c r="K1495" s="234"/>
      <c r="L1495" s="307"/>
      <c r="M1495" s="272"/>
      <c r="N1495" s="253"/>
      <c r="O1495" s="256"/>
      <c r="P1495" s="256"/>
      <c r="Q1495" s="256"/>
      <c r="R1495" s="256"/>
      <c r="S1495" s="234"/>
      <c r="T1495" s="258"/>
    </row>
    <row r="1496" spans="2:20" ht="22.5" customHeight="1" x14ac:dyDescent="0.25">
      <c r="B1496" s="267"/>
      <c r="C1496" s="234"/>
      <c r="D1496" s="234"/>
      <c r="E1496" s="268"/>
      <c r="F1496" s="269"/>
      <c r="G1496" s="258"/>
      <c r="H1496" s="270"/>
      <c r="I1496" s="271"/>
      <c r="J1496" s="271"/>
      <c r="K1496" s="234"/>
      <c r="L1496" s="307"/>
      <c r="M1496" s="272"/>
      <c r="N1496" s="253"/>
      <c r="O1496" s="256"/>
      <c r="P1496" s="256"/>
      <c r="Q1496" s="256"/>
      <c r="R1496" s="256"/>
      <c r="S1496" s="234"/>
      <c r="T1496" s="258"/>
    </row>
    <row r="1497" spans="2:20" ht="22.5" customHeight="1" x14ac:dyDescent="0.25">
      <c r="B1497" s="267"/>
      <c r="C1497" s="234"/>
      <c r="D1497" s="234"/>
      <c r="E1497" s="268"/>
      <c r="F1497" s="269"/>
      <c r="G1497" s="258"/>
      <c r="H1497" s="270"/>
      <c r="I1497" s="271"/>
      <c r="J1497" s="271"/>
      <c r="K1497" s="234"/>
      <c r="L1497" s="307"/>
      <c r="M1497" s="272"/>
      <c r="N1497" s="253"/>
      <c r="O1497" s="256"/>
      <c r="P1497" s="256"/>
      <c r="Q1497" s="256"/>
      <c r="R1497" s="256"/>
      <c r="S1497" s="234"/>
      <c r="T1497" s="258"/>
    </row>
    <row r="1498" spans="2:20" ht="22.5" customHeight="1" x14ac:dyDescent="0.25">
      <c r="B1498" s="267"/>
      <c r="C1498" s="234"/>
      <c r="D1498" s="234"/>
      <c r="E1498" s="268"/>
      <c r="F1498" s="269"/>
      <c r="G1498" s="258"/>
      <c r="H1498" s="270"/>
      <c r="I1498" s="271"/>
      <c r="J1498" s="271"/>
      <c r="K1498" s="234"/>
      <c r="L1498" s="307"/>
      <c r="M1498" s="272"/>
      <c r="N1498" s="253"/>
      <c r="O1498" s="256"/>
      <c r="P1498" s="256"/>
      <c r="Q1498" s="256"/>
      <c r="R1498" s="256"/>
      <c r="S1498" s="234"/>
      <c r="T1498" s="258"/>
    </row>
    <row r="1499" spans="2:20" ht="22.5" customHeight="1" x14ac:dyDescent="0.25">
      <c r="B1499" s="267"/>
      <c r="C1499" s="234"/>
      <c r="D1499" s="234"/>
      <c r="E1499" s="268"/>
      <c r="F1499" s="269"/>
      <c r="G1499" s="258"/>
      <c r="H1499" s="270"/>
      <c r="I1499" s="271"/>
      <c r="J1499" s="271"/>
      <c r="K1499" s="234"/>
      <c r="L1499" s="307"/>
      <c r="M1499" s="272"/>
      <c r="N1499" s="253"/>
      <c r="O1499" s="256"/>
      <c r="P1499" s="256"/>
      <c r="Q1499" s="256"/>
      <c r="R1499" s="256"/>
      <c r="S1499" s="234"/>
      <c r="T1499" s="258"/>
    </row>
    <row r="1500" spans="2:20" ht="22.5" customHeight="1" x14ac:dyDescent="0.25">
      <c r="B1500" s="267"/>
      <c r="C1500" s="234"/>
      <c r="D1500" s="234"/>
      <c r="E1500" s="268"/>
      <c r="F1500" s="269"/>
      <c r="G1500" s="258"/>
      <c r="H1500" s="270"/>
      <c r="I1500" s="271"/>
      <c r="J1500" s="271"/>
      <c r="K1500" s="234"/>
      <c r="L1500" s="307"/>
      <c r="M1500" s="272"/>
      <c r="N1500" s="253"/>
      <c r="O1500" s="256"/>
      <c r="P1500" s="256"/>
      <c r="Q1500" s="256"/>
      <c r="R1500" s="256"/>
      <c r="S1500" s="234"/>
      <c r="T1500" s="258"/>
    </row>
    <row r="1501" spans="2:20" ht="22.5" customHeight="1" x14ac:dyDescent="0.25">
      <c r="B1501" s="267"/>
      <c r="C1501" s="234"/>
      <c r="D1501" s="234"/>
      <c r="E1501" s="268"/>
      <c r="F1501" s="269"/>
      <c r="G1501" s="258"/>
      <c r="H1501" s="270"/>
      <c r="I1501" s="271"/>
      <c r="J1501" s="271"/>
      <c r="K1501" s="234"/>
      <c r="L1501" s="307"/>
      <c r="M1501" s="272"/>
      <c r="N1501" s="253"/>
      <c r="O1501" s="256"/>
      <c r="P1501" s="256"/>
      <c r="Q1501" s="256"/>
      <c r="R1501" s="256"/>
      <c r="S1501" s="234"/>
      <c r="T1501" s="258"/>
    </row>
    <row r="1502" spans="2:20" ht="22.5" customHeight="1" x14ac:dyDescent="0.25">
      <c r="B1502" s="267"/>
      <c r="C1502" s="234"/>
      <c r="D1502" s="234"/>
      <c r="E1502" s="268"/>
      <c r="F1502" s="269"/>
      <c r="G1502" s="258"/>
      <c r="H1502" s="270"/>
      <c r="I1502" s="271"/>
      <c r="J1502" s="271"/>
      <c r="K1502" s="234"/>
      <c r="L1502" s="307"/>
      <c r="M1502" s="272"/>
      <c r="N1502" s="253"/>
      <c r="O1502" s="256"/>
      <c r="P1502" s="256"/>
      <c r="Q1502" s="256"/>
      <c r="R1502" s="256"/>
      <c r="S1502" s="234"/>
      <c r="T1502" s="258"/>
    </row>
    <row r="1503" spans="2:20" ht="22.5" customHeight="1" x14ac:dyDescent="0.25">
      <c r="B1503" s="267"/>
      <c r="C1503" s="234"/>
      <c r="D1503" s="234"/>
      <c r="E1503" s="268"/>
      <c r="F1503" s="269"/>
      <c r="G1503" s="258"/>
      <c r="H1503" s="270"/>
      <c r="I1503" s="271"/>
      <c r="J1503" s="271"/>
      <c r="K1503" s="234"/>
      <c r="L1503" s="307"/>
      <c r="M1503" s="272"/>
      <c r="N1503" s="253"/>
      <c r="O1503" s="256"/>
      <c r="P1503" s="256"/>
      <c r="Q1503" s="256"/>
      <c r="R1503" s="256"/>
      <c r="S1503" s="234"/>
      <c r="T1503" s="258"/>
    </row>
    <row r="1504" spans="2:20" ht="22.5" customHeight="1" x14ac:dyDescent="0.25">
      <c r="B1504" s="267"/>
      <c r="C1504" s="234"/>
      <c r="D1504" s="234"/>
      <c r="E1504" s="268"/>
      <c r="F1504" s="269"/>
      <c r="G1504" s="258"/>
      <c r="H1504" s="270"/>
      <c r="I1504" s="271"/>
      <c r="J1504" s="271"/>
      <c r="K1504" s="234"/>
      <c r="L1504" s="307"/>
      <c r="M1504" s="272"/>
      <c r="N1504" s="253"/>
      <c r="O1504" s="256"/>
      <c r="P1504" s="256"/>
      <c r="Q1504" s="256"/>
      <c r="R1504" s="256"/>
      <c r="S1504" s="234"/>
      <c r="T1504" s="258"/>
    </row>
    <row r="1505" spans="2:20" ht="22.5" customHeight="1" x14ac:dyDescent="0.25">
      <c r="B1505" s="267"/>
      <c r="C1505" s="234"/>
      <c r="D1505" s="234"/>
      <c r="E1505" s="268"/>
      <c r="F1505" s="269"/>
      <c r="G1505" s="258"/>
      <c r="H1505" s="270"/>
      <c r="I1505" s="271"/>
      <c r="J1505" s="271"/>
      <c r="K1505" s="234"/>
      <c r="L1505" s="307"/>
      <c r="M1505" s="272"/>
      <c r="N1505" s="253"/>
      <c r="O1505" s="256"/>
      <c r="P1505" s="256"/>
      <c r="Q1505" s="256"/>
      <c r="R1505" s="256"/>
      <c r="S1505" s="234"/>
      <c r="T1505" s="258"/>
    </row>
    <row r="1506" spans="2:20" ht="22.5" customHeight="1" x14ac:dyDescent="0.25">
      <c r="B1506" s="267"/>
      <c r="C1506" s="234"/>
      <c r="D1506" s="234"/>
      <c r="E1506" s="268"/>
      <c r="F1506" s="269"/>
      <c r="G1506" s="258"/>
      <c r="H1506" s="270"/>
      <c r="I1506" s="271"/>
      <c r="J1506" s="271"/>
      <c r="K1506" s="234"/>
      <c r="L1506" s="307"/>
      <c r="M1506" s="272"/>
      <c r="N1506" s="253"/>
      <c r="O1506" s="256"/>
      <c r="P1506" s="256"/>
      <c r="Q1506" s="256"/>
      <c r="R1506" s="256"/>
      <c r="S1506" s="234"/>
      <c r="T1506" s="258"/>
    </row>
    <row r="1507" spans="2:20" ht="22.5" customHeight="1" x14ac:dyDescent="0.25">
      <c r="B1507" s="267"/>
      <c r="C1507" s="234"/>
      <c r="D1507" s="234"/>
      <c r="E1507" s="268"/>
      <c r="F1507" s="269"/>
      <c r="G1507" s="258"/>
      <c r="H1507" s="270"/>
      <c r="I1507" s="271"/>
      <c r="J1507" s="271"/>
      <c r="K1507" s="234"/>
      <c r="L1507" s="307"/>
      <c r="M1507" s="272"/>
      <c r="N1507" s="253"/>
      <c r="O1507" s="256"/>
      <c r="P1507" s="256"/>
      <c r="Q1507" s="256"/>
      <c r="R1507" s="256"/>
      <c r="S1507" s="234"/>
      <c r="T1507" s="258"/>
    </row>
    <row r="1508" spans="2:20" ht="22.5" customHeight="1" x14ac:dyDescent="0.25">
      <c r="B1508" s="267"/>
      <c r="C1508" s="234"/>
      <c r="D1508" s="234"/>
      <c r="E1508" s="268"/>
      <c r="F1508" s="269"/>
      <c r="G1508" s="258"/>
      <c r="H1508" s="270"/>
      <c r="I1508" s="271"/>
      <c r="J1508" s="271"/>
      <c r="K1508" s="234"/>
      <c r="L1508" s="307"/>
      <c r="M1508" s="272"/>
      <c r="N1508" s="253"/>
      <c r="O1508" s="256"/>
      <c r="P1508" s="256"/>
      <c r="Q1508" s="256"/>
      <c r="R1508" s="256"/>
      <c r="S1508" s="234"/>
      <c r="T1508" s="258"/>
    </row>
    <row r="1509" spans="2:20" ht="22.5" customHeight="1" x14ac:dyDescent="0.25">
      <c r="B1509" s="267"/>
      <c r="C1509" s="234"/>
      <c r="D1509" s="234"/>
      <c r="E1509" s="268"/>
      <c r="F1509" s="269"/>
      <c r="G1509" s="258"/>
      <c r="H1509" s="270"/>
      <c r="I1509" s="271"/>
      <c r="J1509" s="271"/>
      <c r="K1509" s="234"/>
      <c r="L1509" s="307"/>
      <c r="M1509" s="272"/>
      <c r="N1509" s="253"/>
      <c r="O1509" s="256"/>
      <c r="P1509" s="256"/>
      <c r="Q1509" s="256"/>
      <c r="R1509" s="256"/>
      <c r="S1509" s="234"/>
      <c r="T1509" s="258"/>
    </row>
    <row r="1510" spans="2:20" ht="22.5" customHeight="1" x14ac:dyDescent="0.25">
      <c r="B1510" s="267"/>
      <c r="C1510" s="234"/>
      <c r="D1510" s="234"/>
      <c r="E1510" s="268"/>
      <c r="F1510" s="269"/>
      <c r="G1510" s="258"/>
      <c r="H1510" s="270"/>
      <c r="I1510" s="271"/>
      <c r="J1510" s="271"/>
      <c r="K1510" s="234"/>
      <c r="L1510" s="307"/>
      <c r="M1510" s="272"/>
      <c r="N1510" s="253"/>
      <c r="O1510" s="256"/>
      <c r="P1510" s="256"/>
      <c r="Q1510" s="256"/>
      <c r="R1510" s="256"/>
      <c r="S1510" s="234"/>
      <c r="T1510" s="258"/>
    </row>
    <row r="1511" spans="2:20" ht="22.5" customHeight="1" x14ac:dyDescent="0.25">
      <c r="B1511" s="267"/>
      <c r="C1511" s="234"/>
      <c r="D1511" s="234"/>
      <c r="E1511" s="268"/>
      <c r="F1511" s="269"/>
      <c r="G1511" s="258"/>
      <c r="H1511" s="270"/>
      <c r="I1511" s="271"/>
      <c r="J1511" s="271"/>
      <c r="K1511" s="234"/>
      <c r="L1511" s="307"/>
      <c r="M1511" s="272"/>
      <c r="N1511" s="253"/>
      <c r="O1511" s="256"/>
      <c r="P1511" s="256"/>
      <c r="Q1511" s="256"/>
      <c r="R1511" s="256"/>
      <c r="S1511" s="234"/>
      <c r="T1511" s="258"/>
    </row>
    <row r="1512" spans="2:20" ht="22.5" customHeight="1" x14ac:dyDescent="0.25">
      <c r="B1512" s="267"/>
      <c r="C1512" s="234"/>
      <c r="D1512" s="234"/>
      <c r="E1512" s="268"/>
      <c r="F1512" s="269"/>
      <c r="G1512" s="258"/>
      <c r="H1512" s="270"/>
      <c r="I1512" s="271"/>
      <c r="J1512" s="271"/>
      <c r="K1512" s="234"/>
      <c r="L1512" s="307"/>
      <c r="M1512" s="272"/>
      <c r="N1512" s="253"/>
      <c r="O1512" s="256"/>
      <c r="P1512" s="256"/>
      <c r="Q1512" s="256"/>
      <c r="R1512" s="256"/>
      <c r="S1512" s="234"/>
      <c r="T1512" s="258"/>
    </row>
    <row r="1513" spans="2:20" ht="22.5" customHeight="1" x14ac:dyDescent="0.25">
      <c r="B1513" s="267"/>
      <c r="C1513" s="234"/>
      <c r="D1513" s="234"/>
      <c r="E1513" s="268"/>
      <c r="F1513" s="269"/>
      <c r="G1513" s="258"/>
      <c r="H1513" s="270"/>
      <c r="I1513" s="271"/>
      <c r="J1513" s="271"/>
      <c r="K1513" s="234"/>
      <c r="L1513" s="307"/>
      <c r="M1513" s="272"/>
      <c r="N1513" s="253"/>
      <c r="O1513" s="256"/>
      <c r="P1513" s="256"/>
      <c r="Q1513" s="256"/>
      <c r="R1513" s="256"/>
      <c r="S1513" s="234"/>
      <c r="T1513" s="258"/>
    </row>
    <row r="1514" spans="2:20" ht="22.5" customHeight="1" x14ac:dyDescent="0.25">
      <c r="B1514" s="267"/>
      <c r="C1514" s="234"/>
      <c r="D1514" s="234"/>
      <c r="E1514" s="268"/>
      <c r="F1514" s="269"/>
      <c r="G1514" s="258"/>
      <c r="H1514" s="270"/>
      <c r="I1514" s="271"/>
      <c r="J1514" s="271"/>
      <c r="K1514" s="234"/>
      <c r="L1514" s="307"/>
      <c r="M1514" s="272"/>
      <c r="N1514" s="253"/>
      <c r="O1514" s="256"/>
      <c r="P1514" s="256"/>
      <c r="Q1514" s="256"/>
      <c r="R1514" s="256"/>
      <c r="S1514" s="234"/>
      <c r="T1514" s="258"/>
    </row>
    <row r="1515" spans="2:20" ht="22.5" customHeight="1" x14ac:dyDescent="0.25">
      <c r="B1515" s="267"/>
      <c r="C1515" s="234"/>
      <c r="D1515" s="234"/>
      <c r="E1515" s="268"/>
      <c r="F1515" s="269"/>
      <c r="G1515" s="258"/>
      <c r="H1515" s="270"/>
      <c r="I1515" s="271"/>
      <c r="J1515" s="271"/>
      <c r="K1515" s="234"/>
      <c r="L1515" s="307"/>
      <c r="M1515" s="272"/>
      <c r="N1515" s="253"/>
      <c r="O1515" s="256"/>
      <c r="P1515" s="256"/>
      <c r="Q1515" s="256"/>
      <c r="R1515" s="256"/>
      <c r="S1515" s="234"/>
      <c r="T1515" s="258"/>
    </row>
    <row r="1516" spans="2:20" ht="22.5" customHeight="1" x14ac:dyDescent="0.25">
      <c r="B1516" s="267"/>
      <c r="C1516" s="234"/>
      <c r="D1516" s="234"/>
      <c r="E1516" s="268"/>
      <c r="F1516" s="269"/>
      <c r="G1516" s="258"/>
      <c r="H1516" s="270"/>
      <c r="I1516" s="271"/>
      <c r="J1516" s="271"/>
      <c r="K1516" s="234"/>
      <c r="L1516" s="307"/>
      <c r="M1516" s="272"/>
      <c r="N1516" s="253"/>
      <c r="O1516" s="256"/>
      <c r="P1516" s="256"/>
      <c r="Q1516" s="256"/>
      <c r="R1516" s="256"/>
      <c r="S1516" s="234"/>
      <c r="T1516" s="258"/>
    </row>
    <row r="1517" spans="2:20" ht="22.5" customHeight="1" x14ac:dyDescent="0.25">
      <c r="B1517" s="267"/>
      <c r="C1517" s="234"/>
      <c r="D1517" s="234"/>
      <c r="E1517" s="268"/>
      <c r="F1517" s="269"/>
      <c r="G1517" s="258"/>
      <c r="H1517" s="270"/>
      <c r="I1517" s="271"/>
      <c r="J1517" s="271"/>
      <c r="K1517" s="234"/>
      <c r="L1517" s="307"/>
      <c r="M1517" s="272"/>
      <c r="N1517" s="253"/>
      <c r="O1517" s="256"/>
      <c r="P1517" s="256"/>
      <c r="Q1517" s="256"/>
      <c r="R1517" s="256"/>
      <c r="S1517" s="234"/>
      <c r="T1517" s="258"/>
    </row>
    <row r="1518" spans="2:20" ht="22.5" customHeight="1" x14ac:dyDescent="0.25">
      <c r="B1518" s="267"/>
      <c r="C1518" s="234"/>
      <c r="D1518" s="234"/>
      <c r="E1518" s="268"/>
      <c r="F1518" s="269"/>
      <c r="G1518" s="258"/>
      <c r="H1518" s="270"/>
      <c r="I1518" s="271"/>
      <c r="J1518" s="271"/>
      <c r="K1518" s="234"/>
      <c r="L1518" s="307"/>
      <c r="M1518" s="272"/>
      <c r="N1518" s="253"/>
      <c r="O1518" s="256"/>
      <c r="P1518" s="256"/>
      <c r="Q1518" s="256"/>
      <c r="R1518" s="256"/>
      <c r="S1518" s="234"/>
      <c r="T1518" s="258"/>
    </row>
    <row r="1519" spans="2:20" ht="22.5" customHeight="1" x14ac:dyDescent="0.25">
      <c r="B1519" s="267"/>
      <c r="C1519" s="234"/>
      <c r="D1519" s="234"/>
      <c r="E1519" s="268"/>
      <c r="F1519" s="269"/>
      <c r="G1519" s="258"/>
      <c r="H1519" s="270"/>
      <c r="I1519" s="271"/>
      <c r="J1519" s="271"/>
      <c r="K1519" s="234"/>
      <c r="L1519" s="307"/>
      <c r="M1519" s="272"/>
      <c r="N1519" s="253"/>
      <c r="O1519" s="256"/>
      <c r="P1519" s="256"/>
      <c r="Q1519" s="256"/>
      <c r="R1519" s="256"/>
      <c r="S1519" s="234"/>
      <c r="T1519" s="258"/>
    </row>
    <row r="1520" spans="2:20" ht="22.5" customHeight="1" x14ac:dyDescent="0.25">
      <c r="B1520" s="267"/>
      <c r="C1520" s="234"/>
      <c r="D1520" s="234"/>
      <c r="E1520" s="268"/>
      <c r="F1520" s="269"/>
      <c r="G1520" s="258"/>
      <c r="H1520" s="270"/>
      <c r="I1520" s="271"/>
      <c r="J1520" s="271"/>
      <c r="K1520" s="234"/>
      <c r="L1520" s="307"/>
      <c r="M1520" s="272"/>
      <c r="N1520" s="253"/>
      <c r="O1520" s="256"/>
      <c r="P1520" s="256"/>
      <c r="Q1520" s="256"/>
      <c r="R1520" s="256"/>
      <c r="S1520" s="234"/>
      <c r="T1520" s="258"/>
    </row>
    <row r="1521" spans="2:20" ht="22.5" customHeight="1" x14ac:dyDescent="0.25">
      <c r="B1521" s="267"/>
      <c r="C1521" s="234"/>
      <c r="D1521" s="234"/>
      <c r="E1521" s="268"/>
      <c r="F1521" s="269"/>
      <c r="G1521" s="258"/>
      <c r="H1521" s="270"/>
      <c r="I1521" s="271"/>
      <c r="J1521" s="271"/>
      <c r="K1521" s="234"/>
      <c r="L1521" s="307"/>
      <c r="M1521" s="272"/>
      <c r="N1521" s="253"/>
      <c r="O1521" s="256"/>
      <c r="P1521" s="256"/>
      <c r="Q1521" s="256"/>
      <c r="R1521" s="256"/>
      <c r="S1521" s="234"/>
      <c r="T1521" s="258"/>
    </row>
    <row r="1522" spans="2:20" ht="22.5" customHeight="1" x14ac:dyDescent="0.25">
      <c r="B1522" s="267"/>
      <c r="C1522" s="234"/>
      <c r="D1522" s="234"/>
      <c r="E1522" s="268"/>
      <c r="F1522" s="269"/>
      <c r="G1522" s="258"/>
      <c r="H1522" s="270"/>
      <c r="I1522" s="271"/>
      <c r="J1522" s="271"/>
      <c r="K1522" s="234"/>
      <c r="L1522" s="307"/>
      <c r="M1522" s="272"/>
      <c r="N1522" s="253"/>
      <c r="O1522" s="256"/>
      <c r="P1522" s="256"/>
      <c r="Q1522" s="256"/>
      <c r="R1522" s="256"/>
      <c r="S1522" s="234"/>
      <c r="T1522" s="258"/>
    </row>
    <row r="1523" spans="2:20" ht="22.5" customHeight="1" x14ac:dyDescent="0.25">
      <c r="B1523" s="267"/>
      <c r="C1523" s="234"/>
      <c r="D1523" s="234"/>
      <c r="E1523" s="268"/>
      <c r="F1523" s="269"/>
      <c r="G1523" s="258"/>
      <c r="H1523" s="270"/>
      <c r="I1523" s="271"/>
      <c r="J1523" s="271"/>
      <c r="K1523" s="234"/>
      <c r="L1523" s="307"/>
      <c r="M1523" s="272"/>
      <c r="N1523" s="253"/>
      <c r="O1523" s="256"/>
      <c r="P1523" s="256"/>
      <c r="Q1523" s="256"/>
      <c r="R1523" s="256"/>
      <c r="S1523" s="234"/>
      <c r="T1523" s="258"/>
    </row>
    <row r="1524" spans="2:20" ht="22.5" customHeight="1" x14ac:dyDescent="0.25">
      <c r="B1524" s="267"/>
      <c r="C1524" s="234"/>
      <c r="D1524" s="234"/>
      <c r="E1524" s="268"/>
      <c r="F1524" s="269"/>
      <c r="G1524" s="258"/>
      <c r="H1524" s="270"/>
      <c r="I1524" s="271"/>
      <c r="J1524" s="271"/>
      <c r="K1524" s="234"/>
      <c r="L1524" s="307"/>
      <c r="M1524" s="272"/>
      <c r="N1524" s="253"/>
      <c r="O1524" s="256"/>
      <c r="P1524" s="256"/>
      <c r="Q1524" s="256"/>
      <c r="R1524" s="256"/>
      <c r="S1524" s="234"/>
      <c r="T1524" s="258"/>
    </row>
    <row r="1525" spans="2:20" ht="22.5" customHeight="1" x14ac:dyDescent="0.25">
      <c r="B1525" s="267"/>
      <c r="C1525" s="234"/>
      <c r="D1525" s="234"/>
      <c r="E1525" s="268"/>
      <c r="F1525" s="269"/>
      <c r="G1525" s="258"/>
      <c r="H1525" s="270"/>
      <c r="I1525" s="271"/>
      <c r="J1525" s="271"/>
      <c r="K1525" s="234"/>
      <c r="L1525" s="307"/>
      <c r="M1525" s="272"/>
      <c r="N1525" s="253"/>
      <c r="O1525" s="256"/>
      <c r="P1525" s="256"/>
      <c r="Q1525" s="256"/>
      <c r="R1525" s="256"/>
      <c r="S1525" s="234"/>
      <c r="T1525" s="258"/>
    </row>
    <row r="1526" spans="2:20" ht="22.5" customHeight="1" x14ac:dyDescent="0.25">
      <c r="B1526" s="267"/>
      <c r="C1526" s="234"/>
      <c r="D1526" s="234"/>
      <c r="E1526" s="268"/>
      <c r="F1526" s="269"/>
      <c r="G1526" s="258"/>
      <c r="H1526" s="270"/>
      <c r="I1526" s="271"/>
      <c r="J1526" s="271"/>
      <c r="K1526" s="234"/>
      <c r="L1526" s="307"/>
      <c r="M1526" s="272"/>
      <c r="N1526" s="253"/>
      <c r="O1526" s="256"/>
      <c r="P1526" s="256"/>
      <c r="Q1526" s="256"/>
      <c r="R1526" s="256"/>
      <c r="S1526" s="234"/>
      <c r="T1526" s="258"/>
    </row>
    <row r="1527" spans="2:20" ht="22.5" customHeight="1" x14ac:dyDescent="0.25">
      <c r="B1527" s="267"/>
      <c r="C1527" s="234"/>
      <c r="D1527" s="234"/>
      <c r="E1527" s="268"/>
      <c r="F1527" s="269"/>
      <c r="G1527" s="258"/>
      <c r="H1527" s="270"/>
      <c r="I1527" s="271"/>
      <c r="J1527" s="271"/>
      <c r="K1527" s="234"/>
      <c r="L1527" s="307"/>
      <c r="M1527" s="272"/>
      <c r="N1527" s="253"/>
      <c r="O1527" s="256"/>
      <c r="P1527" s="256"/>
      <c r="Q1527" s="256"/>
      <c r="R1527" s="256"/>
      <c r="S1527" s="234"/>
      <c r="T1527" s="258"/>
    </row>
    <row r="1528" spans="2:20" ht="22.5" customHeight="1" x14ac:dyDescent="0.25">
      <c r="B1528" s="267"/>
      <c r="C1528" s="234"/>
      <c r="D1528" s="234"/>
      <c r="E1528" s="268"/>
      <c r="F1528" s="269"/>
      <c r="G1528" s="258"/>
      <c r="H1528" s="270"/>
      <c r="I1528" s="271"/>
      <c r="J1528" s="271"/>
      <c r="K1528" s="234"/>
      <c r="L1528" s="307"/>
      <c r="M1528" s="272"/>
      <c r="N1528" s="253"/>
      <c r="O1528" s="256"/>
      <c r="P1528" s="256"/>
      <c r="Q1528" s="256"/>
      <c r="R1528" s="256"/>
      <c r="S1528" s="234"/>
      <c r="T1528" s="258"/>
    </row>
    <row r="1529" spans="2:20" ht="22.5" customHeight="1" x14ac:dyDescent="0.25">
      <c r="B1529" s="267"/>
      <c r="C1529" s="234"/>
      <c r="D1529" s="234"/>
      <c r="E1529" s="268"/>
      <c r="F1529" s="269"/>
      <c r="G1529" s="258"/>
      <c r="H1529" s="270"/>
      <c r="I1529" s="271"/>
      <c r="J1529" s="271"/>
      <c r="K1529" s="234"/>
      <c r="L1529" s="307"/>
      <c r="M1529" s="272"/>
      <c r="N1529" s="253"/>
      <c r="O1529" s="256"/>
      <c r="P1529" s="256"/>
      <c r="Q1529" s="256"/>
      <c r="R1529" s="256"/>
      <c r="S1529" s="234"/>
      <c r="T1529" s="258"/>
    </row>
    <row r="1530" spans="2:20" ht="22.5" customHeight="1" x14ac:dyDescent="0.25">
      <c r="B1530" s="267"/>
      <c r="C1530" s="234"/>
      <c r="D1530" s="234"/>
      <c r="E1530" s="268"/>
      <c r="F1530" s="269"/>
      <c r="G1530" s="258"/>
      <c r="H1530" s="270"/>
      <c r="I1530" s="271"/>
      <c r="J1530" s="271"/>
      <c r="K1530" s="234"/>
      <c r="L1530" s="307"/>
      <c r="M1530" s="272"/>
      <c r="N1530" s="253"/>
      <c r="O1530" s="256"/>
      <c r="P1530" s="256"/>
      <c r="Q1530" s="256"/>
      <c r="R1530" s="256"/>
      <c r="S1530" s="234"/>
      <c r="T1530" s="258"/>
    </row>
    <row r="1531" spans="2:20" ht="22.5" customHeight="1" x14ac:dyDescent="0.25">
      <c r="B1531" s="267"/>
      <c r="C1531" s="234"/>
      <c r="D1531" s="234"/>
      <c r="E1531" s="268"/>
      <c r="F1531" s="269"/>
      <c r="G1531" s="258"/>
      <c r="H1531" s="270"/>
      <c r="I1531" s="271"/>
      <c r="J1531" s="271"/>
      <c r="K1531" s="234"/>
      <c r="L1531" s="307"/>
      <c r="M1531" s="272"/>
      <c r="N1531" s="253"/>
      <c r="O1531" s="256"/>
      <c r="P1531" s="256"/>
      <c r="Q1531" s="256"/>
      <c r="R1531" s="256"/>
      <c r="S1531" s="234"/>
      <c r="T1531" s="258"/>
    </row>
    <row r="1532" spans="2:20" ht="22.5" customHeight="1" x14ac:dyDescent="0.25">
      <c r="B1532" s="267"/>
      <c r="C1532" s="234"/>
      <c r="D1532" s="234"/>
      <c r="E1532" s="268"/>
      <c r="F1532" s="269"/>
      <c r="G1532" s="258"/>
      <c r="H1532" s="270"/>
      <c r="I1532" s="271"/>
      <c r="J1532" s="271"/>
      <c r="K1532" s="234"/>
      <c r="L1532" s="307"/>
      <c r="M1532" s="272"/>
      <c r="N1532" s="253"/>
      <c r="O1532" s="256"/>
      <c r="P1532" s="256"/>
      <c r="Q1532" s="256"/>
      <c r="R1532" s="256"/>
      <c r="S1532" s="234"/>
      <c r="T1532" s="258"/>
    </row>
    <row r="1533" spans="2:20" ht="22.5" customHeight="1" x14ac:dyDescent="0.25">
      <c r="B1533" s="267"/>
      <c r="C1533" s="234"/>
      <c r="D1533" s="234"/>
      <c r="E1533" s="268"/>
      <c r="F1533" s="269"/>
      <c r="G1533" s="258"/>
      <c r="H1533" s="270"/>
      <c r="I1533" s="271"/>
      <c r="J1533" s="271"/>
      <c r="K1533" s="234"/>
      <c r="L1533" s="307"/>
      <c r="M1533" s="272"/>
      <c r="N1533" s="253"/>
      <c r="O1533" s="256"/>
      <c r="P1533" s="256"/>
      <c r="Q1533" s="256"/>
      <c r="R1533" s="256"/>
      <c r="S1533" s="234"/>
      <c r="T1533" s="258"/>
    </row>
    <row r="1534" spans="2:20" ht="22.5" customHeight="1" x14ac:dyDescent="0.25">
      <c r="B1534" s="267"/>
      <c r="C1534" s="234"/>
      <c r="D1534" s="234"/>
      <c r="E1534" s="268"/>
      <c r="F1534" s="269"/>
      <c r="G1534" s="258"/>
      <c r="H1534" s="270"/>
      <c r="I1534" s="271"/>
      <c r="J1534" s="271"/>
      <c r="K1534" s="234"/>
      <c r="L1534" s="307"/>
      <c r="M1534" s="272"/>
      <c r="N1534" s="253"/>
      <c r="O1534" s="256"/>
      <c r="P1534" s="256"/>
      <c r="Q1534" s="256"/>
      <c r="R1534" s="256"/>
      <c r="S1534" s="234"/>
      <c r="T1534" s="258"/>
    </row>
    <row r="1535" spans="2:20" ht="22.5" customHeight="1" x14ac:dyDescent="0.25">
      <c r="B1535" s="267"/>
      <c r="C1535" s="234"/>
      <c r="D1535" s="234"/>
      <c r="E1535" s="268"/>
      <c r="F1535" s="269"/>
      <c r="G1535" s="258"/>
      <c r="H1535" s="270"/>
      <c r="I1535" s="271"/>
      <c r="J1535" s="271"/>
      <c r="K1535" s="234"/>
      <c r="L1535" s="307"/>
      <c r="M1535" s="272"/>
      <c r="N1535" s="253"/>
      <c r="O1535" s="256"/>
      <c r="P1535" s="256"/>
      <c r="Q1535" s="256"/>
      <c r="R1535" s="256"/>
      <c r="S1535" s="234"/>
      <c r="T1535" s="258"/>
    </row>
    <row r="1536" spans="2:20" ht="22.5" customHeight="1" x14ac:dyDescent="0.25">
      <c r="B1536" s="267"/>
      <c r="C1536" s="234"/>
      <c r="D1536" s="234"/>
      <c r="E1536" s="268"/>
      <c r="F1536" s="269"/>
      <c r="G1536" s="258"/>
      <c r="H1536" s="270"/>
      <c r="I1536" s="271"/>
      <c r="J1536" s="271"/>
      <c r="K1536" s="234"/>
      <c r="L1536" s="307"/>
      <c r="M1536" s="272"/>
      <c r="N1536" s="253"/>
      <c r="O1536" s="256"/>
      <c r="P1536" s="256"/>
      <c r="Q1536" s="256"/>
      <c r="R1536" s="256"/>
      <c r="S1536" s="234"/>
      <c r="T1536" s="258"/>
    </row>
    <row r="1537" spans="2:20" ht="22.5" customHeight="1" x14ac:dyDescent="0.25">
      <c r="B1537" s="267"/>
      <c r="C1537" s="234"/>
      <c r="D1537" s="234"/>
      <c r="E1537" s="268"/>
      <c r="F1537" s="269"/>
      <c r="G1537" s="258"/>
      <c r="H1537" s="270"/>
      <c r="I1537" s="271"/>
      <c r="J1537" s="271"/>
      <c r="K1537" s="234"/>
      <c r="L1537" s="307"/>
      <c r="M1537" s="272"/>
      <c r="N1537" s="253"/>
      <c r="O1537" s="256"/>
      <c r="P1537" s="256"/>
      <c r="Q1537" s="256"/>
      <c r="R1537" s="256"/>
      <c r="S1537" s="234"/>
      <c r="T1537" s="258"/>
    </row>
    <row r="1538" spans="2:20" ht="22.5" customHeight="1" x14ac:dyDescent="0.25">
      <c r="B1538" s="267"/>
      <c r="C1538" s="234"/>
      <c r="D1538" s="234"/>
      <c r="E1538" s="268"/>
      <c r="F1538" s="269"/>
      <c r="G1538" s="258"/>
      <c r="H1538" s="270"/>
      <c r="I1538" s="271"/>
      <c r="J1538" s="271"/>
      <c r="K1538" s="234"/>
      <c r="L1538" s="307"/>
      <c r="M1538" s="272"/>
      <c r="N1538" s="253"/>
      <c r="O1538" s="256"/>
      <c r="P1538" s="256"/>
      <c r="Q1538" s="256"/>
      <c r="R1538" s="256"/>
      <c r="S1538" s="234"/>
      <c r="T1538" s="258"/>
    </row>
    <row r="1539" spans="2:20" ht="22.5" customHeight="1" x14ac:dyDescent="0.25">
      <c r="B1539" s="267"/>
      <c r="C1539" s="234"/>
      <c r="D1539" s="234"/>
      <c r="E1539" s="268"/>
      <c r="F1539" s="269"/>
      <c r="G1539" s="258"/>
      <c r="H1539" s="270"/>
      <c r="I1539" s="271"/>
      <c r="J1539" s="271"/>
      <c r="K1539" s="234"/>
      <c r="L1539" s="307"/>
      <c r="M1539" s="272"/>
      <c r="N1539" s="253"/>
      <c r="O1539" s="256"/>
      <c r="P1539" s="256"/>
      <c r="Q1539" s="256"/>
      <c r="R1539" s="256"/>
      <c r="S1539" s="234"/>
      <c r="T1539" s="258"/>
    </row>
    <row r="1540" spans="2:20" ht="22.5" customHeight="1" x14ac:dyDescent="0.25">
      <c r="B1540" s="267"/>
      <c r="C1540" s="234"/>
      <c r="D1540" s="234"/>
      <c r="E1540" s="268"/>
      <c r="F1540" s="269"/>
      <c r="G1540" s="258"/>
      <c r="H1540" s="270"/>
      <c r="I1540" s="271"/>
      <c r="J1540" s="271"/>
      <c r="K1540" s="234"/>
      <c r="L1540" s="307"/>
      <c r="M1540" s="272"/>
      <c r="N1540" s="253"/>
      <c r="O1540" s="256"/>
      <c r="P1540" s="256"/>
      <c r="Q1540" s="256"/>
      <c r="R1540" s="256"/>
      <c r="S1540" s="234"/>
      <c r="T1540" s="258"/>
    </row>
    <row r="1541" spans="2:20" ht="22.5" customHeight="1" x14ac:dyDescent="0.25">
      <c r="B1541" s="267"/>
      <c r="C1541" s="234"/>
      <c r="D1541" s="234"/>
      <c r="E1541" s="268"/>
      <c r="F1541" s="269"/>
      <c r="G1541" s="258"/>
      <c r="H1541" s="270"/>
      <c r="I1541" s="271"/>
      <c r="J1541" s="271"/>
      <c r="K1541" s="234"/>
      <c r="L1541" s="307"/>
      <c r="M1541" s="272"/>
      <c r="N1541" s="253"/>
      <c r="O1541" s="256"/>
      <c r="P1541" s="256"/>
      <c r="Q1541" s="256"/>
      <c r="R1541" s="256"/>
      <c r="S1541" s="234"/>
      <c r="T1541" s="258"/>
    </row>
    <row r="1542" spans="2:20" ht="22.5" customHeight="1" x14ac:dyDescent="0.25">
      <c r="B1542" s="267"/>
      <c r="C1542" s="234"/>
      <c r="D1542" s="234"/>
      <c r="E1542" s="268"/>
      <c r="F1542" s="269"/>
      <c r="G1542" s="258"/>
      <c r="H1542" s="270"/>
      <c r="I1542" s="271"/>
      <c r="J1542" s="271"/>
      <c r="K1542" s="234"/>
      <c r="L1542" s="307"/>
      <c r="M1542" s="272"/>
      <c r="N1542" s="253"/>
      <c r="O1542" s="256"/>
      <c r="P1542" s="256"/>
      <c r="Q1542" s="256"/>
      <c r="R1542" s="256"/>
      <c r="S1542" s="234"/>
      <c r="T1542" s="258"/>
    </row>
    <row r="1543" spans="2:20" ht="22.5" customHeight="1" x14ac:dyDescent="0.25">
      <c r="B1543" s="267"/>
      <c r="C1543" s="234"/>
      <c r="D1543" s="234"/>
      <c r="E1543" s="268"/>
      <c r="F1543" s="269"/>
      <c r="G1543" s="258"/>
      <c r="H1543" s="270"/>
      <c r="I1543" s="271"/>
      <c r="J1543" s="271"/>
      <c r="K1543" s="234"/>
      <c r="L1543" s="307"/>
      <c r="M1543" s="272"/>
      <c r="N1543" s="253"/>
      <c r="O1543" s="256"/>
      <c r="P1543" s="256"/>
      <c r="Q1543" s="256"/>
      <c r="R1543" s="256"/>
      <c r="S1543" s="234"/>
      <c r="T1543" s="258"/>
    </row>
    <row r="1544" spans="2:20" ht="22.5" customHeight="1" x14ac:dyDescent="0.25">
      <c r="B1544" s="267"/>
      <c r="C1544" s="234"/>
      <c r="D1544" s="234"/>
      <c r="E1544" s="268"/>
      <c r="F1544" s="269"/>
      <c r="G1544" s="258"/>
      <c r="H1544" s="270"/>
      <c r="I1544" s="271"/>
      <c r="J1544" s="271"/>
      <c r="K1544" s="234"/>
      <c r="L1544" s="307"/>
      <c r="M1544" s="272"/>
      <c r="N1544" s="253"/>
      <c r="O1544" s="256"/>
      <c r="P1544" s="256"/>
      <c r="Q1544" s="256"/>
      <c r="R1544" s="256"/>
      <c r="S1544" s="234"/>
      <c r="T1544" s="258"/>
    </row>
    <row r="1545" spans="2:20" ht="22.5" customHeight="1" x14ac:dyDescent="0.25">
      <c r="B1545" s="267"/>
      <c r="C1545" s="234"/>
      <c r="D1545" s="234"/>
      <c r="E1545" s="268"/>
      <c r="F1545" s="269"/>
      <c r="G1545" s="258"/>
      <c r="H1545" s="270"/>
      <c r="I1545" s="271"/>
      <c r="J1545" s="271"/>
      <c r="K1545" s="234"/>
      <c r="L1545" s="307"/>
      <c r="M1545" s="272"/>
      <c r="N1545" s="253"/>
      <c r="O1545" s="256"/>
      <c r="P1545" s="256"/>
      <c r="Q1545" s="256"/>
      <c r="R1545" s="256"/>
      <c r="S1545" s="234"/>
      <c r="T1545" s="258"/>
    </row>
    <row r="1546" spans="2:20" ht="22.5" customHeight="1" x14ac:dyDescent="0.25">
      <c r="B1546" s="267"/>
      <c r="C1546" s="234"/>
      <c r="D1546" s="234"/>
      <c r="E1546" s="268"/>
      <c r="F1546" s="269"/>
      <c r="G1546" s="258"/>
      <c r="H1546" s="270"/>
      <c r="I1546" s="271"/>
      <c r="J1546" s="271"/>
      <c r="K1546" s="234"/>
      <c r="L1546" s="307"/>
      <c r="M1546" s="272"/>
      <c r="N1546" s="253"/>
      <c r="O1546" s="256"/>
      <c r="P1546" s="256"/>
      <c r="Q1546" s="256"/>
      <c r="R1546" s="256"/>
      <c r="S1546" s="234"/>
      <c r="T1546" s="258"/>
    </row>
    <row r="1547" spans="2:20" ht="22.5" customHeight="1" x14ac:dyDescent="0.25">
      <c r="B1547" s="267"/>
      <c r="C1547" s="234"/>
      <c r="D1547" s="234"/>
      <c r="E1547" s="268"/>
      <c r="F1547" s="269"/>
      <c r="G1547" s="258"/>
      <c r="H1547" s="270"/>
      <c r="I1547" s="271"/>
      <c r="J1547" s="271"/>
      <c r="K1547" s="234"/>
      <c r="L1547" s="307"/>
      <c r="M1547" s="272"/>
      <c r="N1547" s="253"/>
      <c r="O1547" s="256"/>
      <c r="P1547" s="256"/>
      <c r="Q1547" s="256"/>
      <c r="R1547" s="256"/>
      <c r="S1547" s="234"/>
      <c r="T1547" s="258"/>
    </row>
    <row r="1548" spans="2:20" ht="22.5" customHeight="1" x14ac:dyDescent="0.25">
      <c r="B1548" s="267"/>
      <c r="C1548" s="234"/>
      <c r="D1548" s="234"/>
      <c r="E1548" s="268"/>
      <c r="F1548" s="269"/>
      <c r="G1548" s="258"/>
      <c r="H1548" s="270"/>
      <c r="I1548" s="271"/>
      <c r="J1548" s="271"/>
      <c r="K1548" s="234"/>
      <c r="L1548" s="307"/>
      <c r="M1548" s="272"/>
      <c r="N1548" s="253"/>
      <c r="O1548" s="256"/>
      <c r="P1548" s="256"/>
      <c r="Q1548" s="256"/>
      <c r="R1548" s="256"/>
      <c r="S1548" s="234"/>
      <c r="T1548" s="258"/>
    </row>
    <row r="1549" spans="2:20" ht="22.5" customHeight="1" x14ac:dyDescent="0.25">
      <c r="B1549" s="267"/>
      <c r="C1549" s="234"/>
      <c r="D1549" s="234"/>
      <c r="E1549" s="268"/>
      <c r="F1549" s="269"/>
      <c r="G1549" s="258"/>
      <c r="H1549" s="270"/>
      <c r="I1549" s="271"/>
      <c r="J1549" s="271"/>
      <c r="K1549" s="234"/>
      <c r="L1549" s="307"/>
      <c r="M1549" s="272"/>
      <c r="N1549" s="253"/>
      <c r="O1549" s="256"/>
      <c r="P1549" s="256"/>
      <c r="Q1549" s="256"/>
      <c r="R1549" s="256"/>
      <c r="S1549" s="234"/>
      <c r="T1549" s="258"/>
    </row>
    <row r="1550" spans="2:20" ht="22.5" customHeight="1" x14ac:dyDescent="0.25">
      <c r="B1550" s="267"/>
      <c r="C1550" s="234"/>
      <c r="D1550" s="234"/>
      <c r="E1550" s="268"/>
      <c r="F1550" s="269"/>
      <c r="G1550" s="258"/>
      <c r="H1550" s="270"/>
      <c r="I1550" s="271"/>
      <c r="J1550" s="271"/>
      <c r="K1550" s="234"/>
      <c r="L1550" s="307"/>
      <c r="M1550" s="272"/>
      <c r="N1550" s="253"/>
      <c r="O1550" s="256"/>
      <c r="P1550" s="256"/>
      <c r="Q1550" s="256"/>
      <c r="R1550" s="256"/>
      <c r="S1550" s="234"/>
      <c r="T1550" s="258"/>
    </row>
    <row r="1551" spans="2:20" ht="22.5" customHeight="1" x14ac:dyDescent="0.25">
      <c r="B1551" s="267"/>
      <c r="C1551" s="234"/>
      <c r="D1551" s="234"/>
      <c r="E1551" s="268"/>
      <c r="F1551" s="269"/>
      <c r="G1551" s="258"/>
      <c r="H1551" s="270"/>
      <c r="I1551" s="271"/>
      <c r="J1551" s="271"/>
      <c r="K1551" s="234"/>
      <c r="L1551" s="307"/>
      <c r="M1551" s="272"/>
      <c r="N1551" s="253"/>
      <c r="O1551" s="256"/>
      <c r="P1551" s="256"/>
      <c r="Q1551" s="256"/>
      <c r="R1551" s="256"/>
      <c r="S1551" s="234"/>
      <c r="T1551" s="258"/>
    </row>
    <row r="1552" spans="2:20" ht="22.5" customHeight="1" x14ac:dyDescent="0.25">
      <c r="B1552" s="267"/>
      <c r="C1552" s="234"/>
      <c r="D1552" s="234"/>
      <c r="E1552" s="268"/>
      <c r="F1552" s="269"/>
      <c r="G1552" s="258"/>
      <c r="H1552" s="270"/>
      <c r="I1552" s="271"/>
      <c r="J1552" s="271"/>
      <c r="K1552" s="234"/>
      <c r="L1552" s="307"/>
      <c r="M1552" s="272"/>
      <c r="N1552" s="253"/>
      <c r="O1552" s="256"/>
      <c r="P1552" s="256"/>
      <c r="Q1552" s="256"/>
      <c r="R1552" s="256"/>
      <c r="S1552" s="234"/>
      <c r="T1552" s="258"/>
    </row>
    <row r="1553" spans="2:20" ht="22.5" customHeight="1" x14ac:dyDescent="0.25">
      <c r="B1553" s="267"/>
      <c r="C1553" s="234"/>
      <c r="D1553" s="234"/>
      <c r="E1553" s="268"/>
      <c r="F1553" s="269"/>
      <c r="G1553" s="258"/>
      <c r="H1553" s="270"/>
      <c r="I1553" s="271"/>
      <c r="J1553" s="271"/>
      <c r="K1553" s="234"/>
      <c r="L1553" s="307"/>
      <c r="M1553" s="272"/>
      <c r="N1553" s="253"/>
      <c r="O1553" s="256"/>
      <c r="P1553" s="256"/>
      <c r="Q1553" s="256"/>
      <c r="R1553" s="256"/>
      <c r="S1553" s="234"/>
      <c r="T1553" s="258"/>
    </row>
    <row r="1554" spans="2:20" ht="22.5" customHeight="1" x14ac:dyDescent="0.25">
      <c r="B1554" s="267"/>
      <c r="C1554" s="234"/>
      <c r="D1554" s="234"/>
      <c r="E1554" s="268"/>
      <c r="F1554" s="269"/>
      <c r="G1554" s="258"/>
      <c r="H1554" s="270"/>
      <c r="I1554" s="271"/>
      <c r="J1554" s="271"/>
      <c r="K1554" s="234"/>
      <c r="L1554" s="307"/>
      <c r="M1554" s="272"/>
      <c r="N1554" s="253"/>
      <c r="O1554" s="256"/>
      <c r="P1554" s="256"/>
      <c r="Q1554" s="256"/>
      <c r="R1554" s="256"/>
      <c r="S1554" s="234"/>
      <c r="T1554" s="258"/>
    </row>
    <row r="1555" spans="2:20" ht="22.5" customHeight="1" x14ac:dyDescent="0.25">
      <c r="B1555" s="267"/>
      <c r="C1555" s="234"/>
      <c r="D1555" s="234"/>
      <c r="E1555" s="268"/>
      <c r="F1555" s="269"/>
      <c r="G1555" s="258"/>
      <c r="H1555" s="270"/>
      <c r="I1555" s="271"/>
      <c r="J1555" s="271"/>
      <c r="K1555" s="234"/>
      <c r="L1555" s="307"/>
      <c r="M1555" s="272"/>
      <c r="N1555" s="253"/>
      <c r="O1555" s="256"/>
      <c r="P1555" s="256"/>
      <c r="Q1555" s="256"/>
      <c r="R1555" s="256"/>
      <c r="S1555" s="234"/>
      <c r="T1555" s="258"/>
    </row>
    <row r="1556" spans="2:20" ht="22.5" customHeight="1" x14ac:dyDescent="0.25">
      <c r="B1556" s="267"/>
      <c r="C1556" s="234"/>
      <c r="D1556" s="234"/>
      <c r="E1556" s="268"/>
      <c r="F1556" s="269"/>
      <c r="G1556" s="258"/>
      <c r="H1556" s="270"/>
      <c r="I1556" s="271"/>
      <c r="J1556" s="271"/>
      <c r="K1556" s="234"/>
      <c r="L1556" s="307"/>
      <c r="M1556" s="272"/>
      <c r="N1556" s="253"/>
      <c r="O1556" s="256"/>
      <c r="P1556" s="256"/>
      <c r="Q1556" s="256"/>
      <c r="R1556" s="256"/>
      <c r="S1556" s="234"/>
      <c r="T1556" s="258"/>
    </row>
    <row r="1557" spans="2:20" ht="22.5" customHeight="1" x14ac:dyDescent="0.25">
      <c r="B1557" s="267"/>
      <c r="C1557" s="234"/>
      <c r="D1557" s="234"/>
      <c r="E1557" s="268"/>
      <c r="F1557" s="269"/>
      <c r="G1557" s="258"/>
      <c r="H1557" s="270"/>
      <c r="I1557" s="271"/>
      <c r="J1557" s="271"/>
      <c r="K1557" s="234"/>
      <c r="L1557" s="307"/>
      <c r="M1557" s="272"/>
      <c r="N1557" s="253"/>
      <c r="O1557" s="256"/>
      <c r="P1557" s="256"/>
      <c r="Q1557" s="256"/>
      <c r="R1557" s="256"/>
      <c r="S1557" s="234"/>
      <c r="T1557" s="258"/>
    </row>
    <row r="1558" spans="2:20" ht="22.5" customHeight="1" x14ac:dyDescent="0.25">
      <c r="B1558" s="267"/>
      <c r="C1558" s="234"/>
      <c r="D1558" s="234"/>
      <c r="E1558" s="268"/>
      <c r="F1558" s="269"/>
      <c r="G1558" s="258"/>
      <c r="H1558" s="270"/>
      <c r="I1558" s="271"/>
      <c r="J1558" s="271"/>
      <c r="K1558" s="234"/>
      <c r="L1558" s="307"/>
      <c r="M1558" s="272"/>
      <c r="N1558" s="253"/>
      <c r="O1558" s="256"/>
      <c r="P1558" s="256"/>
      <c r="Q1558" s="256"/>
      <c r="R1558" s="256"/>
      <c r="S1558" s="234"/>
      <c r="T1558" s="258"/>
    </row>
    <row r="1559" spans="2:20" ht="22.5" customHeight="1" x14ac:dyDescent="0.25">
      <c r="B1559" s="267"/>
      <c r="C1559" s="234"/>
      <c r="D1559" s="234"/>
      <c r="E1559" s="268"/>
      <c r="F1559" s="269"/>
      <c r="G1559" s="258"/>
      <c r="H1559" s="270"/>
      <c r="I1559" s="271"/>
      <c r="J1559" s="271"/>
      <c r="K1559" s="234"/>
      <c r="L1559" s="307"/>
      <c r="M1559" s="272"/>
      <c r="N1559" s="253"/>
      <c r="O1559" s="256"/>
      <c r="P1559" s="256"/>
      <c r="Q1559" s="256"/>
      <c r="R1559" s="256"/>
      <c r="S1559" s="234"/>
      <c r="T1559" s="258"/>
    </row>
    <row r="1560" spans="2:20" ht="22.5" customHeight="1" x14ac:dyDescent="0.25">
      <c r="B1560" s="267"/>
      <c r="C1560" s="234"/>
      <c r="D1560" s="234"/>
      <c r="E1560" s="268"/>
      <c r="F1560" s="269"/>
      <c r="G1560" s="258"/>
      <c r="H1560" s="270"/>
      <c r="I1560" s="271"/>
      <c r="J1560" s="271"/>
      <c r="K1560" s="234"/>
      <c r="L1560" s="307"/>
      <c r="M1560" s="272"/>
      <c r="N1560" s="253"/>
      <c r="O1560" s="256"/>
      <c r="P1560" s="256"/>
      <c r="Q1560" s="256"/>
      <c r="R1560" s="256"/>
      <c r="S1560" s="234"/>
      <c r="T1560" s="258"/>
    </row>
    <row r="1561" spans="2:20" ht="22.5" customHeight="1" x14ac:dyDescent="0.25">
      <c r="B1561" s="267"/>
      <c r="C1561" s="234"/>
      <c r="D1561" s="234"/>
      <c r="E1561" s="268"/>
      <c r="F1561" s="269"/>
      <c r="G1561" s="258"/>
      <c r="H1561" s="270"/>
      <c r="I1561" s="271"/>
      <c r="J1561" s="271"/>
      <c r="K1561" s="234"/>
      <c r="L1561" s="307"/>
      <c r="M1561" s="272"/>
      <c r="N1561" s="253"/>
      <c r="O1561" s="256"/>
      <c r="P1561" s="256"/>
      <c r="Q1561" s="256"/>
      <c r="R1561" s="256"/>
      <c r="S1561" s="234"/>
      <c r="T1561" s="258"/>
    </row>
    <row r="1562" spans="2:20" ht="22.5" customHeight="1" x14ac:dyDescent="0.25">
      <c r="B1562" s="267"/>
      <c r="C1562" s="234"/>
      <c r="D1562" s="234"/>
      <c r="E1562" s="268"/>
      <c r="F1562" s="269"/>
      <c r="G1562" s="258"/>
      <c r="H1562" s="270"/>
      <c r="I1562" s="271"/>
      <c r="J1562" s="271"/>
      <c r="K1562" s="234"/>
      <c r="L1562" s="307"/>
      <c r="M1562" s="272"/>
      <c r="N1562" s="253"/>
      <c r="O1562" s="256"/>
      <c r="P1562" s="256"/>
      <c r="Q1562" s="256"/>
      <c r="R1562" s="256"/>
      <c r="S1562" s="234"/>
      <c r="T1562" s="258"/>
    </row>
    <row r="1563" spans="2:20" ht="22.5" customHeight="1" x14ac:dyDescent="0.25">
      <c r="B1563" s="267"/>
      <c r="C1563" s="234"/>
      <c r="D1563" s="234"/>
      <c r="E1563" s="268"/>
      <c r="F1563" s="269"/>
      <c r="G1563" s="258"/>
      <c r="H1563" s="270"/>
      <c r="I1563" s="271"/>
      <c r="J1563" s="271"/>
      <c r="K1563" s="234"/>
      <c r="L1563" s="307"/>
      <c r="M1563" s="272"/>
      <c r="N1563" s="253"/>
      <c r="O1563" s="256"/>
      <c r="P1563" s="256"/>
      <c r="Q1563" s="256"/>
      <c r="R1563" s="256"/>
      <c r="S1563" s="234"/>
      <c r="T1563" s="258"/>
    </row>
    <row r="1564" spans="2:20" ht="22.5" customHeight="1" x14ac:dyDescent="0.25">
      <c r="B1564" s="267"/>
      <c r="C1564" s="234"/>
      <c r="D1564" s="234"/>
      <c r="E1564" s="268"/>
      <c r="F1564" s="269"/>
      <c r="G1564" s="258"/>
      <c r="H1564" s="270"/>
      <c r="I1564" s="271"/>
      <c r="J1564" s="271"/>
      <c r="K1564" s="234"/>
      <c r="L1564" s="307"/>
      <c r="M1564" s="272"/>
      <c r="N1564" s="253"/>
      <c r="O1564" s="256"/>
      <c r="P1564" s="256"/>
      <c r="Q1564" s="256"/>
      <c r="R1564" s="256"/>
      <c r="S1564" s="234"/>
      <c r="T1564" s="258"/>
    </row>
    <row r="1565" spans="2:20" ht="22.5" customHeight="1" x14ac:dyDescent="0.25">
      <c r="B1565" s="267"/>
      <c r="C1565" s="234"/>
      <c r="D1565" s="234"/>
      <c r="E1565" s="268"/>
      <c r="F1565" s="269"/>
      <c r="G1565" s="258"/>
      <c r="H1565" s="270"/>
      <c r="I1565" s="271"/>
      <c r="J1565" s="271"/>
      <c r="K1565" s="234"/>
      <c r="L1565" s="307"/>
      <c r="M1565" s="272"/>
      <c r="N1565" s="253"/>
      <c r="O1565" s="256"/>
      <c r="P1565" s="256"/>
      <c r="Q1565" s="256"/>
      <c r="R1565" s="256"/>
      <c r="S1565" s="234"/>
      <c r="T1565" s="258"/>
    </row>
    <row r="1566" spans="2:20" ht="22.5" customHeight="1" x14ac:dyDescent="0.25">
      <c r="B1566" s="267"/>
      <c r="C1566" s="234"/>
      <c r="D1566" s="234"/>
      <c r="E1566" s="268"/>
      <c r="F1566" s="269"/>
      <c r="G1566" s="258"/>
      <c r="H1566" s="270"/>
      <c r="I1566" s="271"/>
      <c r="J1566" s="271"/>
      <c r="K1566" s="234"/>
      <c r="L1566" s="307"/>
      <c r="M1566" s="272"/>
      <c r="N1566" s="253"/>
      <c r="O1566" s="256"/>
      <c r="P1566" s="256"/>
      <c r="Q1566" s="256"/>
      <c r="R1566" s="256"/>
      <c r="S1566" s="234"/>
      <c r="T1566" s="258"/>
    </row>
    <row r="1567" spans="2:20" ht="22.5" customHeight="1" x14ac:dyDescent="0.25">
      <c r="B1567" s="267"/>
      <c r="C1567" s="234"/>
      <c r="D1567" s="234"/>
      <c r="E1567" s="268"/>
      <c r="F1567" s="269"/>
      <c r="G1567" s="258"/>
      <c r="H1567" s="270"/>
      <c r="I1567" s="271"/>
      <c r="J1567" s="271"/>
      <c r="K1567" s="234"/>
      <c r="L1567" s="307"/>
      <c r="M1567" s="272"/>
      <c r="N1567" s="253"/>
      <c r="O1567" s="256"/>
      <c r="P1567" s="256"/>
      <c r="Q1567" s="256"/>
      <c r="R1567" s="256"/>
      <c r="S1567" s="234"/>
      <c r="T1567" s="258"/>
    </row>
    <row r="1568" spans="2:20" ht="22.5" customHeight="1" x14ac:dyDescent="0.25">
      <c r="B1568" s="267"/>
      <c r="C1568" s="234"/>
      <c r="D1568" s="234"/>
      <c r="E1568" s="268"/>
      <c r="F1568" s="269"/>
      <c r="G1568" s="258"/>
      <c r="H1568" s="270"/>
      <c r="I1568" s="271"/>
      <c r="J1568" s="271"/>
      <c r="K1568" s="234"/>
      <c r="L1568" s="307"/>
      <c r="M1568" s="272"/>
      <c r="N1568" s="253"/>
      <c r="O1568" s="256"/>
      <c r="P1568" s="256"/>
      <c r="Q1568" s="256"/>
      <c r="R1568" s="256"/>
      <c r="S1568" s="234"/>
      <c r="T1568" s="258"/>
    </row>
    <row r="1569" spans="2:20" ht="22.5" customHeight="1" x14ac:dyDescent="0.25">
      <c r="B1569" s="267"/>
      <c r="C1569" s="234"/>
      <c r="D1569" s="234"/>
      <c r="E1569" s="268"/>
      <c r="F1569" s="269"/>
      <c r="G1569" s="258"/>
      <c r="H1569" s="270"/>
      <c r="I1569" s="271"/>
      <c r="J1569" s="271"/>
      <c r="K1569" s="234"/>
      <c r="L1569" s="307"/>
      <c r="M1569" s="272"/>
      <c r="N1569" s="253"/>
      <c r="O1569" s="256"/>
      <c r="P1569" s="256"/>
      <c r="Q1569" s="256"/>
      <c r="R1569" s="256"/>
      <c r="S1569" s="234"/>
      <c r="T1569" s="258"/>
    </row>
    <row r="1570" spans="2:20" ht="22.5" customHeight="1" x14ac:dyDescent="0.25">
      <c r="B1570" s="267"/>
      <c r="C1570" s="234"/>
      <c r="D1570" s="234"/>
      <c r="E1570" s="268"/>
      <c r="F1570" s="269"/>
      <c r="G1570" s="258"/>
      <c r="H1570" s="270"/>
      <c r="I1570" s="271"/>
      <c r="J1570" s="271"/>
      <c r="K1570" s="234"/>
      <c r="L1570" s="307"/>
      <c r="M1570" s="272"/>
      <c r="N1570" s="253"/>
      <c r="O1570" s="256"/>
      <c r="P1570" s="256"/>
      <c r="Q1570" s="256"/>
      <c r="R1570" s="256"/>
      <c r="S1570" s="234"/>
      <c r="T1570" s="258"/>
    </row>
    <row r="1571" spans="2:20" ht="22.5" customHeight="1" x14ac:dyDescent="0.25">
      <c r="B1571" s="267"/>
      <c r="C1571" s="234"/>
      <c r="D1571" s="234"/>
      <c r="E1571" s="268"/>
      <c r="F1571" s="269"/>
      <c r="G1571" s="258"/>
      <c r="H1571" s="270"/>
      <c r="I1571" s="271"/>
      <c r="J1571" s="271"/>
      <c r="K1571" s="234"/>
      <c r="L1571" s="307"/>
      <c r="M1571" s="272"/>
      <c r="N1571" s="253"/>
      <c r="O1571" s="256"/>
      <c r="P1571" s="256"/>
      <c r="Q1571" s="256"/>
      <c r="R1571" s="256"/>
      <c r="S1571" s="234"/>
      <c r="T1571" s="258"/>
    </row>
    <row r="1572" spans="2:20" ht="22.5" customHeight="1" x14ac:dyDescent="0.25">
      <c r="B1572" s="267"/>
      <c r="C1572" s="234"/>
      <c r="D1572" s="234"/>
      <c r="E1572" s="268"/>
      <c r="F1572" s="269"/>
      <c r="G1572" s="258"/>
      <c r="H1572" s="270"/>
      <c r="I1572" s="271"/>
      <c r="J1572" s="271"/>
      <c r="K1572" s="234"/>
      <c r="L1572" s="307"/>
      <c r="M1572" s="272"/>
      <c r="N1572" s="253"/>
      <c r="O1572" s="256"/>
      <c r="P1572" s="256"/>
      <c r="Q1572" s="256"/>
      <c r="R1572" s="256"/>
      <c r="S1572" s="234"/>
      <c r="T1572" s="258"/>
    </row>
    <row r="1573" spans="2:20" ht="22.5" customHeight="1" x14ac:dyDescent="0.25">
      <c r="B1573" s="267"/>
      <c r="C1573" s="234"/>
      <c r="D1573" s="234"/>
      <c r="E1573" s="268"/>
      <c r="F1573" s="269"/>
      <c r="G1573" s="258"/>
      <c r="H1573" s="270"/>
      <c r="I1573" s="271"/>
      <c r="J1573" s="271"/>
      <c r="K1573" s="234"/>
      <c r="L1573" s="307"/>
      <c r="M1573" s="272"/>
      <c r="N1573" s="253"/>
      <c r="O1573" s="256"/>
      <c r="P1573" s="256"/>
      <c r="Q1573" s="256"/>
      <c r="R1573" s="256"/>
      <c r="S1573" s="234"/>
      <c r="T1573" s="258"/>
    </row>
    <row r="1574" spans="2:20" ht="22.5" customHeight="1" x14ac:dyDescent="0.25">
      <c r="B1574" s="267"/>
      <c r="C1574" s="234"/>
      <c r="D1574" s="234"/>
      <c r="E1574" s="268"/>
      <c r="F1574" s="269"/>
      <c r="G1574" s="258"/>
      <c r="H1574" s="270"/>
      <c r="I1574" s="271"/>
      <c r="J1574" s="271"/>
      <c r="K1574" s="234"/>
      <c r="L1574" s="307"/>
      <c r="M1574" s="272"/>
      <c r="N1574" s="253"/>
      <c r="O1574" s="256"/>
      <c r="P1574" s="256"/>
      <c r="Q1574" s="256"/>
      <c r="R1574" s="256"/>
      <c r="S1574" s="234"/>
      <c r="T1574" s="258"/>
    </row>
    <row r="1575" spans="2:20" ht="22.5" customHeight="1" x14ac:dyDescent="0.25">
      <c r="B1575" s="267"/>
      <c r="C1575" s="234"/>
      <c r="D1575" s="234"/>
      <c r="E1575" s="268"/>
      <c r="F1575" s="269"/>
      <c r="G1575" s="258"/>
      <c r="H1575" s="270"/>
      <c r="I1575" s="271"/>
      <c r="J1575" s="271"/>
      <c r="K1575" s="234"/>
      <c r="L1575" s="307"/>
      <c r="M1575" s="272"/>
      <c r="N1575" s="253"/>
      <c r="O1575" s="256"/>
      <c r="P1575" s="256"/>
      <c r="Q1575" s="256"/>
      <c r="R1575" s="256"/>
      <c r="S1575" s="234"/>
      <c r="T1575" s="258"/>
    </row>
    <row r="1576" spans="2:20" ht="22.5" customHeight="1" x14ac:dyDescent="0.25">
      <c r="B1576" s="267"/>
      <c r="C1576" s="234"/>
      <c r="D1576" s="234"/>
      <c r="E1576" s="268"/>
      <c r="F1576" s="269"/>
      <c r="G1576" s="258"/>
      <c r="H1576" s="270"/>
      <c r="I1576" s="271"/>
      <c r="J1576" s="271"/>
      <c r="K1576" s="234"/>
      <c r="L1576" s="307"/>
      <c r="M1576" s="272"/>
      <c r="N1576" s="253"/>
      <c r="O1576" s="256"/>
      <c r="P1576" s="256"/>
      <c r="Q1576" s="256"/>
      <c r="R1576" s="256"/>
      <c r="S1576" s="234"/>
      <c r="T1576" s="258"/>
    </row>
    <row r="1577" spans="2:20" ht="22.5" customHeight="1" x14ac:dyDescent="0.25">
      <c r="B1577" s="267"/>
      <c r="C1577" s="234"/>
      <c r="D1577" s="234"/>
      <c r="E1577" s="268"/>
      <c r="F1577" s="269"/>
      <c r="G1577" s="258"/>
      <c r="H1577" s="270"/>
      <c r="I1577" s="271"/>
      <c r="J1577" s="271"/>
      <c r="K1577" s="234"/>
      <c r="L1577" s="307"/>
      <c r="M1577" s="272"/>
      <c r="N1577" s="253"/>
      <c r="O1577" s="256"/>
      <c r="P1577" s="256"/>
      <c r="Q1577" s="256"/>
      <c r="R1577" s="256"/>
      <c r="S1577" s="234"/>
      <c r="T1577" s="258"/>
    </row>
    <row r="1578" spans="2:20" ht="22.5" customHeight="1" x14ac:dyDescent="0.25">
      <c r="B1578" s="267"/>
      <c r="C1578" s="234"/>
      <c r="D1578" s="234"/>
      <c r="E1578" s="268"/>
      <c r="F1578" s="269"/>
      <c r="G1578" s="258"/>
      <c r="H1578" s="270"/>
      <c r="I1578" s="271"/>
      <c r="J1578" s="271"/>
      <c r="K1578" s="234"/>
      <c r="L1578" s="307"/>
      <c r="M1578" s="272"/>
      <c r="N1578" s="253"/>
      <c r="O1578" s="256"/>
      <c r="P1578" s="256"/>
      <c r="Q1578" s="256"/>
      <c r="R1578" s="256"/>
      <c r="S1578" s="234"/>
      <c r="T1578" s="258"/>
    </row>
    <row r="1579" spans="2:20" ht="22.5" customHeight="1" x14ac:dyDescent="0.25">
      <c r="B1579" s="267"/>
      <c r="C1579" s="234"/>
      <c r="D1579" s="234"/>
      <c r="E1579" s="268"/>
      <c r="F1579" s="269"/>
      <c r="G1579" s="258"/>
      <c r="H1579" s="270"/>
      <c r="I1579" s="271"/>
      <c r="J1579" s="271"/>
      <c r="K1579" s="234"/>
      <c r="L1579" s="307"/>
      <c r="M1579" s="272"/>
      <c r="N1579" s="253"/>
      <c r="O1579" s="256"/>
      <c r="P1579" s="256"/>
      <c r="Q1579" s="256"/>
      <c r="R1579" s="256"/>
      <c r="S1579" s="234"/>
      <c r="T1579" s="258"/>
    </row>
    <row r="1580" spans="2:20" ht="22.5" customHeight="1" x14ac:dyDescent="0.25">
      <c r="B1580" s="267"/>
      <c r="C1580" s="234"/>
      <c r="D1580" s="234"/>
      <c r="E1580" s="268"/>
      <c r="F1580" s="269"/>
      <c r="G1580" s="258"/>
      <c r="H1580" s="270"/>
      <c r="I1580" s="271"/>
      <c r="J1580" s="271"/>
      <c r="K1580" s="234"/>
      <c r="L1580" s="307"/>
      <c r="M1580" s="272"/>
      <c r="N1580" s="253"/>
      <c r="O1580" s="256"/>
      <c r="P1580" s="256"/>
      <c r="Q1580" s="256"/>
      <c r="R1580" s="256"/>
      <c r="S1580" s="234"/>
      <c r="T1580" s="258"/>
    </row>
    <row r="1581" spans="2:20" ht="22.5" customHeight="1" x14ac:dyDescent="0.25">
      <c r="B1581" s="267"/>
      <c r="C1581" s="234"/>
      <c r="D1581" s="234"/>
      <c r="E1581" s="268"/>
      <c r="F1581" s="269"/>
      <c r="G1581" s="258"/>
      <c r="H1581" s="270"/>
      <c r="I1581" s="271"/>
      <c r="J1581" s="271"/>
      <c r="K1581" s="234"/>
      <c r="L1581" s="307"/>
      <c r="M1581" s="272"/>
      <c r="N1581" s="253"/>
      <c r="O1581" s="256"/>
      <c r="P1581" s="256"/>
      <c r="Q1581" s="256"/>
      <c r="R1581" s="256"/>
      <c r="S1581" s="234"/>
      <c r="T1581" s="258"/>
    </row>
    <row r="1582" spans="2:20" ht="22.5" customHeight="1" x14ac:dyDescent="0.25">
      <c r="B1582" s="267"/>
      <c r="C1582" s="234"/>
      <c r="D1582" s="234"/>
      <c r="E1582" s="268"/>
      <c r="F1582" s="269"/>
      <c r="G1582" s="258"/>
      <c r="H1582" s="270"/>
      <c r="I1582" s="271"/>
      <c r="J1582" s="271"/>
      <c r="K1582" s="234"/>
      <c r="L1582" s="307"/>
      <c r="M1582" s="272"/>
      <c r="N1582" s="253"/>
      <c r="O1582" s="256"/>
      <c r="P1582" s="256"/>
      <c r="Q1582" s="256"/>
      <c r="R1582" s="256"/>
      <c r="S1582" s="234"/>
      <c r="T1582" s="258"/>
    </row>
    <row r="1583" spans="2:20" ht="22.5" customHeight="1" x14ac:dyDescent="0.25">
      <c r="B1583" s="267"/>
      <c r="C1583" s="234"/>
      <c r="D1583" s="234"/>
      <c r="E1583" s="268"/>
      <c r="F1583" s="269"/>
      <c r="G1583" s="258"/>
      <c r="H1583" s="270"/>
      <c r="I1583" s="271"/>
      <c r="J1583" s="271"/>
      <c r="K1583" s="234"/>
      <c r="L1583" s="307"/>
      <c r="M1583" s="272"/>
      <c r="N1583" s="253"/>
      <c r="O1583" s="256"/>
      <c r="P1583" s="256"/>
      <c r="Q1583" s="256"/>
      <c r="R1583" s="256"/>
      <c r="S1583" s="234"/>
      <c r="T1583" s="258"/>
    </row>
    <row r="1584" spans="2:20" ht="22.5" customHeight="1" x14ac:dyDescent="0.25">
      <c r="B1584" s="267"/>
      <c r="C1584" s="234"/>
      <c r="D1584" s="234"/>
      <c r="E1584" s="268"/>
      <c r="F1584" s="269"/>
      <c r="G1584" s="258"/>
      <c r="H1584" s="270"/>
      <c r="I1584" s="271"/>
      <c r="J1584" s="271"/>
      <c r="K1584" s="234"/>
      <c r="L1584" s="307"/>
      <c r="M1584" s="272"/>
      <c r="N1584" s="253"/>
      <c r="O1584" s="256"/>
      <c r="P1584" s="256"/>
      <c r="Q1584" s="256"/>
      <c r="R1584" s="256"/>
      <c r="S1584" s="234"/>
      <c r="T1584" s="258"/>
    </row>
    <row r="1585" spans="2:20" ht="22.5" customHeight="1" x14ac:dyDescent="0.25">
      <c r="B1585" s="267"/>
      <c r="C1585" s="234"/>
      <c r="D1585" s="234"/>
      <c r="E1585" s="268"/>
      <c r="F1585" s="269"/>
      <c r="G1585" s="258"/>
      <c r="H1585" s="270"/>
      <c r="I1585" s="271"/>
      <c r="J1585" s="271"/>
      <c r="K1585" s="234"/>
      <c r="L1585" s="307"/>
      <c r="M1585" s="272"/>
      <c r="N1585" s="253"/>
      <c r="O1585" s="256"/>
      <c r="P1585" s="256"/>
      <c r="Q1585" s="256"/>
      <c r="R1585" s="256"/>
      <c r="S1585" s="234"/>
      <c r="T1585" s="258"/>
    </row>
    <row r="1586" spans="2:20" ht="22.5" customHeight="1" x14ac:dyDescent="0.25">
      <c r="B1586" s="267"/>
      <c r="C1586" s="234"/>
      <c r="D1586" s="234"/>
      <c r="E1586" s="268"/>
      <c r="F1586" s="269"/>
      <c r="G1586" s="258"/>
      <c r="H1586" s="270"/>
      <c r="I1586" s="271"/>
      <c r="J1586" s="271"/>
      <c r="K1586" s="234"/>
      <c r="L1586" s="307"/>
      <c r="M1586" s="272"/>
      <c r="N1586" s="253"/>
      <c r="O1586" s="256"/>
      <c r="P1586" s="256"/>
      <c r="Q1586" s="256"/>
      <c r="R1586" s="256"/>
      <c r="S1586" s="234"/>
      <c r="T1586" s="258"/>
    </row>
    <row r="1587" spans="2:20" ht="22.5" customHeight="1" x14ac:dyDescent="0.25">
      <c r="B1587" s="267"/>
      <c r="C1587" s="234"/>
      <c r="D1587" s="234"/>
      <c r="E1587" s="268"/>
      <c r="F1587" s="269"/>
      <c r="G1587" s="258"/>
      <c r="H1587" s="270"/>
      <c r="I1587" s="271"/>
      <c r="J1587" s="271"/>
      <c r="K1587" s="234"/>
      <c r="L1587" s="307"/>
      <c r="M1587" s="272"/>
      <c r="N1587" s="253"/>
      <c r="O1587" s="256"/>
      <c r="P1587" s="256"/>
      <c r="Q1587" s="256"/>
      <c r="R1587" s="256"/>
      <c r="S1587" s="234"/>
      <c r="T1587" s="258"/>
    </row>
    <row r="1588" spans="2:20" ht="22.5" customHeight="1" x14ac:dyDescent="0.25">
      <c r="B1588" s="267"/>
      <c r="C1588" s="234"/>
      <c r="D1588" s="234"/>
      <c r="E1588" s="268"/>
      <c r="F1588" s="269"/>
      <c r="G1588" s="258"/>
      <c r="H1588" s="270"/>
      <c r="I1588" s="271"/>
      <c r="J1588" s="271"/>
      <c r="K1588" s="234"/>
      <c r="L1588" s="307"/>
      <c r="M1588" s="272"/>
      <c r="N1588" s="253"/>
      <c r="O1588" s="256"/>
      <c r="P1588" s="256"/>
      <c r="Q1588" s="256"/>
      <c r="R1588" s="256"/>
      <c r="S1588" s="234"/>
      <c r="T1588" s="258"/>
    </row>
    <row r="1589" spans="2:20" ht="22.5" customHeight="1" x14ac:dyDescent="0.25">
      <c r="B1589" s="267"/>
      <c r="C1589" s="234"/>
      <c r="D1589" s="234"/>
      <c r="E1589" s="268"/>
      <c r="F1589" s="269"/>
      <c r="G1589" s="258"/>
      <c r="H1589" s="270"/>
      <c r="I1589" s="271"/>
      <c r="J1589" s="271"/>
      <c r="K1589" s="234"/>
      <c r="L1589" s="307"/>
      <c r="M1589" s="272"/>
      <c r="N1589" s="253"/>
      <c r="O1589" s="256"/>
      <c r="P1589" s="256"/>
      <c r="Q1589" s="256"/>
      <c r="R1589" s="256"/>
      <c r="S1589" s="234"/>
      <c r="T1589" s="258"/>
    </row>
    <row r="1590" spans="2:20" ht="22.5" customHeight="1" x14ac:dyDescent="0.25">
      <c r="B1590" s="267"/>
      <c r="C1590" s="234"/>
      <c r="D1590" s="234"/>
      <c r="E1590" s="268"/>
      <c r="F1590" s="269"/>
      <c r="G1590" s="258"/>
      <c r="H1590" s="270"/>
      <c r="I1590" s="271"/>
      <c r="J1590" s="271"/>
      <c r="K1590" s="234"/>
      <c r="L1590" s="307"/>
      <c r="M1590" s="272"/>
      <c r="N1590" s="253"/>
      <c r="O1590" s="256"/>
      <c r="P1590" s="256"/>
      <c r="Q1590" s="256"/>
      <c r="R1590" s="256"/>
      <c r="S1590" s="234"/>
      <c r="T1590" s="258"/>
    </row>
    <row r="1591" spans="2:20" ht="22.5" customHeight="1" x14ac:dyDescent="0.25">
      <c r="B1591" s="267"/>
      <c r="C1591" s="234"/>
      <c r="D1591" s="234"/>
      <c r="E1591" s="268"/>
      <c r="F1591" s="269"/>
      <c r="G1591" s="258"/>
      <c r="H1591" s="270"/>
      <c r="I1591" s="271"/>
      <c r="J1591" s="271"/>
      <c r="K1591" s="234"/>
      <c r="L1591" s="307"/>
      <c r="M1591" s="272"/>
      <c r="N1591" s="253"/>
      <c r="O1591" s="256"/>
      <c r="P1591" s="256"/>
      <c r="Q1591" s="256"/>
      <c r="R1591" s="256"/>
      <c r="S1591" s="234"/>
      <c r="T1591" s="258"/>
    </row>
    <row r="1592" spans="2:20" ht="22.5" customHeight="1" x14ac:dyDescent="0.25">
      <c r="B1592" s="267"/>
      <c r="C1592" s="234"/>
      <c r="D1592" s="234"/>
      <c r="E1592" s="268"/>
      <c r="F1592" s="269"/>
      <c r="G1592" s="258"/>
      <c r="H1592" s="270"/>
      <c r="I1592" s="271"/>
      <c r="J1592" s="271"/>
      <c r="K1592" s="234"/>
      <c r="L1592" s="307"/>
      <c r="M1592" s="272"/>
      <c r="N1592" s="253"/>
      <c r="O1592" s="256"/>
      <c r="P1592" s="256"/>
      <c r="Q1592" s="256"/>
      <c r="R1592" s="256"/>
      <c r="S1592" s="234"/>
      <c r="T1592" s="258"/>
    </row>
    <row r="1593" spans="2:20" ht="22.5" customHeight="1" x14ac:dyDescent="0.25">
      <c r="B1593" s="267"/>
      <c r="C1593" s="234"/>
      <c r="D1593" s="234"/>
      <c r="E1593" s="268"/>
      <c r="F1593" s="269"/>
      <c r="G1593" s="258"/>
      <c r="H1593" s="270"/>
      <c r="I1593" s="271"/>
      <c r="J1593" s="271"/>
      <c r="K1593" s="234"/>
      <c r="L1593" s="307"/>
      <c r="M1593" s="272"/>
      <c r="N1593" s="253"/>
      <c r="O1593" s="256"/>
      <c r="P1593" s="256"/>
      <c r="Q1593" s="256"/>
      <c r="R1593" s="256"/>
      <c r="S1593" s="234"/>
      <c r="T1593" s="258"/>
    </row>
    <row r="1594" spans="2:20" ht="22.5" customHeight="1" x14ac:dyDescent="0.25">
      <c r="B1594" s="267"/>
      <c r="C1594" s="234"/>
      <c r="D1594" s="234"/>
      <c r="E1594" s="268"/>
      <c r="F1594" s="269"/>
      <c r="G1594" s="258"/>
      <c r="H1594" s="270"/>
      <c r="I1594" s="271"/>
      <c r="J1594" s="271"/>
      <c r="K1594" s="234"/>
      <c r="L1594" s="307"/>
      <c r="M1594" s="272"/>
      <c r="N1594" s="253"/>
      <c r="O1594" s="256"/>
      <c r="P1594" s="256"/>
      <c r="Q1594" s="256"/>
      <c r="R1594" s="256"/>
      <c r="S1594" s="234"/>
      <c r="T1594" s="258"/>
    </row>
    <row r="1595" spans="2:20" ht="22.5" customHeight="1" x14ac:dyDescent="0.25">
      <c r="B1595" s="267"/>
      <c r="C1595" s="234"/>
      <c r="D1595" s="234"/>
      <c r="E1595" s="268"/>
      <c r="F1595" s="269"/>
      <c r="G1595" s="258"/>
      <c r="H1595" s="270"/>
      <c r="I1595" s="271"/>
      <c r="J1595" s="271"/>
      <c r="K1595" s="234"/>
      <c r="L1595" s="307"/>
      <c r="M1595" s="272"/>
      <c r="N1595" s="253"/>
      <c r="O1595" s="256"/>
      <c r="P1595" s="256"/>
      <c r="Q1595" s="256"/>
      <c r="R1595" s="256"/>
      <c r="S1595" s="234"/>
      <c r="T1595" s="258"/>
    </row>
    <row r="1596" spans="2:20" ht="22.5" customHeight="1" x14ac:dyDescent="0.25">
      <c r="B1596" s="267"/>
      <c r="C1596" s="234"/>
      <c r="D1596" s="234"/>
      <c r="E1596" s="268"/>
      <c r="F1596" s="269"/>
      <c r="G1596" s="258"/>
      <c r="H1596" s="270"/>
      <c r="I1596" s="271"/>
      <c r="J1596" s="271"/>
      <c r="K1596" s="234"/>
      <c r="L1596" s="307"/>
      <c r="M1596" s="272"/>
      <c r="N1596" s="253"/>
      <c r="O1596" s="256"/>
      <c r="P1596" s="256"/>
      <c r="Q1596" s="256"/>
      <c r="R1596" s="256"/>
      <c r="S1596" s="234"/>
      <c r="T1596" s="258"/>
    </row>
    <row r="1597" spans="2:20" ht="22.5" customHeight="1" x14ac:dyDescent="0.25">
      <c r="B1597" s="267"/>
      <c r="C1597" s="234"/>
      <c r="D1597" s="234"/>
      <c r="E1597" s="268"/>
      <c r="F1597" s="269"/>
      <c r="G1597" s="258"/>
      <c r="H1597" s="270"/>
      <c r="I1597" s="271"/>
      <c r="J1597" s="271"/>
      <c r="K1597" s="234"/>
      <c r="L1597" s="307"/>
      <c r="M1597" s="272"/>
      <c r="N1597" s="253"/>
      <c r="O1597" s="256"/>
      <c r="P1597" s="256"/>
      <c r="Q1597" s="256"/>
      <c r="R1597" s="256"/>
      <c r="S1597" s="234"/>
      <c r="T1597" s="258"/>
    </row>
    <row r="1598" spans="2:20" ht="22.5" customHeight="1" x14ac:dyDescent="0.25">
      <c r="B1598" s="267"/>
      <c r="C1598" s="234"/>
      <c r="D1598" s="234"/>
      <c r="E1598" s="268"/>
      <c r="F1598" s="269"/>
      <c r="G1598" s="258"/>
      <c r="H1598" s="270"/>
      <c r="I1598" s="271"/>
      <c r="J1598" s="271"/>
      <c r="K1598" s="234"/>
      <c r="L1598" s="307"/>
      <c r="M1598" s="272"/>
      <c r="N1598" s="253"/>
      <c r="O1598" s="256"/>
      <c r="P1598" s="256"/>
      <c r="Q1598" s="256"/>
      <c r="R1598" s="256"/>
      <c r="S1598" s="234"/>
      <c r="T1598" s="258"/>
    </row>
    <row r="1599" spans="2:20" ht="22.5" customHeight="1" x14ac:dyDescent="0.25">
      <c r="B1599" s="267"/>
      <c r="C1599" s="234"/>
      <c r="D1599" s="234"/>
      <c r="E1599" s="268"/>
      <c r="F1599" s="269"/>
      <c r="G1599" s="258"/>
      <c r="H1599" s="270"/>
      <c r="I1599" s="271"/>
      <c r="J1599" s="271"/>
      <c r="K1599" s="234"/>
      <c r="L1599" s="307"/>
      <c r="M1599" s="272"/>
      <c r="N1599" s="253"/>
      <c r="O1599" s="256"/>
      <c r="P1599" s="256"/>
      <c r="Q1599" s="256"/>
      <c r="R1599" s="256"/>
      <c r="S1599" s="234"/>
      <c r="T1599" s="258"/>
    </row>
    <row r="1600" spans="2:20" ht="22.5" customHeight="1" x14ac:dyDescent="0.25">
      <c r="B1600" s="267"/>
      <c r="C1600" s="234"/>
      <c r="D1600" s="234"/>
      <c r="E1600" s="268"/>
      <c r="F1600" s="269"/>
      <c r="G1600" s="258"/>
      <c r="H1600" s="270"/>
      <c r="I1600" s="271"/>
      <c r="J1600" s="271"/>
      <c r="K1600" s="234"/>
      <c r="L1600" s="307"/>
      <c r="M1600" s="272"/>
      <c r="N1600" s="253"/>
      <c r="O1600" s="256"/>
      <c r="P1600" s="256"/>
      <c r="Q1600" s="256"/>
      <c r="R1600" s="256"/>
      <c r="S1600" s="234"/>
      <c r="T1600" s="258"/>
    </row>
    <row r="1601" spans="2:20" ht="22.5" customHeight="1" x14ac:dyDescent="0.25">
      <c r="B1601" s="267"/>
      <c r="C1601" s="234"/>
      <c r="D1601" s="234"/>
      <c r="E1601" s="268"/>
      <c r="F1601" s="269"/>
      <c r="G1601" s="258"/>
      <c r="H1601" s="270"/>
      <c r="I1601" s="271"/>
      <c r="J1601" s="271"/>
      <c r="K1601" s="234"/>
      <c r="L1601" s="307"/>
      <c r="M1601" s="272"/>
      <c r="N1601" s="253"/>
      <c r="O1601" s="256"/>
      <c r="P1601" s="256"/>
      <c r="Q1601" s="256"/>
      <c r="R1601" s="256"/>
      <c r="S1601" s="234"/>
      <c r="T1601" s="258"/>
    </row>
    <row r="1602" spans="2:20" ht="22.5" customHeight="1" x14ac:dyDescent="0.25">
      <c r="B1602" s="267"/>
      <c r="C1602" s="234"/>
      <c r="D1602" s="234"/>
      <c r="E1602" s="268"/>
      <c r="F1602" s="269"/>
      <c r="G1602" s="258"/>
      <c r="H1602" s="270"/>
      <c r="I1602" s="271"/>
      <c r="J1602" s="271"/>
      <c r="K1602" s="234"/>
      <c r="L1602" s="307"/>
      <c r="M1602" s="272"/>
      <c r="N1602" s="253"/>
      <c r="O1602" s="256"/>
      <c r="P1602" s="256"/>
      <c r="Q1602" s="256"/>
      <c r="R1602" s="256"/>
      <c r="S1602" s="234"/>
      <c r="T1602" s="258"/>
    </row>
    <row r="1603" spans="2:20" ht="22.5" customHeight="1" x14ac:dyDescent="0.25">
      <c r="B1603" s="267"/>
      <c r="C1603" s="234"/>
      <c r="D1603" s="234"/>
      <c r="E1603" s="268"/>
      <c r="F1603" s="269"/>
      <c r="G1603" s="258"/>
      <c r="H1603" s="270"/>
      <c r="I1603" s="271"/>
      <c r="J1603" s="271"/>
      <c r="K1603" s="234"/>
      <c r="L1603" s="307"/>
      <c r="M1603" s="272"/>
      <c r="N1603" s="253"/>
      <c r="O1603" s="256"/>
      <c r="P1603" s="256"/>
      <c r="Q1603" s="256"/>
      <c r="R1603" s="256"/>
      <c r="S1603" s="234"/>
      <c r="T1603" s="258"/>
    </row>
    <row r="1604" spans="2:20" ht="22.5" customHeight="1" x14ac:dyDescent="0.25">
      <c r="B1604" s="267"/>
      <c r="C1604" s="234"/>
      <c r="D1604" s="234"/>
      <c r="E1604" s="268"/>
      <c r="F1604" s="269"/>
      <c r="G1604" s="258"/>
      <c r="H1604" s="270"/>
      <c r="I1604" s="271"/>
      <c r="J1604" s="271"/>
      <c r="K1604" s="234"/>
      <c r="L1604" s="307"/>
      <c r="M1604" s="272"/>
      <c r="N1604" s="253"/>
      <c r="O1604" s="256"/>
      <c r="P1604" s="256"/>
      <c r="Q1604" s="256"/>
      <c r="R1604" s="256"/>
      <c r="S1604" s="234"/>
      <c r="T1604" s="258"/>
    </row>
    <row r="1605" spans="2:20" ht="22.5" customHeight="1" x14ac:dyDescent="0.25">
      <c r="B1605" s="267"/>
      <c r="C1605" s="234"/>
      <c r="D1605" s="234"/>
      <c r="E1605" s="268"/>
      <c r="F1605" s="269"/>
      <c r="G1605" s="258"/>
      <c r="H1605" s="270"/>
      <c r="I1605" s="271"/>
      <c r="J1605" s="271"/>
      <c r="K1605" s="234"/>
      <c r="L1605" s="307"/>
      <c r="M1605" s="272"/>
      <c r="N1605" s="253"/>
      <c r="O1605" s="256"/>
      <c r="P1605" s="256"/>
      <c r="Q1605" s="256"/>
      <c r="R1605" s="256"/>
      <c r="S1605" s="234"/>
      <c r="T1605" s="258"/>
    </row>
    <row r="1606" spans="2:20" ht="22.5" customHeight="1" x14ac:dyDescent="0.25">
      <c r="B1606" s="267"/>
      <c r="C1606" s="234"/>
      <c r="D1606" s="234"/>
      <c r="E1606" s="268"/>
      <c r="F1606" s="269"/>
      <c r="G1606" s="258"/>
      <c r="H1606" s="270"/>
      <c r="I1606" s="271"/>
      <c r="J1606" s="271"/>
      <c r="K1606" s="234"/>
      <c r="L1606" s="307"/>
      <c r="M1606" s="272"/>
      <c r="N1606" s="253"/>
      <c r="O1606" s="256"/>
      <c r="P1606" s="256"/>
      <c r="Q1606" s="256"/>
      <c r="R1606" s="256"/>
      <c r="S1606" s="234"/>
      <c r="T1606" s="258"/>
    </row>
    <row r="1607" spans="2:20" ht="22.5" customHeight="1" x14ac:dyDescent="0.25">
      <c r="B1607" s="267"/>
      <c r="C1607" s="234"/>
      <c r="D1607" s="234"/>
      <c r="E1607" s="268"/>
      <c r="F1607" s="269"/>
      <c r="G1607" s="258"/>
      <c r="H1607" s="270"/>
      <c r="I1607" s="271"/>
      <c r="J1607" s="271"/>
      <c r="K1607" s="234"/>
      <c r="L1607" s="307"/>
      <c r="M1607" s="272"/>
      <c r="N1607" s="253"/>
      <c r="O1607" s="256"/>
      <c r="P1607" s="256"/>
      <c r="Q1607" s="256"/>
      <c r="R1607" s="256"/>
      <c r="S1607" s="234"/>
      <c r="T1607" s="258"/>
    </row>
    <row r="1608" spans="2:20" ht="22.5" customHeight="1" x14ac:dyDescent="0.25">
      <c r="B1608" s="267"/>
      <c r="C1608" s="234"/>
      <c r="D1608" s="234"/>
      <c r="E1608" s="268"/>
      <c r="F1608" s="269"/>
      <c r="G1608" s="258"/>
      <c r="H1608" s="270"/>
      <c r="I1608" s="271"/>
      <c r="J1608" s="271"/>
      <c r="K1608" s="234"/>
      <c r="L1608" s="307"/>
      <c r="M1608" s="272"/>
      <c r="N1608" s="253"/>
      <c r="O1608" s="256"/>
      <c r="P1608" s="256"/>
      <c r="Q1608" s="256"/>
      <c r="R1608" s="256"/>
      <c r="S1608" s="234"/>
      <c r="T1608" s="258"/>
    </row>
    <row r="1609" spans="2:20" ht="22.5" customHeight="1" x14ac:dyDescent="0.25">
      <c r="B1609" s="267"/>
      <c r="C1609" s="234"/>
      <c r="D1609" s="234"/>
      <c r="E1609" s="268"/>
      <c r="F1609" s="269"/>
      <c r="G1609" s="258"/>
      <c r="H1609" s="270"/>
      <c r="I1609" s="271"/>
      <c r="J1609" s="271"/>
      <c r="K1609" s="234"/>
      <c r="L1609" s="307"/>
      <c r="M1609" s="272"/>
      <c r="N1609" s="253"/>
      <c r="O1609" s="256"/>
      <c r="P1609" s="256"/>
      <c r="Q1609" s="256"/>
      <c r="R1609" s="256"/>
      <c r="S1609" s="234"/>
      <c r="T1609" s="258"/>
    </row>
    <row r="1610" spans="2:20" ht="22.5" customHeight="1" x14ac:dyDescent="0.25">
      <c r="B1610" s="267"/>
      <c r="C1610" s="234"/>
      <c r="D1610" s="234"/>
      <c r="E1610" s="268"/>
      <c r="F1610" s="269"/>
      <c r="G1610" s="258"/>
      <c r="H1610" s="270"/>
      <c r="I1610" s="271"/>
      <c r="J1610" s="271"/>
      <c r="K1610" s="234"/>
      <c r="L1610" s="307"/>
      <c r="M1610" s="272"/>
      <c r="N1610" s="253"/>
      <c r="O1610" s="256"/>
      <c r="P1610" s="256"/>
      <c r="Q1610" s="256"/>
      <c r="R1610" s="256"/>
      <c r="S1610" s="234"/>
      <c r="T1610" s="258"/>
    </row>
    <row r="1611" spans="2:20" ht="22.5" customHeight="1" x14ac:dyDescent="0.25">
      <c r="B1611" s="267"/>
      <c r="C1611" s="234"/>
      <c r="D1611" s="234"/>
      <c r="E1611" s="268"/>
      <c r="F1611" s="269"/>
      <c r="G1611" s="258"/>
      <c r="H1611" s="270"/>
      <c r="I1611" s="271"/>
      <c r="J1611" s="271"/>
      <c r="K1611" s="234"/>
      <c r="L1611" s="307"/>
      <c r="M1611" s="272"/>
      <c r="N1611" s="253"/>
      <c r="O1611" s="256"/>
      <c r="P1611" s="256"/>
      <c r="Q1611" s="256"/>
      <c r="R1611" s="256"/>
      <c r="S1611" s="234"/>
      <c r="T1611" s="258"/>
    </row>
    <row r="1612" spans="2:20" ht="22.5" customHeight="1" x14ac:dyDescent="0.25">
      <c r="B1612" s="267"/>
      <c r="C1612" s="234"/>
      <c r="D1612" s="234"/>
      <c r="E1612" s="268"/>
      <c r="F1612" s="269"/>
      <c r="G1612" s="258"/>
      <c r="H1612" s="270"/>
      <c r="I1612" s="271"/>
      <c r="J1612" s="271"/>
      <c r="K1612" s="234"/>
      <c r="L1612" s="307"/>
      <c r="M1612" s="272"/>
      <c r="N1612" s="253"/>
      <c r="O1612" s="256"/>
      <c r="P1612" s="256"/>
      <c r="Q1612" s="256"/>
      <c r="R1612" s="256"/>
      <c r="S1612" s="234"/>
      <c r="T1612" s="258"/>
    </row>
    <row r="1613" spans="2:20" ht="22.5" customHeight="1" x14ac:dyDescent="0.25">
      <c r="B1613" s="267"/>
      <c r="C1613" s="234"/>
      <c r="D1613" s="234"/>
      <c r="E1613" s="268"/>
      <c r="F1613" s="269"/>
      <c r="G1613" s="258"/>
      <c r="H1613" s="270"/>
      <c r="I1613" s="271"/>
      <c r="J1613" s="271"/>
      <c r="K1613" s="234"/>
      <c r="L1613" s="307"/>
      <c r="M1613" s="272"/>
      <c r="N1613" s="253"/>
      <c r="O1613" s="256"/>
      <c r="P1613" s="256"/>
      <c r="Q1613" s="256"/>
      <c r="R1613" s="256"/>
      <c r="S1613" s="234"/>
      <c r="T1613" s="258"/>
    </row>
    <row r="1614" spans="2:20" ht="22.5" customHeight="1" x14ac:dyDescent="0.25">
      <c r="B1614" s="267"/>
      <c r="C1614" s="234"/>
      <c r="D1614" s="234"/>
      <c r="E1614" s="268"/>
      <c r="F1614" s="269"/>
      <c r="G1614" s="258"/>
      <c r="H1614" s="270"/>
      <c r="I1614" s="271"/>
      <c r="J1614" s="271"/>
      <c r="K1614" s="234"/>
      <c r="L1614" s="307"/>
      <c r="M1614" s="272"/>
      <c r="N1614" s="253"/>
      <c r="O1614" s="256"/>
      <c r="P1614" s="256"/>
      <c r="Q1614" s="256"/>
      <c r="R1614" s="256"/>
      <c r="S1614" s="234"/>
      <c r="T1614" s="258"/>
    </row>
    <row r="1615" spans="2:20" ht="22.5" customHeight="1" x14ac:dyDescent="0.25">
      <c r="B1615" s="267"/>
      <c r="C1615" s="234"/>
      <c r="D1615" s="234"/>
      <c r="E1615" s="268"/>
      <c r="F1615" s="269"/>
      <c r="G1615" s="258"/>
      <c r="H1615" s="270"/>
      <c r="I1615" s="271"/>
      <c r="J1615" s="271"/>
      <c r="K1615" s="234"/>
      <c r="L1615" s="307"/>
      <c r="M1615" s="272"/>
      <c r="N1615" s="253"/>
      <c r="O1615" s="256"/>
      <c r="P1615" s="256"/>
      <c r="Q1615" s="256"/>
      <c r="R1615" s="256"/>
      <c r="S1615" s="234"/>
      <c r="T1615" s="258"/>
    </row>
    <row r="1616" spans="2:20" ht="22.5" customHeight="1" x14ac:dyDescent="0.25">
      <c r="B1616" s="267"/>
      <c r="C1616" s="234"/>
      <c r="D1616" s="234"/>
      <c r="E1616" s="268"/>
      <c r="F1616" s="269"/>
      <c r="G1616" s="258"/>
      <c r="H1616" s="270"/>
      <c r="I1616" s="271"/>
      <c r="J1616" s="271"/>
      <c r="K1616" s="234"/>
      <c r="L1616" s="307"/>
      <c r="M1616" s="272"/>
      <c r="N1616" s="253"/>
      <c r="O1616" s="256"/>
      <c r="P1616" s="256"/>
      <c r="Q1616" s="256"/>
      <c r="R1616" s="256"/>
      <c r="S1616" s="234"/>
      <c r="T1616" s="258"/>
    </row>
    <row r="1617" spans="2:20" ht="22.5" customHeight="1" x14ac:dyDescent="0.25">
      <c r="B1617" s="267"/>
      <c r="C1617" s="234"/>
      <c r="D1617" s="234"/>
      <c r="E1617" s="268"/>
      <c r="F1617" s="269"/>
      <c r="G1617" s="258"/>
      <c r="H1617" s="270"/>
      <c r="I1617" s="271"/>
      <c r="J1617" s="271"/>
      <c r="K1617" s="234"/>
      <c r="L1617" s="307"/>
      <c r="M1617" s="272"/>
      <c r="N1617" s="253"/>
      <c r="O1617" s="256"/>
      <c r="P1617" s="256"/>
      <c r="Q1617" s="256"/>
      <c r="R1617" s="256"/>
      <c r="S1617" s="234"/>
      <c r="T1617" s="258"/>
    </row>
    <row r="1618" spans="2:20" ht="22.5" customHeight="1" x14ac:dyDescent="0.25">
      <c r="B1618" s="267"/>
      <c r="C1618" s="234"/>
      <c r="D1618" s="234"/>
      <c r="E1618" s="268"/>
      <c r="F1618" s="269"/>
      <c r="G1618" s="258"/>
      <c r="H1618" s="270"/>
      <c r="I1618" s="271"/>
      <c r="J1618" s="271"/>
      <c r="K1618" s="234"/>
      <c r="L1618" s="307"/>
      <c r="M1618" s="272"/>
      <c r="N1618" s="253"/>
      <c r="O1618" s="256"/>
      <c r="P1618" s="256"/>
      <c r="Q1618" s="256"/>
      <c r="R1618" s="256"/>
      <c r="S1618" s="234"/>
      <c r="T1618" s="258"/>
    </row>
    <row r="1619" spans="2:20" ht="22.5" customHeight="1" x14ac:dyDescent="0.25">
      <c r="B1619" s="267"/>
      <c r="C1619" s="234"/>
      <c r="D1619" s="234"/>
      <c r="E1619" s="268"/>
      <c r="F1619" s="269"/>
      <c r="G1619" s="258"/>
      <c r="H1619" s="270"/>
      <c r="I1619" s="271"/>
      <c r="J1619" s="271"/>
      <c r="K1619" s="234"/>
      <c r="L1619" s="307"/>
      <c r="M1619" s="272"/>
      <c r="N1619" s="253"/>
      <c r="O1619" s="256"/>
      <c r="P1619" s="256"/>
      <c r="Q1619" s="256"/>
      <c r="R1619" s="256"/>
      <c r="S1619" s="234"/>
      <c r="T1619" s="258"/>
    </row>
    <row r="1620" spans="2:20" ht="22.5" customHeight="1" x14ac:dyDescent="0.25">
      <c r="B1620" s="267"/>
      <c r="C1620" s="234"/>
      <c r="D1620" s="234"/>
      <c r="E1620" s="268"/>
      <c r="F1620" s="269"/>
      <c r="G1620" s="258"/>
      <c r="H1620" s="270"/>
      <c r="I1620" s="271"/>
      <c r="J1620" s="271"/>
      <c r="K1620" s="234"/>
      <c r="L1620" s="307"/>
      <c r="M1620" s="272"/>
      <c r="N1620" s="253"/>
      <c r="O1620" s="256"/>
      <c r="P1620" s="256"/>
      <c r="Q1620" s="256"/>
      <c r="R1620" s="256"/>
      <c r="S1620" s="234"/>
      <c r="T1620" s="258"/>
    </row>
    <row r="1621" spans="2:20" ht="22.5" customHeight="1" x14ac:dyDescent="0.25">
      <c r="B1621" s="267"/>
      <c r="C1621" s="234"/>
      <c r="D1621" s="234"/>
      <c r="E1621" s="268"/>
      <c r="F1621" s="269"/>
      <c r="G1621" s="258"/>
      <c r="H1621" s="270"/>
      <c r="I1621" s="271"/>
      <c r="J1621" s="271"/>
      <c r="K1621" s="234"/>
      <c r="L1621" s="307"/>
      <c r="M1621" s="272"/>
      <c r="N1621" s="253"/>
      <c r="O1621" s="256"/>
      <c r="P1621" s="256"/>
      <c r="Q1621" s="256"/>
      <c r="R1621" s="256"/>
      <c r="S1621" s="234"/>
      <c r="T1621" s="258"/>
    </row>
    <row r="1622" spans="2:20" ht="22.5" customHeight="1" x14ac:dyDescent="0.25">
      <c r="B1622" s="267"/>
      <c r="C1622" s="234"/>
      <c r="D1622" s="234"/>
      <c r="E1622" s="268"/>
      <c r="F1622" s="269"/>
      <c r="G1622" s="258"/>
      <c r="H1622" s="270"/>
      <c r="I1622" s="271"/>
      <c r="J1622" s="271"/>
      <c r="K1622" s="234"/>
      <c r="L1622" s="307"/>
      <c r="M1622" s="272"/>
      <c r="N1622" s="253"/>
      <c r="O1622" s="256"/>
      <c r="P1622" s="256"/>
      <c r="Q1622" s="256"/>
      <c r="R1622" s="256"/>
      <c r="S1622" s="234"/>
      <c r="T1622" s="258"/>
    </row>
    <row r="1623" spans="2:20" ht="22.5" customHeight="1" x14ac:dyDescent="0.25">
      <c r="B1623" s="267"/>
      <c r="C1623" s="234"/>
      <c r="D1623" s="234"/>
      <c r="E1623" s="268"/>
      <c r="F1623" s="269"/>
      <c r="G1623" s="258"/>
      <c r="H1623" s="270"/>
      <c r="I1623" s="271"/>
      <c r="J1623" s="271"/>
      <c r="K1623" s="234"/>
      <c r="L1623" s="307"/>
      <c r="M1623" s="272"/>
      <c r="N1623" s="253"/>
      <c r="O1623" s="256"/>
      <c r="P1623" s="256"/>
      <c r="Q1623" s="256"/>
      <c r="R1623" s="256"/>
      <c r="S1623" s="234"/>
      <c r="T1623" s="258"/>
    </row>
    <row r="1624" spans="2:20" ht="22.5" customHeight="1" x14ac:dyDescent="0.25">
      <c r="B1624" s="267"/>
      <c r="C1624" s="234"/>
      <c r="D1624" s="234"/>
      <c r="E1624" s="268"/>
      <c r="F1624" s="269"/>
      <c r="G1624" s="258"/>
      <c r="H1624" s="270"/>
      <c r="I1624" s="271"/>
      <c r="J1624" s="271"/>
      <c r="K1624" s="234"/>
      <c r="L1624" s="307"/>
      <c r="M1624" s="272"/>
      <c r="N1624" s="253"/>
      <c r="O1624" s="256"/>
      <c r="P1624" s="256"/>
      <c r="Q1624" s="256"/>
      <c r="R1624" s="256"/>
      <c r="S1624" s="234"/>
      <c r="T1624" s="258"/>
    </row>
    <row r="1625" spans="2:20" ht="22.5" customHeight="1" x14ac:dyDescent="0.25">
      <c r="B1625" s="267"/>
      <c r="C1625" s="234"/>
      <c r="D1625" s="234"/>
      <c r="E1625" s="268"/>
      <c r="F1625" s="269"/>
      <c r="G1625" s="258"/>
      <c r="H1625" s="270"/>
      <c r="I1625" s="271"/>
      <c r="J1625" s="271"/>
      <c r="K1625" s="234"/>
      <c r="L1625" s="307"/>
      <c r="M1625" s="272"/>
      <c r="N1625" s="253"/>
      <c r="O1625" s="256"/>
      <c r="P1625" s="256"/>
      <c r="Q1625" s="256"/>
      <c r="R1625" s="256"/>
      <c r="S1625" s="234"/>
      <c r="T1625" s="258"/>
    </row>
    <row r="1626" spans="2:20" ht="22.5" customHeight="1" x14ac:dyDescent="0.25">
      <c r="B1626" s="267"/>
      <c r="C1626" s="234"/>
      <c r="D1626" s="234"/>
      <c r="E1626" s="268"/>
      <c r="F1626" s="269"/>
      <c r="G1626" s="258"/>
      <c r="H1626" s="270"/>
      <c r="I1626" s="271"/>
      <c r="J1626" s="271"/>
      <c r="K1626" s="234"/>
      <c r="L1626" s="307"/>
      <c r="M1626" s="272"/>
      <c r="N1626" s="253"/>
      <c r="O1626" s="256"/>
      <c r="P1626" s="256"/>
      <c r="Q1626" s="256"/>
      <c r="R1626" s="256"/>
      <c r="S1626" s="234"/>
      <c r="T1626" s="258"/>
    </row>
    <row r="1627" spans="2:20" ht="22.5" customHeight="1" x14ac:dyDescent="0.25">
      <c r="B1627" s="267"/>
      <c r="C1627" s="234"/>
      <c r="D1627" s="234"/>
      <c r="E1627" s="268"/>
      <c r="F1627" s="269"/>
      <c r="G1627" s="258"/>
      <c r="H1627" s="270"/>
      <c r="I1627" s="271"/>
      <c r="J1627" s="271"/>
      <c r="K1627" s="234"/>
      <c r="L1627" s="307"/>
      <c r="M1627" s="272"/>
      <c r="N1627" s="253"/>
      <c r="O1627" s="256"/>
      <c r="P1627" s="256"/>
      <c r="Q1627" s="256"/>
      <c r="R1627" s="256"/>
      <c r="S1627" s="234"/>
      <c r="T1627" s="258"/>
    </row>
    <row r="1628" spans="2:20" ht="22.5" customHeight="1" x14ac:dyDescent="0.25">
      <c r="B1628" s="267"/>
      <c r="C1628" s="234"/>
      <c r="D1628" s="234"/>
      <c r="E1628" s="268"/>
      <c r="F1628" s="269"/>
      <c r="G1628" s="258"/>
      <c r="H1628" s="270"/>
      <c r="I1628" s="271"/>
      <c r="J1628" s="271"/>
      <c r="K1628" s="234"/>
      <c r="L1628" s="307"/>
      <c r="M1628" s="272"/>
      <c r="N1628" s="253"/>
      <c r="O1628" s="256"/>
      <c r="P1628" s="256"/>
      <c r="Q1628" s="256"/>
      <c r="R1628" s="256"/>
      <c r="S1628" s="234"/>
      <c r="T1628" s="258"/>
    </row>
    <row r="1629" spans="2:20" ht="22.5" customHeight="1" x14ac:dyDescent="0.25">
      <c r="B1629" s="267"/>
      <c r="C1629" s="234"/>
      <c r="D1629" s="234"/>
      <c r="E1629" s="268"/>
      <c r="F1629" s="269"/>
      <c r="G1629" s="258"/>
      <c r="H1629" s="270"/>
      <c r="I1629" s="271"/>
      <c r="J1629" s="271"/>
      <c r="K1629" s="234"/>
      <c r="L1629" s="307"/>
      <c r="M1629" s="272"/>
      <c r="N1629" s="253"/>
      <c r="O1629" s="256"/>
      <c r="P1629" s="256"/>
      <c r="Q1629" s="256"/>
      <c r="R1629" s="256"/>
      <c r="S1629" s="234"/>
      <c r="T1629" s="258"/>
    </row>
    <row r="1630" spans="2:20" ht="22.5" customHeight="1" x14ac:dyDescent="0.25">
      <c r="B1630" s="267"/>
      <c r="C1630" s="234"/>
      <c r="D1630" s="234"/>
      <c r="E1630" s="268"/>
      <c r="F1630" s="269"/>
      <c r="G1630" s="258"/>
      <c r="H1630" s="270"/>
      <c r="I1630" s="271"/>
      <c r="J1630" s="271"/>
      <c r="K1630" s="234"/>
      <c r="L1630" s="307"/>
      <c r="M1630" s="272"/>
      <c r="N1630" s="253"/>
      <c r="O1630" s="256"/>
      <c r="P1630" s="256"/>
      <c r="Q1630" s="256"/>
      <c r="R1630" s="256"/>
      <c r="S1630" s="234"/>
      <c r="T1630" s="258"/>
    </row>
    <row r="1631" spans="2:20" ht="22.5" customHeight="1" x14ac:dyDescent="0.25">
      <c r="B1631" s="267"/>
      <c r="C1631" s="234"/>
      <c r="D1631" s="234"/>
      <c r="E1631" s="268"/>
      <c r="F1631" s="269"/>
      <c r="G1631" s="258"/>
      <c r="H1631" s="270"/>
      <c r="I1631" s="271"/>
      <c r="J1631" s="271"/>
      <c r="K1631" s="234"/>
      <c r="L1631" s="307"/>
      <c r="M1631" s="272"/>
      <c r="N1631" s="253"/>
      <c r="O1631" s="256"/>
      <c r="P1631" s="256"/>
      <c r="Q1631" s="256"/>
      <c r="R1631" s="256"/>
      <c r="S1631" s="234"/>
      <c r="T1631" s="258"/>
    </row>
    <row r="1632" spans="2:20" ht="22.5" customHeight="1" x14ac:dyDescent="0.25">
      <c r="B1632" s="267"/>
      <c r="C1632" s="234"/>
      <c r="D1632" s="234"/>
      <c r="E1632" s="268"/>
      <c r="F1632" s="269"/>
      <c r="G1632" s="258"/>
      <c r="H1632" s="270"/>
      <c r="I1632" s="271"/>
      <c r="J1632" s="271"/>
      <c r="K1632" s="234"/>
      <c r="L1632" s="307"/>
      <c r="M1632" s="272"/>
      <c r="N1632" s="253"/>
      <c r="O1632" s="256"/>
      <c r="P1632" s="256"/>
      <c r="Q1632" s="256"/>
      <c r="R1632" s="256"/>
      <c r="S1632" s="234"/>
      <c r="T1632" s="258"/>
    </row>
    <row r="1633" spans="2:20" ht="22.5" customHeight="1" x14ac:dyDescent="0.25">
      <c r="B1633" s="267"/>
      <c r="C1633" s="234"/>
      <c r="D1633" s="234"/>
      <c r="E1633" s="268"/>
      <c r="F1633" s="269"/>
      <c r="G1633" s="258"/>
      <c r="H1633" s="270"/>
      <c r="I1633" s="271"/>
      <c r="J1633" s="271"/>
      <c r="K1633" s="234"/>
      <c r="L1633" s="307"/>
      <c r="M1633" s="272"/>
      <c r="N1633" s="253"/>
      <c r="O1633" s="256"/>
      <c r="P1633" s="256"/>
      <c r="Q1633" s="256"/>
      <c r="R1633" s="256"/>
      <c r="S1633" s="234"/>
      <c r="T1633" s="258"/>
    </row>
    <row r="1634" spans="2:20" ht="22.5" customHeight="1" x14ac:dyDescent="0.25">
      <c r="B1634" s="267"/>
      <c r="C1634" s="234"/>
      <c r="D1634" s="234"/>
      <c r="E1634" s="268"/>
      <c r="F1634" s="269"/>
      <c r="G1634" s="258"/>
      <c r="H1634" s="270"/>
      <c r="I1634" s="271"/>
      <c r="J1634" s="271"/>
      <c r="K1634" s="234"/>
      <c r="L1634" s="307"/>
      <c r="M1634" s="272"/>
      <c r="N1634" s="253"/>
      <c r="O1634" s="256"/>
      <c r="P1634" s="256"/>
      <c r="Q1634" s="256"/>
      <c r="R1634" s="256"/>
      <c r="S1634" s="234"/>
      <c r="T1634" s="258"/>
    </row>
    <row r="1635" spans="2:20" ht="22.5" customHeight="1" x14ac:dyDescent="0.25">
      <c r="B1635" s="267"/>
      <c r="C1635" s="234"/>
      <c r="D1635" s="234"/>
      <c r="E1635" s="268"/>
      <c r="F1635" s="269"/>
      <c r="G1635" s="258"/>
      <c r="H1635" s="270"/>
      <c r="I1635" s="271"/>
      <c r="J1635" s="271"/>
      <c r="K1635" s="234"/>
      <c r="L1635" s="307"/>
      <c r="M1635" s="272"/>
      <c r="N1635" s="253"/>
      <c r="O1635" s="256"/>
      <c r="P1635" s="256"/>
      <c r="Q1635" s="256"/>
      <c r="R1635" s="256"/>
      <c r="S1635" s="234"/>
      <c r="T1635" s="258"/>
    </row>
    <row r="1636" spans="2:20" ht="22.5" customHeight="1" x14ac:dyDescent="0.25">
      <c r="B1636" s="267"/>
      <c r="C1636" s="234"/>
      <c r="D1636" s="234"/>
      <c r="E1636" s="268"/>
      <c r="F1636" s="269"/>
      <c r="G1636" s="258"/>
      <c r="H1636" s="270"/>
      <c r="I1636" s="271"/>
      <c r="J1636" s="271"/>
      <c r="K1636" s="234"/>
      <c r="L1636" s="307"/>
      <c r="M1636" s="272"/>
      <c r="N1636" s="253"/>
      <c r="O1636" s="256"/>
      <c r="P1636" s="256"/>
      <c r="Q1636" s="256"/>
      <c r="R1636" s="256"/>
      <c r="S1636" s="234"/>
      <c r="T1636" s="258"/>
    </row>
    <row r="1637" spans="2:20" ht="22.5" customHeight="1" x14ac:dyDescent="0.25">
      <c r="B1637" s="267"/>
      <c r="C1637" s="234"/>
      <c r="D1637" s="234"/>
      <c r="E1637" s="268"/>
      <c r="F1637" s="269"/>
      <c r="G1637" s="258"/>
      <c r="H1637" s="270"/>
      <c r="I1637" s="271"/>
      <c r="J1637" s="271"/>
      <c r="K1637" s="234"/>
      <c r="L1637" s="307"/>
      <c r="M1637" s="272"/>
      <c r="N1637" s="253"/>
      <c r="O1637" s="256"/>
      <c r="P1637" s="256"/>
      <c r="Q1637" s="256"/>
      <c r="R1637" s="256"/>
      <c r="S1637" s="234"/>
      <c r="T1637" s="258"/>
    </row>
    <row r="1638" spans="2:20" ht="22.5" customHeight="1" x14ac:dyDescent="0.25">
      <c r="B1638" s="267"/>
      <c r="C1638" s="234"/>
      <c r="D1638" s="234"/>
      <c r="E1638" s="268"/>
      <c r="F1638" s="269"/>
      <c r="G1638" s="258"/>
      <c r="H1638" s="270"/>
      <c r="I1638" s="271"/>
      <c r="J1638" s="271"/>
      <c r="K1638" s="234"/>
      <c r="L1638" s="307"/>
      <c r="M1638" s="272"/>
      <c r="N1638" s="253"/>
      <c r="O1638" s="256"/>
      <c r="P1638" s="256"/>
      <c r="Q1638" s="256"/>
      <c r="R1638" s="256"/>
      <c r="S1638" s="234"/>
      <c r="T1638" s="258"/>
    </row>
    <row r="1639" spans="2:20" ht="22.5" customHeight="1" x14ac:dyDescent="0.25">
      <c r="B1639" s="267"/>
      <c r="C1639" s="234"/>
      <c r="D1639" s="234"/>
      <c r="E1639" s="268"/>
      <c r="F1639" s="269"/>
      <c r="G1639" s="258"/>
      <c r="H1639" s="270"/>
      <c r="I1639" s="271"/>
      <c r="J1639" s="271"/>
      <c r="K1639" s="234"/>
      <c r="L1639" s="307"/>
      <c r="M1639" s="272"/>
      <c r="N1639" s="253"/>
      <c r="O1639" s="256"/>
      <c r="P1639" s="256"/>
      <c r="Q1639" s="256"/>
      <c r="R1639" s="256"/>
      <c r="S1639" s="234"/>
      <c r="T1639" s="258"/>
    </row>
    <row r="1640" spans="2:20" ht="22.5" customHeight="1" x14ac:dyDescent="0.25">
      <c r="B1640" s="267"/>
      <c r="C1640" s="234"/>
      <c r="D1640" s="234"/>
      <c r="E1640" s="268"/>
      <c r="F1640" s="269"/>
      <c r="G1640" s="258"/>
      <c r="H1640" s="270"/>
      <c r="I1640" s="271"/>
      <c r="J1640" s="271"/>
      <c r="K1640" s="234"/>
      <c r="L1640" s="307"/>
      <c r="M1640" s="272"/>
      <c r="N1640" s="253"/>
      <c r="O1640" s="256"/>
      <c r="P1640" s="256"/>
      <c r="Q1640" s="256"/>
      <c r="R1640" s="256"/>
      <c r="S1640" s="234"/>
      <c r="T1640" s="258"/>
    </row>
    <row r="1641" spans="2:20" ht="22.5" customHeight="1" x14ac:dyDescent="0.25">
      <c r="B1641" s="267"/>
      <c r="C1641" s="234"/>
      <c r="D1641" s="234"/>
      <c r="E1641" s="268"/>
      <c r="F1641" s="269"/>
      <c r="G1641" s="258"/>
      <c r="H1641" s="270"/>
      <c r="I1641" s="271"/>
      <c r="J1641" s="271"/>
      <c r="K1641" s="234"/>
      <c r="L1641" s="307"/>
      <c r="M1641" s="272"/>
      <c r="N1641" s="253"/>
      <c r="O1641" s="256"/>
      <c r="P1641" s="256"/>
      <c r="Q1641" s="256"/>
      <c r="R1641" s="256"/>
      <c r="S1641" s="234"/>
      <c r="T1641" s="258"/>
    </row>
    <row r="1642" spans="2:20" ht="22.5" customHeight="1" x14ac:dyDescent="0.25">
      <c r="B1642" s="267"/>
      <c r="C1642" s="234"/>
      <c r="D1642" s="234"/>
      <c r="E1642" s="268"/>
      <c r="F1642" s="269"/>
      <c r="G1642" s="258"/>
      <c r="H1642" s="270"/>
      <c r="I1642" s="271"/>
      <c r="J1642" s="271"/>
      <c r="K1642" s="234"/>
      <c r="L1642" s="307"/>
      <c r="M1642" s="272"/>
      <c r="N1642" s="253"/>
      <c r="O1642" s="256"/>
      <c r="P1642" s="256"/>
      <c r="Q1642" s="256"/>
      <c r="R1642" s="256"/>
      <c r="S1642" s="234"/>
      <c r="T1642" s="258"/>
    </row>
    <row r="1643" spans="2:20" ht="22.5" customHeight="1" x14ac:dyDescent="0.25">
      <c r="B1643" s="267"/>
      <c r="C1643" s="234"/>
      <c r="D1643" s="234"/>
      <c r="E1643" s="268"/>
      <c r="F1643" s="269"/>
      <c r="G1643" s="258"/>
      <c r="H1643" s="270"/>
      <c r="I1643" s="271"/>
      <c r="J1643" s="271"/>
      <c r="K1643" s="234"/>
      <c r="L1643" s="307"/>
      <c r="M1643" s="272"/>
      <c r="N1643" s="253"/>
      <c r="O1643" s="256"/>
      <c r="P1643" s="256"/>
      <c r="Q1643" s="256"/>
      <c r="R1643" s="256"/>
      <c r="S1643" s="234"/>
      <c r="T1643" s="258"/>
    </row>
    <row r="1644" spans="2:20" ht="22.5" customHeight="1" x14ac:dyDescent="0.25">
      <c r="B1644" s="267"/>
      <c r="C1644" s="234"/>
      <c r="D1644" s="234"/>
      <c r="E1644" s="268"/>
      <c r="F1644" s="269"/>
      <c r="G1644" s="258"/>
      <c r="H1644" s="270"/>
      <c r="I1644" s="271"/>
      <c r="J1644" s="271"/>
      <c r="K1644" s="234"/>
      <c r="L1644" s="307"/>
      <c r="M1644" s="272"/>
      <c r="N1644" s="253"/>
      <c r="O1644" s="256"/>
      <c r="P1644" s="256"/>
      <c r="Q1644" s="256"/>
      <c r="R1644" s="256"/>
      <c r="S1644" s="234"/>
      <c r="T1644" s="258"/>
    </row>
    <row r="1645" spans="2:20" ht="22.5" customHeight="1" x14ac:dyDescent="0.25">
      <c r="B1645" s="267"/>
      <c r="C1645" s="234"/>
      <c r="D1645" s="234"/>
      <c r="E1645" s="268"/>
      <c r="F1645" s="269"/>
      <c r="G1645" s="258"/>
      <c r="H1645" s="270"/>
      <c r="I1645" s="271"/>
      <c r="J1645" s="271"/>
      <c r="K1645" s="234"/>
      <c r="L1645" s="307"/>
      <c r="M1645" s="272"/>
      <c r="N1645" s="253"/>
      <c r="O1645" s="256"/>
      <c r="P1645" s="256"/>
      <c r="Q1645" s="256"/>
      <c r="R1645" s="256"/>
      <c r="S1645" s="234"/>
      <c r="T1645" s="258"/>
    </row>
    <row r="1646" spans="2:20" ht="22.5" customHeight="1" x14ac:dyDescent="0.25">
      <c r="B1646" s="267"/>
      <c r="C1646" s="234"/>
      <c r="D1646" s="234"/>
      <c r="E1646" s="268"/>
      <c r="F1646" s="269"/>
      <c r="G1646" s="258"/>
      <c r="H1646" s="270"/>
      <c r="I1646" s="271"/>
      <c r="J1646" s="271"/>
      <c r="K1646" s="234"/>
      <c r="L1646" s="307"/>
      <c r="M1646" s="272"/>
      <c r="N1646" s="253"/>
      <c r="O1646" s="256"/>
      <c r="P1646" s="256"/>
      <c r="Q1646" s="256"/>
      <c r="R1646" s="256"/>
      <c r="S1646" s="234"/>
      <c r="T1646" s="258"/>
    </row>
    <row r="1647" spans="2:20" ht="22.5" customHeight="1" x14ac:dyDescent="0.25">
      <c r="B1647" s="267"/>
      <c r="C1647" s="234"/>
      <c r="D1647" s="234"/>
      <c r="E1647" s="268"/>
      <c r="F1647" s="269"/>
      <c r="G1647" s="258"/>
      <c r="H1647" s="270"/>
      <c r="I1647" s="271"/>
      <c r="J1647" s="271"/>
      <c r="K1647" s="234"/>
      <c r="L1647" s="307"/>
      <c r="M1647" s="272"/>
      <c r="N1647" s="253"/>
      <c r="O1647" s="256"/>
      <c r="P1647" s="256"/>
      <c r="Q1647" s="256"/>
      <c r="R1647" s="256"/>
      <c r="S1647" s="234"/>
      <c r="T1647" s="258"/>
    </row>
    <row r="1648" spans="2:20" ht="22.5" customHeight="1" x14ac:dyDescent="0.25">
      <c r="B1648" s="267"/>
      <c r="C1648" s="234"/>
      <c r="D1648" s="234"/>
      <c r="E1648" s="268"/>
      <c r="F1648" s="269"/>
      <c r="G1648" s="258"/>
      <c r="H1648" s="270"/>
      <c r="I1648" s="271"/>
      <c r="J1648" s="271"/>
      <c r="K1648" s="234"/>
      <c r="L1648" s="307"/>
      <c r="M1648" s="272"/>
      <c r="N1648" s="253"/>
      <c r="O1648" s="256"/>
      <c r="P1648" s="256"/>
      <c r="Q1648" s="256"/>
      <c r="R1648" s="256"/>
      <c r="S1648" s="234"/>
      <c r="T1648" s="258"/>
    </row>
    <row r="1649" spans="2:20" ht="22.5" customHeight="1" x14ac:dyDescent="0.25">
      <c r="B1649" s="267"/>
      <c r="C1649" s="234"/>
      <c r="D1649" s="234"/>
      <c r="E1649" s="268"/>
      <c r="F1649" s="269"/>
      <c r="G1649" s="258"/>
      <c r="H1649" s="270"/>
      <c r="I1649" s="271"/>
      <c r="J1649" s="271"/>
      <c r="K1649" s="234"/>
      <c r="L1649" s="307"/>
      <c r="M1649" s="272"/>
      <c r="N1649" s="253"/>
      <c r="O1649" s="256"/>
      <c r="P1649" s="256"/>
      <c r="Q1649" s="256"/>
      <c r="R1649" s="256"/>
      <c r="S1649" s="234"/>
      <c r="T1649" s="258"/>
    </row>
    <row r="1650" spans="2:20" ht="22.5" customHeight="1" x14ac:dyDescent="0.25">
      <c r="B1650" s="267"/>
      <c r="C1650" s="234"/>
      <c r="D1650" s="234"/>
      <c r="E1650" s="268"/>
      <c r="F1650" s="269"/>
      <c r="G1650" s="258"/>
      <c r="H1650" s="270"/>
      <c r="I1650" s="271"/>
      <c r="J1650" s="271"/>
      <c r="K1650" s="234"/>
      <c r="L1650" s="307"/>
      <c r="M1650" s="272"/>
      <c r="N1650" s="253"/>
      <c r="O1650" s="256"/>
      <c r="P1650" s="256"/>
      <c r="Q1650" s="256"/>
      <c r="R1650" s="256"/>
      <c r="S1650" s="234"/>
      <c r="T1650" s="258"/>
    </row>
    <row r="1651" spans="2:20" ht="22.5" customHeight="1" x14ac:dyDescent="0.25">
      <c r="B1651" s="267"/>
      <c r="C1651" s="234"/>
      <c r="D1651" s="234"/>
      <c r="E1651" s="268"/>
      <c r="F1651" s="269"/>
      <c r="G1651" s="258"/>
      <c r="H1651" s="270"/>
      <c r="I1651" s="271"/>
      <c r="J1651" s="271"/>
      <c r="K1651" s="234"/>
      <c r="L1651" s="307"/>
      <c r="M1651" s="272"/>
      <c r="N1651" s="253"/>
      <c r="O1651" s="256"/>
      <c r="P1651" s="256"/>
      <c r="Q1651" s="256"/>
      <c r="R1651" s="256"/>
      <c r="S1651" s="234"/>
      <c r="T1651" s="258"/>
    </row>
    <row r="1652" spans="2:20" ht="22.5" customHeight="1" x14ac:dyDescent="0.25">
      <c r="B1652" s="267"/>
      <c r="C1652" s="234"/>
      <c r="D1652" s="234"/>
      <c r="E1652" s="268"/>
      <c r="F1652" s="269"/>
      <c r="G1652" s="258"/>
      <c r="H1652" s="270"/>
      <c r="I1652" s="271"/>
      <c r="J1652" s="271"/>
      <c r="K1652" s="234"/>
      <c r="L1652" s="307"/>
      <c r="M1652" s="272"/>
      <c r="N1652" s="253"/>
      <c r="O1652" s="256"/>
      <c r="P1652" s="256"/>
      <c r="Q1652" s="256"/>
      <c r="R1652" s="256"/>
      <c r="S1652" s="234"/>
      <c r="T1652" s="258"/>
    </row>
    <row r="1653" spans="2:20" ht="22.5" customHeight="1" x14ac:dyDescent="0.25">
      <c r="B1653" s="267"/>
      <c r="C1653" s="234"/>
      <c r="D1653" s="234"/>
      <c r="E1653" s="268"/>
      <c r="F1653" s="269"/>
      <c r="G1653" s="258"/>
      <c r="H1653" s="270"/>
      <c r="I1653" s="271"/>
      <c r="J1653" s="271"/>
      <c r="K1653" s="234"/>
      <c r="L1653" s="307"/>
      <c r="M1653" s="272"/>
      <c r="N1653" s="253"/>
      <c r="O1653" s="256"/>
      <c r="P1653" s="256"/>
      <c r="Q1653" s="256"/>
      <c r="R1653" s="256"/>
      <c r="S1653" s="234"/>
      <c r="T1653" s="258"/>
    </row>
    <row r="1654" spans="2:20" ht="22.5" customHeight="1" x14ac:dyDescent="0.25">
      <c r="B1654" s="267"/>
      <c r="C1654" s="234"/>
      <c r="D1654" s="234"/>
      <c r="E1654" s="268"/>
      <c r="F1654" s="269"/>
      <c r="G1654" s="258"/>
      <c r="H1654" s="270"/>
      <c r="I1654" s="271"/>
      <c r="J1654" s="271"/>
      <c r="K1654" s="234"/>
      <c r="L1654" s="307"/>
      <c r="M1654" s="272"/>
      <c r="N1654" s="253"/>
      <c r="O1654" s="256"/>
      <c r="P1654" s="256"/>
      <c r="Q1654" s="256"/>
      <c r="R1654" s="256"/>
      <c r="S1654" s="234"/>
      <c r="T1654" s="258"/>
    </row>
    <row r="1655" spans="2:20" ht="22.5" customHeight="1" x14ac:dyDescent="0.25">
      <c r="B1655" s="267"/>
      <c r="C1655" s="234"/>
      <c r="D1655" s="234"/>
      <c r="E1655" s="268"/>
      <c r="F1655" s="269"/>
      <c r="G1655" s="258"/>
      <c r="H1655" s="270"/>
      <c r="I1655" s="271"/>
      <c r="J1655" s="271"/>
      <c r="K1655" s="234"/>
      <c r="L1655" s="307"/>
      <c r="M1655" s="272"/>
      <c r="N1655" s="253"/>
      <c r="O1655" s="256"/>
      <c r="P1655" s="256"/>
      <c r="Q1655" s="256"/>
      <c r="R1655" s="256"/>
      <c r="S1655" s="234"/>
      <c r="T1655" s="258"/>
    </row>
    <row r="1656" spans="2:20" ht="22.5" customHeight="1" x14ac:dyDescent="0.25">
      <c r="B1656" s="267"/>
      <c r="C1656" s="234"/>
      <c r="D1656" s="234"/>
      <c r="E1656" s="268"/>
      <c r="F1656" s="269"/>
      <c r="G1656" s="258"/>
      <c r="H1656" s="270"/>
      <c r="I1656" s="271"/>
      <c r="J1656" s="271"/>
      <c r="K1656" s="234"/>
      <c r="L1656" s="307"/>
      <c r="M1656" s="272"/>
      <c r="N1656" s="253"/>
      <c r="O1656" s="256"/>
      <c r="P1656" s="256"/>
      <c r="Q1656" s="256"/>
      <c r="R1656" s="256"/>
      <c r="S1656" s="234"/>
      <c r="T1656" s="258"/>
    </row>
    <row r="1657" spans="2:20" ht="22.5" customHeight="1" x14ac:dyDescent="0.25">
      <c r="B1657" s="267"/>
      <c r="C1657" s="234"/>
      <c r="D1657" s="234"/>
      <c r="E1657" s="268"/>
      <c r="F1657" s="269"/>
      <c r="G1657" s="258"/>
      <c r="H1657" s="270"/>
      <c r="I1657" s="271"/>
      <c r="J1657" s="271"/>
      <c r="K1657" s="234"/>
      <c r="L1657" s="307"/>
      <c r="M1657" s="272"/>
      <c r="N1657" s="253"/>
      <c r="O1657" s="256"/>
      <c r="P1657" s="256"/>
      <c r="Q1657" s="256"/>
      <c r="R1657" s="256"/>
      <c r="S1657" s="234"/>
      <c r="T1657" s="258"/>
    </row>
    <row r="1658" spans="2:20" ht="22.5" customHeight="1" x14ac:dyDescent="0.25">
      <c r="B1658" s="267"/>
      <c r="C1658" s="234"/>
      <c r="D1658" s="234"/>
      <c r="E1658" s="268"/>
      <c r="F1658" s="269"/>
      <c r="G1658" s="258"/>
      <c r="H1658" s="270"/>
      <c r="I1658" s="271"/>
      <c r="J1658" s="271"/>
      <c r="K1658" s="234"/>
      <c r="L1658" s="307"/>
      <c r="M1658" s="272"/>
      <c r="N1658" s="253"/>
      <c r="O1658" s="256"/>
      <c r="P1658" s="256"/>
      <c r="Q1658" s="256"/>
      <c r="R1658" s="256"/>
      <c r="S1658" s="234"/>
      <c r="T1658" s="258"/>
    </row>
    <row r="1659" spans="2:20" ht="22.5" customHeight="1" x14ac:dyDescent="0.25">
      <c r="B1659" s="267"/>
      <c r="C1659" s="234"/>
      <c r="D1659" s="234"/>
      <c r="E1659" s="268"/>
      <c r="F1659" s="269"/>
      <c r="G1659" s="258"/>
      <c r="H1659" s="270"/>
      <c r="I1659" s="271"/>
      <c r="J1659" s="271"/>
      <c r="K1659" s="234"/>
      <c r="L1659" s="307"/>
      <c r="M1659" s="272"/>
      <c r="N1659" s="253"/>
      <c r="O1659" s="256"/>
      <c r="P1659" s="256"/>
      <c r="Q1659" s="256"/>
      <c r="R1659" s="256"/>
      <c r="S1659" s="234"/>
      <c r="T1659" s="258"/>
    </row>
    <row r="1660" spans="2:20" ht="22.5" customHeight="1" x14ac:dyDescent="0.25">
      <c r="B1660" s="267"/>
      <c r="C1660" s="234"/>
      <c r="D1660" s="234"/>
      <c r="E1660" s="268"/>
      <c r="F1660" s="269"/>
      <c r="G1660" s="258"/>
      <c r="H1660" s="270"/>
      <c r="I1660" s="271"/>
      <c r="J1660" s="271"/>
      <c r="K1660" s="234"/>
      <c r="L1660" s="307"/>
      <c r="M1660" s="272"/>
      <c r="N1660" s="253"/>
      <c r="O1660" s="256"/>
      <c r="P1660" s="256"/>
      <c r="Q1660" s="256"/>
      <c r="R1660" s="256"/>
      <c r="S1660" s="234"/>
      <c r="T1660" s="258"/>
    </row>
    <row r="1661" spans="2:20" ht="22.5" customHeight="1" x14ac:dyDescent="0.25">
      <c r="B1661" s="267"/>
      <c r="C1661" s="234"/>
      <c r="D1661" s="234"/>
      <c r="E1661" s="268"/>
      <c r="F1661" s="269"/>
      <c r="G1661" s="258"/>
      <c r="H1661" s="270"/>
      <c r="I1661" s="271"/>
      <c r="J1661" s="271"/>
      <c r="K1661" s="234"/>
      <c r="L1661" s="307"/>
      <c r="M1661" s="272"/>
      <c r="N1661" s="253"/>
      <c r="O1661" s="256"/>
      <c r="P1661" s="256"/>
      <c r="Q1661" s="256"/>
      <c r="R1661" s="256"/>
      <c r="S1661" s="234"/>
      <c r="T1661" s="258"/>
    </row>
    <row r="1662" spans="2:20" ht="22.5" customHeight="1" x14ac:dyDescent="0.25">
      <c r="B1662" s="267"/>
      <c r="C1662" s="234"/>
      <c r="D1662" s="234"/>
      <c r="E1662" s="268"/>
      <c r="F1662" s="269"/>
      <c r="G1662" s="258"/>
      <c r="H1662" s="270"/>
      <c r="I1662" s="271"/>
      <c r="J1662" s="271"/>
      <c r="K1662" s="234"/>
      <c r="L1662" s="307"/>
      <c r="M1662" s="272"/>
      <c r="N1662" s="253"/>
      <c r="O1662" s="256"/>
      <c r="P1662" s="256"/>
      <c r="Q1662" s="256"/>
      <c r="R1662" s="256"/>
      <c r="S1662" s="234"/>
      <c r="T1662" s="258"/>
    </row>
    <row r="1663" spans="2:20" ht="22.5" customHeight="1" x14ac:dyDescent="0.25">
      <c r="B1663" s="267"/>
      <c r="C1663" s="234"/>
      <c r="D1663" s="234"/>
      <c r="E1663" s="268"/>
      <c r="F1663" s="269"/>
      <c r="G1663" s="258"/>
      <c r="H1663" s="270"/>
      <c r="I1663" s="271"/>
      <c r="J1663" s="271"/>
      <c r="K1663" s="234"/>
      <c r="L1663" s="307"/>
      <c r="M1663" s="272"/>
      <c r="N1663" s="253"/>
      <c r="O1663" s="256"/>
      <c r="P1663" s="256"/>
      <c r="Q1663" s="256"/>
      <c r="R1663" s="256"/>
      <c r="S1663" s="234"/>
      <c r="T1663" s="258"/>
    </row>
    <row r="1664" spans="2:20" ht="22.5" customHeight="1" x14ac:dyDescent="0.25">
      <c r="B1664" s="267"/>
      <c r="C1664" s="234"/>
      <c r="D1664" s="234"/>
      <c r="E1664" s="268"/>
      <c r="F1664" s="269"/>
      <c r="G1664" s="258"/>
      <c r="H1664" s="270"/>
      <c r="I1664" s="271"/>
      <c r="J1664" s="271"/>
      <c r="K1664" s="234"/>
      <c r="L1664" s="307"/>
      <c r="M1664" s="272"/>
      <c r="N1664" s="253"/>
      <c r="O1664" s="256"/>
      <c r="P1664" s="256"/>
      <c r="Q1664" s="256"/>
      <c r="R1664" s="256"/>
      <c r="S1664" s="234"/>
      <c r="T1664" s="258"/>
    </row>
    <row r="1665" spans="2:20" ht="22.5" customHeight="1" x14ac:dyDescent="0.25">
      <c r="B1665" s="267"/>
      <c r="C1665" s="234"/>
      <c r="D1665" s="234"/>
      <c r="E1665" s="268"/>
      <c r="F1665" s="269"/>
      <c r="G1665" s="258"/>
      <c r="H1665" s="270"/>
      <c r="I1665" s="271"/>
      <c r="J1665" s="271"/>
      <c r="K1665" s="234"/>
      <c r="L1665" s="307"/>
      <c r="M1665" s="272"/>
      <c r="N1665" s="253"/>
      <c r="O1665" s="256"/>
      <c r="P1665" s="256"/>
      <c r="Q1665" s="256"/>
      <c r="R1665" s="256"/>
      <c r="S1665" s="234"/>
      <c r="T1665" s="258"/>
    </row>
    <row r="1666" spans="2:20" ht="22.5" customHeight="1" x14ac:dyDescent="0.25">
      <c r="B1666" s="267"/>
      <c r="C1666" s="234"/>
      <c r="D1666" s="234"/>
      <c r="E1666" s="268"/>
      <c r="F1666" s="269"/>
      <c r="G1666" s="258"/>
      <c r="H1666" s="270"/>
      <c r="I1666" s="271"/>
      <c r="J1666" s="271"/>
      <c r="K1666" s="234"/>
      <c r="L1666" s="307"/>
      <c r="M1666" s="272"/>
      <c r="N1666" s="253"/>
      <c r="O1666" s="256"/>
      <c r="P1666" s="256"/>
      <c r="Q1666" s="256"/>
      <c r="R1666" s="256"/>
      <c r="S1666" s="234"/>
      <c r="T1666" s="258"/>
    </row>
    <row r="1667" spans="2:20" ht="22.5" customHeight="1" x14ac:dyDescent="0.25">
      <c r="B1667" s="267"/>
      <c r="C1667" s="234"/>
      <c r="D1667" s="234"/>
      <c r="E1667" s="268"/>
      <c r="F1667" s="269"/>
      <c r="G1667" s="258"/>
      <c r="H1667" s="270"/>
      <c r="I1667" s="271"/>
      <c r="J1667" s="271"/>
      <c r="K1667" s="234"/>
      <c r="L1667" s="307"/>
      <c r="M1667" s="272"/>
      <c r="N1667" s="253"/>
      <c r="O1667" s="256"/>
      <c r="P1667" s="256"/>
      <c r="Q1667" s="256"/>
      <c r="R1667" s="256"/>
      <c r="S1667" s="234"/>
      <c r="T1667" s="258"/>
    </row>
    <row r="1668" spans="2:20" ht="22.5" customHeight="1" x14ac:dyDescent="0.25">
      <c r="B1668" s="267"/>
      <c r="C1668" s="234"/>
      <c r="D1668" s="234"/>
      <c r="E1668" s="268"/>
      <c r="F1668" s="269"/>
      <c r="G1668" s="258"/>
      <c r="H1668" s="270"/>
      <c r="I1668" s="271"/>
      <c r="J1668" s="271"/>
      <c r="K1668" s="234"/>
      <c r="L1668" s="307"/>
      <c r="M1668" s="272"/>
      <c r="N1668" s="253"/>
      <c r="O1668" s="256"/>
      <c r="P1668" s="256"/>
      <c r="Q1668" s="256"/>
      <c r="R1668" s="256"/>
      <c r="S1668" s="234"/>
      <c r="T1668" s="258"/>
    </row>
    <row r="1669" spans="2:20" ht="22.5" customHeight="1" x14ac:dyDescent="0.25">
      <c r="B1669" s="267"/>
      <c r="C1669" s="234"/>
      <c r="D1669" s="234"/>
      <c r="E1669" s="268"/>
      <c r="F1669" s="269"/>
      <c r="G1669" s="258"/>
      <c r="H1669" s="270"/>
      <c r="I1669" s="271"/>
      <c r="J1669" s="271"/>
      <c r="K1669" s="234"/>
      <c r="L1669" s="307"/>
      <c r="M1669" s="272"/>
      <c r="N1669" s="253"/>
      <c r="O1669" s="256"/>
      <c r="P1669" s="256"/>
      <c r="Q1669" s="256"/>
      <c r="R1669" s="256"/>
      <c r="S1669" s="234"/>
      <c r="T1669" s="258"/>
    </row>
    <row r="1670" spans="2:20" ht="22.5" customHeight="1" x14ac:dyDescent="0.25">
      <c r="B1670" s="267"/>
      <c r="C1670" s="234"/>
      <c r="D1670" s="234"/>
      <c r="E1670" s="268"/>
      <c r="F1670" s="269"/>
      <c r="G1670" s="258"/>
      <c r="H1670" s="270"/>
      <c r="I1670" s="271"/>
      <c r="J1670" s="271"/>
      <c r="K1670" s="234"/>
      <c r="L1670" s="307"/>
      <c r="M1670" s="272"/>
      <c r="N1670" s="253"/>
      <c r="O1670" s="256"/>
      <c r="P1670" s="256"/>
      <c r="Q1670" s="256"/>
      <c r="R1670" s="256"/>
      <c r="S1670" s="234"/>
      <c r="T1670" s="258"/>
    </row>
    <row r="1671" spans="2:20" ht="22.5" customHeight="1" x14ac:dyDescent="0.25">
      <c r="B1671" s="267"/>
      <c r="C1671" s="234"/>
      <c r="D1671" s="234"/>
      <c r="E1671" s="268"/>
      <c r="F1671" s="269"/>
      <c r="G1671" s="258"/>
      <c r="H1671" s="270"/>
      <c r="I1671" s="271"/>
      <c r="J1671" s="271"/>
      <c r="K1671" s="234"/>
      <c r="L1671" s="307"/>
      <c r="M1671" s="272"/>
      <c r="N1671" s="253"/>
      <c r="O1671" s="256"/>
      <c r="P1671" s="256"/>
      <c r="Q1671" s="256"/>
      <c r="R1671" s="256"/>
      <c r="S1671" s="234"/>
      <c r="T1671" s="258"/>
    </row>
    <row r="1672" spans="2:20" ht="22.5" customHeight="1" x14ac:dyDescent="0.25">
      <c r="B1672" s="267"/>
      <c r="C1672" s="234"/>
      <c r="D1672" s="234"/>
      <c r="E1672" s="268"/>
      <c r="F1672" s="269"/>
      <c r="G1672" s="258"/>
      <c r="H1672" s="270"/>
      <c r="I1672" s="271"/>
      <c r="J1672" s="271"/>
      <c r="K1672" s="234"/>
      <c r="L1672" s="307"/>
      <c r="M1672" s="272"/>
      <c r="N1672" s="253"/>
      <c r="O1672" s="256"/>
      <c r="P1672" s="256"/>
      <c r="Q1672" s="256"/>
      <c r="R1672" s="256"/>
      <c r="S1672" s="234"/>
      <c r="T1672" s="258"/>
    </row>
    <row r="1673" spans="2:20" ht="22.5" customHeight="1" x14ac:dyDescent="0.25">
      <c r="B1673" s="267"/>
      <c r="C1673" s="234"/>
      <c r="D1673" s="234"/>
      <c r="E1673" s="268"/>
      <c r="F1673" s="269"/>
      <c r="G1673" s="258"/>
      <c r="H1673" s="270"/>
      <c r="I1673" s="271"/>
      <c r="J1673" s="271"/>
      <c r="K1673" s="234"/>
      <c r="L1673" s="307"/>
      <c r="M1673" s="272"/>
      <c r="N1673" s="253"/>
      <c r="O1673" s="256"/>
      <c r="P1673" s="256"/>
      <c r="Q1673" s="256"/>
      <c r="R1673" s="256"/>
      <c r="S1673" s="234"/>
      <c r="T1673" s="258"/>
    </row>
    <row r="1674" spans="2:20" ht="22.5" customHeight="1" x14ac:dyDescent="0.25">
      <c r="B1674" s="267"/>
      <c r="C1674" s="234"/>
      <c r="D1674" s="234"/>
      <c r="E1674" s="268"/>
      <c r="F1674" s="269"/>
      <c r="G1674" s="258"/>
      <c r="H1674" s="270"/>
      <c r="I1674" s="271"/>
      <c r="J1674" s="271"/>
      <c r="K1674" s="234"/>
      <c r="L1674" s="307"/>
      <c r="M1674" s="272"/>
      <c r="N1674" s="253"/>
      <c r="O1674" s="256"/>
      <c r="P1674" s="256"/>
      <c r="Q1674" s="256"/>
      <c r="R1674" s="256"/>
      <c r="S1674" s="234"/>
      <c r="T1674" s="258"/>
    </row>
    <row r="1675" spans="2:20" ht="22.5" customHeight="1" x14ac:dyDescent="0.25">
      <c r="B1675" s="267"/>
      <c r="C1675" s="234"/>
      <c r="D1675" s="234"/>
      <c r="E1675" s="268"/>
      <c r="F1675" s="269"/>
      <c r="G1675" s="258"/>
      <c r="H1675" s="270"/>
      <c r="I1675" s="271"/>
      <c r="J1675" s="271"/>
      <c r="K1675" s="234"/>
      <c r="L1675" s="307"/>
      <c r="M1675" s="272"/>
      <c r="N1675" s="253"/>
      <c r="O1675" s="256"/>
      <c r="P1675" s="256"/>
      <c r="Q1675" s="256"/>
      <c r="R1675" s="256"/>
      <c r="S1675" s="234"/>
      <c r="T1675" s="258"/>
    </row>
    <row r="1676" spans="2:20" ht="22.5" customHeight="1" x14ac:dyDescent="0.25">
      <c r="B1676" s="267"/>
      <c r="C1676" s="234"/>
      <c r="D1676" s="234"/>
      <c r="E1676" s="268"/>
      <c r="F1676" s="269"/>
      <c r="G1676" s="258"/>
      <c r="H1676" s="270"/>
      <c r="I1676" s="271"/>
      <c r="J1676" s="271"/>
      <c r="K1676" s="234"/>
      <c r="L1676" s="307"/>
      <c r="M1676" s="272"/>
      <c r="N1676" s="253"/>
      <c r="O1676" s="256"/>
      <c r="P1676" s="256"/>
      <c r="Q1676" s="256"/>
      <c r="R1676" s="256"/>
      <c r="S1676" s="234"/>
      <c r="T1676" s="258"/>
    </row>
    <row r="1677" spans="2:20" ht="22.5" customHeight="1" x14ac:dyDescent="0.25">
      <c r="B1677" s="267"/>
      <c r="C1677" s="234"/>
      <c r="D1677" s="234"/>
      <c r="E1677" s="268"/>
      <c r="F1677" s="269"/>
      <c r="G1677" s="258"/>
      <c r="H1677" s="270"/>
      <c r="I1677" s="271"/>
      <c r="J1677" s="271"/>
      <c r="K1677" s="234"/>
      <c r="L1677" s="307"/>
      <c r="M1677" s="272"/>
      <c r="N1677" s="253"/>
      <c r="O1677" s="256"/>
      <c r="P1677" s="256"/>
      <c r="Q1677" s="256"/>
      <c r="R1677" s="256"/>
      <c r="S1677" s="234"/>
      <c r="T1677" s="258"/>
    </row>
    <row r="1678" spans="2:20" ht="22.5" customHeight="1" x14ac:dyDescent="0.25">
      <c r="B1678" s="267"/>
      <c r="C1678" s="234"/>
      <c r="D1678" s="234"/>
      <c r="E1678" s="268"/>
      <c r="F1678" s="269"/>
      <c r="G1678" s="258"/>
      <c r="H1678" s="270"/>
      <c r="I1678" s="271"/>
      <c r="J1678" s="271"/>
      <c r="K1678" s="234"/>
      <c r="L1678" s="307"/>
      <c r="M1678" s="272"/>
      <c r="N1678" s="253"/>
      <c r="O1678" s="256"/>
      <c r="P1678" s="256"/>
      <c r="Q1678" s="256"/>
      <c r="R1678" s="256"/>
      <c r="S1678" s="234"/>
      <c r="T1678" s="258"/>
    </row>
    <row r="1679" spans="2:20" ht="22.5" customHeight="1" x14ac:dyDescent="0.25">
      <c r="B1679" s="267"/>
      <c r="C1679" s="234"/>
      <c r="D1679" s="234"/>
      <c r="E1679" s="268"/>
      <c r="F1679" s="269"/>
      <c r="G1679" s="258"/>
      <c r="H1679" s="270"/>
      <c r="I1679" s="271"/>
      <c r="J1679" s="271"/>
      <c r="K1679" s="234"/>
      <c r="L1679" s="307"/>
      <c r="M1679" s="272"/>
      <c r="N1679" s="253"/>
      <c r="O1679" s="256"/>
      <c r="P1679" s="256"/>
      <c r="Q1679" s="256"/>
      <c r="R1679" s="256"/>
      <c r="S1679" s="234"/>
      <c r="T1679" s="258"/>
    </row>
    <row r="1680" spans="2:20" ht="22.5" customHeight="1" x14ac:dyDescent="0.25">
      <c r="B1680" s="267"/>
      <c r="C1680" s="234"/>
      <c r="D1680" s="234"/>
      <c r="E1680" s="268"/>
      <c r="F1680" s="269"/>
      <c r="G1680" s="258"/>
      <c r="H1680" s="270"/>
      <c r="I1680" s="271"/>
      <c r="J1680" s="271"/>
      <c r="K1680" s="234"/>
      <c r="L1680" s="307"/>
      <c r="M1680" s="272"/>
      <c r="N1680" s="253"/>
      <c r="O1680" s="256"/>
      <c r="P1680" s="256"/>
      <c r="Q1680" s="256"/>
      <c r="R1680" s="256"/>
      <c r="S1680" s="234"/>
      <c r="T1680" s="258"/>
    </row>
    <row r="1681" spans="2:20" ht="22.5" customHeight="1" x14ac:dyDescent="0.25">
      <c r="B1681" s="267"/>
      <c r="C1681" s="234"/>
      <c r="D1681" s="234"/>
      <c r="E1681" s="268"/>
      <c r="F1681" s="269"/>
      <c r="G1681" s="258"/>
      <c r="H1681" s="270"/>
      <c r="I1681" s="271"/>
      <c r="J1681" s="271"/>
      <c r="K1681" s="234"/>
      <c r="L1681" s="307"/>
      <c r="M1681" s="272"/>
      <c r="N1681" s="253"/>
      <c r="O1681" s="256"/>
      <c r="P1681" s="256"/>
      <c r="Q1681" s="256"/>
      <c r="R1681" s="256"/>
      <c r="S1681" s="234"/>
      <c r="T1681" s="258"/>
    </row>
    <row r="1682" spans="2:20" ht="22.5" customHeight="1" x14ac:dyDescent="0.25">
      <c r="B1682" s="267"/>
      <c r="C1682" s="234"/>
      <c r="D1682" s="234"/>
      <c r="E1682" s="268"/>
      <c r="F1682" s="269"/>
      <c r="G1682" s="258"/>
      <c r="H1682" s="270"/>
      <c r="I1682" s="271"/>
      <c r="J1682" s="271"/>
      <c r="K1682" s="234"/>
      <c r="L1682" s="307"/>
      <c r="M1682" s="272"/>
      <c r="N1682" s="253"/>
      <c r="O1682" s="256"/>
      <c r="P1682" s="256"/>
      <c r="Q1682" s="256"/>
      <c r="R1682" s="256"/>
      <c r="S1682" s="234"/>
      <c r="T1682" s="258"/>
    </row>
    <row r="1683" spans="2:20" ht="22.5" customHeight="1" x14ac:dyDescent="0.25">
      <c r="B1683" s="267"/>
      <c r="C1683" s="234"/>
      <c r="D1683" s="234"/>
      <c r="E1683" s="268"/>
      <c r="F1683" s="269"/>
      <c r="G1683" s="258"/>
      <c r="H1683" s="270"/>
      <c r="I1683" s="271"/>
      <c r="J1683" s="271"/>
      <c r="K1683" s="234"/>
      <c r="L1683" s="307"/>
      <c r="M1683" s="272"/>
      <c r="N1683" s="253"/>
      <c r="O1683" s="256"/>
      <c r="P1683" s="256"/>
      <c r="Q1683" s="256"/>
      <c r="R1683" s="256"/>
      <c r="S1683" s="234"/>
      <c r="T1683" s="258"/>
    </row>
    <row r="1684" spans="2:20" ht="22.5" customHeight="1" x14ac:dyDescent="0.25">
      <c r="B1684" s="267"/>
      <c r="C1684" s="234"/>
      <c r="D1684" s="234"/>
      <c r="E1684" s="268"/>
      <c r="F1684" s="269"/>
      <c r="G1684" s="258"/>
      <c r="H1684" s="270"/>
      <c r="I1684" s="271"/>
      <c r="J1684" s="271"/>
      <c r="K1684" s="234"/>
      <c r="L1684" s="307"/>
      <c r="M1684" s="272"/>
      <c r="N1684" s="253"/>
      <c r="O1684" s="256"/>
      <c r="P1684" s="256"/>
      <c r="Q1684" s="256"/>
      <c r="R1684" s="256"/>
      <c r="S1684" s="234"/>
      <c r="T1684" s="258"/>
    </row>
    <row r="1685" spans="2:20" ht="22.5" customHeight="1" x14ac:dyDescent="0.25">
      <c r="B1685" s="267"/>
      <c r="C1685" s="234"/>
      <c r="D1685" s="234"/>
      <c r="E1685" s="268"/>
      <c r="F1685" s="269"/>
      <c r="G1685" s="258"/>
      <c r="H1685" s="270"/>
      <c r="I1685" s="271"/>
      <c r="J1685" s="271"/>
      <c r="K1685" s="234"/>
      <c r="L1685" s="307"/>
      <c r="M1685" s="272"/>
      <c r="N1685" s="253"/>
      <c r="O1685" s="256"/>
      <c r="P1685" s="256"/>
      <c r="Q1685" s="256"/>
      <c r="R1685" s="256"/>
      <c r="S1685" s="234"/>
      <c r="T1685" s="258"/>
    </row>
    <row r="1686" spans="2:20" ht="22.5" customHeight="1" x14ac:dyDescent="0.25">
      <c r="B1686" s="267"/>
      <c r="C1686" s="234"/>
      <c r="D1686" s="234"/>
      <c r="E1686" s="268"/>
      <c r="F1686" s="269"/>
      <c r="G1686" s="258"/>
      <c r="H1686" s="270"/>
      <c r="I1686" s="271"/>
      <c r="J1686" s="271"/>
      <c r="K1686" s="234"/>
      <c r="L1686" s="307"/>
      <c r="M1686" s="272"/>
      <c r="N1686" s="253"/>
      <c r="O1686" s="256"/>
      <c r="P1686" s="256"/>
      <c r="Q1686" s="256"/>
      <c r="R1686" s="256"/>
      <c r="S1686" s="234"/>
      <c r="T1686" s="258"/>
    </row>
    <row r="1687" spans="2:20" ht="22.5" customHeight="1" x14ac:dyDescent="0.25">
      <c r="B1687" s="267"/>
      <c r="C1687" s="234"/>
      <c r="D1687" s="234"/>
      <c r="E1687" s="268"/>
      <c r="F1687" s="269"/>
      <c r="G1687" s="258"/>
      <c r="H1687" s="270"/>
      <c r="I1687" s="271"/>
      <c r="J1687" s="271"/>
      <c r="K1687" s="234"/>
      <c r="L1687" s="307"/>
      <c r="M1687" s="272"/>
      <c r="N1687" s="253"/>
      <c r="O1687" s="256"/>
      <c r="P1687" s="256"/>
      <c r="Q1687" s="256"/>
      <c r="R1687" s="256"/>
      <c r="S1687" s="234"/>
      <c r="T1687" s="258"/>
    </row>
    <row r="1688" spans="2:20" ht="22.5" customHeight="1" x14ac:dyDescent="0.25">
      <c r="B1688" s="267"/>
      <c r="C1688" s="234"/>
      <c r="D1688" s="234"/>
      <c r="E1688" s="268"/>
      <c r="F1688" s="269"/>
      <c r="G1688" s="258"/>
      <c r="H1688" s="270"/>
      <c r="I1688" s="271"/>
      <c r="J1688" s="271"/>
      <c r="K1688" s="234"/>
      <c r="L1688" s="307"/>
      <c r="M1688" s="272"/>
      <c r="N1688" s="253"/>
      <c r="O1688" s="256"/>
      <c r="P1688" s="256"/>
      <c r="Q1688" s="256"/>
      <c r="R1688" s="256"/>
      <c r="S1688" s="234"/>
      <c r="T1688" s="258"/>
    </row>
    <row r="1689" spans="2:20" ht="22.5" customHeight="1" x14ac:dyDescent="0.25">
      <c r="B1689" s="267"/>
      <c r="C1689" s="234"/>
      <c r="D1689" s="234"/>
      <c r="E1689" s="268"/>
      <c r="F1689" s="269"/>
      <c r="G1689" s="258"/>
      <c r="H1689" s="270"/>
      <c r="I1689" s="271"/>
      <c r="J1689" s="271"/>
      <c r="K1689" s="234"/>
      <c r="L1689" s="307"/>
      <c r="M1689" s="272"/>
      <c r="N1689" s="253"/>
      <c r="O1689" s="256"/>
      <c r="P1689" s="256"/>
      <c r="Q1689" s="256"/>
      <c r="R1689" s="256"/>
      <c r="S1689" s="234"/>
      <c r="T1689" s="258"/>
    </row>
    <row r="1690" spans="2:20" ht="22.5" customHeight="1" x14ac:dyDescent="0.25">
      <c r="B1690" s="267"/>
      <c r="C1690" s="234"/>
      <c r="D1690" s="234"/>
      <c r="E1690" s="268"/>
      <c r="F1690" s="269"/>
      <c r="G1690" s="258"/>
      <c r="H1690" s="270"/>
      <c r="I1690" s="271"/>
      <c r="J1690" s="271"/>
      <c r="K1690" s="234"/>
      <c r="L1690" s="307"/>
      <c r="M1690" s="272"/>
      <c r="N1690" s="253"/>
      <c r="O1690" s="256"/>
      <c r="P1690" s="256"/>
      <c r="Q1690" s="256"/>
      <c r="R1690" s="256"/>
      <c r="S1690" s="234"/>
      <c r="T1690" s="258"/>
    </row>
    <row r="1691" spans="2:20" ht="22.5" customHeight="1" x14ac:dyDescent="0.25">
      <c r="B1691" s="267"/>
      <c r="C1691" s="234"/>
      <c r="D1691" s="234"/>
      <c r="E1691" s="268"/>
      <c r="F1691" s="269"/>
      <c r="G1691" s="258"/>
      <c r="H1691" s="270"/>
      <c r="I1691" s="271"/>
      <c r="J1691" s="271"/>
      <c r="K1691" s="234"/>
      <c r="L1691" s="307"/>
      <c r="M1691" s="272"/>
      <c r="N1691" s="253"/>
      <c r="O1691" s="256"/>
      <c r="P1691" s="256"/>
      <c r="Q1691" s="256"/>
      <c r="R1691" s="256"/>
      <c r="S1691" s="234"/>
      <c r="T1691" s="258"/>
    </row>
    <row r="1692" spans="2:20" ht="22.5" customHeight="1" x14ac:dyDescent="0.25">
      <c r="B1692" s="267"/>
      <c r="C1692" s="234"/>
      <c r="D1692" s="234"/>
      <c r="E1692" s="268"/>
      <c r="F1692" s="269"/>
      <c r="G1692" s="258"/>
      <c r="H1692" s="270"/>
      <c r="I1692" s="271"/>
      <c r="J1692" s="271"/>
      <c r="K1692" s="234"/>
      <c r="L1692" s="307"/>
      <c r="M1692" s="272"/>
      <c r="N1692" s="253"/>
      <c r="O1692" s="256"/>
      <c r="P1692" s="256"/>
      <c r="Q1692" s="256"/>
      <c r="R1692" s="256"/>
      <c r="S1692" s="234"/>
      <c r="T1692" s="258"/>
    </row>
    <row r="1693" spans="2:20" ht="22.5" customHeight="1" x14ac:dyDescent="0.25">
      <c r="B1693" s="267"/>
      <c r="C1693" s="234"/>
      <c r="D1693" s="234"/>
      <c r="E1693" s="268"/>
      <c r="F1693" s="269"/>
      <c r="G1693" s="258"/>
      <c r="H1693" s="270"/>
      <c r="I1693" s="271"/>
      <c r="J1693" s="271"/>
      <c r="K1693" s="234"/>
      <c r="L1693" s="307"/>
      <c r="M1693" s="272"/>
      <c r="N1693" s="253"/>
      <c r="O1693" s="256"/>
      <c r="P1693" s="256"/>
      <c r="Q1693" s="256"/>
      <c r="R1693" s="256"/>
      <c r="S1693" s="234"/>
      <c r="T1693" s="258"/>
    </row>
    <row r="1694" spans="2:20" ht="22.5" customHeight="1" x14ac:dyDescent="0.25">
      <c r="B1694" s="267"/>
      <c r="C1694" s="234"/>
      <c r="D1694" s="234"/>
      <c r="E1694" s="268"/>
      <c r="F1694" s="269"/>
      <c r="G1694" s="258"/>
      <c r="H1694" s="270"/>
      <c r="I1694" s="271"/>
      <c r="J1694" s="271"/>
      <c r="K1694" s="234"/>
      <c r="L1694" s="307"/>
      <c r="M1694" s="272"/>
      <c r="N1694" s="253"/>
      <c r="O1694" s="256"/>
      <c r="P1694" s="256"/>
      <c r="Q1694" s="256"/>
      <c r="R1694" s="256"/>
      <c r="S1694" s="234"/>
      <c r="T1694" s="258"/>
    </row>
    <row r="1695" spans="2:20" ht="22.5" customHeight="1" x14ac:dyDescent="0.25">
      <c r="B1695" s="267"/>
      <c r="C1695" s="234"/>
      <c r="D1695" s="234"/>
      <c r="E1695" s="268"/>
      <c r="F1695" s="269"/>
      <c r="G1695" s="258"/>
      <c r="H1695" s="270"/>
      <c r="I1695" s="271"/>
      <c r="J1695" s="271"/>
      <c r="K1695" s="234"/>
      <c r="L1695" s="307"/>
      <c r="M1695" s="272"/>
      <c r="N1695" s="253"/>
      <c r="O1695" s="256"/>
      <c r="P1695" s="256"/>
      <c r="Q1695" s="256"/>
      <c r="R1695" s="256"/>
      <c r="S1695" s="234"/>
      <c r="T1695" s="258"/>
    </row>
    <row r="1696" spans="2:20" ht="22.5" customHeight="1" x14ac:dyDescent="0.25">
      <c r="B1696" s="267"/>
      <c r="C1696" s="234"/>
      <c r="D1696" s="234"/>
      <c r="E1696" s="268"/>
      <c r="F1696" s="269"/>
      <c r="G1696" s="258"/>
      <c r="H1696" s="270"/>
      <c r="I1696" s="271"/>
      <c r="J1696" s="271"/>
      <c r="K1696" s="234"/>
      <c r="L1696" s="307"/>
      <c r="M1696" s="272"/>
      <c r="N1696" s="253"/>
      <c r="O1696" s="256"/>
      <c r="P1696" s="256"/>
      <c r="Q1696" s="256"/>
      <c r="R1696" s="256"/>
      <c r="S1696" s="234"/>
      <c r="T1696" s="258"/>
    </row>
    <row r="1697" spans="2:20" ht="22.5" customHeight="1" x14ac:dyDescent="0.25">
      <c r="B1697" s="267"/>
      <c r="C1697" s="234"/>
      <c r="D1697" s="234"/>
      <c r="E1697" s="268"/>
      <c r="F1697" s="269"/>
      <c r="G1697" s="258"/>
      <c r="H1697" s="270"/>
      <c r="I1697" s="271"/>
      <c r="J1697" s="271"/>
      <c r="K1697" s="234"/>
      <c r="L1697" s="307"/>
      <c r="M1697" s="272"/>
      <c r="N1697" s="253"/>
      <c r="O1697" s="256"/>
      <c r="P1697" s="256"/>
      <c r="Q1697" s="256"/>
      <c r="R1697" s="256"/>
      <c r="S1697" s="234"/>
      <c r="T1697" s="258"/>
    </row>
    <row r="1698" spans="2:20" ht="22.5" customHeight="1" x14ac:dyDescent="0.25">
      <c r="B1698" s="267"/>
      <c r="C1698" s="234"/>
      <c r="D1698" s="234"/>
      <c r="E1698" s="268"/>
      <c r="F1698" s="269"/>
      <c r="G1698" s="258"/>
      <c r="H1698" s="270"/>
      <c r="I1698" s="271"/>
      <c r="J1698" s="271"/>
      <c r="K1698" s="234"/>
      <c r="L1698" s="307"/>
      <c r="M1698" s="272"/>
      <c r="N1698" s="253"/>
      <c r="O1698" s="256"/>
      <c r="P1698" s="256"/>
      <c r="Q1698" s="256"/>
      <c r="R1698" s="256"/>
      <c r="S1698" s="234"/>
      <c r="T1698" s="258"/>
    </row>
    <row r="1699" spans="2:20" ht="22.5" customHeight="1" x14ac:dyDescent="0.25">
      <c r="B1699" s="267"/>
      <c r="C1699" s="234"/>
      <c r="D1699" s="234"/>
      <c r="E1699" s="268"/>
      <c r="F1699" s="269"/>
      <c r="G1699" s="258"/>
      <c r="H1699" s="270"/>
      <c r="I1699" s="271"/>
      <c r="J1699" s="271"/>
      <c r="K1699" s="234"/>
      <c r="L1699" s="307"/>
      <c r="M1699" s="272"/>
      <c r="N1699" s="253"/>
      <c r="O1699" s="256"/>
      <c r="P1699" s="256"/>
      <c r="Q1699" s="256"/>
      <c r="R1699" s="256"/>
      <c r="S1699" s="234"/>
      <c r="T1699" s="258"/>
    </row>
    <row r="1700" spans="2:20" ht="22.5" customHeight="1" x14ac:dyDescent="0.25">
      <c r="B1700" s="267"/>
      <c r="C1700" s="234"/>
      <c r="D1700" s="234"/>
      <c r="E1700" s="268"/>
      <c r="F1700" s="269"/>
      <c r="G1700" s="258"/>
      <c r="H1700" s="270"/>
      <c r="I1700" s="271"/>
      <c r="J1700" s="271"/>
      <c r="K1700" s="234"/>
      <c r="L1700" s="307"/>
      <c r="M1700" s="272"/>
      <c r="N1700" s="253"/>
      <c r="O1700" s="256"/>
      <c r="P1700" s="256"/>
      <c r="Q1700" s="256"/>
      <c r="R1700" s="256"/>
      <c r="S1700" s="234"/>
      <c r="T1700" s="258"/>
    </row>
    <row r="1701" spans="2:20" ht="22.5" customHeight="1" x14ac:dyDescent="0.25">
      <c r="B1701" s="267"/>
      <c r="C1701" s="234"/>
      <c r="D1701" s="234"/>
      <c r="E1701" s="268"/>
      <c r="F1701" s="269"/>
      <c r="G1701" s="258"/>
      <c r="H1701" s="270"/>
      <c r="I1701" s="271"/>
      <c r="J1701" s="271"/>
      <c r="K1701" s="234"/>
      <c r="L1701" s="307"/>
      <c r="M1701" s="272"/>
      <c r="N1701" s="253"/>
      <c r="O1701" s="256"/>
      <c r="P1701" s="256"/>
      <c r="Q1701" s="256"/>
      <c r="R1701" s="256"/>
      <c r="S1701" s="234"/>
      <c r="T1701" s="258"/>
    </row>
    <row r="1702" spans="2:20" ht="22.5" customHeight="1" x14ac:dyDescent="0.25">
      <c r="B1702" s="267"/>
      <c r="C1702" s="234"/>
      <c r="D1702" s="234"/>
      <c r="E1702" s="268"/>
      <c r="F1702" s="269"/>
      <c r="G1702" s="258"/>
      <c r="H1702" s="270"/>
      <c r="I1702" s="271"/>
      <c r="J1702" s="271"/>
      <c r="K1702" s="234"/>
      <c r="L1702" s="307"/>
      <c r="M1702" s="272"/>
      <c r="N1702" s="253"/>
      <c r="O1702" s="256"/>
      <c r="P1702" s="256"/>
      <c r="Q1702" s="256"/>
      <c r="R1702" s="256"/>
      <c r="S1702" s="234"/>
      <c r="T1702" s="258"/>
    </row>
    <row r="1703" spans="2:20" ht="22.5" customHeight="1" x14ac:dyDescent="0.25">
      <c r="B1703" s="267"/>
      <c r="C1703" s="234"/>
      <c r="D1703" s="234"/>
      <c r="E1703" s="268"/>
      <c r="F1703" s="269"/>
      <c r="G1703" s="258"/>
      <c r="H1703" s="270"/>
      <c r="I1703" s="271"/>
      <c r="J1703" s="271"/>
      <c r="K1703" s="234"/>
      <c r="L1703" s="307"/>
      <c r="M1703" s="272"/>
      <c r="N1703" s="253"/>
      <c r="O1703" s="256"/>
      <c r="P1703" s="256"/>
      <c r="Q1703" s="256"/>
      <c r="R1703" s="256"/>
      <c r="S1703" s="234"/>
      <c r="T1703" s="258"/>
    </row>
    <row r="1704" spans="2:20" ht="22.5" customHeight="1" x14ac:dyDescent="0.25">
      <c r="B1704" s="267"/>
      <c r="C1704" s="234"/>
      <c r="D1704" s="234"/>
      <c r="E1704" s="268"/>
      <c r="F1704" s="269"/>
      <c r="G1704" s="258"/>
      <c r="H1704" s="270"/>
      <c r="I1704" s="271"/>
      <c r="J1704" s="271"/>
      <c r="K1704" s="234"/>
      <c r="L1704" s="307"/>
      <c r="M1704" s="272"/>
      <c r="N1704" s="253"/>
      <c r="O1704" s="256"/>
      <c r="P1704" s="256"/>
      <c r="Q1704" s="256"/>
      <c r="R1704" s="256"/>
      <c r="S1704" s="234"/>
      <c r="T1704" s="258"/>
    </row>
    <row r="1705" spans="2:20" ht="22.5" customHeight="1" x14ac:dyDescent="0.25">
      <c r="B1705" s="267"/>
      <c r="C1705" s="234"/>
      <c r="D1705" s="234"/>
      <c r="E1705" s="268"/>
      <c r="F1705" s="269"/>
      <c r="G1705" s="258"/>
      <c r="H1705" s="270"/>
      <c r="I1705" s="271"/>
      <c r="J1705" s="271"/>
      <c r="K1705" s="234"/>
      <c r="L1705" s="307"/>
      <c r="M1705" s="272"/>
      <c r="N1705" s="253"/>
      <c r="O1705" s="256"/>
      <c r="P1705" s="256"/>
      <c r="Q1705" s="256"/>
      <c r="R1705" s="256"/>
      <c r="S1705" s="234"/>
      <c r="T1705" s="258"/>
    </row>
    <row r="1706" spans="2:20" ht="22.5" customHeight="1" x14ac:dyDescent="0.25">
      <c r="B1706" s="267"/>
      <c r="C1706" s="234"/>
      <c r="D1706" s="234"/>
      <c r="E1706" s="268"/>
      <c r="F1706" s="269"/>
      <c r="G1706" s="258"/>
      <c r="H1706" s="270"/>
      <c r="I1706" s="271"/>
      <c r="J1706" s="271"/>
      <c r="K1706" s="234"/>
      <c r="L1706" s="307"/>
      <c r="M1706" s="272"/>
      <c r="N1706" s="253"/>
      <c r="O1706" s="256"/>
      <c r="P1706" s="256"/>
      <c r="Q1706" s="256"/>
      <c r="R1706" s="256"/>
      <c r="S1706" s="234"/>
      <c r="T1706" s="258"/>
    </row>
    <row r="1707" spans="2:20" ht="22.5" customHeight="1" x14ac:dyDescent="0.25">
      <c r="B1707" s="267"/>
      <c r="C1707" s="234"/>
      <c r="D1707" s="234"/>
      <c r="E1707" s="268"/>
      <c r="F1707" s="269"/>
      <c r="G1707" s="258"/>
      <c r="H1707" s="270"/>
      <c r="I1707" s="271"/>
      <c r="J1707" s="271"/>
      <c r="K1707" s="234"/>
      <c r="L1707" s="307"/>
      <c r="M1707" s="272"/>
      <c r="N1707" s="253"/>
      <c r="O1707" s="256"/>
      <c r="P1707" s="256"/>
      <c r="Q1707" s="256"/>
      <c r="R1707" s="256"/>
      <c r="S1707" s="234"/>
      <c r="T1707" s="258"/>
    </row>
    <row r="1708" spans="2:20" ht="22.5" customHeight="1" x14ac:dyDescent="0.25">
      <c r="B1708" s="267"/>
      <c r="C1708" s="234"/>
      <c r="D1708" s="234"/>
      <c r="E1708" s="268"/>
      <c r="F1708" s="269"/>
      <c r="G1708" s="258"/>
      <c r="H1708" s="270"/>
      <c r="I1708" s="271"/>
      <c r="J1708" s="271"/>
      <c r="K1708" s="234"/>
      <c r="L1708" s="307"/>
      <c r="M1708" s="272"/>
      <c r="N1708" s="253"/>
      <c r="O1708" s="256"/>
      <c r="P1708" s="256"/>
      <c r="Q1708" s="256"/>
      <c r="R1708" s="256"/>
      <c r="S1708" s="234"/>
      <c r="T1708" s="258"/>
    </row>
    <row r="1709" spans="2:20" ht="22.5" customHeight="1" x14ac:dyDescent="0.25">
      <c r="B1709" s="267"/>
      <c r="C1709" s="234"/>
      <c r="D1709" s="234"/>
      <c r="E1709" s="268"/>
      <c r="F1709" s="269"/>
      <c r="G1709" s="258"/>
      <c r="H1709" s="270"/>
      <c r="I1709" s="271"/>
      <c r="J1709" s="271"/>
      <c r="K1709" s="234"/>
      <c r="L1709" s="307"/>
      <c r="M1709" s="272"/>
      <c r="N1709" s="253"/>
      <c r="O1709" s="256"/>
      <c r="P1709" s="256"/>
      <c r="Q1709" s="256"/>
      <c r="R1709" s="256"/>
      <c r="S1709" s="234"/>
      <c r="T1709" s="258"/>
    </row>
    <row r="1710" spans="2:20" ht="22.5" customHeight="1" x14ac:dyDescent="0.25">
      <c r="B1710" s="267"/>
      <c r="C1710" s="234"/>
      <c r="D1710" s="234"/>
      <c r="E1710" s="268"/>
      <c r="F1710" s="269"/>
      <c r="G1710" s="258"/>
      <c r="H1710" s="270"/>
      <c r="I1710" s="271"/>
      <c r="J1710" s="271"/>
      <c r="K1710" s="234"/>
      <c r="L1710" s="307"/>
      <c r="M1710" s="272"/>
      <c r="N1710" s="253"/>
      <c r="O1710" s="256"/>
      <c r="P1710" s="256"/>
      <c r="Q1710" s="256"/>
      <c r="R1710" s="256"/>
      <c r="S1710" s="234"/>
      <c r="T1710" s="258"/>
    </row>
    <row r="1711" spans="2:20" ht="22.5" customHeight="1" x14ac:dyDescent="0.25">
      <c r="B1711" s="267"/>
      <c r="C1711" s="234"/>
      <c r="D1711" s="234"/>
      <c r="E1711" s="268"/>
      <c r="F1711" s="269"/>
      <c r="G1711" s="258"/>
      <c r="H1711" s="270"/>
      <c r="I1711" s="271"/>
      <c r="J1711" s="271"/>
      <c r="K1711" s="234"/>
      <c r="L1711" s="307"/>
      <c r="M1711" s="272"/>
      <c r="N1711" s="253"/>
      <c r="O1711" s="256"/>
      <c r="P1711" s="256"/>
      <c r="Q1711" s="256"/>
      <c r="R1711" s="256"/>
      <c r="S1711" s="234"/>
      <c r="T1711" s="258"/>
    </row>
    <row r="1712" spans="2:20" ht="22.5" customHeight="1" x14ac:dyDescent="0.25">
      <c r="B1712" s="267"/>
      <c r="C1712" s="234"/>
      <c r="D1712" s="234"/>
      <c r="E1712" s="268"/>
      <c r="F1712" s="269"/>
      <c r="G1712" s="258"/>
      <c r="H1712" s="270"/>
      <c r="I1712" s="271"/>
      <c r="J1712" s="271"/>
      <c r="K1712" s="234"/>
      <c r="L1712" s="307"/>
      <c r="M1712" s="272"/>
      <c r="N1712" s="253"/>
      <c r="O1712" s="256"/>
      <c r="P1712" s="256"/>
      <c r="Q1712" s="256"/>
      <c r="R1712" s="256"/>
      <c r="S1712" s="234"/>
      <c r="T1712" s="258"/>
    </row>
    <row r="1713" spans="2:20" ht="22.5" customHeight="1" x14ac:dyDescent="0.25">
      <c r="B1713" s="267"/>
      <c r="C1713" s="234"/>
      <c r="D1713" s="234"/>
      <c r="E1713" s="268"/>
      <c r="F1713" s="269"/>
      <c r="G1713" s="258"/>
      <c r="H1713" s="270"/>
      <c r="I1713" s="271"/>
      <c r="J1713" s="271"/>
      <c r="K1713" s="234"/>
      <c r="L1713" s="307"/>
      <c r="M1713" s="272"/>
      <c r="N1713" s="253"/>
      <c r="O1713" s="256"/>
      <c r="P1713" s="256"/>
      <c r="Q1713" s="256"/>
      <c r="R1713" s="256"/>
      <c r="S1713" s="234"/>
      <c r="T1713" s="258"/>
    </row>
    <row r="1714" spans="2:20" ht="22.5" customHeight="1" x14ac:dyDescent="0.25">
      <c r="B1714" s="267"/>
      <c r="C1714" s="234"/>
      <c r="D1714" s="234"/>
      <c r="E1714" s="268"/>
      <c r="F1714" s="269"/>
      <c r="G1714" s="258"/>
      <c r="H1714" s="270"/>
      <c r="I1714" s="271"/>
      <c r="J1714" s="271"/>
      <c r="K1714" s="234"/>
      <c r="L1714" s="307"/>
      <c r="M1714" s="272"/>
      <c r="N1714" s="253"/>
      <c r="O1714" s="256"/>
      <c r="P1714" s="256"/>
      <c r="Q1714" s="256"/>
      <c r="R1714" s="256"/>
      <c r="S1714" s="234"/>
      <c r="T1714" s="258"/>
    </row>
    <row r="1715" spans="2:20" ht="22.5" customHeight="1" x14ac:dyDescent="0.25">
      <c r="B1715" s="267"/>
      <c r="C1715" s="234"/>
      <c r="D1715" s="234"/>
      <c r="E1715" s="268"/>
      <c r="F1715" s="269"/>
      <c r="G1715" s="258"/>
      <c r="H1715" s="270"/>
      <c r="I1715" s="271"/>
      <c r="J1715" s="271"/>
      <c r="K1715" s="234"/>
      <c r="L1715" s="307"/>
      <c r="M1715" s="272"/>
      <c r="N1715" s="253"/>
      <c r="O1715" s="256"/>
      <c r="P1715" s="256"/>
      <c r="Q1715" s="256"/>
      <c r="R1715" s="256"/>
      <c r="S1715" s="234"/>
      <c r="T1715" s="258"/>
    </row>
    <row r="1716" spans="2:20" ht="22.5" customHeight="1" x14ac:dyDescent="0.25">
      <c r="B1716" s="267"/>
      <c r="C1716" s="234"/>
      <c r="D1716" s="234"/>
      <c r="E1716" s="268"/>
      <c r="F1716" s="269"/>
      <c r="G1716" s="258"/>
      <c r="H1716" s="270"/>
      <c r="I1716" s="271"/>
      <c r="J1716" s="271"/>
      <c r="K1716" s="234"/>
      <c r="L1716" s="307"/>
      <c r="M1716" s="272"/>
      <c r="N1716" s="253"/>
      <c r="O1716" s="256"/>
      <c r="P1716" s="256"/>
      <c r="Q1716" s="256"/>
      <c r="R1716" s="256"/>
      <c r="S1716" s="234"/>
      <c r="T1716" s="258"/>
    </row>
    <row r="1717" spans="2:20" ht="22.5" customHeight="1" x14ac:dyDescent="0.25">
      <c r="B1717" s="267"/>
      <c r="C1717" s="234"/>
      <c r="D1717" s="234"/>
      <c r="E1717" s="268"/>
      <c r="F1717" s="269"/>
      <c r="G1717" s="258"/>
      <c r="H1717" s="270"/>
      <c r="I1717" s="271"/>
      <c r="J1717" s="271"/>
      <c r="K1717" s="234"/>
      <c r="L1717" s="307"/>
      <c r="M1717" s="272"/>
      <c r="N1717" s="253"/>
      <c r="O1717" s="256"/>
      <c r="P1717" s="256"/>
      <c r="Q1717" s="256"/>
      <c r="R1717" s="256"/>
      <c r="S1717" s="234"/>
      <c r="T1717" s="258"/>
    </row>
    <row r="1718" spans="2:20" ht="22.5" customHeight="1" x14ac:dyDescent="0.25">
      <c r="B1718" s="267"/>
      <c r="C1718" s="234"/>
      <c r="D1718" s="234"/>
      <c r="E1718" s="268"/>
      <c r="F1718" s="269"/>
      <c r="G1718" s="258"/>
      <c r="H1718" s="270"/>
      <c r="I1718" s="271"/>
      <c r="J1718" s="271"/>
      <c r="K1718" s="234"/>
      <c r="L1718" s="307"/>
      <c r="M1718" s="272"/>
      <c r="N1718" s="253"/>
      <c r="O1718" s="256"/>
      <c r="P1718" s="256"/>
      <c r="Q1718" s="256"/>
      <c r="R1718" s="256"/>
      <c r="S1718" s="234"/>
      <c r="T1718" s="258"/>
    </row>
    <row r="1719" spans="2:20" ht="22.5" customHeight="1" x14ac:dyDescent="0.25">
      <c r="B1719" s="267"/>
      <c r="C1719" s="234"/>
      <c r="D1719" s="234"/>
      <c r="E1719" s="268"/>
      <c r="F1719" s="269"/>
      <c r="G1719" s="258"/>
      <c r="H1719" s="270"/>
      <c r="I1719" s="271"/>
      <c r="J1719" s="271"/>
      <c r="K1719" s="234"/>
      <c r="L1719" s="307"/>
      <c r="M1719" s="272"/>
      <c r="N1719" s="253"/>
      <c r="O1719" s="256"/>
      <c r="P1719" s="256"/>
      <c r="Q1719" s="256"/>
      <c r="R1719" s="256"/>
      <c r="S1719" s="234"/>
      <c r="T1719" s="258"/>
    </row>
    <row r="1720" spans="2:20" ht="22.5" customHeight="1" x14ac:dyDescent="0.25">
      <c r="B1720" s="267"/>
      <c r="C1720" s="234"/>
      <c r="D1720" s="234"/>
      <c r="E1720" s="268"/>
      <c r="F1720" s="269"/>
      <c r="G1720" s="258"/>
      <c r="H1720" s="270"/>
      <c r="I1720" s="271"/>
      <c r="J1720" s="271"/>
      <c r="K1720" s="234"/>
      <c r="L1720" s="307"/>
      <c r="M1720" s="272"/>
      <c r="N1720" s="253"/>
      <c r="O1720" s="256"/>
      <c r="P1720" s="256"/>
      <c r="Q1720" s="256"/>
      <c r="R1720" s="256"/>
      <c r="S1720" s="234"/>
      <c r="T1720" s="258"/>
    </row>
    <row r="1721" spans="2:20" ht="22.5" customHeight="1" x14ac:dyDescent="0.25">
      <c r="B1721" s="267"/>
      <c r="C1721" s="234"/>
      <c r="D1721" s="234"/>
      <c r="E1721" s="268"/>
      <c r="F1721" s="269"/>
      <c r="G1721" s="258"/>
      <c r="H1721" s="270"/>
      <c r="I1721" s="271"/>
      <c r="J1721" s="271"/>
      <c r="K1721" s="234"/>
      <c r="L1721" s="307"/>
      <c r="M1721" s="272"/>
      <c r="N1721" s="253"/>
      <c r="O1721" s="256"/>
      <c r="P1721" s="256"/>
      <c r="Q1721" s="256"/>
      <c r="R1721" s="256"/>
      <c r="S1721" s="234"/>
      <c r="T1721" s="258"/>
    </row>
    <row r="1722" spans="2:20" ht="22.5" customHeight="1" x14ac:dyDescent="0.25">
      <c r="B1722" s="267"/>
      <c r="C1722" s="234"/>
      <c r="D1722" s="234"/>
      <c r="E1722" s="268"/>
      <c r="F1722" s="269"/>
      <c r="G1722" s="258"/>
      <c r="H1722" s="270"/>
      <c r="I1722" s="271"/>
      <c r="J1722" s="271"/>
      <c r="K1722" s="234"/>
      <c r="L1722" s="307"/>
      <c r="M1722" s="272"/>
      <c r="N1722" s="253"/>
      <c r="O1722" s="256"/>
      <c r="P1722" s="256"/>
      <c r="Q1722" s="256"/>
      <c r="R1722" s="256"/>
      <c r="S1722" s="234"/>
      <c r="T1722" s="258"/>
    </row>
    <row r="1723" spans="2:20" ht="22.5" customHeight="1" x14ac:dyDescent="0.25">
      <c r="B1723" s="267"/>
      <c r="C1723" s="234"/>
      <c r="D1723" s="234"/>
      <c r="E1723" s="268"/>
      <c r="F1723" s="269"/>
      <c r="G1723" s="258"/>
      <c r="H1723" s="270"/>
      <c r="I1723" s="271"/>
      <c r="J1723" s="271"/>
      <c r="K1723" s="234"/>
      <c r="L1723" s="307"/>
      <c r="M1723" s="272"/>
      <c r="N1723" s="253"/>
      <c r="O1723" s="256"/>
      <c r="P1723" s="256"/>
      <c r="Q1723" s="256"/>
      <c r="R1723" s="256"/>
      <c r="S1723" s="234"/>
      <c r="T1723" s="258"/>
    </row>
    <row r="1724" spans="2:20" ht="22.5" customHeight="1" x14ac:dyDescent="0.25">
      <c r="B1724" s="267"/>
      <c r="C1724" s="234"/>
      <c r="D1724" s="234"/>
      <c r="E1724" s="268"/>
      <c r="F1724" s="269"/>
      <c r="G1724" s="258"/>
      <c r="H1724" s="270"/>
      <c r="I1724" s="271"/>
      <c r="J1724" s="271"/>
      <c r="K1724" s="234"/>
      <c r="L1724" s="307"/>
      <c r="M1724" s="272"/>
      <c r="N1724" s="253"/>
      <c r="O1724" s="256"/>
      <c r="P1724" s="256"/>
      <c r="Q1724" s="256"/>
      <c r="R1724" s="256"/>
      <c r="S1724" s="234"/>
      <c r="T1724" s="258"/>
    </row>
    <row r="1725" spans="2:20" ht="22.5" customHeight="1" x14ac:dyDescent="0.25">
      <c r="B1725" s="267"/>
      <c r="C1725" s="234"/>
      <c r="D1725" s="234"/>
      <c r="E1725" s="268"/>
      <c r="F1725" s="269"/>
      <c r="G1725" s="258"/>
      <c r="H1725" s="270"/>
      <c r="I1725" s="271"/>
      <c r="J1725" s="271"/>
      <c r="K1725" s="234"/>
      <c r="L1725" s="307"/>
      <c r="M1725" s="272"/>
      <c r="N1725" s="253"/>
      <c r="O1725" s="256"/>
      <c r="P1725" s="256"/>
      <c r="Q1725" s="256"/>
      <c r="R1725" s="256"/>
      <c r="S1725" s="234"/>
      <c r="T1725" s="258"/>
    </row>
    <row r="1726" spans="2:20" ht="22.5" customHeight="1" x14ac:dyDescent="0.25">
      <c r="B1726" s="267"/>
      <c r="C1726" s="234"/>
      <c r="D1726" s="234"/>
      <c r="E1726" s="268"/>
      <c r="F1726" s="269"/>
      <c r="G1726" s="258"/>
      <c r="H1726" s="270"/>
      <c r="I1726" s="271"/>
      <c r="J1726" s="271"/>
      <c r="K1726" s="234"/>
      <c r="L1726" s="307"/>
      <c r="M1726" s="272"/>
      <c r="N1726" s="253"/>
      <c r="O1726" s="256"/>
      <c r="P1726" s="256"/>
      <c r="Q1726" s="256"/>
      <c r="R1726" s="256"/>
      <c r="S1726" s="234"/>
      <c r="T1726" s="258"/>
    </row>
    <row r="1727" spans="2:20" ht="22.5" customHeight="1" x14ac:dyDescent="0.25">
      <c r="B1727" s="267"/>
      <c r="C1727" s="234"/>
      <c r="D1727" s="234"/>
      <c r="E1727" s="268"/>
      <c r="F1727" s="269"/>
      <c r="G1727" s="258"/>
      <c r="H1727" s="270"/>
      <c r="I1727" s="271"/>
      <c r="J1727" s="271"/>
      <c r="K1727" s="234"/>
      <c r="L1727" s="307"/>
      <c r="M1727" s="272"/>
      <c r="N1727" s="253"/>
      <c r="O1727" s="256"/>
      <c r="P1727" s="256"/>
      <c r="Q1727" s="256"/>
      <c r="R1727" s="256"/>
      <c r="S1727" s="234"/>
      <c r="T1727" s="258"/>
    </row>
    <row r="1728" spans="2:20" ht="22.5" customHeight="1" x14ac:dyDescent="0.25">
      <c r="B1728" s="267"/>
      <c r="C1728" s="234"/>
      <c r="D1728" s="234"/>
      <c r="E1728" s="268"/>
      <c r="F1728" s="269"/>
      <c r="G1728" s="258"/>
      <c r="H1728" s="270"/>
      <c r="I1728" s="271"/>
      <c r="J1728" s="271"/>
      <c r="K1728" s="234"/>
      <c r="L1728" s="307"/>
      <c r="M1728" s="272"/>
      <c r="N1728" s="253"/>
      <c r="O1728" s="256"/>
      <c r="P1728" s="256"/>
      <c r="Q1728" s="256"/>
      <c r="R1728" s="256"/>
      <c r="S1728" s="234"/>
      <c r="T1728" s="258"/>
    </row>
    <row r="1729" spans="2:20" ht="22.5" customHeight="1" x14ac:dyDescent="0.25">
      <c r="B1729" s="267"/>
      <c r="C1729" s="234"/>
      <c r="D1729" s="234"/>
      <c r="E1729" s="268"/>
      <c r="F1729" s="269"/>
      <c r="G1729" s="258"/>
      <c r="H1729" s="270"/>
      <c r="I1729" s="271"/>
      <c r="J1729" s="271"/>
      <c r="K1729" s="234"/>
      <c r="L1729" s="307"/>
      <c r="M1729" s="272"/>
      <c r="N1729" s="253"/>
      <c r="O1729" s="256"/>
      <c r="P1729" s="256"/>
      <c r="Q1729" s="256"/>
      <c r="R1729" s="256"/>
      <c r="S1729" s="234"/>
      <c r="T1729" s="258"/>
    </row>
    <row r="1730" spans="2:20" ht="22.5" customHeight="1" x14ac:dyDescent="0.25">
      <c r="B1730" s="267"/>
      <c r="C1730" s="234"/>
      <c r="D1730" s="234"/>
      <c r="E1730" s="268"/>
      <c r="F1730" s="269"/>
      <c r="G1730" s="258"/>
      <c r="H1730" s="270"/>
      <c r="I1730" s="271"/>
      <c r="J1730" s="271"/>
      <c r="K1730" s="234"/>
      <c r="L1730" s="307"/>
      <c r="M1730" s="272"/>
      <c r="N1730" s="253"/>
      <c r="O1730" s="256"/>
      <c r="P1730" s="256"/>
      <c r="Q1730" s="256"/>
      <c r="R1730" s="256"/>
      <c r="S1730" s="234"/>
      <c r="T1730" s="258"/>
    </row>
    <row r="1731" spans="2:20" ht="22.5" customHeight="1" x14ac:dyDescent="0.25">
      <c r="B1731" s="267"/>
      <c r="C1731" s="234"/>
      <c r="D1731" s="234"/>
      <c r="E1731" s="268"/>
      <c r="F1731" s="269"/>
      <c r="G1731" s="258"/>
      <c r="H1731" s="270"/>
      <c r="I1731" s="271"/>
      <c r="J1731" s="271"/>
      <c r="K1731" s="234"/>
      <c r="L1731" s="307"/>
      <c r="M1731" s="272"/>
      <c r="N1731" s="253"/>
      <c r="O1731" s="256"/>
      <c r="P1731" s="256"/>
      <c r="Q1731" s="256"/>
      <c r="R1731" s="256"/>
      <c r="S1731" s="234"/>
      <c r="T1731" s="258"/>
    </row>
    <row r="1732" spans="2:20" ht="22.5" customHeight="1" x14ac:dyDescent="0.25">
      <c r="B1732" s="267"/>
      <c r="C1732" s="234"/>
      <c r="D1732" s="234"/>
      <c r="E1732" s="268"/>
      <c r="F1732" s="269"/>
      <c r="G1732" s="258"/>
      <c r="H1732" s="270"/>
      <c r="I1732" s="271"/>
      <c r="J1732" s="271"/>
      <c r="K1732" s="234"/>
      <c r="L1732" s="307"/>
      <c r="M1732" s="272"/>
      <c r="N1732" s="253"/>
      <c r="O1732" s="256"/>
      <c r="P1732" s="256"/>
      <c r="Q1732" s="256"/>
      <c r="R1732" s="256"/>
      <c r="S1732" s="234"/>
      <c r="T1732" s="258"/>
    </row>
    <row r="1733" spans="2:20" ht="22.5" customHeight="1" x14ac:dyDescent="0.25">
      <c r="B1733" s="267"/>
      <c r="C1733" s="234"/>
      <c r="D1733" s="234"/>
      <c r="E1733" s="268"/>
      <c r="F1733" s="269"/>
      <c r="G1733" s="258"/>
      <c r="H1733" s="270"/>
      <c r="I1733" s="271"/>
      <c r="J1733" s="271"/>
      <c r="K1733" s="234"/>
      <c r="L1733" s="307"/>
      <c r="M1733" s="272"/>
      <c r="N1733" s="253"/>
      <c r="O1733" s="256"/>
      <c r="P1733" s="256"/>
      <c r="Q1733" s="256"/>
      <c r="R1733" s="256"/>
      <c r="S1733" s="234"/>
      <c r="T1733" s="258"/>
    </row>
    <row r="1734" spans="2:20" ht="22.5" customHeight="1" x14ac:dyDescent="0.25">
      <c r="B1734" s="267"/>
      <c r="C1734" s="234"/>
      <c r="D1734" s="234"/>
      <c r="E1734" s="268"/>
      <c r="F1734" s="269"/>
      <c r="G1734" s="258"/>
      <c r="H1734" s="270"/>
      <c r="I1734" s="271"/>
      <c r="J1734" s="271"/>
      <c r="K1734" s="234"/>
      <c r="L1734" s="307"/>
      <c r="M1734" s="272"/>
      <c r="N1734" s="253"/>
      <c r="O1734" s="256"/>
      <c r="P1734" s="256"/>
      <c r="Q1734" s="256"/>
      <c r="R1734" s="256"/>
      <c r="S1734" s="234"/>
      <c r="T1734" s="258"/>
    </row>
    <row r="1735" spans="2:20" ht="22.5" customHeight="1" x14ac:dyDescent="0.25">
      <c r="B1735" s="267"/>
      <c r="C1735" s="234"/>
      <c r="D1735" s="234"/>
      <c r="E1735" s="268"/>
      <c r="F1735" s="269"/>
      <c r="G1735" s="258"/>
      <c r="H1735" s="270"/>
      <c r="I1735" s="271"/>
      <c r="J1735" s="271"/>
      <c r="K1735" s="234"/>
      <c r="L1735" s="307"/>
      <c r="M1735" s="272"/>
      <c r="N1735" s="253"/>
      <c r="O1735" s="256"/>
      <c r="P1735" s="256"/>
      <c r="Q1735" s="256"/>
      <c r="R1735" s="256"/>
      <c r="S1735" s="234"/>
      <c r="T1735" s="258"/>
    </row>
    <row r="1736" spans="2:20" ht="22.5" customHeight="1" x14ac:dyDescent="0.25">
      <c r="B1736" s="267"/>
      <c r="C1736" s="234"/>
      <c r="D1736" s="234"/>
      <c r="E1736" s="268"/>
      <c r="F1736" s="269"/>
      <c r="G1736" s="258"/>
      <c r="H1736" s="270"/>
      <c r="I1736" s="271"/>
      <c r="J1736" s="271"/>
      <c r="K1736" s="234"/>
      <c r="L1736" s="307"/>
      <c r="M1736" s="272"/>
      <c r="N1736" s="253"/>
      <c r="O1736" s="256"/>
      <c r="P1736" s="256"/>
      <c r="Q1736" s="256"/>
      <c r="R1736" s="256"/>
      <c r="S1736" s="234"/>
      <c r="T1736" s="258"/>
    </row>
    <row r="1737" spans="2:20" ht="22.5" customHeight="1" x14ac:dyDescent="0.25">
      <c r="B1737" s="267"/>
      <c r="C1737" s="234"/>
      <c r="D1737" s="234"/>
      <c r="E1737" s="268"/>
      <c r="F1737" s="269"/>
      <c r="G1737" s="258"/>
      <c r="H1737" s="270"/>
      <c r="I1737" s="271"/>
      <c r="J1737" s="271"/>
      <c r="K1737" s="234"/>
      <c r="L1737" s="307"/>
      <c r="M1737" s="272"/>
      <c r="N1737" s="253"/>
      <c r="O1737" s="256"/>
      <c r="P1737" s="256"/>
      <c r="Q1737" s="256"/>
      <c r="R1737" s="256"/>
      <c r="S1737" s="234"/>
      <c r="T1737" s="258"/>
    </row>
    <row r="1738" spans="2:20" ht="22.5" customHeight="1" x14ac:dyDescent="0.25">
      <c r="B1738" s="267"/>
      <c r="C1738" s="234"/>
      <c r="D1738" s="234"/>
      <c r="E1738" s="268"/>
      <c r="F1738" s="269"/>
      <c r="G1738" s="258"/>
      <c r="H1738" s="270"/>
      <c r="I1738" s="271"/>
      <c r="J1738" s="271"/>
      <c r="K1738" s="234"/>
      <c r="L1738" s="307"/>
      <c r="M1738" s="272"/>
      <c r="N1738" s="253"/>
      <c r="O1738" s="256"/>
      <c r="P1738" s="256"/>
      <c r="Q1738" s="256"/>
      <c r="R1738" s="256"/>
      <c r="S1738" s="234"/>
      <c r="T1738" s="258"/>
    </row>
    <row r="1739" spans="2:20" ht="22.5" customHeight="1" x14ac:dyDescent="0.25">
      <c r="B1739" s="267"/>
      <c r="C1739" s="234"/>
      <c r="D1739" s="234"/>
      <c r="E1739" s="268"/>
      <c r="F1739" s="269"/>
      <c r="G1739" s="258"/>
      <c r="H1739" s="270"/>
      <c r="I1739" s="271"/>
      <c r="J1739" s="271"/>
      <c r="K1739" s="234"/>
      <c r="L1739" s="307"/>
      <c r="M1739" s="272"/>
      <c r="N1739" s="253"/>
      <c r="O1739" s="256"/>
      <c r="P1739" s="256"/>
      <c r="Q1739" s="256"/>
      <c r="R1739" s="256"/>
      <c r="S1739" s="234"/>
      <c r="T1739" s="258"/>
    </row>
    <row r="1740" spans="2:20" ht="22.5" customHeight="1" x14ac:dyDescent="0.25">
      <c r="B1740" s="267"/>
      <c r="C1740" s="234"/>
      <c r="D1740" s="234"/>
      <c r="E1740" s="268"/>
      <c r="F1740" s="269"/>
      <c r="G1740" s="258"/>
      <c r="H1740" s="270"/>
      <c r="I1740" s="271"/>
      <c r="J1740" s="271"/>
      <c r="K1740" s="234"/>
      <c r="L1740" s="307"/>
      <c r="M1740" s="272"/>
      <c r="N1740" s="253"/>
      <c r="O1740" s="256"/>
      <c r="P1740" s="256"/>
      <c r="Q1740" s="256"/>
      <c r="R1740" s="256"/>
      <c r="S1740" s="234"/>
      <c r="T1740" s="258"/>
    </row>
    <row r="1741" spans="2:20" ht="22.5" customHeight="1" x14ac:dyDescent="0.25">
      <c r="B1741" s="267"/>
      <c r="C1741" s="234"/>
      <c r="D1741" s="234"/>
      <c r="E1741" s="268"/>
      <c r="F1741" s="269"/>
      <c r="G1741" s="258"/>
      <c r="H1741" s="270"/>
      <c r="I1741" s="271"/>
      <c r="J1741" s="271"/>
      <c r="K1741" s="234"/>
      <c r="L1741" s="307"/>
      <c r="M1741" s="272"/>
      <c r="N1741" s="253"/>
      <c r="O1741" s="256"/>
      <c r="P1741" s="256"/>
      <c r="Q1741" s="256"/>
      <c r="R1741" s="256"/>
      <c r="S1741" s="234"/>
      <c r="T1741" s="258"/>
    </row>
    <row r="1742" spans="2:20" ht="22.5" customHeight="1" x14ac:dyDescent="0.25">
      <c r="B1742" s="267"/>
      <c r="C1742" s="234"/>
      <c r="D1742" s="234"/>
      <c r="E1742" s="268"/>
      <c r="F1742" s="269"/>
      <c r="G1742" s="258"/>
      <c r="H1742" s="270"/>
      <c r="I1742" s="271"/>
      <c r="J1742" s="271"/>
      <c r="K1742" s="234"/>
      <c r="L1742" s="307"/>
      <c r="M1742" s="272"/>
      <c r="N1742" s="253"/>
      <c r="O1742" s="256"/>
      <c r="P1742" s="256"/>
      <c r="Q1742" s="256"/>
      <c r="R1742" s="256"/>
      <c r="S1742" s="234"/>
      <c r="T1742" s="258"/>
    </row>
    <row r="1743" spans="2:20" ht="22.5" customHeight="1" x14ac:dyDescent="0.25">
      <c r="B1743" s="267"/>
      <c r="C1743" s="234"/>
      <c r="D1743" s="234"/>
      <c r="E1743" s="268"/>
      <c r="F1743" s="269"/>
      <c r="G1743" s="258"/>
      <c r="H1743" s="270"/>
      <c r="I1743" s="271"/>
      <c r="J1743" s="271"/>
      <c r="K1743" s="234"/>
      <c r="L1743" s="307"/>
      <c r="M1743" s="272"/>
      <c r="N1743" s="253"/>
      <c r="O1743" s="256"/>
      <c r="P1743" s="256"/>
      <c r="Q1743" s="256"/>
      <c r="R1743" s="256"/>
      <c r="S1743" s="234"/>
      <c r="T1743" s="258"/>
    </row>
    <row r="1744" spans="2:20" ht="22.5" customHeight="1" x14ac:dyDescent="0.25">
      <c r="B1744" s="267"/>
      <c r="C1744" s="234"/>
      <c r="D1744" s="234"/>
      <c r="E1744" s="268"/>
      <c r="F1744" s="269"/>
      <c r="G1744" s="258"/>
      <c r="H1744" s="270"/>
      <c r="I1744" s="271"/>
      <c r="J1744" s="271"/>
      <c r="K1744" s="234"/>
      <c r="L1744" s="307"/>
      <c r="M1744" s="272"/>
      <c r="N1744" s="253"/>
      <c r="O1744" s="256"/>
      <c r="P1744" s="256"/>
      <c r="Q1744" s="256"/>
      <c r="R1744" s="256"/>
      <c r="S1744" s="234"/>
      <c r="T1744" s="258"/>
    </row>
    <row r="1745" spans="2:20" ht="22.5" customHeight="1" x14ac:dyDescent="0.25">
      <c r="B1745" s="267"/>
      <c r="C1745" s="234"/>
      <c r="D1745" s="234"/>
      <c r="E1745" s="268"/>
      <c r="F1745" s="269"/>
      <c r="G1745" s="258"/>
      <c r="H1745" s="270"/>
      <c r="I1745" s="271"/>
      <c r="J1745" s="271"/>
      <c r="K1745" s="234"/>
      <c r="L1745" s="307"/>
      <c r="M1745" s="272"/>
      <c r="N1745" s="253"/>
      <c r="O1745" s="256"/>
      <c r="P1745" s="256"/>
      <c r="Q1745" s="256"/>
      <c r="R1745" s="256"/>
      <c r="S1745" s="234"/>
      <c r="T1745" s="258"/>
    </row>
    <row r="1746" spans="2:20" ht="22.5" customHeight="1" x14ac:dyDescent="0.25">
      <c r="B1746" s="267"/>
      <c r="C1746" s="234"/>
      <c r="D1746" s="234"/>
      <c r="E1746" s="268"/>
      <c r="F1746" s="269"/>
      <c r="G1746" s="258"/>
      <c r="H1746" s="270"/>
      <c r="I1746" s="271"/>
      <c r="J1746" s="271"/>
      <c r="K1746" s="234"/>
      <c r="L1746" s="307"/>
      <c r="M1746" s="272"/>
      <c r="N1746" s="253"/>
      <c r="O1746" s="256"/>
      <c r="P1746" s="256"/>
      <c r="Q1746" s="256"/>
      <c r="R1746" s="256"/>
      <c r="S1746" s="234"/>
      <c r="T1746" s="258"/>
    </row>
    <row r="1747" spans="2:20" ht="22.5" customHeight="1" x14ac:dyDescent="0.25">
      <c r="B1747" s="267"/>
      <c r="C1747" s="234"/>
      <c r="D1747" s="234"/>
      <c r="E1747" s="268"/>
      <c r="F1747" s="269"/>
      <c r="G1747" s="258"/>
      <c r="H1747" s="270"/>
      <c r="I1747" s="271"/>
      <c r="J1747" s="271"/>
      <c r="K1747" s="234"/>
      <c r="L1747" s="307"/>
      <c r="M1747" s="272"/>
      <c r="N1747" s="253"/>
      <c r="O1747" s="256"/>
      <c r="P1747" s="256"/>
      <c r="Q1747" s="256"/>
      <c r="R1747" s="256"/>
      <c r="S1747" s="234"/>
      <c r="T1747" s="258"/>
    </row>
    <row r="1748" spans="2:20" ht="22.5" customHeight="1" x14ac:dyDescent="0.25">
      <c r="B1748" s="267"/>
      <c r="C1748" s="234"/>
      <c r="D1748" s="234"/>
      <c r="E1748" s="268"/>
      <c r="F1748" s="269"/>
      <c r="G1748" s="258"/>
      <c r="H1748" s="270"/>
      <c r="I1748" s="271"/>
      <c r="J1748" s="271"/>
      <c r="K1748" s="234"/>
      <c r="L1748" s="307"/>
      <c r="M1748" s="272"/>
      <c r="N1748" s="253"/>
      <c r="O1748" s="256"/>
      <c r="P1748" s="256"/>
      <c r="Q1748" s="256"/>
      <c r="R1748" s="256"/>
      <c r="S1748" s="234"/>
      <c r="T1748" s="258"/>
    </row>
    <row r="1749" spans="2:20" ht="22.5" customHeight="1" x14ac:dyDescent="0.25">
      <c r="B1749" s="267"/>
      <c r="C1749" s="234"/>
      <c r="D1749" s="234"/>
      <c r="E1749" s="268"/>
      <c r="F1749" s="269"/>
      <c r="G1749" s="258"/>
      <c r="H1749" s="270"/>
      <c r="I1749" s="271"/>
      <c r="J1749" s="271"/>
      <c r="K1749" s="234"/>
      <c r="L1749" s="307"/>
      <c r="M1749" s="272"/>
      <c r="N1749" s="253"/>
      <c r="O1749" s="256"/>
      <c r="P1749" s="256"/>
      <c r="Q1749" s="256"/>
      <c r="R1749" s="256"/>
      <c r="S1749" s="234"/>
      <c r="T1749" s="258"/>
    </row>
    <row r="1750" spans="2:20" ht="22.5" customHeight="1" x14ac:dyDescent="0.25">
      <c r="B1750" s="267"/>
      <c r="C1750" s="234"/>
      <c r="D1750" s="234"/>
      <c r="E1750" s="268"/>
      <c r="F1750" s="269"/>
      <c r="G1750" s="258"/>
      <c r="H1750" s="270"/>
      <c r="I1750" s="271"/>
      <c r="J1750" s="271"/>
      <c r="K1750" s="234"/>
      <c r="L1750" s="307"/>
      <c r="M1750" s="272"/>
      <c r="N1750" s="253"/>
      <c r="O1750" s="256"/>
      <c r="P1750" s="256"/>
      <c r="Q1750" s="256"/>
      <c r="R1750" s="256"/>
      <c r="S1750" s="234"/>
      <c r="T1750" s="258"/>
    </row>
    <row r="1751" spans="2:20" ht="22.5" customHeight="1" x14ac:dyDescent="0.25">
      <c r="B1751" s="267"/>
      <c r="C1751" s="234"/>
      <c r="D1751" s="234"/>
      <c r="E1751" s="268"/>
      <c r="F1751" s="269"/>
      <c r="G1751" s="258"/>
      <c r="H1751" s="270"/>
      <c r="I1751" s="271"/>
      <c r="J1751" s="271"/>
      <c r="K1751" s="234"/>
      <c r="L1751" s="307"/>
      <c r="M1751" s="272"/>
      <c r="N1751" s="253"/>
      <c r="O1751" s="256"/>
      <c r="P1751" s="256"/>
      <c r="Q1751" s="256"/>
      <c r="R1751" s="256"/>
      <c r="S1751" s="234"/>
      <c r="T1751" s="258"/>
    </row>
    <row r="1752" spans="2:20" ht="22.5" customHeight="1" x14ac:dyDescent="0.25">
      <c r="B1752" s="267"/>
      <c r="C1752" s="234"/>
      <c r="D1752" s="234"/>
      <c r="E1752" s="268"/>
      <c r="F1752" s="269"/>
      <c r="G1752" s="258"/>
      <c r="H1752" s="270"/>
      <c r="I1752" s="271"/>
      <c r="J1752" s="271"/>
      <c r="K1752" s="234"/>
      <c r="L1752" s="307"/>
      <c r="M1752" s="272"/>
      <c r="N1752" s="253"/>
      <c r="O1752" s="256"/>
      <c r="P1752" s="256"/>
      <c r="Q1752" s="256"/>
      <c r="R1752" s="256"/>
      <c r="S1752" s="234"/>
      <c r="T1752" s="258"/>
    </row>
    <row r="1753" spans="2:20" ht="22.5" customHeight="1" x14ac:dyDescent="0.25">
      <c r="B1753" s="267"/>
      <c r="C1753" s="234"/>
      <c r="D1753" s="234"/>
      <c r="E1753" s="268"/>
      <c r="F1753" s="269"/>
      <c r="G1753" s="258"/>
      <c r="H1753" s="270"/>
      <c r="I1753" s="271"/>
      <c r="J1753" s="271"/>
      <c r="K1753" s="234"/>
      <c r="L1753" s="307"/>
      <c r="M1753" s="272"/>
      <c r="N1753" s="253"/>
      <c r="O1753" s="256"/>
      <c r="P1753" s="256"/>
      <c r="Q1753" s="256"/>
      <c r="R1753" s="256"/>
      <c r="S1753" s="234"/>
      <c r="T1753" s="258"/>
    </row>
    <row r="1754" spans="2:20" ht="22.5" customHeight="1" x14ac:dyDescent="0.25">
      <c r="B1754" s="267"/>
      <c r="C1754" s="234"/>
      <c r="D1754" s="234"/>
      <c r="E1754" s="268"/>
      <c r="F1754" s="269"/>
      <c r="G1754" s="258"/>
      <c r="H1754" s="270"/>
      <c r="I1754" s="271"/>
      <c r="J1754" s="271"/>
      <c r="K1754" s="234"/>
      <c r="L1754" s="307"/>
      <c r="M1754" s="272"/>
      <c r="N1754" s="253"/>
      <c r="O1754" s="256"/>
      <c r="P1754" s="256"/>
      <c r="Q1754" s="256"/>
      <c r="R1754" s="256"/>
      <c r="S1754" s="234"/>
      <c r="T1754" s="258"/>
    </row>
    <row r="1755" spans="2:20" ht="22.5" customHeight="1" x14ac:dyDescent="0.25">
      <c r="B1755" s="267"/>
      <c r="C1755" s="234"/>
      <c r="D1755" s="234"/>
      <c r="E1755" s="268"/>
      <c r="F1755" s="269"/>
      <c r="G1755" s="258"/>
      <c r="H1755" s="270"/>
      <c r="I1755" s="271"/>
      <c r="J1755" s="271"/>
      <c r="K1755" s="234"/>
      <c r="L1755" s="307"/>
      <c r="M1755" s="272"/>
      <c r="N1755" s="253"/>
      <c r="O1755" s="256"/>
      <c r="P1755" s="256"/>
      <c r="Q1755" s="256"/>
      <c r="R1755" s="256"/>
      <c r="S1755" s="234"/>
      <c r="T1755" s="258"/>
    </row>
    <row r="1756" spans="2:20" ht="22.5" customHeight="1" x14ac:dyDescent="0.25">
      <c r="B1756" s="267"/>
      <c r="C1756" s="234"/>
      <c r="D1756" s="234"/>
      <c r="E1756" s="268"/>
      <c r="F1756" s="269"/>
      <c r="G1756" s="258"/>
      <c r="H1756" s="270"/>
      <c r="I1756" s="271"/>
      <c r="J1756" s="271"/>
      <c r="K1756" s="234"/>
      <c r="L1756" s="307"/>
      <c r="M1756" s="272"/>
      <c r="N1756" s="253"/>
      <c r="O1756" s="256"/>
      <c r="P1756" s="256"/>
      <c r="Q1756" s="256"/>
      <c r="R1756" s="256"/>
      <c r="S1756" s="234"/>
      <c r="T1756" s="258"/>
    </row>
    <row r="1757" spans="2:20" ht="22.5" customHeight="1" x14ac:dyDescent="0.25">
      <c r="B1757" s="267"/>
      <c r="C1757" s="234"/>
      <c r="D1757" s="234"/>
      <c r="E1757" s="268"/>
      <c r="F1757" s="269"/>
      <c r="G1757" s="258"/>
      <c r="H1757" s="270"/>
      <c r="I1757" s="271"/>
      <c r="J1757" s="271"/>
      <c r="K1757" s="234"/>
      <c r="L1757" s="307"/>
      <c r="M1757" s="272"/>
      <c r="N1757" s="253"/>
      <c r="O1757" s="256"/>
      <c r="P1757" s="256"/>
      <c r="Q1757" s="256"/>
      <c r="R1757" s="256"/>
      <c r="S1757" s="234"/>
      <c r="T1757" s="258"/>
    </row>
    <row r="1758" spans="2:20" ht="22.5" customHeight="1" x14ac:dyDescent="0.25">
      <c r="B1758" s="267"/>
      <c r="C1758" s="234"/>
      <c r="D1758" s="234"/>
      <c r="E1758" s="268"/>
      <c r="F1758" s="269"/>
      <c r="G1758" s="258"/>
      <c r="H1758" s="270"/>
      <c r="I1758" s="271"/>
      <c r="J1758" s="271"/>
      <c r="K1758" s="234"/>
      <c r="L1758" s="307"/>
      <c r="M1758" s="272"/>
      <c r="N1758" s="253"/>
      <c r="O1758" s="256"/>
      <c r="P1758" s="256"/>
      <c r="Q1758" s="256"/>
      <c r="R1758" s="256"/>
      <c r="S1758" s="234"/>
      <c r="T1758" s="258"/>
    </row>
    <row r="1759" spans="2:20" ht="22.5" customHeight="1" x14ac:dyDescent="0.25">
      <c r="B1759" s="267"/>
      <c r="C1759" s="234"/>
      <c r="D1759" s="234"/>
      <c r="E1759" s="268"/>
      <c r="F1759" s="269"/>
      <c r="G1759" s="258"/>
      <c r="H1759" s="270"/>
      <c r="I1759" s="271"/>
      <c r="J1759" s="271"/>
      <c r="K1759" s="234"/>
      <c r="L1759" s="307"/>
      <c r="M1759" s="272"/>
      <c r="N1759" s="253"/>
      <c r="O1759" s="256"/>
      <c r="P1759" s="256"/>
      <c r="Q1759" s="256"/>
      <c r="R1759" s="256"/>
      <c r="S1759" s="234"/>
      <c r="T1759" s="258"/>
    </row>
    <row r="1760" spans="2:20" ht="22.5" customHeight="1" x14ac:dyDescent="0.25">
      <c r="B1760" s="267"/>
      <c r="C1760" s="234"/>
      <c r="D1760" s="234"/>
      <c r="E1760" s="268"/>
      <c r="F1760" s="269"/>
      <c r="G1760" s="258"/>
      <c r="H1760" s="270"/>
      <c r="I1760" s="271"/>
      <c r="J1760" s="271"/>
      <c r="K1760" s="234"/>
      <c r="L1760" s="307"/>
      <c r="M1760" s="272"/>
      <c r="N1760" s="253"/>
      <c r="O1760" s="256"/>
      <c r="P1760" s="256"/>
      <c r="Q1760" s="256"/>
      <c r="R1760" s="256"/>
      <c r="S1760" s="234"/>
      <c r="T1760" s="258"/>
    </row>
    <row r="1761" spans="2:20" ht="22.5" customHeight="1" x14ac:dyDescent="0.25">
      <c r="B1761" s="267"/>
      <c r="C1761" s="234"/>
      <c r="D1761" s="234"/>
      <c r="E1761" s="268"/>
      <c r="F1761" s="269"/>
      <c r="G1761" s="258"/>
      <c r="H1761" s="270"/>
      <c r="I1761" s="271"/>
      <c r="J1761" s="271"/>
      <c r="K1761" s="234"/>
      <c r="L1761" s="307"/>
      <c r="M1761" s="272"/>
      <c r="N1761" s="253"/>
      <c r="O1761" s="256"/>
      <c r="P1761" s="256"/>
      <c r="Q1761" s="256"/>
      <c r="R1761" s="256"/>
      <c r="S1761" s="234"/>
      <c r="T1761" s="258"/>
    </row>
    <row r="1762" spans="2:20" ht="22.5" customHeight="1" x14ac:dyDescent="0.25">
      <c r="B1762" s="267"/>
      <c r="C1762" s="234"/>
      <c r="D1762" s="234"/>
      <c r="E1762" s="268"/>
      <c r="F1762" s="269"/>
      <c r="G1762" s="258"/>
      <c r="H1762" s="270"/>
      <c r="I1762" s="271"/>
      <c r="J1762" s="271"/>
      <c r="K1762" s="234"/>
      <c r="L1762" s="307"/>
      <c r="M1762" s="272"/>
      <c r="N1762" s="253"/>
      <c r="O1762" s="256"/>
      <c r="P1762" s="256"/>
      <c r="Q1762" s="256"/>
      <c r="R1762" s="256"/>
      <c r="S1762" s="234"/>
      <c r="T1762" s="258"/>
    </row>
    <row r="1763" spans="2:20" ht="22.5" customHeight="1" x14ac:dyDescent="0.25">
      <c r="B1763" s="267"/>
      <c r="C1763" s="234"/>
      <c r="D1763" s="234"/>
      <c r="E1763" s="268"/>
      <c r="F1763" s="269"/>
      <c r="G1763" s="258"/>
      <c r="H1763" s="270"/>
      <c r="I1763" s="271"/>
      <c r="J1763" s="271"/>
      <c r="K1763" s="234"/>
      <c r="L1763" s="307"/>
      <c r="M1763" s="272"/>
      <c r="N1763" s="253"/>
      <c r="O1763" s="256"/>
      <c r="P1763" s="256"/>
      <c r="Q1763" s="256"/>
      <c r="R1763" s="256"/>
      <c r="S1763" s="234"/>
      <c r="T1763" s="258"/>
    </row>
    <row r="1764" spans="2:20" ht="22.5" customHeight="1" x14ac:dyDescent="0.25">
      <c r="B1764" s="267"/>
      <c r="C1764" s="234"/>
      <c r="D1764" s="234"/>
      <c r="E1764" s="268"/>
      <c r="F1764" s="269"/>
      <c r="G1764" s="258"/>
      <c r="H1764" s="270"/>
      <c r="I1764" s="271"/>
      <c r="J1764" s="271"/>
      <c r="K1764" s="234"/>
      <c r="L1764" s="307"/>
      <c r="M1764" s="272"/>
      <c r="N1764" s="253"/>
      <c r="O1764" s="256"/>
      <c r="P1764" s="256"/>
      <c r="Q1764" s="256"/>
      <c r="R1764" s="256"/>
      <c r="S1764" s="234"/>
      <c r="T1764" s="258"/>
    </row>
    <row r="1765" spans="2:20" ht="22.5" customHeight="1" x14ac:dyDescent="0.25">
      <c r="B1765" s="267"/>
      <c r="C1765" s="234"/>
      <c r="D1765" s="234"/>
      <c r="E1765" s="268"/>
      <c r="F1765" s="269"/>
      <c r="G1765" s="258"/>
      <c r="H1765" s="270"/>
      <c r="I1765" s="271"/>
      <c r="J1765" s="271"/>
      <c r="K1765" s="234"/>
      <c r="L1765" s="307"/>
      <c r="M1765" s="272"/>
      <c r="N1765" s="253"/>
      <c r="O1765" s="256"/>
      <c r="P1765" s="256"/>
      <c r="Q1765" s="256"/>
      <c r="R1765" s="256"/>
      <c r="S1765" s="234"/>
      <c r="T1765" s="258"/>
    </row>
    <row r="1766" spans="2:20" ht="22.5" customHeight="1" x14ac:dyDescent="0.25">
      <c r="B1766" s="267"/>
      <c r="C1766" s="234"/>
      <c r="D1766" s="234"/>
      <c r="E1766" s="268"/>
      <c r="F1766" s="269"/>
      <c r="G1766" s="258"/>
      <c r="H1766" s="270"/>
      <c r="I1766" s="271"/>
      <c r="J1766" s="271"/>
      <c r="K1766" s="234"/>
      <c r="L1766" s="307"/>
      <c r="M1766" s="272"/>
      <c r="N1766" s="253"/>
      <c r="O1766" s="256"/>
      <c r="P1766" s="256"/>
      <c r="Q1766" s="256"/>
      <c r="R1766" s="256"/>
      <c r="S1766" s="234"/>
      <c r="T1766" s="258"/>
    </row>
    <row r="1767" spans="2:20" ht="22.5" customHeight="1" x14ac:dyDescent="0.25">
      <c r="B1767" s="267"/>
      <c r="C1767" s="234"/>
      <c r="D1767" s="234"/>
      <c r="E1767" s="268"/>
      <c r="F1767" s="269"/>
      <c r="G1767" s="258"/>
      <c r="H1767" s="270"/>
      <c r="I1767" s="271"/>
      <c r="J1767" s="271"/>
      <c r="K1767" s="234"/>
      <c r="L1767" s="307"/>
      <c r="M1767" s="272"/>
      <c r="N1767" s="253"/>
      <c r="O1767" s="256"/>
      <c r="P1767" s="256"/>
      <c r="Q1767" s="256"/>
      <c r="R1767" s="256"/>
      <c r="S1767" s="234"/>
      <c r="T1767" s="258"/>
    </row>
    <row r="1768" spans="2:20" ht="22.5" customHeight="1" x14ac:dyDescent="0.25">
      <c r="B1768" s="267"/>
      <c r="C1768" s="234"/>
      <c r="D1768" s="234"/>
      <c r="E1768" s="268"/>
      <c r="F1768" s="269"/>
      <c r="G1768" s="258"/>
      <c r="H1768" s="270"/>
      <c r="I1768" s="271"/>
      <c r="J1768" s="271"/>
      <c r="K1768" s="234"/>
      <c r="L1768" s="307"/>
      <c r="M1768" s="272"/>
      <c r="N1768" s="253"/>
      <c r="O1768" s="256"/>
      <c r="P1768" s="256"/>
      <c r="Q1768" s="256"/>
      <c r="R1768" s="256"/>
      <c r="S1768" s="234"/>
      <c r="T1768" s="258"/>
    </row>
    <row r="1769" spans="2:20" ht="22.5" customHeight="1" x14ac:dyDescent="0.25">
      <c r="B1769" s="267"/>
      <c r="C1769" s="234"/>
      <c r="D1769" s="234"/>
      <c r="E1769" s="268"/>
      <c r="F1769" s="269"/>
      <c r="G1769" s="258"/>
      <c r="H1769" s="270"/>
      <c r="I1769" s="271"/>
      <c r="J1769" s="271"/>
      <c r="K1769" s="234"/>
      <c r="L1769" s="307"/>
      <c r="M1769" s="272"/>
      <c r="N1769" s="253"/>
      <c r="O1769" s="256"/>
      <c r="P1769" s="256"/>
      <c r="Q1769" s="256"/>
      <c r="R1769" s="256"/>
      <c r="S1769" s="234"/>
      <c r="T1769" s="258"/>
    </row>
    <row r="1770" spans="2:20" ht="22.5" customHeight="1" x14ac:dyDescent="0.25">
      <c r="B1770" s="267"/>
      <c r="C1770" s="234"/>
      <c r="D1770" s="234"/>
      <c r="E1770" s="268"/>
      <c r="F1770" s="269"/>
      <c r="G1770" s="258"/>
      <c r="H1770" s="270"/>
      <c r="I1770" s="271"/>
      <c r="J1770" s="271"/>
      <c r="K1770" s="234"/>
      <c r="L1770" s="307"/>
      <c r="M1770" s="272"/>
      <c r="N1770" s="253"/>
      <c r="O1770" s="256"/>
      <c r="P1770" s="256"/>
      <c r="Q1770" s="256"/>
      <c r="R1770" s="256"/>
      <c r="S1770" s="234"/>
      <c r="T1770" s="258"/>
    </row>
    <row r="1771" spans="2:20" ht="22.5" customHeight="1" x14ac:dyDescent="0.25">
      <c r="B1771" s="267"/>
      <c r="C1771" s="234"/>
      <c r="D1771" s="234"/>
      <c r="E1771" s="268"/>
      <c r="F1771" s="269"/>
      <c r="G1771" s="258"/>
      <c r="H1771" s="270"/>
      <c r="I1771" s="271"/>
      <c r="J1771" s="271"/>
      <c r="K1771" s="234"/>
      <c r="L1771" s="307"/>
      <c r="M1771" s="272"/>
      <c r="N1771" s="253"/>
      <c r="O1771" s="256"/>
      <c r="P1771" s="256"/>
      <c r="Q1771" s="256"/>
      <c r="R1771" s="256"/>
      <c r="S1771" s="234"/>
      <c r="T1771" s="258"/>
    </row>
    <row r="1772" spans="2:20" ht="22.5" customHeight="1" x14ac:dyDescent="0.25">
      <c r="B1772" s="267"/>
      <c r="C1772" s="234"/>
      <c r="D1772" s="234"/>
      <c r="E1772" s="268"/>
      <c r="F1772" s="269"/>
      <c r="G1772" s="258"/>
      <c r="H1772" s="270"/>
      <c r="I1772" s="271"/>
      <c r="J1772" s="271"/>
      <c r="K1772" s="234"/>
      <c r="L1772" s="307"/>
      <c r="M1772" s="272"/>
      <c r="N1772" s="253"/>
      <c r="O1772" s="256"/>
      <c r="P1772" s="256"/>
      <c r="Q1772" s="256"/>
      <c r="R1772" s="256"/>
      <c r="S1772" s="234"/>
      <c r="T1772" s="258"/>
    </row>
    <row r="1773" spans="2:20" ht="22.5" customHeight="1" x14ac:dyDescent="0.25">
      <c r="B1773" s="267"/>
      <c r="C1773" s="234"/>
      <c r="D1773" s="234"/>
      <c r="E1773" s="268"/>
      <c r="F1773" s="269"/>
      <c r="G1773" s="258"/>
      <c r="H1773" s="270"/>
      <c r="I1773" s="271"/>
      <c r="J1773" s="271"/>
      <c r="K1773" s="234"/>
      <c r="L1773" s="307"/>
      <c r="M1773" s="272"/>
      <c r="N1773" s="253"/>
      <c r="O1773" s="256"/>
      <c r="P1773" s="256"/>
      <c r="Q1773" s="256"/>
      <c r="R1773" s="256"/>
      <c r="S1773" s="234"/>
      <c r="T1773" s="258"/>
    </row>
    <row r="1774" spans="2:20" ht="22.5" customHeight="1" x14ac:dyDescent="0.25">
      <c r="B1774" s="267"/>
      <c r="C1774" s="234"/>
      <c r="D1774" s="234"/>
      <c r="E1774" s="268"/>
      <c r="F1774" s="269"/>
      <c r="G1774" s="258"/>
      <c r="H1774" s="270"/>
      <c r="I1774" s="271"/>
      <c r="J1774" s="271"/>
      <c r="K1774" s="234"/>
      <c r="L1774" s="307"/>
      <c r="M1774" s="272"/>
      <c r="N1774" s="253"/>
      <c r="O1774" s="256"/>
      <c r="P1774" s="256"/>
      <c r="Q1774" s="256"/>
      <c r="R1774" s="256"/>
      <c r="S1774" s="234"/>
      <c r="T1774" s="258"/>
    </row>
    <row r="1775" spans="2:20" ht="22.5" customHeight="1" x14ac:dyDescent="0.25">
      <c r="B1775" s="267"/>
      <c r="C1775" s="234"/>
      <c r="D1775" s="234"/>
      <c r="E1775" s="268"/>
      <c r="F1775" s="269"/>
      <c r="G1775" s="258"/>
      <c r="H1775" s="270"/>
      <c r="I1775" s="271"/>
      <c r="J1775" s="271"/>
      <c r="K1775" s="234"/>
      <c r="L1775" s="307"/>
      <c r="M1775" s="272"/>
      <c r="N1775" s="253"/>
      <c r="O1775" s="256"/>
      <c r="P1775" s="256"/>
      <c r="Q1775" s="256"/>
      <c r="R1775" s="256"/>
      <c r="S1775" s="234"/>
      <c r="T1775" s="258"/>
    </row>
    <row r="1776" spans="2:20" ht="22.5" customHeight="1" x14ac:dyDescent="0.25">
      <c r="B1776" s="267"/>
      <c r="C1776" s="234"/>
      <c r="D1776" s="234"/>
      <c r="E1776" s="268"/>
      <c r="F1776" s="269"/>
      <c r="G1776" s="258"/>
      <c r="H1776" s="270"/>
      <c r="I1776" s="271"/>
      <c r="J1776" s="271"/>
      <c r="K1776" s="234"/>
      <c r="L1776" s="307"/>
      <c r="M1776" s="272"/>
      <c r="N1776" s="253"/>
      <c r="O1776" s="256"/>
      <c r="P1776" s="256"/>
      <c r="Q1776" s="256"/>
      <c r="R1776" s="256"/>
      <c r="S1776" s="234"/>
      <c r="T1776" s="258"/>
    </row>
    <row r="1777" spans="2:20" ht="22.5" customHeight="1" x14ac:dyDescent="0.25">
      <c r="B1777" s="267"/>
      <c r="C1777" s="234"/>
      <c r="D1777" s="234"/>
      <c r="E1777" s="268"/>
      <c r="F1777" s="269"/>
      <c r="G1777" s="258"/>
      <c r="H1777" s="270"/>
      <c r="I1777" s="271"/>
      <c r="J1777" s="271"/>
      <c r="K1777" s="234"/>
      <c r="L1777" s="307"/>
      <c r="M1777" s="272"/>
      <c r="N1777" s="253"/>
      <c r="O1777" s="256"/>
      <c r="P1777" s="256"/>
      <c r="Q1777" s="256"/>
      <c r="R1777" s="256"/>
      <c r="S1777" s="234"/>
      <c r="T1777" s="258"/>
    </row>
    <row r="1778" spans="2:20" ht="22.5" customHeight="1" x14ac:dyDescent="0.25">
      <c r="B1778" s="267"/>
      <c r="C1778" s="234"/>
      <c r="D1778" s="234"/>
      <c r="E1778" s="268"/>
      <c r="F1778" s="269"/>
      <c r="G1778" s="258"/>
      <c r="H1778" s="270"/>
      <c r="I1778" s="271"/>
      <c r="J1778" s="271"/>
      <c r="K1778" s="234"/>
      <c r="L1778" s="307"/>
      <c r="M1778" s="272"/>
      <c r="N1778" s="253"/>
      <c r="O1778" s="256"/>
      <c r="P1778" s="256"/>
      <c r="Q1778" s="256"/>
      <c r="R1778" s="256"/>
      <c r="S1778" s="234"/>
      <c r="T1778" s="258"/>
    </row>
    <row r="1779" spans="2:20" ht="22.5" customHeight="1" x14ac:dyDescent="0.25">
      <c r="B1779" s="267"/>
      <c r="C1779" s="234"/>
      <c r="D1779" s="234"/>
      <c r="E1779" s="268"/>
      <c r="F1779" s="269"/>
      <c r="G1779" s="258"/>
      <c r="H1779" s="270"/>
      <c r="I1779" s="271"/>
      <c r="J1779" s="271"/>
      <c r="K1779" s="234"/>
      <c r="L1779" s="307"/>
      <c r="M1779" s="272"/>
      <c r="N1779" s="253"/>
      <c r="O1779" s="256"/>
      <c r="P1779" s="256"/>
      <c r="Q1779" s="256"/>
      <c r="R1779" s="256"/>
      <c r="S1779" s="234"/>
      <c r="T1779" s="258"/>
    </row>
    <row r="1780" spans="2:20" ht="22.5" customHeight="1" x14ac:dyDescent="0.25">
      <c r="B1780" s="267"/>
      <c r="C1780" s="234"/>
      <c r="D1780" s="234"/>
      <c r="E1780" s="268"/>
      <c r="F1780" s="269"/>
      <c r="G1780" s="258"/>
      <c r="H1780" s="270"/>
      <c r="I1780" s="271"/>
      <c r="J1780" s="271"/>
      <c r="K1780" s="234"/>
      <c r="L1780" s="307"/>
      <c r="M1780" s="272"/>
      <c r="N1780" s="253"/>
      <c r="O1780" s="256"/>
      <c r="P1780" s="256"/>
      <c r="Q1780" s="256"/>
      <c r="R1780" s="256"/>
      <c r="S1780" s="234"/>
      <c r="T1780" s="258"/>
    </row>
    <row r="1781" spans="2:20" ht="22.5" customHeight="1" x14ac:dyDescent="0.25">
      <c r="B1781" s="267"/>
      <c r="C1781" s="234"/>
      <c r="D1781" s="234"/>
      <c r="E1781" s="268"/>
      <c r="F1781" s="269"/>
      <c r="G1781" s="258"/>
      <c r="H1781" s="270"/>
      <c r="I1781" s="271"/>
      <c r="J1781" s="271"/>
      <c r="K1781" s="234"/>
      <c r="L1781" s="307"/>
      <c r="M1781" s="272"/>
      <c r="N1781" s="253"/>
      <c r="O1781" s="256"/>
      <c r="P1781" s="256"/>
      <c r="Q1781" s="256"/>
      <c r="R1781" s="256"/>
      <c r="S1781" s="234"/>
      <c r="T1781" s="258"/>
    </row>
    <row r="1782" spans="2:20" ht="22.5" customHeight="1" x14ac:dyDescent="0.25">
      <c r="B1782" s="267"/>
      <c r="C1782" s="234"/>
      <c r="D1782" s="234"/>
      <c r="E1782" s="268"/>
      <c r="F1782" s="269"/>
      <c r="G1782" s="258"/>
      <c r="H1782" s="270"/>
      <c r="I1782" s="271"/>
      <c r="J1782" s="271"/>
      <c r="K1782" s="234"/>
      <c r="L1782" s="307"/>
      <c r="M1782" s="272"/>
      <c r="N1782" s="253"/>
      <c r="O1782" s="256"/>
      <c r="P1782" s="256"/>
      <c r="Q1782" s="256"/>
      <c r="R1782" s="256"/>
      <c r="S1782" s="234"/>
      <c r="T1782" s="258"/>
    </row>
    <row r="1783" spans="2:20" ht="22.5" customHeight="1" x14ac:dyDescent="0.25">
      <c r="B1783" s="267"/>
      <c r="C1783" s="234"/>
      <c r="D1783" s="234"/>
      <c r="E1783" s="268"/>
      <c r="F1783" s="269"/>
      <c r="G1783" s="258"/>
      <c r="H1783" s="270"/>
      <c r="I1783" s="271"/>
      <c r="J1783" s="271"/>
      <c r="K1783" s="234"/>
      <c r="L1783" s="307"/>
      <c r="M1783" s="272"/>
      <c r="N1783" s="253"/>
      <c r="O1783" s="256"/>
      <c r="P1783" s="256"/>
      <c r="Q1783" s="256"/>
      <c r="R1783" s="256"/>
      <c r="S1783" s="234"/>
      <c r="T1783" s="258"/>
    </row>
    <row r="1784" spans="2:20" ht="22.5" customHeight="1" x14ac:dyDescent="0.25">
      <c r="B1784" s="267"/>
      <c r="C1784" s="234"/>
      <c r="D1784" s="234"/>
      <c r="E1784" s="268"/>
      <c r="F1784" s="269"/>
      <c r="G1784" s="258"/>
      <c r="H1784" s="270"/>
      <c r="I1784" s="271"/>
      <c r="J1784" s="271"/>
      <c r="K1784" s="234"/>
      <c r="L1784" s="307"/>
      <c r="M1784" s="272"/>
      <c r="N1784" s="253"/>
      <c r="O1784" s="256"/>
      <c r="P1784" s="256"/>
      <c r="Q1784" s="256"/>
      <c r="R1784" s="256"/>
      <c r="S1784" s="234"/>
      <c r="T1784" s="258"/>
    </row>
    <row r="1785" spans="2:20" ht="22.5" customHeight="1" x14ac:dyDescent="0.25">
      <c r="B1785" s="267"/>
      <c r="C1785" s="234"/>
      <c r="D1785" s="234"/>
      <c r="E1785" s="268"/>
      <c r="F1785" s="269"/>
      <c r="G1785" s="258"/>
      <c r="H1785" s="270"/>
      <c r="I1785" s="271"/>
      <c r="J1785" s="271"/>
      <c r="K1785" s="234"/>
      <c r="L1785" s="307"/>
      <c r="M1785" s="272"/>
      <c r="N1785" s="253"/>
      <c r="O1785" s="256"/>
      <c r="P1785" s="256"/>
      <c r="Q1785" s="256"/>
      <c r="R1785" s="256"/>
      <c r="S1785" s="234"/>
      <c r="T1785" s="258"/>
    </row>
    <row r="1786" spans="2:20" ht="22.5" customHeight="1" x14ac:dyDescent="0.25">
      <c r="B1786" s="267"/>
      <c r="C1786" s="234"/>
      <c r="D1786" s="234"/>
      <c r="E1786" s="268"/>
      <c r="F1786" s="269"/>
      <c r="G1786" s="258"/>
      <c r="H1786" s="270"/>
      <c r="I1786" s="271"/>
      <c r="J1786" s="271"/>
      <c r="K1786" s="234"/>
      <c r="L1786" s="307"/>
      <c r="M1786" s="272"/>
      <c r="N1786" s="253"/>
      <c r="O1786" s="256"/>
      <c r="P1786" s="256"/>
      <c r="Q1786" s="256"/>
      <c r="R1786" s="256"/>
      <c r="S1786" s="234"/>
      <c r="T1786" s="258"/>
    </row>
    <row r="1787" spans="2:20" ht="22.5" customHeight="1" x14ac:dyDescent="0.25">
      <c r="B1787" s="267"/>
      <c r="C1787" s="234"/>
      <c r="D1787" s="234"/>
      <c r="E1787" s="268"/>
      <c r="F1787" s="269"/>
      <c r="G1787" s="258"/>
      <c r="H1787" s="270"/>
      <c r="I1787" s="271"/>
      <c r="J1787" s="271"/>
      <c r="K1787" s="234"/>
      <c r="L1787" s="307"/>
      <c r="M1787" s="272"/>
      <c r="N1787" s="253"/>
      <c r="O1787" s="256"/>
      <c r="P1787" s="256"/>
      <c r="Q1787" s="256"/>
      <c r="R1787" s="256"/>
      <c r="S1787" s="234"/>
      <c r="T1787" s="258"/>
    </row>
    <row r="1788" spans="2:20" ht="22.5" customHeight="1" x14ac:dyDescent="0.25">
      <c r="B1788" s="267"/>
      <c r="C1788" s="234"/>
      <c r="D1788" s="234"/>
      <c r="E1788" s="268"/>
      <c r="F1788" s="269"/>
      <c r="G1788" s="258"/>
      <c r="H1788" s="270"/>
      <c r="I1788" s="271"/>
      <c r="J1788" s="271"/>
      <c r="K1788" s="234"/>
      <c r="L1788" s="307"/>
      <c r="M1788" s="272"/>
      <c r="N1788" s="253"/>
      <c r="O1788" s="256"/>
      <c r="P1788" s="256"/>
      <c r="Q1788" s="256"/>
      <c r="R1788" s="256"/>
      <c r="S1788" s="234"/>
      <c r="T1788" s="258"/>
    </row>
    <row r="1789" spans="2:20" ht="22.5" customHeight="1" x14ac:dyDescent="0.25">
      <c r="B1789" s="267"/>
      <c r="C1789" s="234"/>
      <c r="D1789" s="234"/>
      <c r="E1789" s="268"/>
      <c r="F1789" s="269"/>
      <c r="G1789" s="258"/>
      <c r="H1789" s="270"/>
      <c r="I1789" s="271"/>
      <c r="J1789" s="271"/>
      <c r="K1789" s="234"/>
      <c r="L1789" s="307"/>
      <c r="M1789" s="272"/>
      <c r="N1789" s="253"/>
      <c r="O1789" s="256"/>
      <c r="P1789" s="256"/>
      <c r="Q1789" s="256"/>
      <c r="R1789" s="256"/>
      <c r="S1789" s="234"/>
      <c r="T1789" s="258"/>
    </row>
    <row r="1790" spans="2:20" ht="22.5" customHeight="1" x14ac:dyDescent="0.25">
      <c r="B1790" s="267"/>
      <c r="C1790" s="234"/>
      <c r="D1790" s="234"/>
      <c r="E1790" s="268"/>
      <c r="F1790" s="269"/>
      <c r="G1790" s="258"/>
      <c r="H1790" s="270"/>
      <c r="I1790" s="271"/>
      <c r="J1790" s="271"/>
      <c r="K1790" s="234"/>
      <c r="L1790" s="307"/>
      <c r="M1790" s="272"/>
      <c r="N1790" s="253"/>
      <c r="O1790" s="256"/>
      <c r="P1790" s="256"/>
      <c r="Q1790" s="256"/>
      <c r="R1790" s="256"/>
      <c r="S1790" s="234"/>
      <c r="T1790" s="258"/>
    </row>
    <row r="1791" spans="2:20" ht="22.5" customHeight="1" x14ac:dyDescent="0.25">
      <c r="B1791" s="267"/>
      <c r="C1791" s="234"/>
      <c r="D1791" s="234"/>
      <c r="E1791" s="268"/>
      <c r="F1791" s="269"/>
      <c r="G1791" s="258"/>
      <c r="H1791" s="270"/>
      <c r="I1791" s="271"/>
      <c r="J1791" s="271"/>
      <c r="K1791" s="234"/>
      <c r="L1791" s="307"/>
      <c r="M1791" s="272"/>
      <c r="N1791" s="253"/>
      <c r="O1791" s="256"/>
      <c r="P1791" s="256"/>
      <c r="Q1791" s="256"/>
      <c r="R1791" s="256"/>
      <c r="S1791" s="234"/>
      <c r="T1791" s="258"/>
    </row>
    <row r="1792" spans="2:20" ht="22.5" customHeight="1" x14ac:dyDescent="0.25">
      <c r="B1792" s="267"/>
      <c r="C1792" s="234"/>
      <c r="D1792" s="234"/>
      <c r="E1792" s="268"/>
      <c r="F1792" s="269"/>
      <c r="G1792" s="258"/>
      <c r="H1792" s="270"/>
      <c r="I1792" s="271"/>
      <c r="J1792" s="271"/>
      <c r="K1792" s="234"/>
      <c r="L1792" s="307"/>
      <c r="M1792" s="272"/>
      <c r="N1792" s="253"/>
      <c r="O1792" s="256"/>
      <c r="P1792" s="256"/>
      <c r="Q1792" s="256"/>
      <c r="R1792" s="256"/>
      <c r="S1792" s="234"/>
      <c r="T1792" s="258"/>
    </row>
    <row r="1793" spans="2:20" ht="22.5" customHeight="1" x14ac:dyDescent="0.25">
      <c r="B1793" s="267"/>
      <c r="C1793" s="234"/>
      <c r="D1793" s="234"/>
      <c r="E1793" s="268"/>
      <c r="F1793" s="269"/>
      <c r="G1793" s="258"/>
      <c r="H1793" s="270"/>
      <c r="I1793" s="271"/>
      <c r="J1793" s="271"/>
      <c r="K1793" s="234"/>
      <c r="L1793" s="307"/>
      <c r="M1793" s="272"/>
      <c r="N1793" s="253"/>
      <c r="O1793" s="256"/>
      <c r="P1793" s="256"/>
      <c r="Q1793" s="256"/>
      <c r="R1793" s="256"/>
      <c r="S1793" s="234"/>
      <c r="T1793" s="258"/>
    </row>
    <row r="1794" spans="2:20" ht="22.5" customHeight="1" x14ac:dyDescent="0.25">
      <c r="B1794" s="267"/>
      <c r="C1794" s="234"/>
      <c r="D1794" s="234"/>
      <c r="E1794" s="268"/>
      <c r="F1794" s="269"/>
      <c r="G1794" s="258"/>
      <c r="H1794" s="270"/>
      <c r="I1794" s="271"/>
      <c r="J1794" s="271"/>
      <c r="K1794" s="234"/>
      <c r="L1794" s="307"/>
      <c r="M1794" s="272"/>
      <c r="N1794" s="253"/>
      <c r="O1794" s="256"/>
      <c r="P1794" s="256"/>
      <c r="Q1794" s="256"/>
      <c r="R1794" s="256"/>
      <c r="S1794" s="234"/>
      <c r="T1794" s="258"/>
    </row>
    <row r="1795" spans="2:20" ht="22.5" customHeight="1" x14ac:dyDescent="0.25">
      <c r="B1795" s="267"/>
      <c r="C1795" s="234"/>
      <c r="D1795" s="234"/>
      <c r="E1795" s="268"/>
      <c r="F1795" s="269"/>
      <c r="G1795" s="258"/>
      <c r="H1795" s="270"/>
      <c r="I1795" s="271"/>
      <c r="J1795" s="271"/>
      <c r="K1795" s="234"/>
      <c r="L1795" s="307"/>
      <c r="M1795" s="272"/>
      <c r="N1795" s="253"/>
      <c r="O1795" s="256"/>
      <c r="P1795" s="256"/>
      <c r="Q1795" s="256"/>
      <c r="R1795" s="256"/>
      <c r="S1795" s="234"/>
      <c r="T1795" s="258"/>
    </row>
    <row r="1796" spans="2:20" ht="22.5" customHeight="1" x14ac:dyDescent="0.25">
      <c r="B1796" s="267"/>
      <c r="C1796" s="234"/>
      <c r="D1796" s="234"/>
      <c r="E1796" s="268"/>
      <c r="F1796" s="269"/>
      <c r="G1796" s="258"/>
      <c r="H1796" s="270"/>
      <c r="I1796" s="271"/>
      <c r="J1796" s="271"/>
      <c r="K1796" s="234"/>
      <c r="L1796" s="307"/>
      <c r="M1796" s="272"/>
      <c r="N1796" s="253"/>
      <c r="O1796" s="256"/>
      <c r="P1796" s="256"/>
      <c r="Q1796" s="256"/>
      <c r="R1796" s="256"/>
      <c r="S1796" s="234"/>
      <c r="T1796" s="258"/>
    </row>
    <row r="1797" spans="2:20" ht="22.5" customHeight="1" x14ac:dyDescent="0.25">
      <c r="B1797" s="267"/>
      <c r="C1797" s="234"/>
      <c r="D1797" s="234"/>
      <c r="E1797" s="268"/>
      <c r="F1797" s="269"/>
      <c r="G1797" s="258"/>
      <c r="H1797" s="270"/>
      <c r="I1797" s="271"/>
      <c r="J1797" s="271"/>
      <c r="K1797" s="234"/>
      <c r="L1797" s="307"/>
      <c r="M1797" s="272"/>
      <c r="N1797" s="253"/>
      <c r="O1797" s="256"/>
      <c r="P1797" s="256"/>
      <c r="Q1797" s="256"/>
      <c r="R1797" s="256"/>
      <c r="S1797" s="234"/>
      <c r="T1797" s="258"/>
    </row>
    <row r="1798" spans="2:20" ht="22.5" customHeight="1" x14ac:dyDescent="0.25">
      <c r="B1798" s="267"/>
      <c r="C1798" s="234"/>
      <c r="D1798" s="234"/>
      <c r="E1798" s="268"/>
      <c r="F1798" s="269"/>
      <c r="G1798" s="258"/>
      <c r="H1798" s="270"/>
      <c r="I1798" s="271"/>
      <c r="J1798" s="271"/>
      <c r="K1798" s="234"/>
      <c r="L1798" s="307"/>
      <c r="M1798" s="272"/>
      <c r="N1798" s="253"/>
      <c r="O1798" s="256"/>
      <c r="P1798" s="256"/>
      <c r="Q1798" s="256"/>
      <c r="R1798" s="256"/>
      <c r="S1798" s="234"/>
      <c r="T1798" s="258"/>
    </row>
    <row r="1799" spans="2:20" ht="22.5" customHeight="1" x14ac:dyDescent="0.25">
      <c r="B1799" s="267"/>
      <c r="C1799" s="234"/>
      <c r="D1799" s="234"/>
      <c r="E1799" s="268"/>
      <c r="F1799" s="269"/>
      <c r="G1799" s="258"/>
      <c r="H1799" s="270"/>
      <c r="I1799" s="271"/>
      <c r="J1799" s="271"/>
      <c r="K1799" s="234"/>
      <c r="L1799" s="307"/>
      <c r="M1799" s="272"/>
      <c r="N1799" s="253"/>
      <c r="O1799" s="256"/>
      <c r="P1799" s="256"/>
      <c r="Q1799" s="256"/>
      <c r="R1799" s="256"/>
      <c r="S1799" s="234"/>
      <c r="T1799" s="258"/>
    </row>
    <row r="1800" spans="2:20" ht="22.5" customHeight="1" x14ac:dyDescent="0.25">
      <c r="B1800" s="267"/>
      <c r="C1800" s="234"/>
      <c r="D1800" s="234"/>
      <c r="E1800" s="268"/>
      <c r="F1800" s="269"/>
      <c r="G1800" s="258"/>
      <c r="H1800" s="270"/>
      <c r="I1800" s="271"/>
      <c r="J1800" s="271"/>
      <c r="K1800" s="234"/>
      <c r="L1800" s="307"/>
      <c r="M1800" s="272"/>
      <c r="N1800" s="253"/>
      <c r="O1800" s="256"/>
      <c r="P1800" s="256"/>
      <c r="Q1800" s="256"/>
      <c r="R1800" s="256"/>
      <c r="S1800" s="234"/>
      <c r="T1800" s="258"/>
    </row>
    <row r="1801" spans="2:20" ht="22.5" customHeight="1" x14ac:dyDescent="0.25">
      <c r="B1801" s="267"/>
      <c r="C1801" s="234"/>
      <c r="D1801" s="234"/>
      <c r="E1801" s="268"/>
      <c r="F1801" s="269"/>
      <c r="G1801" s="258"/>
      <c r="H1801" s="270"/>
      <c r="I1801" s="271"/>
      <c r="J1801" s="271"/>
      <c r="K1801" s="234"/>
      <c r="L1801" s="307"/>
      <c r="M1801" s="272"/>
      <c r="N1801" s="253"/>
      <c r="O1801" s="256"/>
      <c r="P1801" s="256"/>
      <c r="Q1801" s="256"/>
      <c r="R1801" s="256"/>
      <c r="S1801" s="234"/>
      <c r="T1801" s="258"/>
    </row>
    <row r="1802" spans="2:20" ht="22.5" customHeight="1" x14ac:dyDescent="0.25">
      <c r="B1802" s="267"/>
      <c r="C1802" s="234"/>
      <c r="D1802" s="234"/>
      <c r="E1802" s="268"/>
      <c r="F1802" s="269"/>
      <c r="G1802" s="258"/>
      <c r="H1802" s="270"/>
      <c r="I1802" s="271"/>
      <c r="J1802" s="271"/>
      <c r="K1802" s="234"/>
      <c r="L1802" s="307"/>
      <c r="M1802" s="272"/>
      <c r="N1802" s="253"/>
      <c r="O1802" s="256"/>
      <c r="P1802" s="256"/>
      <c r="Q1802" s="256"/>
      <c r="R1802" s="256"/>
      <c r="S1802" s="234"/>
      <c r="T1802" s="258"/>
    </row>
    <row r="1803" spans="2:20" ht="22.5" customHeight="1" x14ac:dyDescent="0.25">
      <c r="B1803" s="267"/>
      <c r="C1803" s="234"/>
      <c r="D1803" s="234"/>
      <c r="E1803" s="268"/>
      <c r="F1803" s="269"/>
      <c r="G1803" s="258"/>
      <c r="H1803" s="270"/>
      <c r="I1803" s="271"/>
      <c r="J1803" s="271"/>
      <c r="K1803" s="234"/>
      <c r="L1803" s="307"/>
      <c r="M1803" s="272"/>
      <c r="N1803" s="253"/>
      <c r="O1803" s="256"/>
      <c r="P1803" s="256"/>
      <c r="Q1803" s="256"/>
      <c r="R1803" s="256"/>
      <c r="S1803" s="234"/>
      <c r="T1803" s="258"/>
    </row>
    <row r="1804" spans="2:20" ht="22.5" customHeight="1" x14ac:dyDescent="0.25">
      <c r="B1804" s="267"/>
      <c r="C1804" s="234"/>
      <c r="D1804" s="234"/>
      <c r="E1804" s="268"/>
      <c r="F1804" s="269"/>
      <c r="G1804" s="258"/>
      <c r="H1804" s="270"/>
      <c r="I1804" s="271"/>
      <c r="J1804" s="271"/>
      <c r="K1804" s="234"/>
      <c r="L1804" s="307"/>
      <c r="M1804" s="272"/>
      <c r="N1804" s="253"/>
      <c r="O1804" s="256"/>
      <c r="P1804" s="256"/>
      <c r="Q1804" s="256"/>
      <c r="R1804" s="256"/>
      <c r="S1804" s="234"/>
      <c r="T1804" s="258"/>
    </row>
    <row r="1805" spans="2:20" ht="22.5" customHeight="1" x14ac:dyDescent="0.25">
      <c r="B1805" s="267"/>
      <c r="C1805" s="234"/>
      <c r="D1805" s="234"/>
      <c r="E1805" s="268"/>
      <c r="F1805" s="269"/>
      <c r="G1805" s="258"/>
      <c r="H1805" s="270"/>
      <c r="I1805" s="271"/>
      <c r="J1805" s="271"/>
      <c r="K1805" s="234"/>
      <c r="L1805" s="307"/>
      <c r="M1805" s="272"/>
      <c r="N1805" s="253"/>
      <c r="O1805" s="256"/>
      <c r="P1805" s="256"/>
      <c r="Q1805" s="256"/>
      <c r="R1805" s="256"/>
      <c r="S1805" s="234"/>
      <c r="T1805" s="258"/>
    </row>
    <row r="1806" spans="2:20" ht="22.5" customHeight="1" x14ac:dyDescent="0.25">
      <c r="B1806" s="267"/>
      <c r="C1806" s="234"/>
      <c r="D1806" s="234"/>
      <c r="E1806" s="268"/>
      <c r="F1806" s="269"/>
      <c r="G1806" s="258"/>
      <c r="H1806" s="270"/>
      <c r="I1806" s="271"/>
      <c r="J1806" s="271"/>
      <c r="K1806" s="234"/>
      <c r="L1806" s="307"/>
      <c r="M1806" s="272"/>
      <c r="N1806" s="253"/>
      <c r="O1806" s="256"/>
      <c r="P1806" s="256"/>
      <c r="Q1806" s="256"/>
      <c r="R1806" s="256"/>
      <c r="S1806" s="234"/>
      <c r="T1806" s="258"/>
    </row>
    <row r="1807" spans="2:20" ht="22.5" customHeight="1" x14ac:dyDescent="0.25">
      <c r="B1807" s="267"/>
      <c r="C1807" s="234"/>
      <c r="D1807" s="234"/>
      <c r="E1807" s="268"/>
      <c r="F1807" s="269"/>
      <c r="G1807" s="258"/>
      <c r="H1807" s="270"/>
      <c r="I1807" s="271"/>
      <c r="J1807" s="271"/>
      <c r="K1807" s="234"/>
      <c r="L1807" s="307"/>
      <c r="M1807" s="272"/>
      <c r="N1807" s="253"/>
      <c r="O1807" s="256"/>
      <c r="P1807" s="256"/>
      <c r="Q1807" s="256"/>
      <c r="R1807" s="256"/>
      <c r="S1807" s="234"/>
      <c r="T1807" s="258"/>
    </row>
    <row r="1808" spans="2:20" ht="22.5" customHeight="1" x14ac:dyDescent="0.25">
      <c r="B1808" s="267"/>
      <c r="C1808" s="234"/>
      <c r="D1808" s="234"/>
      <c r="E1808" s="268"/>
      <c r="F1808" s="269"/>
      <c r="G1808" s="258"/>
      <c r="H1808" s="270"/>
      <c r="I1808" s="271"/>
      <c r="J1808" s="271"/>
      <c r="K1808" s="234"/>
      <c r="L1808" s="307"/>
      <c r="M1808" s="272"/>
      <c r="N1808" s="253"/>
      <c r="O1808" s="256"/>
      <c r="P1808" s="256"/>
      <c r="Q1808" s="256"/>
      <c r="R1808" s="256"/>
      <c r="S1808" s="234"/>
      <c r="T1808" s="258"/>
    </row>
    <row r="1809" spans="2:20" ht="22.5" customHeight="1" x14ac:dyDescent="0.25">
      <c r="B1809" s="267"/>
      <c r="C1809" s="234"/>
      <c r="D1809" s="234"/>
      <c r="E1809" s="268"/>
      <c r="F1809" s="269"/>
      <c r="G1809" s="258"/>
      <c r="H1809" s="270"/>
      <c r="I1809" s="271"/>
      <c r="J1809" s="271"/>
      <c r="K1809" s="234"/>
      <c r="L1809" s="307"/>
      <c r="M1809" s="272"/>
      <c r="N1809" s="253"/>
      <c r="O1809" s="256"/>
      <c r="P1809" s="256"/>
      <c r="Q1809" s="256"/>
      <c r="R1809" s="256"/>
      <c r="S1809" s="234"/>
      <c r="T1809" s="258"/>
    </row>
    <row r="1810" spans="2:20" ht="22.5" customHeight="1" x14ac:dyDescent="0.25">
      <c r="B1810" s="267"/>
      <c r="C1810" s="234"/>
      <c r="D1810" s="234"/>
      <c r="E1810" s="268"/>
      <c r="F1810" s="269"/>
      <c r="G1810" s="258"/>
      <c r="H1810" s="270"/>
      <c r="I1810" s="271"/>
      <c r="J1810" s="271"/>
      <c r="K1810" s="234"/>
      <c r="L1810" s="307"/>
      <c r="M1810" s="272"/>
      <c r="N1810" s="253"/>
      <c r="O1810" s="256"/>
      <c r="P1810" s="256"/>
      <c r="Q1810" s="256"/>
      <c r="R1810" s="256"/>
      <c r="S1810" s="234"/>
      <c r="T1810" s="258"/>
    </row>
    <row r="1811" spans="2:20" ht="22.5" customHeight="1" x14ac:dyDescent="0.25">
      <c r="B1811" s="267"/>
      <c r="C1811" s="234"/>
      <c r="D1811" s="234"/>
      <c r="E1811" s="268"/>
      <c r="F1811" s="269"/>
      <c r="G1811" s="258"/>
      <c r="H1811" s="270"/>
      <c r="I1811" s="271"/>
      <c r="J1811" s="271"/>
      <c r="K1811" s="234"/>
      <c r="L1811" s="307"/>
      <c r="M1811" s="272"/>
      <c r="N1811" s="253"/>
      <c r="O1811" s="256"/>
      <c r="P1811" s="256"/>
      <c r="Q1811" s="256"/>
      <c r="R1811" s="256"/>
      <c r="S1811" s="234"/>
      <c r="T1811" s="258"/>
    </row>
    <row r="1812" spans="2:20" ht="22.5" customHeight="1" x14ac:dyDescent="0.25">
      <c r="B1812" s="267"/>
      <c r="C1812" s="234"/>
      <c r="D1812" s="234"/>
      <c r="E1812" s="268"/>
      <c r="F1812" s="269"/>
      <c r="G1812" s="258"/>
      <c r="H1812" s="270"/>
      <c r="I1812" s="271"/>
      <c r="J1812" s="271"/>
      <c r="K1812" s="234"/>
      <c r="L1812" s="307"/>
      <c r="M1812" s="272"/>
      <c r="N1812" s="253"/>
      <c r="O1812" s="256"/>
      <c r="P1812" s="256"/>
      <c r="Q1812" s="256"/>
      <c r="R1812" s="256"/>
      <c r="S1812" s="234"/>
      <c r="T1812" s="258"/>
    </row>
    <row r="1813" spans="2:20" ht="22.5" customHeight="1" x14ac:dyDescent="0.25">
      <c r="B1813" s="267"/>
      <c r="C1813" s="234"/>
      <c r="D1813" s="234"/>
      <c r="E1813" s="268"/>
      <c r="F1813" s="269"/>
      <c r="G1813" s="258"/>
      <c r="H1813" s="270"/>
      <c r="I1813" s="271"/>
      <c r="J1813" s="271"/>
      <c r="K1813" s="234"/>
      <c r="L1813" s="307"/>
      <c r="M1813" s="272"/>
      <c r="N1813" s="253"/>
      <c r="O1813" s="256"/>
      <c r="P1813" s="256"/>
      <c r="Q1813" s="256"/>
      <c r="R1813" s="256"/>
      <c r="S1813" s="234"/>
      <c r="T1813" s="258"/>
    </row>
    <row r="1814" spans="2:20" ht="22.5" customHeight="1" x14ac:dyDescent="0.25">
      <c r="B1814" s="267"/>
      <c r="C1814" s="234"/>
      <c r="D1814" s="234"/>
      <c r="E1814" s="268"/>
      <c r="F1814" s="269"/>
      <c r="G1814" s="258"/>
      <c r="H1814" s="270"/>
      <c r="I1814" s="271"/>
      <c r="J1814" s="271"/>
      <c r="K1814" s="234"/>
      <c r="L1814" s="307"/>
      <c r="M1814" s="272"/>
      <c r="N1814" s="253"/>
      <c r="O1814" s="256"/>
      <c r="P1814" s="256"/>
      <c r="Q1814" s="256"/>
      <c r="R1814" s="256"/>
      <c r="S1814" s="234"/>
      <c r="T1814" s="258"/>
    </row>
    <row r="1815" spans="2:20" ht="22.5" customHeight="1" x14ac:dyDescent="0.25">
      <c r="B1815" s="267"/>
      <c r="C1815" s="234"/>
      <c r="D1815" s="234"/>
      <c r="E1815" s="268"/>
      <c r="F1815" s="269"/>
      <c r="G1815" s="258"/>
      <c r="H1815" s="270"/>
      <c r="I1815" s="271"/>
      <c r="J1815" s="271"/>
      <c r="K1815" s="234"/>
      <c r="L1815" s="307"/>
      <c r="M1815" s="272"/>
      <c r="N1815" s="253"/>
      <c r="O1815" s="256"/>
      <c r="P1815" s="256"/>
      <c r="Q1815" s="256"/>
      <c r="R1815" s="256"/>
      <c r="S1815" s="234"/>
      <c r="T1815" s="258"/>
    </row>
    <row r="1816" spans="2:20" ht="22.5" customHeight="1" x14ac:dyDescent="0.25">
      <c r="B1816" s="267"/>
      <c r="C1816" s="234"/>
      <c r="D1816" s="234"/>
      <c r="E1816" s="268"/>
      <c r="F1816" s="269"/>
      <c r="G1816" s="258"/>
      <c r="H1816" s="270"/>
      <c r="I1816" s="271"/>
      <c r="J1816" s="271"/>
      <c r="K1816" s="234"/>
      <c r="L1816" s="307"/>
      <c r="M1816" s="272"/>
      <c r="N1816" s="253"/>
      <c r="O1816" s="256"/>
      <c r="P1816" s="256"/>
      <c r="Q1816" s="256"/>
      <c r="R1816" s="256"/>
      <c r="S1816" s="234"/>
      <c r="T1816" s="258"/>
    </row>
    <row r="1817" spans="2:20" ht="22.5" customHeight="1" x14ac:dyDescent="0.25">
      <c r="B1817" s="267"/>
      <c r="C1817" s="234"/>
      <c r="D1817" s="234"/>
      <c r="E1817" s="268"/>
      <c r="F1817" s="269"/>
      <c r="G1817" s="258"/>
      <c r="H1817" s="270"/>
      <c r="I1817" s="271"/>
      <c r="J1817" s="271"/>
      <c r="K1817" s="234"/>
      <c r="L1817" s="307"/>
      <c r="M1817" s="272"/>
      <c r="N1817" s="253"/>
      <c r="O1817" s="256"/>
      <c r="P1817" s="256"/>
      <c r="Q1817" s="256"/>
      <c r="R1817" s="256"/>
      <c r="S1817" s="234"/>
      <c r="T1817" s="258"/>
    </row>
    <row r="1818" spans="2:20" ht="22.5" customHeight="1" x14ac:dyDescent="0.25">
      <c r="B1818" s="267"/>
      <c r="C1818" s="234"/>
      <c r="D1818" s="234"/>
      <c r="E1818" s="268"/>
      <c r="F1818" s="269"/>
      <c r="G1818" s="258"/>
      <c r="H1818" s="270"/>
      <c r="I1818" s="271"/>
      <c r="J1818" s="271"/>
      <c r="K1818" s="234"/>
      <c r="L1818" s="307"/>
      <c r="M1818" s="272"/>
      <c r="N1818" s="253"/>
      <c r="O1818" s="256"/>
      <c r="P1818" s="256"/>
      <c r="Q1818" s="256"/>
      <c r="R1818" s="256"/>
      <c r="S1818" s="234"/>
      <c r="T1818" s="258"/>
    </row>
    <row r="1819" spans="2:20" ht="22.5" customHeight="1" x14ac:dyDescent="0.25">
      <c r="B1819" s="267"/>
      <c r="C1819" s="234"/>
      <c r="D1819" s="234"/>
      <c r="E1819" s="268"/>
      <c r="F1819" s="269"/>
      <c r="G1819" s="258"/>
      <c r="H1819" s="270"/>
      <c r="I1819" s="271"/>
      <c r="J1819" s="271"/>
      <c r="K1819" s="234"/>
      <c r="L1819" s="307"/>
      <c r="M1819" s="272"/>
      <c r="N1819" s="253"/>
      <c r="O1819" s="256"/>
      <c r="P1819" s="256"/>
      <c r="Q1819" s="256"/>
      <c r="R1819" s="256"/>
      <c r="S1819" s="234"/>
      <c r="T1819" s="258"/>
    </row>
    <row r="1820" spans="2:20" ht="22.5" customHeight="1" x14ac:dyDescent="0.25">
      <c r="B1820" s="267"/>
      <c r="C1820" s="234"/>
      <c r="D1820" s="234"/>
      <c r="E1820" s="268"/>
      <c r="F1820" s="269"/>
      <c r="G1820" s="258"/>
      <c r="H1820" s="270"/>
      <c r="I1820" s="271"/>
      <c r="J1820" s="271"/>
      <c r="K1820" s="234"/>
      <c r="L1820" s="307"/>
      <c r="M1820" s="272"/>
      <c r="N1820" s="253"/>
      <c r="O1820" s="256"/>
      <c r="P1820" s="256"/>
      <c r="Q1820" s="256"/>
      <c r="R1820" s="256"/>
      <c r="S1820" s="234"/>
      <c r="T1820" s="258"/>
    </row>
    <row r="1821" spans="2:20" ht="22.5" customHeight="1" x14ac:dyDescent="0.25">
      <c r="B1821" s="267"/>
      <c r="C1821" s="234"/>
      <c r="D1821" s="234"/>
      <c r="E1821" s="268"/>
      <c r="F1821" s="269"/>
      <c r="G1821" s="258"/>
      <c r="H1821" s="270"/>
      <c r="I1821" s="271"/>
      <c r="J1821" s="271"/>
      <c r="K1821" s="234"/>
      <c r="L1821" s="307"/>
      <c r="M1821" s="272"/>
      <c r="N1821" s="253"/>
      <c r="O1821" s="256"/>
      <c r="P1821" s="256"/>
      <c r="Q1821" s="256"/>
      <c r="R1821" s="256"/>
      <c r="S1821" s="234"/>
      <c r="T1821" s="258"/>
    </row>
    <row r="1822" spans="2:20" ht="22.5" customHeight="1" x14ac:dyDescent="0.25">
      <c r="B1822" s="267"/>
      <c r="C1822" s="234"/>
      <c r="D1822" s="234"/>
      <c r="E1822" s="268"/>
      <c r="F1822" s="269"/>
      <c r="G1822" s="258"/>
      <c r="H1822" s="270"/>
      <c r="I1822" s="271"/>
      <c r="J1822" s="271"/>
      <c r="K1822" s="234"/>
      <c r="L1822" s="307"/>
      <c r="M1822" s="272"/>
      <c r="N1822" s="253"/>
      <c r="O1822" s="256"/>
      <c r="P1822" s="256"/>
      <c r="Q1822" s="256"/>
      <c r="R1822" s="256"/>
      <c r="S1822" s="234"/>
      <c r="T1822" s="258"/>
    </row>
    <row r="1823" spans="2:20" ht="22.5" customHeight="1" x14ac:dyDescent="0.25">
      <c r="B1823" s="267"/>
      <c r="C1823" s="234"/>
      <c r="D1823" s="234"/>
      <c r="E1823" s="268"/>
      <c r="F1823" s="269"/>
      <c r="G1823" s="258"/>
      <c r="H1823" s="270"/>
      <c r="I1823" s="271"/>
      <c r="J1823" s="271"/>
      <c r="K1823" s="234"/>
      <c r="L1823" s="307"/>
      <c r="M1823" s="272"/>
      <c r="N1823" s="253"/>
      <c r="O1823" s="256"/>
      <c r="P1823" s="256"/>
      <c r="Q1823" s="256"/>
      <c r="R1823" s="256"/>
      <c r="S1823" s="234"/>
      <c r="T1823" s="258"/>
    </row>
    <row r="1824" spans="2:20" ht="22.5" customHeight="1" x14ac:dyDescent="0.25">
      <c r="B1824" s="267"/>
      <c r="C1824" s="234"/>
      <c r="D1824" s="234"/>
      <c r="E1824" s="268"/>
      <c r="F1824" s="269"/>
      <c r="G1824" s="258"/>
      <c r="H1824" s="270"/>
      <c r="I1824" s="271"/>
      <c r="J1824" s="271"/>
      <c r="K1824" s="234"/>
      <c r="L1824" s="307"/>
      <c r="M1824" s="272"/>
      <c r="N1824" s="253"/>
      <c r="O1824" s="256"/>
      <c r="P1824" s="256"/>
      <c r="Q1824" s="256"/>
      <c r="R1824" s="256"/>
      <c r="S1824" s="234"/>
      <c r="T1824" s="258"/>
    </row>
    <row r="1825" spans="2:20" ht="22.5" customHeight="1" x14ac:dyDescent="0.25">
      <c r="B1825" s="267"/>
      <c r="C1825" s="234"/>
      <c r="D1825" s="234"/>
      <c r="E1825" s="268"/>
      <c r="F1825" s="269"/>
      <c r="G1825" s="258"/>
      <c r="H1825" s="270"/>
      <c r="I1825" s="271"/>
      <c r="J1825" s="271"/>
      <c r="K1825" s="234"/>
      <c r="L1825" s="307"/>
      <c r="M1825" s="272"/>
      <c r="N1825" s="253"/>
      <c r="O1825" s="256"/>
      <c r="P1825" s="256"/>
      <c r="Q1825" s="256"/>
      <c r="R1825" s="256"/>
      <c r="S1825" s="234"/>
      <c r="T1825" s="258"/>
    </row>
    <row r="1826" spans="2:20" ht="22.5" customHeight="1" x14ac:dyDescent="0.25">
      <c r="B1826" s="267"/>
      <c r="C1826" s="234"/>
      <c r="D1826" s="234"/>
      <c r="E1826" s="268"/>
      <c r="F1826" s="269"/>
      <c r="G1826" s="258"/>
      <c r="H1826" s="270"/>
      <c r="I1826" s="271"/>
      <c r="J1826" s="271"/>
      <c r="K1826" s="234"/>
      <c r="L1826" s="307"/>
      <c r="M1826" s="272"/>
      <c r="N1826" s="253"/>
      <c r="O1826" s="256"/>
      <c r="P1826" s="256"/>
      <c r="Q1826" s="256"/>
      <c r="R1826" s="256"/>
      <c r="S1826" s="234"/>
      <c r="T1826" s="258"/>
    </row>
    <row r="1827" spans="2:20" ht="22.5" customHeight="1" x14ac:dyDescent="0.25">
      <c r="B1827" s="267"/>
      <c r="C1827" s="234"/>
      <c r="D1827" s="234"/>
      <c r="E1827" s="268"/>
      <c r="F1827" s="269"/>
      <c r="G1827" s="258"/>
      <c r="H1827" s="270"/>
      <c r="I1827" s="271"/>
      <c r="J1827" s="271"/>
      <c r="K1827" s="234"/>
      <c r="L1827" s="307"/>
      <c r="M1827" s="272"/>
      <c r="N1827" s="253"/>
      <c r="O1827" s="256"/>
      <c r="P1827" s="256"/>
      <c r="Q1827" s="256"/>
      <c r="R1827" s="256"/>
      <c r="S1827" s="234"/>
      <c r="T1827" s="258"/>
    </row>
    <row r="1828" spans="2:20" ht="22.5" customHeight="1" x14ac:dyDescent="0.25">
      <c r="B1828" s="267"/>
      <c r="C1828" s="234"/>
      <c r="D1828" s="234"/>
      <c r="E1828" s="268"/>
      <c r="F1828" s="269"/>
      <c r="G1828" s="258"/>
      <c r="H1828" s="270"/>
      <c r="I1828" s="271"/>
      <c r="J1828" s="271"/>
      <c r="K1828" s="234"/>
      <c r="L1828" s="307"/>
      <c r="M1828" s="272"/>
      <c r="N1828" s="253"/>
      <c r="O1828" s="256"/>
      <c r="P1828" s="256"/>
      <c r="Q1828" s="256"/>
      <c r="R1828" s="256"/>
      <c r="S1828" s="234"/>
      <c r="T1828" s="258"/>
    </row>
    <row r="1829" spans="2:20" ht="22.5" customHeight="1" x14ac:dyDescent="0.25">
      <c r="B1829" s="267"/>
      <c r="C1829" s="234"/>
      <c r="D1829" s="234"/>
      <c r="E1829" s="268"/>
      <c r="F1829" s="269"/>
      <c r="G1829" s="258"/>
      <c r="H1829" s="270"/>
      <c r="I1829" s="271"/>
      <c r="J1829" s="271"/>
      <c r="K1829" s="234"/>
      <c r="L1829" s="307"/>
      <c r="M1829" s="272"/>
      <c r="N1829" s="253"/>
      <c r="O1829" s="256"/>
      <c r="P1829" s="256"/>
      <c r="Q1829" s="256"/>
      <c r="R1829" s="256"/>
      <c r="S1829" s="234"/>
      <c r="T1829" s="258"/>
    </row>
    <row r="1830" spans="2:20" ht="22.5" customHeight="1" x14ac:dyDescent="0.25">
      <c r="B1830" s="267"/>
      <c r="C1830" s="234"/>
      <c r="D1830" s="234"/>
      <c r="E1830" s="268"/>
      <c r="F1830" s="269"/>
      <c r="G1830" s="258"/>
      <c r="H1830" s="270"/>
      <c r="I1830" s="271"/>
      <c r="J1830" s="271"/>
      <c r="K1830" s="234"/>
      <c r="L1830" s="307"/>
      <c r="M1830" s="272"/>
      <c r="N1830" s="253"/>
      <c r="O1830" s="256"/>
      <c r="P1830" s="256"/>
      <c r="Q1830" s="256"/>
      <c r="R1830" s="256"/>
      <c r="S1830" s="234"/>
      <c r="T1830" s="258"/>
    </row>
    <row r="1831" spans="2:20" ht="22.5" customHeight="1" x14ac:dyDescent="0.25">
      <c r="B1831" s="267"/>
      <c r="C1831" s="234"/>
      <c r="D1831" s="234"/>
      <c r="E1831" s="268"/>
      <c r="F1831" s="269"/>
      <c r="G1831" s="258"/>
      <c r="H1831" s="270"/>
      <c r="I1831" s="271"/>
      <c r="J1831" s="271"/>
      <c r="K1831" s="234"/>
      <c r="L1831" s="307"/>
      <c r="M1831" s="272"/>
      <c r="N1831" s="253"/>
      <c r="O1831" s="256"/>
      <c r="P1831" s="256"/>
      <c r="Q1831" s="256"/>
      <c r="R1831" s="256"/>
      <c r="S1831" s="234"/>
      <c r="T1831" s="258"/>
    </row>
    <row r="1832" spans="2:20" ht="22.5" customHeight="1" x14ac:dyDescent="0.25">
      <c r="B1832" s="267"/>
      <c r="C1832" s="234"/>
      <c r="D1832" s="234"/>
      <c r="E1832" s="268"/>
      <c r="F1832" s="269"/>
      <c r="G1832" s="258"/>
      <c r="H1832" s="270"/>
      <c r="I1832" s="271"/>
      <c r="J1832" s="271"/>
      <c r="K1832" s="234"/>
      <c r="L1832" s="307"/>
      <c r="M1832" s="272"/>
      <c r="N1832" s="253"/>
      <c r="O1832" s="256"/>
      <c r="P1832" s="256"/>
      <c r="Q1832" s="256"/>
      <c r="R1832" s="256"/>
      <c r="S1832" s="234"/>
      <c r="T1832" s="258"/>
    </row>
    <row r="1833" spans="2:20" ht="22.5" customHeight="1" x14ac:dyDescent="0.25">
      <c r="B1833" s="267"/>
      <c r="C1833" s="234"/>
      <c r="D1833" s="234"/>
      <c r="E1833" s="268"/>
      <c r="F1833" s="269"/>
      <c r="G1833" s="258"/>
      <c r="H1833" s="270"/>
      <c r="I1833" s="271"/>
      <c r="J1833" s="271"/>
      <c r="K1833" s="234"/>
      <c r="L1833" s="307"/>
      <c r="M1833" s="272"/>
      <c r="N1833" s="253"/>
      <c r="O1833" s="256"/>
      <c r="P1833" s="256"/>
      <c r="Q1833" s="256"/>
      <c r="R1833" s="256"/>
      <c r="S1833" s="234"/>
      <c r="T1833" s="258"/>
    </row>
    <row r="1834" spans="2:20" ht="22.5" customHeight="1" x14ac:dyDescent="0.25">
      <c r="B1834" s="267"/>
      <c r="C1834" s="234"/>
      <c r="D1834" s="234"/>
      <c r="E1834" s="268"/>
      <c r="F1834" s="269"/>
      <c r="G1834" s="258"/>
      <c r="H1834" s="270"/>
      <c r="I1834" s="271"/>
      <c r="J1834" s="271"/>
      <c r="K1834" s="234"/>
      <c r="L1834" s="307"/>
      <c r="M1834" s="272"/>
      <c r="N1834" s="253"/>
      <c r="O1834" s="256"/>
      <c r="P1834" s="256"/>
      <c r="Q1834" s="256"/>
      <c r="R1834" s="256"/>
      <c r="S1834" s="234"/>
      <c r="T1834" s="258"/>
    </row>
    <row r="1835" spans="2:20" ht="22.5" customHeight="1" x14ac:dyDescent="0.25">
      <c r="B1835" s="267"/>
      <c r="C1835" s="234"/>
      <c r="D1835" s="234"/>
      <c r="E1835" s="268"/>
      <c r="F1835" s="269"/>
      <c r="G1835" s="258"/>
      <c r="H1835" s="270"/>
      <c r="I1835" s="271"/>
      <c r="J1835" s="271"/>
      <c r="K1835" s="234"/>
      <c r="L1835" s="307"/>
      <c r="M1835" s="272"/>
      <c r="N1835" s="253"/>
      <c r="O1835" s="256"/>
      <c r="P1835" s="256"/>
      <c r="Q1835" s="256"/>
      <c r="R1835" s="256"/>
      <c r="S1835" s="234"/>
      <c r="T1835" s="258"/>
    </row>
    <row r="1836" spans="2:20" ht="22.5" customHeight="1" x14ac:dyDescent="0.25">
      <c r="B1836" s="267"/>
      <c r="C1836" s="234"/>
      <c r="D1836" s="234"/>
      <c r="E1836" s="268"/>
      <c r="F1836" s="269"/>
      <c r="G1836" s="258"/>
      <c r="H1836" s="270"/>
      <c r="I1836" s="271"/>
      <c r="J1836" s="271"/>
      <c r="K1836" s="234"/>
      <c r="L1836" s="307"/>
      <c r="M1836" s="272"/>
      <c r="N1836" s="253"/>
      <c r="O1836" s="256"/>
      <c r="P1836" s="256"/>
      <c r="Q1836" s="256"/>
      <c r="R1836" s="256"/>
      <c r="S1836" s="234"/>
      <c r="T1836" s="258"/>
    </row>
    <row r="1837" spans="2:20" ht="22.5" customHeight="1" x14ac:dyDescent="0.25">
      <c r="B1837" s="267"/>
      <c r="C1837" s="234"/>
      <c r="D1837" s="234"/>
      <c r="E1837" s="268"/>
      <c r="F1837" s="269"/>
      <c r="G1837" s="258"/>
      <c r="H1837" s="270"/>
      <c r="I1837" s="271"/>
      <c r="J1837" s="271"/>
      <c r="K1837" s="234"/>
      <c r="L1837" s="307"/>
      <c r="M1837" s="272"/>
      <c r="N1837" s="253"/>
      <c r="O1837" s="256"/>
      <c r="P1837" s="256"/>
      <c r="Q1837" s="256"/>
      <c r="R1837" s="256"/>
      <c r="S1837" s="234"/>
      <c r="T1837" s="258"/>
    </row>
    <row r="1838" spans="2:20" ht="22.5" customHeight="1" x14ac:dyDescent="0.25">
      <c r="B1838" s="267"/>
      <c r="C1838" s="234"/>
      <c r="D1838" s="234"/>
      <c r="E1838" s="268"/>
      <c r="F1838" s="269"/>
      <c r="G1838" s="258"/>
      <c r="H1838" s="270"/>
      <c r="I1838" s="271"/>
      <c r="J1838" s="271"/>
      <c r="K1838" s="234"/>
      <c r="L1838" s="307"/>
      <c r="M1838" s="272"/>
      <c r="N1838" s="253"/>
      <c r="O1838" s="256"/>
      <c r="P1838" s="256"/>
      <c r="Q1838" s="256"/>
      <c r="R1838" s="256"/>
      <c r="S1838" s="234"/>
      <c r="T1838" s="258"/>
    </row>
    <row r="1839" spans="2:20" ht="22.5" customHeight="1" x14ac:dyDescent="0.25">
      <c r="B1839" s="267"/>
      <c r="C1839" s="234"/>
      <c r="D1839" s="234"/>
      <c r="E1839" s="268"/>
      <c r="F1839" s="269"/>
      <c r="G1839" s="258"/>
      <c r="H1839" s="270"/>
      <c r="I1839" s="271"/>
      <c r="J1839" s="271"/>
      <c r="K1839" s="234"/>
      <c r="L1839" s="307"/>
      <c r="M1839" s="272"/>
      <c r="N1839" s="253"/>
      <c r="O1839" s="256"/>
      <c r="P1839" s="256"/>
      <c r="Q1839" s="256"/>
      <c r="R1839" s="256"/>
      <c r="S1839" s="234"/>
      <c r="T1839" s="258"/>
    </row>
    <row r="1840" spans="2:20" ht="22.5" customHeight="1" x14ac:dyDescent="0.25">
      <c r="B1840" s="267"/>
      <c r="C1840" s="234"/>
      <c r="D1840" s="234"/>
      <c r="E1840" s="268"/>
      <c r="F1840" s="269"/>
      <c r="G1840" s="258"/>
      <c r="H1840" s="270"/>
      <c r="I1840" s="271"/>
      <c r="J1840" s="271"/>
      <c r="K1840" s="234"/>
      <c r="L1840" s="307"/>
      <c r="M1840" s="272"/>
      <c r="N1840" s="253"/>
      <c r="O1840" s="256"/>
      <c r="P1840" s="256"/>
      <c r="Q1840" s="256"/>
      <c r="R1840" s="256"/>
      <c r="S1840" s="234"/>
      <c r="T1840" s="258"/>
    </row>
    <row r="1841" spans="2:20" ht="22.5" customHeight="1" x14ac:dyDescent="0.25">
      <c r="B1841" s="267"/>
      <c r="C1841" s="234"/>
      <c r="D1841" s="234"/>
      <c r="E1841" s="268"/>
      <c r="F1841" s="269"/>
      <c r="G1841" s="258"/>
      <c r="H1841" s="270"/>
      <c r="I1841" s="271"/>
      <c r="J1841" s="271"/>
      <c r="K1841" s="234"/>
      <c r="L1841" s="307"/>
      <c r="M1841" s="272"/>
      <c r="N1841" s="253"/>
      <c r="O1841" s="256"/>
      <c r="P1841" s="256"/>
      <c r="Q1841" s="256"/>
      <c r="R1841" s="256"/>
      <c r="S1841" s="234"/>
      <c r="T1841" s="258"/>
    </row>
    <row r="1842" spans="2:20" ht="22.5" customHeight="1" x14ac:dyDescent="0.25">
      <c r="B1842" s="267"/>
      <c r="C1842" s="234"/>
      <c r="D1842" s="234"/>
      <c r="E1842" s="268"/>
      <c r="F1842" s="269"/>
      <c r="G1842" s="258"/>
      <c r="H1842" s="270"/>
      <c r="I1842" s="271"/>
      <c r="J1842" s="271"/>
      <c r="K1842" s="234"/>
      <c r="L1842" s="307"/>
      <c r="M1842" s="272"/>
      <c r="N1842" s="253"/>
      <c r="O1842" s="256"/>
      <c r="P1842" s="256"/>
      <c r="Q1842" s="256"/>
      <c r="R1842" s="256"/>
      <c r="S1842" s="234"/>
      <c r="T1842" s="258"/>
    </row>
    <row r="1843" spans="2:20" ht="22.5" customHeight="1" x14ac:dyDescent="0.25">
      <c r="B1843" s="267"/>
      <c r="C1843" s="234"/>
      <c r="D1843" s="234"/>
      <c r="E1843" s="268"/>
      <c r="F1843" s="269"/>
      <c r="G1843" s="258"/>
      <c r="H1843" s="270"/>
      <c r="I1843" s="271"/>
      <c r="J1843" s="271"/>
      <c r="K1843" s="234"/>
      <c r="L1843" s="307"/>
      <c r="M1843" s="272"/>
      <c r="N1843" s="253"/>
      <c r="O1843" s="256"/>
      <c r="P1843" s="256"/>
      <c r="Q1843" s="256"/>
      <c r="R1843" s="256"/>
      <c r="S1843" s="234"/>
      <c r="T1843" s="258"/>
    </row>
    <row r="1844" spans="2:20" ht="22.5" customHeight="1" x14ac:dyDescent="0.25">
      <c r="B1844" s="267"/>
      <c r="C1844" s="234"/>
      <c r="D1844" s="234"/>
      <c r="E1844" s="268"/>
      <c r="F1844" s="269"/>
      <c r="G1844" s="258"/>
      <c r="H1844" s="270"/>
      <c r="I1844" s="271"/>
      <c r="J1844" s="271"/>
      <c r="K1844" s="234"/>
      <c r="L1844" s="307"/>
      <c r="M1844" s="272"/>
      <c r="N1844" s="253"/>
      <c r="O1844" s="256"/>
      <c r="P1844" s="256"/>
      <c r="Q1844" s="256"/>
      <c r="R1844" s="256"/>
      <c r="S1844" s="234"/>
      <c r="T1844" s="258"/>
    </row>
    <row r="1845" spans="2:20" ht="22.5" customHeight="1" x14ac:dyDescent="0.25">
      <c r="B1845" s="267"/>
      <c r="C1845" s="234"/>
      <c r="D1845" s="234"/>
      <c r="E1845" s="268"/>
      <c r="F1845" s="269"/>
      <c r="G1845" s="258"/>
      <c r="H1845" s="270"/>
      <c r="I1845" s="271"/>
      <c r="J1845" s="271"/>
      <c r="K1845" s="234"/>
      <c r="L1845" s="307"/>
      <c r="M1845" s="272"/>
      <c r="N1845" s="253"/>
      <c r="O1845" s="256"/>
      <c r="P1845" s="256"/>
      <c r="Q1845" s="256"/>
      <c r="R1845" s="256"/>
      <c r="S1845" s="234"/>
      <c r="T1845" s="258"/>
    </row>
    <row r="1846" spans="2:20" ht="22.5" customHeight="1" x14ac:dyDescent="0.25">
      <c r="B1846" s="267"/>
      <c r="C1846" s="234"/>
      <c r="D1846" s="234"/>
      <c r="E1846" s="268"/>
      <c r="F1846" s="269"/>
      <c r="G1846" s="258"/>
      <c r="H1846" s="270"/>
      <c r="I1846" s="271"/>
      <c r="J1846" s="271"/>
      <c r="K1846" s="234"/>
      <c r="L1846" s="307"/>
      <c r="M1846" s="272"/>
      <c r="N1846" s="253"/>
      <c r="O1846" s="256"/>
      <c r="P1846" s="256"/>
      <c r="Q1846" s="256"/>
      <c r="R1846" s="256"/>
      <c r="S1846" s="234"/>
      <c r="T1846" s="258"/>
    </row>
    <row r="1847" spans="2:20" ht="22.5" customHeight="1" x14ac:dyDescent="0.25">
      <c r="B1847" s="267"/>
      <c r="C1847" s="234"/>
      <c r="D1847" s="234"/>
      <c r="E1847" s="268"/>
      <c r="F1847" s="269"/>
      <c r="G1847" s="258"/>
      <c r="H1847" s="270"/>
      <c r="I1847" s="271"/>
      <c r="J1847" s="271"/>
      <c r="K1847" s="234"/>
      <c r="L1847" s="307"/>
      <c r="M1847" s="272"/>
      <c r="N1847" s="253"/>
      <c r="O1847" s="256"/>
      <c r="P1847" s="256"/>
      <c r="Q1847" s="256"/>
      <c r="R1847" s="256"/>
      <c r="S1847" s="234"/>
      <c r="T1847" s="258"/>
    </row>
    <row r="1848" spans="2:20" ht="22.5" customHeight="1" x14ac:dyDescent="0.25">
      <c r="B1848" s="267"/>
      <c r="C1848" s="234"/>
      <c r="D1848" s="234"/>
      <c r="E1848" s="268"/>
      <c r="F1848" s="269"/>
      <c r="G1848" s="258"/>
      <c r="H1848" s="270"/>
      <c r="I1848" s="271"/>
      <c r="J1848" s="271"/>
      <c r="K1848" s="234"/>
      <c r="L1848" s="307"/>
      <c r="M1848" s="272"/>
      <c r="N1848" s="253"/>
      <c r="O1848" s="256"/>
      <c r="P1848" s="256"/>
      <c r="Q1848" s="256"/>
      <c r="R1848" s="256"/>
      <c r="S1848" s="234"/>
      <c r="T1848" s="258"/>
    </row>
    <row r="1849" spans="2:20" ht="22.5" customHeight="1" x14ac:dyDescent="0.25">
      <c r="B1849" s="267"/>
      <c r="C1849" s="234"/>
      <c r="D1849" s="234"/>
      <c r="E1849" s="268"/>
      <c r="F1849" s="269"/>
      <c r="G1849" s="258"/>
      <c r="H1849" s="270"/>
      <c r="I1849" s="271"/>
      <c r="J1849" s="271"/>
      <c r="K1849" s="234"/>
      <c r="L1849" s="307"/>
      <c r="M1849" s="272"/>
      <c r="N1849" s="253"/>
      <c r="O1849" s="256"/>
      <c r="P1849" s="256"/>
      <c r="Q1849" s="256"/>
      <c r="R1849" s="256"/>
      <c r="S1849" s="234"/>
      <c r="T1849" s="258"/>
    </row>
    <row r="1850" spans="2:20" ht="22.5" customHeight="1" x14ac:dyDescent="0.25">
      <c r="B1850" s="267"/>
      <c r="C1850" s="234"/>
      <c r="D1850" s="234"/>
      <c r="E1850" s="268"/>
      <c r="F1850" s="269"/>
      <c r="G1850" s="258"/>
      <c r="H1850" s="270"/>
      <c r="I1850" s="271"/>
      <c r="J1850" s="271"/>
      <c r="K1850" s="234"/>
      <c r="L1850" s="307"/>
      <c r="M1850" s="272"/>
      <c r="N1850" s="253"/>
      <c r="O1850" s="256"/>
      <c r="P1850" s="256"/>
      <c r="Q1850" s="256"/>
      <c r="R1850" s="256"/>
      <c r="S1850" s="234"/>
      <c r="T1850" s="258"/>
    </row>
    <row r="1851" spans="2:20" ht="22.5" customHeight="1" x14ac:dyDescent="0.25">
      <c r="B1851" s="267"/>
      <c r="C1851" s="234"/>
      <c r="D1851" s="234"/>
      <c r="E1851" s="268"/>
      <c r="F1851" s="269"/>
      <c r="G1851" s="258"/>
      <c r="H1851" s="270"/>
      <c r="I1851" s="271"/>
      <c r="J1851" s="271"/>
      <c r="K1851" s="234"/>
      <c r="L1851" s="307"/>
      <c r="M1851" s="272"/>
      <c r="N1851" s="253"/>
      <c r="O1851" s="256"/>
      <c r="P1851" s="256"/>
      <c r="Q1851" s="256"/>
      <c r="R1851" s="256"/>
      <c r="S1851" s="234"/>
      <c r="T1851" s="258"/>
    </row>
    <row r="1852" spans="2:20" ht="22.5" customHeight="1" x14ac:dyDescent="0.25">
      <c r="B1852" s="267"/>
      <c r="C1852" s="234"/>
      <c r="D1852" s="234"/>
      <c r="E1852" s="268"/>
      <c r="F1852" s="269"/>
      <c r="G1852" s="258"/>
      <c r="H1852" s="270"/>
      <c r="I1852" s="271"/>
      <c r="J1852" s="271"/>
      <c r="K1852" s="234"/>
      <c r="L1852" s="307"/>
      <c r="M1852" s="272"/>
      <c r="N1852" s="253"/>
      <c r="O1852" s="256"/>
      <c r="P1852" s="256"/>
      <c r="Q1852" s="256"/>
      <c r="R1852" s="256"/>
      <c r="S1852" s="234"/>
      <c r="T1852" s="258"/>
    </row>
    <row r="1853" spans="2:20" ht="22.5" customHeight="1" x14ac:dyDescent="0.25">
      <c r="B1853" s="267"/>
      <c r="C1853" s="234"/>
      <c r="D1853" s="234"/>
      <c r="E1853" s="268"/>
      <c r="F1853" s="269"/>
      <c r="G1853" s="258"/>
      <c r="H1853" s="270"/>
      <c r="I1853" s="271"/>
      <c r="J1853" s="271"/>
      <c r="K1853" s="234"/>
      <c r="L1853" s="307"/>
      <c r="M1853" s="272"/>
      <c r="N1853" s="253"/>
      <c r="O1853" s="256"/>
      <c r="P1853" s="256"/>
      <c r="Q1853" s="256"/>
      <c r="R1853" s="256"/>
      <c r="S1853" s="234"/>
      <c r="T1853" s="258"/>
    </row>
    <row r="1854" spans="2:20" ht="22.5" customHeight="1" x14ac:dyDescent="0.25">
      <c r="B1854" s="267"/>
      <c r="C1854" s="234"/>
      <c r="D1854" s="234"/>
      <c r="E1854" s="268"/>
      <c r="F1854" s="269"/>
      <c r="G1854" s="258"/>
      <c r="H1854" s="270"/>
      <c r="I1854" s="271"/>
      <c r="J1854" s="271"/>
      <c r="K1854" s="234"/>
      <c r="L1854" s="307"/>
      <c r="M1854" s="272"/>
      <c r="N1854" s="253"/>
      <c r="O1854" s="256"/>
      <c r="P1854" s="256"/>
      <c r="Q1854" s="256"/>
      <c r="R1854" s="256"/>
      <c r="S1854" s="234"/>
      <c r="T1854" s="258"/>
    </row>
    <row r="1855" spans="2:20" ht="22.5" customHeight="1" x14ac:dyDescent="0.25">
      <c r="B1855" s="267"/>
      <c r="C1855" s="234"/>
      <c r="D1855" s="234"/>
      <c r="E1855" s="268"/>
      <c r="F1855" s="269"/>
      <c r="G1855" s="258"/>
      <c r="H1855" s="270"/>
      <c r="I1855" s="271"/>
      <c r="J1855" s="271"/>
      <c r="K1855" s="234"/>
      <c r="L1855" s="307"/>
      <c r="M1855" s="272"/>
      <c r="N1855" s="253"/>
      <c r="O1855" s="256"/>
      <c r="P1855" s="256"/>
      <c r="Q1855" s="256"/>
      <c r="R1855" s="256"/>
      <c r="S1855" s="234"/>
      <c r="T1855" s="258"/>
    </row>
    <row r="1856" spans="2:20" ht="22.5" customHeight="1" x14ac:dyDescent="0.25">
      <c r="B1856" s="267"/>
      <c r="C1856" s="234"/>
      <c r="D1856" s="234"/>
      <c r="E1856" s="268"/>
      <c r="F1856" s="269"/>
      <c r="G1856" s="258"/>
      <c r="H1856" s="270"/>
      <c r="I1856" s="271"/>
      <c r="J1856" s="271"/>
      <c r="K1856" s="234"/>
      <c r="L1856" s="307"/>
      <c r="M1856" s="272"/>
      <c r="N1856" s="253"/>
      <c r="O1856" s="256"/>
      <c r="P1856" s="256"/>
      <c r="Q1856" s="256"/>
      <c r="R1856" s="256"/>
      <c r="S1856" s="234"/>
      <c r="T1856" s="258"/>
    </row>
    <row r="1857" spans="2:20" ht="22.5" customHeight="1" x14ac:dyDescent="0.25">
      <c r="B1857" s="267"/>
      <c r="C1857" s="234"/>
      <c r="D1857" s="234"/>
      <c r="E1857" s="268"/>
      <c r="F1857" s="269"/>
      <c r="G1857" s="258"/>
      <c r="H1857" s="270"/>
      <c r="I1857" s="271"/>
      <c r="J1857" s="271"/>
      <c r="K1857" s="234"/>
      <c r="L1857" s="307"/>
      <c r="M1857" s="272"/>
      <c r="N1857" s="253"/>
      <c r="O1857" s="256"/>
      <c r="P1857" s="256"/>
      <c r="Q1857" s="256"/>
      <c r="R1857" s="256"/>
      <c r="S1857" s="234"/>
      <c r="T1857" s="258"/>
    </row>
    <row r="1858" spans="2:20" ht="22.5" customHeight="1" x14ac:dyDescent="0.25">
      <c r="B1858" s="267"/>
      <c r="C1858" s="234"/>
      <c r="D1858" s="234"/>
      <c r="E1858" s="268"/>
      <c r="F1858" s="269"/>
      <c r="G1858" s="258"/>
      <c r="H1858" s="270"/>
      <c r="I1858" s="271"/>
      <c r="J1858" s="271"/>
      <c r="K1858" s="234"/>
      <c r="L1858" s="307"/>
      <c r="M1858" s="272"/>
      <c r="N1858" s="253"/>
      <c r="O1858" s="256"/>
      <c r="P1858" s="256"/>
      <c r="Q1858" s="256"/>
      <c r="R1858" s="256"/>
      <c r="S1858" s="234"/>
      <c r="T1858" s="258"/>
    </row>
    <row r="1859" spans="2:20" ht="22.5" customHeight="1" x14ac:dyDescent="0.25">
      <c r="B1859" s="267"/>
      <c r="C1859" s="234"/>
      <c r="D1859" s="234"/>
      <c r="E1859" s="268"/>
      <c r="F1859" s="269"/>
      <c r="G1859" s="258"/>
      <c r="H1859" s="270"/>
      <c r="I1859" s="271"/>
      <c r="J1859" s="271"/>
      <c r="K1859" s="234"/>
      <c r="L1859" s="307"/>
      <c r="M1859" s="272"/>
      <c r="N1859" s="253"/>
      <c r="O1859" s="256"/>
      <c r="P1859" s="256"/>
      <c r="Q1859" s="256"/>
      <c r="R1859" s="256"/>
      <c r="S1859" s="234"/>
      <c r="T1859" s="258"/>
    </row>
    <row r="1860" spans="2:20" ht="22.5" customHeight="1" x14ac:dyDescent="0.25">
      <c r="B1860" s="267"/>
      <c r="C1860" s="234"/>
      <c r="D1860" s="234"/>
      <c r="E1860" s="268"/>
      <c r="F1860" s="269"/>
      <c r="G1860" s="258"/>
      <c r="H1860" s="270"/>
      <c r="I1860" s="271"/>
      <c r="J1860" s="271"/>
      <c r="K1860" s="234"/>
      <c r="L1860" s="307"/>
      <c r="M1860" s="272"/>
      <c r="N1860" s="253"/>
      <c r="O1860" s="256"/>
      <c r="P1860" s="256"/>
      <c r="Q1860" s="256"/>
      <c r="R1860" s="256"/>
      <c r="S1860" s="234"/>
      <c r="T1860" s="258"/>
    </row>
    <row r="1861" spans="2:20" ht="22.5" customHeight="1" x14ac:dyDescent="0.25">
      <c r="B1861" s="267"/>
      <c r="C1861" s="234"/>
      <c r="D1861" s="234"/>
      <c r="E1861" s="268"/>
      <c r="F1861" s="269"/>
      <c r="G1861" s="258"/>
      <c r="H1861" s="270"/>
      <c r="I1861" s="271"/>
      <c r="J1861" s="271"/>
      <c r="K1861" s="234"/>
      <c r="L1861" s="307"/>
      <c r="M1861" s="272"/>
      <c r="N1861" s="253"/>
      <c r="O1861" s="256"/>
      <c r="P1861" s="256"/>
      <c r="Q1861" s="256"/>
      <c r="R1861" s="256"/>
      <c r="S1861" s="234"/>
      <c r="T1861" s="258"/>
    </row>
    <row r="1862" spans="2:20" ht="22.5" customHeight="1" x14ac:dyDescent="0.25">
      <c r="B1862" s="267"/>
      <c r="C1862" s="234"/>
      <c r="D1862" s="234"/>
      <c r="E1862" s="268"/>
      <c r="F1862" s="269"/>
      <c r="G1862" s="258"/>
      <c r="H1862" s="270"/>
      <c r="I1862" s="271"/>
      <c r="J1862" s="271"/>
      <c r="K1862" s="234"/>
      <c r="L1862" s="307"/>
      <c r="M1862" s="272"/>
      <c r="N1862" s="253"/>
      <c r="O1862" s="256"/>
      <c r="P1862" s="256"/>
      <c r="Q1862" s="256"/>
      <c r="R1862" s="256"/>
      <c r="S1862" s="234"/>
      <c r="T1862" s="258"/>
    </row>
    <row r="1863" spans="2:20" ht="22.5" customHeight="1" x14ac:dyDescent="0.25">
      <c r="B1863" s="267"/>
      <c r="C1863" s="234"/>
      <c r="D1863" s="234"/>
      <c r="E1863" s="268"/>
      <c r="F1863" s="269"/>
      <c r="G1863" s="258"/>
      <c r="H1863" s="270"/>
      <c r="I1863" s="271"/>
      <c r="J1863" s="271"/>
      <c r="K1863" s="234"/>
      <c r="L1863" s="307"/>
      <c r="M1863" s="272"/>
      <c r="N1863" s="253"/>
      <c r="O1863" s="256"/>
      <c r="P1863" s="256"/>
      <c r="Q1863" s="256"/>
      <c r="R1863" s="256"/>
      <c r="S1863" s="234"/>
      <c r="T1863" s="258"/>
    </row>
    <row r="1864" spans="2:20" ht="22.5" customHeight="1" x14ac:dyDescent="0.25">
      <c r="B1864" s="267"/>
      <c r="C1864" s="234"/>
      <c r="D1864" s="234"/>
      <c r="E1864" s="268"/>
      <c r="F1864" s="269"/>
      <c r="G1864" s="258"/>
      <c r="H1864" s="270"/>
      <c r="I1864" s="271"/>
      <c r="J1864" s="271"/>
      <c r="K1864" s="234"/>
      <c r="L1864" s="307"/>
      <c r="M1864" s="272"/>
      <c r="N1864" s="253"/>
      <c r="O1864" s="256"/>
      <c r="P1864" s="256"/>
      <c r="Q1864" s="256"/>
      <c r="R1864" s="256"/>
      <c r="S1864" s="234"/>
      <c r="T1864" s="258"/>
    </row>
    <row r="1865" spans="2:20" ht="22.5" customHeight="1" x14ac:dyDescent="0.25">
      <c r="B1865" s="267"/>
      <c r="C1865" s="234"/>
      <c r="D1865" s="234"/>
      <c r="E1865" s="268"/>
      <c r="F1865" s="269"/>
      <c r="G1865" s="258"/>
      <c r="H1865" s="270"/>
      <c r="I1865" s="271"/>
      <c r="J1865" s="271"/>
      <c r="K1865" s="234"/>
      <c r="L1865" s="307"/>
      <c r="M1865" s="272"/>
      <c r="N1865" s="253"/>
      <c r="O1865" s="256"/>
      <c r="P1865" s="256"/>
      <c r="Q1865" s="256"/>
      <c r="R1865" s="256"/>
      <c r="S1865" s="234"/>
      <c r="T1865" s="258"/>
    </row>
    <row r="1866" spans="2:20" ht="22.5" customHeight="1" x14ac:dyDescent="0.25">
      <c r="B1866" s="267"/>
      <c r="C1866" s="234"/>
      <c r="D1866" s="234"/>
      <c r="E1866" s="268"/>
      <c r="F1866" s="269"/>
      <c r="G1866" s="258"/>
      <c r="H1866" s="270"/>
      <c r="I1866" s="271"/>
      <c r="J1866" s="271"/>
      <c r="K1866" s="234"/>
      <c r="L1866" s="307"/>
      <c r="M1866" s="272"/>
      <c r="N1866" s="253"/>
      <c r="O1866" s="256"/>
      <c r="P1866" s="256"/>
      <c r="Q1866" s="256"/>
      <c r="R1866" s="256"/>
      <c r="S1866" s="234"/>
      <c r="T1866" s="258"/>
    </row>
    <row r="1867" spans="2:20" ht="22.5" customHeight="1" x14ac:dyDescent="0.25">
      <c r="B1867" s="267"/>
      <c r="C1867" s="234"/>
      <c r="D1867" s="234"/>
      <c r="E1867" s="268"/>
      <c r="F1867" s="269"/>
      <c r="G1867" s="258"/>
      <c r="H1867" s="270"/>
      <c r="I1867" s="271"/>
      <c r="J1867" s="271"/>
      <c r="K1867" s="234"/>
      <c r="L1867" s="307"/>
      <c r="M1867" s="272"/>
      <c r="N1867" s="253"/>
      <c r="O1867" s="256"/>
      <c r="P1867" s="256"/>
      <c r="Q1867" s="256"/>
      <c r="R1867" s="256"/>
      <c r="S1867" s="234"/>
      <c r="T1867" s="258"/>
    </row>
    <row r="1868" spans="2:20" ht="22.5" customHeight="1" x14ac:dyDescent="0.25">
      <c r="B1868" s="267"/>
      <c r="C1868" s="234"/>
      <c r="D1868" s="234"/>
      <c r="E1868" s="268"/>
      <c r="F1868" s="269"/>
      <c r="G1868" s="258"/>
      <c r="H1868" s="270"/>
      <c r="I1868" s="271"/>
      <c r="J1868" s="271"/>
      <c r="K1868" s="234"/>
      <c r="L1868" s="307"/>
      <c r="M1868" s="272"/>
      <c r="N1868" s="253"/>
      <c r="O1868" s="256"/>
      <c r="P1868" s="256"/>
      <c r="Q1868" s="256"/>
      <c r="R1868" s="256"/>
      <c r="S1868" s="234"/>
      <c r="T1868" s="258"/>
    </row>
    <row r="1869" spans="2:20" ht="22.5" customHeight="1" x14ac:dyDescent="0.25">
      <c r="B1869" s="267"/>
      <c r="C1869" s="234"/>
      <c r="D1869" s="234"/>
      <c r="E1869" s="268"/>
      <c r="F1869" s="269"/>
      <c r="G1869" s="258"/>
      <c r="H1869" s="270"/>
      <c r="I1869" s="271"/>
      <c r="J1869" s="271"/>
      <c r="K1869" s="234"/>
      <c r="L1869" s="307"/>
      <c r="M1869" s="272"/>
      <c r="N1869" s="253"/>
      <c r="O1869" s="256"/>
      <c r="P1869" s="256"/>
      <c r="Q1869" s="256"/>
      <c r="R1869" s="256"/>
      <c r="S1869" s="234"/>
      <c r="T1869" s="258"/>
    </row>
    <row r="1870" spans="2:20" ht="22.5" customHeight="1" x14ac:dyDescent="0.25">
      <c r="B1870" s="267"/>
      <c r="C1870" s="234"/>
      <c r="D1870" s="234"/>
      <c r="E1870" s="268"/>
      <c r="F1870" s="269"/>
      <c r="G1870" s="258"/>
      <c r="H1870" s="270"/>
      <c r="I1870" s="271"/>
      <c r="J1870" s="271"/>
      <c r="K1870" s="234"/>
      <c r="L1870" s="307"/>
      <c r="M1870" s="272"/>
      <c r="N1870" s="253"/>
      <c r="O1870" s="256"/>
      <c r="P1870" s="256"/>
      <c r="Q1870" s="256"/>
      <c r="R1870" s="256"/>
      <c r="S1870" s="234"/>
      <c r="T1870" s="258"/>
    </row>
    <row r="1871" spans="2:20" ht="22.5" customHeight="1" x14ac:dyDescent="0.25">
      <c r="B1871" s="267"/>
      <c r="C1871" s="234"/>
      <c r="D1871" s="234"/>
      <c r="E1871" s="268"/>
      <c r="F1871" s="269"/>
      <c r="G1871" s="258"/>
      <c r="H1871" s="270"/>
      <c r="I1871" s="271"/>
      <c r="J1871" s="271"/>
      <c r="K1871" s="234"/>
      <c r="L1871" s="307"/>
      <c r="M1871" s="272"/>
      <c r="N1871" s="253"/>
      <c r="O1871" s="256"/>
      <c r="P1871" s="256"/>
      <c r="Q1871" s="256"/>
      <c r="R1871" s="256"/>
      <c r="S1871" s="234"/>
      <c r="T1871" s="258"/>
    </row>
    <row r="1872" spans="2:20" ht="22.5" customHeight="1" x14ac:dyDescent="0.25">
      <c r="B1872" s="267"/>
      <c r="C1872" s="234"/>
      <c r="D1872" s="234"/>
      <c r="E1872" s="268"/>
      <c r="F1872" s="269"/>
      <c r="G1872" s="258"/>
      <c r="H1872" s="270"/>
      <c r="I1872" s="271"/>
      <c r="J1872" s="271"/>
      <c r="K1872" s="234"/>
      <c r="L1872" s="307"/>
      <c r="M1872" s="272"/>
      <c r="N1872" s="253"/>
      <c r="O1872" s="256"/>
      <c r="P1872" s="256"/>
      <c r="Q1872" s="256"/>
      <c r="R1872" s="256"/>
      <c r="S1872" s="234"/>
      <c r="T1872" s="258"/>
    </row>
    <row r="1873" spans="2:20" ht="22.5" customHeight="1" x14ac:dyDescent="0.25">
      <c r="B1873" s="267"/>
      <c r="C1873" s="234"/>
      <c r="D1873" s="234"/>
      <c r="E1873" s="268"/>
      <c r="F1873" s="269"/>
      <c r="G1873" s="258"/>
      <c r="H1873" s="270"/>
      <c r="I1873" s="271"/>
      <c r="J1873" s="271"/>
      <c r="K1873" s="234"/>
      <c r="L1873" s="307"/>
      <c r="M1873" s="272"/>
      <c r="N1873" s="253"/>
      <c r="O1873" s="256"/>
      <c r="P1873" s="256"/>
      <c r="Q1873" s="256"/>
      <c r="R1873" s="256"/>
      <c r="S1873" s="234"/>
      <c r="T1873" s="258"/>
    </row>
    <row r="1874" spans="2:20" ht="22.5" customHeight="1" x14ac:dyDescent="0.25">
      <c r="B1874" s="267"/>
      <c r="C1874" s="234"/>
      <c r="D1874" s="234"/>
      <c r="E1874" s="268"/>
      <c r="F1874" s="269"/>
      <c r="G1874" s="258"/>
      <c r="H1874" s="270"/>
      <c r="I1874" s="271"/>
      <c r="J1874" s="271"/>
      <c r="K1874" s="234"/>
      <c r="L1874" s="307"/>
      <c r="M1874" s="272"/>
      <c r="N1874" s="253"/>
      <c r="O1874" s="256"/>
      <c r="P1874" s="256"/>
      <c r="Q1874" s="256"/>
      <c r="R1874" s="256"/>
      <c r="S1874" s="234"/>
      <c r="T1874" s="258"/>
    </row>
    <row r="1875" spans="2:20" ht="22.5" customHeight="1" x14ac:dyDescent="0.25">
      <c r="B1875" s="267"/>
      <c r="C1875" s="234"/>
      <c r="D1875" s="234"/>
      <c r="E1875" s="268"/>
      <c r="F1875" s="269"/>
      <c r="G1875" s="258"/>
      <c r="H1875" s="270"/>
      <c r="I1875" s="271"/>
      <c r="J1875" s="271"/>
      <c r="K1875" s="234"/>
      <c r="L1875" s="307"/>
      <c r="M1875" s="272"/>
      <c r="N1875" s="253"/>
      <c r="O1875" s="256"/>
      <c r="P1875" s="256"/>
      <c r="Q1875" s="256"/>
      <c r="R1875" s="256"/>
      <c r="S1875" s="234"/>
      <c r="T1875" s="258"/>
    </row>
    <row r="1876" spans="2:20" ht="22.5" customHeight="1" x14ac:dyDescent="0.25">
      <c r="B1876" s="267"/>
      <c r="C1876" s="234"/>
      <c r="D1876" s="234"/>
      <c r="E1876" s="268"/>
      <c r="F1876" s="269"/>
      <c r="G1876" s="258"/>
      <c r="H1876" s="270"/>
      <c r="I1876" s="271"/>
      <c r="J1876" s="271"/>
      <c r="K1876" s="234"/>
      <c r="L1876" s="307"/>
      <c r="M1876" s="272"/>
      <c r="N1876" s="253"/>
      <c r="O1876" s="256"/>
      <c r="P1876" s="256"/>
      <c r="Q1876" s="256"/>
      <c r="R1876" s="256"/>
      <c r="S1876" s="234"/>
      <c r="T1876" s="258"/>
    </row>
    <row r="1877" spans="2:20" ht="22.5" customHeight="1" x14ac:dyDescent="0.25">
      <c r="B1877" s="267"/>
      <c r="C1877" s="234"/>
      <c r="D1877" s="234"/>
      <c r="E1877" s="268"/>
      <c r="F1877" s="269"/>
      <c r="G1877" s="258"/>
      <c r="H1877" s="270"/>
      <c r="I1877" s="271"/>
      <c r="J1877" s="271"/>
      <c r="K1877" s="234"/>
      <c r="L1877" s="307"/>
      <c r="M1877" s="272"/>
      <c r="N1877" s="253"/>
      <c r="O1877" s="256"/>
      <c r="P1877" s="256"/>
      <c r="Q1877" s="256"/>
      <c r="R1877" s="256"/>
      <c r="S1877" s="234"/>
      <c r="T1877" s="258"/>
    </row>
    <row r="1878" spans="2:20" ht="22.5" customHeight="1" x14ac:dyDescent="0.25">
      <c r="B1878" s="267"/>
      <c r="C1878" s="234"/>
      <c r="D1878" s="234"/>
      <c r="E1878" s="268"/>
      <c r="F1878" s="269"/>
      <c r="G1878" s="258"/>
      <c r="H1878" s="270"/>
      <c r="I1878" s="271"/>
      <c r="J1878" s="271"/>
      <c r="K1878" s="234"/>
      <c r="L1878" s="307"/>
      <c r="M1878" s="272"/>
      <c r="N1878" s="253"/>
      <c r="O1878" s="256"/>
      <c r="P1878" s="256"/>
      <c r="Q1878" s="256"/>
      <c r="R1878" s="256"/>
      <c r="S1878" s="234"/>
      <c r="T1878" s="258"/>
    </row>
    <row r="1879" spans="2:20" ht="22.5" customHeight="1" x14ac:dyDescent="0.25">
      <c r="B1879" s="267"/>
      <c r="C1879" s="234"/>
      <c r="D1879" s="234"/>
      <c r="E1879" s="268"/>
      <c r="F1879" s="269"/>
      <c r="G1879" s="258"/>
      <c r="H1879" s="270"/>
      <c r="I1879" s="271"/>
      <c r="J1879" s="271"/>
      <c r="K1879" s="234"/>
      <c r="L1879" s="307"/>
      <c r="M1879" s="272"/>
      <c r="N1879" s="253"/>
      <c r="O1879" s="256"/>
      <c r="P1879" s="256"/>
      <c r="Q1879" s="256"/>
      <c r="R1879" s="256"/>
      <c r="S1879" s="234"/>
      <c r="T1879" s="258"/>
    </row>
    <row r="1880" spans="2:20" ht="22.5" customHeight="1" x14ac:dyDescent="0.25">
      <c r="B1880" s="267"/>
      <c r="C1880" s="234"/>
      <c r="D1880" s="234"/>
      <c r="E1880" s="268"/>
      <c r="F1880" s="269"/>
      <c r="G1880" s="258"/>
      <c r="H1880" s="270"/>
      <c r="I1880" s="271"/>
      <c r="J1880" s="271"/>
      <c r="K1880" s="234"/>
      <c r="L1880" s="307"/>
      <c r="M1880" s="272"/>
      <c r="N1880" s="253"/>
      <c r="O1880" s="256"/>
      <c r="P1880" s="256"/>
      <c r="Q1880" s="256"/>
      <c r="R1880" s="256"/>
      <c r="S1880" s="234"/>
      <c r="T1880" s="258"/>
    </row>
    <row r="1881" spans="2:20" ht="22.5" customHeight="1" x14ac:dyDescent="0.25">
      <c r="B1881" s="267"/>
      <c r="C1881" s="234"/>
      <c r="D1881" s="234"/>
      <c r="E1881" s="268"/>
      <c r="F1881" s="269"/>
      <c r="G1881" s="258"/>
      <c r="H1881" s="270"/>
      <c r="I1881" s="271"/>
      <c r="J1881" s="271"/>
      <c r="K1881" s="234"/>
      <c r="L1881" s="307"/>
      <c r="M1881" s="272"/>
      <c r="N1881" s="253"/>
      <c r="O1881" s="256"/>
      <c r="P1881" s="256"/>
      <c r="Q1881" s="256"/>
      <c r="R1881" s="256"/>
      <c r="S1881" s="234"/>
      <c r="T1881" s="258"/>
    </row>
    <row r="1882" spans="2:20" ht="22.5" customHeight="1" x14ac:dyDescent="0.25">
      <c r="B1882" s="267"/>
      <c r="C1882" s="234"/>
      <c r="D1882" s="234"/>
      <c r="E1882" s="268"/>
      <c r="F1882" s="269"/>
      <c r="G1882" s="258"/>
      <c r="H1882" s="270"/>
      <c r="I1882" s="271"/>
      <c r="J1882" s="271"/>
      <c r="K1882" s="234"/>
      <c r="L1882" s="307"/>
      <c r="M1882" s="272"/>
      <c r="N1882" s="253"/>
      <c r="O1882" s="256"/>
      <c r="P1882" s="256"/>
      <c r="Q1882" s="256"/>
      <c r="R1882" s="256"/>
      <c r="S1882" s="234"/>
      <c r="T1882" s="258"/>
    </row>
    <row r="1883" spans="2:20" ht="22.5" customHeight="1" x14ac:dyDescent="0.25">
      <c r="B1883" s="267"/>
      <c r="C1883" s="234"/>
      <c r="D1883" s="234"/>
      <c r="E1883" s="268"/>
      <c r="F1883" s="269"/>
      <c r="G1883" s="258"/>
      <c r="H1883" s="270"/>
      <c r="I1883" s="271"/>
      <c r="J1883" s="271"/>
      <c r="K1883" s="234"/>
      <c r="L1883" s="307"/>
      <c r="M1883" s="272"/>
      <c r="N1883" s="253"/>
      <c r="O1883" s="256"/>
      <c r="P1883" s="256"/>
      <c r="Q1883" s="256"/>
      <c r="R1883" s="256"/>
      <c r="S1883" s="234"/>
      <c r="T1883" s="258"/>
    </row>
    <row r="1884" spans="2:20" ht="22.5" customHeight="1" x14ac:dyDescent="0.25">
      <c r="B1884" s="267"/>
      <c r="C1884" s="234"/>
      <c r="D1884" s="234"/>
      <c r="E1884" s="268"/>
      <c r="F1884" s="269"/>
      <c r="G1884" s="258"/>
      <c r="H1884" s="270"/>
      <c r="I1884" s="271"/>
      <c r="J1884" s="271"/>
      <c r="K1884" s="234"/>
      <c r="L1884" s="307"/>
      <c r="M1884" s="272"/>
      <c r="N1884" s="253"/>
      <c r="O1884" s="256"/>
      <c r="P1884" s="256"/>
      <c r="Q1884" s="256"/>
      <c r="R1884" s="256"/>
      <c r="S1884" s="234"/>
      <c r="T1884" s="258"/>
    </row>
    <row r="1885" spans="2:20" ht="22.5" customHeight="1" x14ac:dyDescent="0.25">
      <c r="B1885" s="267"/>
      <c r="C1885" s="234"/>
      <c r="D1885" s="234"/>
      <c r="E1885" s="268"/>
      <c r="F1885" s="269"/>
      <c r="G1885" s="258"/>
      <c r="H1885" s="270"/>
      <c r="I1885" s="271"/>
      <c r="J1885" s="271"/>
      <c r="K1885" s="234"/>
      <c r="L1885" s="307"/>
      <c r="M1885" s="272"/>
      <c r="N1885" s="253"/>
      <c r="O1885" s="256"/>
      <c r="P1885" s="256"/>
      <c r="Q1885" s="256"/>
      <c r="R1885" s="256"/>
      <c r="S1885" s="234"/>
      <c r="T1885" s="258"/>
    </row>
    <row r="1886" spans="2:20" ht="22.5" customHeight="1" x14ac:dyDescent="0.25">
      <c r="B1886" s="267"/>
      <c r="C1886" s="234"/>
      <c r="D1886" s="234"/>
      <c r="E1886" s="268"/>
      <c r="F1886" s="269"/>
      <c r="G1886" s="258"/>
      <c r="H1886" s="270"/>
      <c r="I1886" s="271"/>
      <c r="J1886" s="271"/>
      <c r="K1886" s="234"/>
      <c r="L1886" s="307"/>
      <c r="M1886" s="272"/>
      <c r="N1886" s="253"/>
      <c r="O1886" s="256"/>
      <c r="P1886" s="256"/>
      <c r="Q1886" s="256"/>
      <c r="R1886" s="256"/>
      <c r="S1886" s="234"/>
      <c r="T1886" s="258"/>
    </row>
    <row r="1887" spans="2:20" ht="22.5" customHeight="1" x14ac:dyDescent="0.25">
      <c r="B1887" s="267"/>
      <c r="C1887" s="234"/>
      <c r="D1887" s="234"/>
      <c r="E1887" s="268"/>
      <c r="F1887" s="269"/>
      <c r="G1887" s="258"/>
      <c r="H1887" s="270"/>
      <c r="I1887" s="271"/>
      <c r="J1887" s="271"/>
      <c r="K1887" s="234"/>
      <c r="L1887" s="307"/>
      <c r="M1887" s="272"/>
      <c r="N1887" s="253"/>
      <c r="O1887" s="256"/>
      <c r="P1887" s="256"/>
      <c r="Q1887" s="256"/>
      <c r="R1887" s="256"/>
      <c r="S1887" s="234"/>
      <c r="T1887" s="258"/>
    </row>
    <row r="1888" spans="2:20" ht="22.5" customHeight="1" x14ac:dyDescent="0.25">
      <c r="B1888" s="267"/>
      <c r="C1888" s="234"/>
      <c r="D1888" s="234"/>
      <c r="E1888" s="268"/>
      <c r="F1888" s="269"/>
      <c r="G1888" s="258"/>
      <c r="H1888" s="270"/>
      <c r="I1888" s="271"/>
      <c r="J1888" s="271"/>
      <c r="K1888" s="234"/>
      <c r="L1888" s="307"/>
      <c r="M1888" s="272"/>
      <c r="N1888" s="253"/>
      <c r="O1888" s="256"/>
      <c r="P1888" s="256"/>
      <c r="Q1888" s="256"/>
      <c r="R1888" s="256"/>
      <c r="S1888" s="234"/>
      <c r="T1888" s="258"/>
    </row>
    <row r="1889" spans="2:20" ht="22.5" customHeight="1" x14ac:dyDescent="0.25">
      <c r="B1889" s="267"/>
      <c r="C1889" s="234"/>
      <c r="D1889" s="234"/>
      <c r="E1889" s="268"/>
      <c r="F1889" s="269"/>
      <c r="G1889" s="258"/>
      <c r="H1889" s="270"/>
      <c r="I1889" s="271"/>
      <c r="J1889" s="271"/>
      <c r="K1889" s="234"/>
      <c r="L1889" s="307"/>
      <c r="M1889" s="272"/>
      <c r="N1889" s="253"/>
      <c r="O1889" s="256"/>
      <c r="P1889" s="256"/>
      <c r="Q1889" s="256"/>
      <c r="R1889" s="256"/>
      <c r="S1889" s="234"/>
      <c r="T1889" s="258"/>
    </row>
    <row r="1890" spans="2:20" ht="22.5" customHeight="1" x14ac:dyDescent="0.25">
      <c r="B1890" s="267"/>
      <c r="C1890" s="234"/>
      <c r="D1890" s="234"/>
      <c r="E1890" s="268"/>
      <c r="F1890" s="269"/>
      <c r="G1890" s="258"/>
      <c r="H1890" s="270"/>
      <c r="I1890" s="271"/>
      <c r="J1890" s="271"/>
      <c r="K1890" s="234"/>
      <c r="L1890" s="307"/>
      <c r="M1890" s="272"/>
      <c r="N1890" s="253"/>
      <c r="O1890" s="256"/>
      <c r="P1890" s="256"/>
      <c r="Q1890" s="256"/>
      <c r="R1890" s="256"/>
      <c r="S1890" s="234"/>
      <c r="T1890" s="258"/>
    </row>
    <row r="1891" spans="2:20" ht="22.5" customHeight="1" x14ac:dyDescent="0.25">
      <c r="B1891" s="267"/>
      <c r="C1891" s="234"/>
      <c r="D1891" s="234"/>
      <c r="E1891" s="268"/>
      <c r="F1891" s="269"/>
      <c r="G1891" s="258"/>
      <c r="H1891" s="270"/>
      <c r="I1891" s="271"/>
      <c r="J1891" s="271"/>
      <c r="K1891" s="234"/>
      <c r="L1891" s="307"/>
      <c r="M1891" s="272"/>
      <c r="N1891" s="253"/>
      <c r="O1891" s="256"/>
      <c r="P1891" s="256"/>
      <c r="Q1891" s="256"/>
      <c r="R1891" s="256"/>
      <c r="S1891" s="234"/>
      <c r="T1891" s="258"/>
    </row>
    <row r="1892" spans="2:20" ht="22.5" customHeight="1" x14ac:dyDescent="0.25">
      <c r="B1892" s="267"/>
      <c r="C1892" s="234"/>
      <c r="D1892" s="234"/>
      <c r="E1892" s="268"/>
      <c r="F1892" s="269"/>
      <c r="G1892" s="258"/>
      <c r="H1892" s="270"/>
      <c r="I1892" s="271"/>
      <c r="J1892" s="271"/>
      <c r="K1892" s="234"/>
      <c r="L1892" s="307"/>
      <c r="M1892" s="272"/>
      <c r="N1892" s="253"/>
      <c r="O1892" s="256"/>
      <c r="P1892" s="256"/>
      <c r="Q1892" s="256"/>
      <c r="R1892" s="256"/>
      <c r="S1892" s="234"/>
      <c r="T1892" s="258"/>
    </row>
    <row r="1893" spans="2:20" ht="22.5" customHeight="1" x14ac:dyDescent="0.25">
      <c r="B1893" s="267"/>
      <c r="C1893" s="234"/>
      <c r="D1893" s="234"/>
      <c r="E1893" s="268"/>
      <c r="F1893" s="269"/>
      <c r="G1893" s="258"/>
      <c r="H1893" s="270"/>
      <c r="I1893" s="271"/>
      <c r="J1893" s="271"/>
      <c r="K1893" s="234"/>
      <c r="L1893" s="307"/>
      <c r="M1893" s="272"/>
      <c r="N1893" s="253"/>
      <c r="O1893" s="256"/>
      <c r="P1893" s="256"/>
      <c r="Q1893" s="256"/>
      <c r="R1893" s="256"/>
      <c r="S1893" s="234"/>
      <c r="T1893" s="258"/>
    </row>
    <row r="1894" spans="2:20" ht="22.5" customHeight="1" x14ac:dyDescent="0.25">
      <c r="B1894" s="267"/>
      <c r="C1894" s="234"/>
      <c r="D1894" s="234"/>
      <c r="E1894" s="268"/>
      <c r="F1894" s="269"/>
      <c r="G1894" s="258"/>
      <c r="H1894" s="270"/>
      <c r="I1894" s="271"/>
      <c r="J1894" s="271"/>
      <c r="K1894" s="234"/>
      <c r="L1894" s="307"/>
      <c r="M1894" s="272"/>
      <c r="N1894" s="253"/>
      <c r="O1894" s="256"/>
      <c r="P1894" s="256"/>
      <c r="Q1894" s="256"/>
      <c r="R1894" s="256"/>
      <c r="S1894" s="234"/>
      <c r="T1894" s="258"/>
    </row>
    <row r="1895" spans="2:20" ht="22.5" customHeight="1" x14ac:dyDescent="0.25">
      <c r="B1895" s="267"/>
      <c r="C1895" s="234"/>
      <c r="D1895" s="234"/>
      <c r="E1895" s="268"/>
      <c r="F1895" s="269"/>
      <c r="G1895" s="258"/>
      <c r="H1895" s="270"/>
      <c r="I1895" s="271"/>
      <c r="J1895" s="271"/>
      <c r="K1895" s="234"/>
      <c r="L1895" s="307"/>
      <c r="M1895" s="272"/>
      <c r="N1895" s="253"/>
      <c r="O1895" s="256"/>
      <c r="P1895" s="256"/>
      <c r="Q1895" s="256"/>
      <c r="R1895" s="256"/>
      <c r="S1895" s="234"/>
      <c r="T1895" s="258"/>
    </row>
    <row r="1896" spans="2:20" ht="22.5" customHeight="1" x14ac:dyDescent="0.25">
      <c r="B1896" s="267"/>
      <c r="C1896" s="234"/>
      <c r="D1896" s="234"/>
      <c r="E1896" s="268"/>
      <c r="F1896" s="269"/>
      <c r="G1896" s="258"/>
      <c r="H1896" s="270"/>
      <c r="I1896" s="271"/>
      <c r="J1896" s="271"/>
      <c r="K1896" s="234"/>
      <c r="L1896" s="307"/>
      <c r="M1896" s="272"/>
      <c r="N1896" s="253"/>
      <c r="O1896" s="256"/>
      <c r="P1896" s="256"/>
      <c r="Q1896" s="256"/>
      <c r="R1896" s="256"/>
      <c r="S1896" s="234"/>
      <c r="T1896" s="258"/>
    </row>
    <row r="1897" spans="2:20" ht="22.5" customHeight="1" x14ac:dyDescent="0.25">
      <c r="B1897" s="267"/>
      <c r="C1897" s="234"/>
      <c r="D1897" s="234"/>
      <c r="E1897" s="268"/>
      <c r="F1897" s="269"/>
      <c r="G1897" s="258"/>
      <c r="H1897" s="270"/>
      <c r="I1897" s="271"/>
      <c r="J1897" s="271"/>
      <c r="K1897" s="234"/>
      <c r="L1897" s="307"/>
      <c r="M1897" s="272"/>
      <c r="N1897" s="253"/>
      <c r="O1897" s="256"/>
      <c r="P1897" s="256"/>
      <c r="Q1897" s="256"/>
      <c r="R1897" s="256"/>
      <c r="S1897" s="234"/>
      <c r="T1897" s="258"/>
    </row>
    <row r="1898" spans="2:20" ht="22.5" customHeight="1" x14ac:dyDescent="0.25">
      <c r="B1898" s="267"/>
      <c r="C1898" s="234"/>
      <c r="D1898" s="234"/>
      <c r="E1898" s="268"/>
      <c r="F1898" s="269"/>
      <c r="G1898" s="258"/>
      <c r="H1898" s="270"/>
      <c r="I1898" s="271"/>
      <c r="J1898" s="271"/>
      <c r="K1898" s="234"/>
      <c r="L1898" s="307"/>
      <c r="M1898" s="272"/>
      <c r="N1898" s="253"/>
      <c r="O1898" s="256"/>
      <c r="P1898" s="256"/>
      <c r="Q1898" s="256"/>
      <c r="R1898" s="256"/>
      <c r="S1898" s="234"/>
      <c r="T1898" s="258"/>
    </row>
    <row r="1899" spans="2:20" ht="22.5" customHeight="1" x14ac:dyDescent="0.25">
      <c r="B1899" s="267"/>
      <c r="C1899" s="234"/>
      <c r="D1899" s="234"/>
      <c r="E1899" s="268"/>
      <c r="F1899" s="269"/>
      <c r="G1899" s="258"/>
      <c r="H1899" s="270"/>
      <c r="I1899" s="271"/>
      <c r="J1899" s="271"/>
      <c r="K1899" s="234"/>
      <c r="L1899" s="307"/>
      <c r="M1899" s="272"/>
      <c r="N1899" s="253"/>
      <c r="O1899" s="256"/>
      <c r="P1899" s="256"/>
      <c r="Q1899" s="256"/>
      <c r="R1899" s="256"/>
      <c r="S1899" s="234"/>
      <c r="T1899" s="258"/>
    </row>
    <row r="1900" spans="2:20" ht="22.5" customHeight="1" x14ac:dyDescent="0.25">
      <c r="B1900" s="267"/>
      <c r="C1900" s="234"/>
      <c r="D1900" s="234"/>
      <c r="E1900" s="268"/>
      <c r="F1900" s="269"/>
      <c r="G1900" s="258"/>
      <c r="H1900" s="270"/>
      <c r="I1900" s="271"/>
      <c r="J1900" s="271"/>
      <c r="K1900" s="234"/>
      <c r="L1900" s="307"/>
      <c r="M1900" s="272"/>
      <c r="N1900" s="253"/>
      <c r="O1900" s="256"/>
      <c r="P1900" s="256"/>
      <c r="Q1900" s="256"/>
      <c r="R1900" s="256"/>
      <c r="S1900" s="234"/>
      <c r="T1900" s="258"/>
    </row>
    <row r="1901" spans="2:20" ht="22.5" customHeight="1" x14ac:dyDescent="0.25">
      <c r="B1901" s="267"/>
      <c r="C1901" s="234"/>
      <c r="D1901" s="234"/>
      <c r="E1901" s="268"/>
      <c r="F1901" s="269"/>
      <c r="G1901" s="258"/>
      <c r="H1901" s="270"/>
      <c r="I1901" s="271"/>
      <c r="J1901" s="271"/>
      <c r="K1901" s="234"/>
      <c r="L1901" s="307"/>
      <c r="M1901" s="272"/>
      <c r="N1901" s="253"/>
      <c r="O1901" s="256"/>
      <c r="P1901" s="256"/>
      <c r="Q1901" s="256"/>
      <c r="R1901" s="256"/>
      <c r="S1901" s="234"/>
      <c r="T1901" s="258"/>
    </row>
    <row r="1902" spans="2:20" ht="22.5" customHeight="1" x14ac:dyDescent="0.25">
      <c r="B1902" s="267"/>
      <c r="C1902" s="234"/>
      <c r="D1902" s="234"/>
      <c r="E1902" s="268"/>
      <c r="F1902" s="269"/>
      <c r="G1902" s="258"/>
      <c r="H1902" s="270"/>
      <c r="I1902" s="271"/>
      <c r="J1902" s="271"/>
      <c r="K1902" s="234"/>
      <c r="L1902" s="307"/>
      <c r="M1902" s="272"/>
      <c r="N1902" s="253"/>
      <c r="O1902" s="256"/>
      <c r="P1902" s="256"/>
      <c r="Q1902" s="256"/>
      <c r="R1902" s="256"/>
      <c r="S1902" s="234"/>
      <c r="T1902" s="258"/>
    </row>
    <row r="1903" spans="2:20" ht="22.5" customHeight="1" x14ac:dyDescent="0.25">
      <c r="B1903" s="267"/>
      <c r="C1903" s="234"/>
      <c r="D1903" s="234"/>
      <c r="E1903" s="268"/>
      <c r="F1903" s="269"/>
      <c r="G1903" s="258"/>
      <c r="H1903" s="270"/>
      <c r="I1903" s="271"/>
      <c r="J1903" s="271"/>
      <c r="K1903" s="234"/>
      <c r="L1903" s="307"/>
      <c r="M1903" s="272"/>
      <c r="N1903" s="253"/>
      <c r="O1903" s="256"/>
      <c r="P1903" s="256"/>
      <c r="Q1903" s="256"/>
      <c r="R1903" s="256"/>
      <c r="S1903" s="234"/>
      <c r="T1903" s="258"/>
    </row>
    <row r="1904" spans="2:20" ht="22.5" customHeight="1" x14ac:dyDescent="0.25">
      <c r="B1904" s="267"/>
      <c r="C1904" s="234"/>
      <c r="D1904" s="234"/>
      <c r="E1904" s="268"/>
      <c r="F1904" s="269"/>
      <c r="G1904" s="258"/>
      <c r="H1904" s="270"/>
      <c r="I1904" s="271"/>
      <c r="J1904" s="271"/>
      <c r="K1904" s="234"/>
      <c r="L1904" s="307"/>
      <c r="M1904" s="272"/>
      <c r="N1904" s="253"/>
      <c r="O1904" s="256"/>
      <c r="P1904" s="256"/>
      <c r="Q1904" s="256"/>
      <c r="R1904" s="256"/>
      <c r="S1904" s="234"/>
      <c r="T1904" s="258"/>
    </row>
    <row r="1905" spans="2:20" ht="22.5" customHeight="1" x14ac:dyDescent="0.25">
      <c r="B1905" s="267"/>
      <c r="C1905" s="234"/>
      <c r="D1905" s="234"/>
      <c r="E1905" s="268"/>
      <c r="F1905" s="269"/>
      <c r="G1905" s="258"/>
      <c r="H1905" s="270"/>
      <c r="I1905" s="271"/>
      <c r="J1905" s="271"/>
      <c r="K1905" s="234"/>
      <c r="L1905" s="307"/>
      <c r="M1905" s="272"/>
      <c r="N1905" s="253"/>
      <c r="O1905" s="256"/>
      <c r="P1905" s="256"/>
      <c r="Q1905" s="256"/>
      <c r="R1905" s="256"/>
      <c r="S1905" s="234"/>
      <c r="T1905" s="258"/>
    </row>
    <row r="1906" spans="2:20" ht="22.5" customHeight="1" x14ac:dyDescent="0.25">
      <c r="B1906" s="267"/>
      <c r="C1906" s="234"/>
      <c r="D1906" s="234"/>
      <c r="E1906" s="268"/>
      <c r="F1906" s="269"/>
      <c r="G1906" s="258"/>
      <c r="H1906" s="270"/>
      <c r="I1906" s="271"/>
      <c r="J1906" s="271"/>
      <c r="K1906" s="234"/>
      <c r="L1906" s="307"/>
      <c r="M1906" s="272"/>
      <c r="N1906" s="253"/>
      <c r="O1906" s="256"/>
      <c r="P1906" s="256"/>
      <c r="Q1906" s="256"/>
      <c r="R1906" s="256"/>
      <c r="S1906" s="234"/>
      <c r="T1906" s="258"/>
    </row>
    <row r="1907" spans="2:20" ht="22.5" customHeight="1" x14ac:dyDescent="0.25">
      <c r="B1907" s="267"/>
      <c r="C1907" s="234"/>
      <c r="D1907" s="234"/>
      <c r="E1907" s="268"/>
      <c r="F1907" s="269"/>
      <c r="G1907" s="258"/>
      <c r="H1907" s="270"/>
      <c r="I1907" s="271"/>
      <c r="J1907" s="271"/>
      <c r="K1907" s="234"/>
      <c r="L1907" s="307"/>
      <c r="M1907" s="272"/>
      <c r="N1907" s="253"/>
      <c r="O1907" s="256"/>
      <c r="P1907" s="256"/>
      <c r="Q1907" s="256"/>
      <c r="R1907" s="256"/>
      <c r="S1907" s="234"/>
      <c r="T1907" s="258"/>
    </row>
    <row r="1908" spans="2:20" ht="22.5" customHeight="1" x14ac:dyDescent="0.25">
      <c r="B1908" s="267"/>
      <c r="C1908" s="234"/>
      <c r="D1908" s="234"/>
      <c r="E1908" s="268"/>
      <c r="F1908" s="269"/>
      <c r="G1908" s="258"/>
      <c r="H1908" s="270"/>
      <c r="I1908" s="271"/>
      <c r="J1908" s="271"/>
      <c r="K1908" s="234"/>
      <c r="L1908" s="307"/>
      <c r="M1908" s="272"/>
      <c r="N1908" s="253"/>
      <c r="O1908" s="256"/>
      <c r="P1908" s="256"/>
      <c r="Q1908" s="256"/>
      <c r="R1908" s="256"/>
      <c r="S1908" s="234"/>
      <c r="T1908" s="258"/>
    </row>
    <row r="1909" spans="2:20" ht="22.5" customHeight="1" x14ac:dyDescent="0.25">
      <c r="B1909" s="267"/>
      <c r="C1909" s="234"/>
      <c r="D1909" s="234"/>
      <c r="E1909" s="268"/>
      <c r="F1909" s="269"/>
      <c r="G1909" s="258"/>
      <c r="H1909" s="270"/>
      <c r="I1909" s="271"/>
      <c r="J1909" s="271"/>
      <c r="K1909" s="234"/>
      <c r="L1909" s="307"/>
      <c r="M1909" s="272"/>
      <c r="N1909" s="253"/>
      <c r="O1909" s="256"/>
      <c r="P1909" s="256"/>
      <c r="Q1909" s="256"/>
      <c r="R1909" s="256"/>
      <c r="S1909" s="234"/>
      <c r="T1909" s="258"/>
    </row>
    <row r="1910" spans="2:20" ht="22.5" customHeight="1" x14ac:dyDescent="0.25">
      <c r="B1910" s="267"/>
      <c r="C1910" s="234"/>
      <c r="D1910" s="234"/>
      <c r="E1910" s="268"/>
      <c r="F1910" s="269"/>
      <c r="G1910" s="258"/>
      <c r="H1910" s="270"/>
      <c r="I1910" s="271"/>
      <c r="J1910" s="271"/>
      <c r="K1910" s="234"/>
      <c r="L1910" s="307"/>
      <c r="M1910" s="272"/>
      <c r="N1910" s="253"/>
      <c r="O1910" s="256"/>
      <c r="P1910" s="256"/>
      <c r="Q1910" s="256"/>
      <c r="R1910" s="256"/>
      <c r="S1910" s="234"/>
      <c r="T1910" s="258"/>
    </row>
    <row r="1911" spans="2:20" ht="22.5" customHeight="1" x14ac:dyDescent="0.25">
      <c r="B1911" s="267"/>
      <c r="C1911" s="234"/>
      <c r="D1911" s="234"/>
      <c r="E1911" s="268"/>
      <c r="F1911" s="269"/>
      <c r="G1911" s="258"/>
      <c r="H1911" s="270"/>
      <c r="I1911" s="271"/>
      <c r="J1911" s="271"/>
      <c r="K1911" s="234"/>
      <c r="L1911" s="307"/>
      <c r="M1911" s="272"/>
      <c r="N1911" s="253"/>
      <c r="O1911" s="256"/>
      <c r="P1911" s="256"/>
      <c r="Q1911" s="256"/>
      <c r="R1911" s="256"/>
      <c r="S1911" s="234"/>
      <c r="T1911" s="258"/>
    </row>
    <row r="1912" spans="2:20" ht="22.5" customHeight="1" x14ac:dyDescent="0.25">
      <c r="B1912" s="267"/>
      <c r="C1912" s="234"/>
      <c r="D1912" s="234"/>
      <c r="E1912" s="268"/>
      <c r="F1912" s="269"/>
      <c r="G1912" s="258"/>
      <c r="H1912" s="270"/>
      <c r="I1912" s="271"/>
      <c r="J1912" s="271"/>
      <c r="K1912" s="234"/>
      <c r="L1912" s="307"/>
      <c r="M1912" s="272"/>
      <c r="N1912" s="253"/>
      <c r="O1912" s="256"/>
      <c r="P1912" s="256"/>
      <c r="Q1912" s="256"/>
      <c r="R1912" s="256"/>
      <c r="S1912" s="234"/>
      <c r="T1912" s="258"/>
    </row>
    <row r="1913" spans="2:20" ht="22.5" customHeight="1" x14ac:dyDescent="0.25">
      <c r="B1913" s="267"/>
      <c r="C1913" s="234"/>
      <c r="D1913" s="234"/>
      <c r="E1913" s="268"/>
      <c r="F1913" s="269"/>
      <c r="G1913" s="258"/>
      <c r="H1913" s="270"/>
      <c r="I1913" s="271"/>
      <c r="J1913" s="271"/>
      <c r="K1913" s="234"/>
      <c r="L1913" s="307"/>
      <c r="M1913" s="272"/>
      <c r="N1913" s="253"/>
      <c r="O1913" s="256"/>
      <c r="P1913" s="256"/>
      <c r="Q1913" s="256"/>
      <c r="R1913" s="256"/>
      <c r="S1913" s="234"/>
      <c r="T1913" s="258"/>
    </row>
    <row r="1914" spans="2:20" ht="22.5" customHeight="1" x14ac:dyDescent="0.25">
      <c r="B1914" s="267"/>
      <c r="C1914" s="234"/>
      <c r="D1914" s="234"/>
      <c r="E1914" s="268"/>
      <c r="F1914" s="269"/>
      <c r="G1914" s="258"/>
      <c r="H1914" s="270"/>
      <c r="I1914" s="271"/>
      <c r="J1914" s="271"/>
      <c r="K1914" s="234"/>
      <c r="L1914" s="307"/>
      <c r="M1914" s="272"/>
      <c r="N1914" s="253"/>
      <c r="O1914" s="256"/>
      <c r="P1914" s="256"/>
      <c r="Q1914" s="256"/>
      <c r="R1914" s="256"/>
      <c r="S1914" s="234"/>
      <c r="T1914" s="258"/>
    </row>
    <row r="1915" spans="2:20" ht="22.5" customHeight="1" x14ac:dyDescent="0.25">
      <c r="B1915" s="267"/>
      <c r="C1915" s="234"/>
      <c r="D1915" s="234"/>
      <c r="E1915" s="268"/>
      <c r="F1915" s="269"/>
      <c r="G1915" s="258"/>
      <c r="H1915" s="270"/>
      <c r="I1915" s="271"/>
      <c r="J1915" s="271"/>
      <c r="K1915" s="234"/>
      <c r="L1915" s="307"/>
      <c r="M1915" s="272"/>
      <c r="N1915" s="253"/>
      <c r="O1915" s="256"/>
      <c r="P1915" s="256"/>
      <c r="Q1915" s="256"/>
      <c r="R1915" s="256"/>
      <c r="S1915" s="234"/>
      <c r="T1915" s="258"/>
    </row>
    <row r="1916" spans="2:20" ht="22.5" customHeight="1" x14ac:dyDescent="0.25">
      <c r="B1916" s="267"/>
      <c r="C1916" s="234"/>
      <c r="D1916" s="234"/>
      <c r="E1916" s="268"/>
      <c r="F1916" s="269"/>
      <c r="G1916" s="258"/>
      <c r="H1916" s="270"/>
      <c r="I1916" s="271"/>
      <c r="J1916" s="271"/>
      <c r="K1916" s="234"/>
      <c r="L1916" s="307"/>
      <c r="M1916" s="272"/>
      <c r="N1916" s="253"/>
      <c r="O1916" s="256"/>
      <c r="P1916" s="256"/>
      <c r="Q1916" s="256"/>
      <c r="R1916" s="256"/>
      <c r="S1916" s="234"/>
      <c r="T1916" s="258"/>
    </row>
    <row r="1917" spans="2:20" ht="22.5" customHeight="1" x14ac:dyDescent="0.25">
      <c r="B1917" s="267"/>
      <c r="C1917" s="234"/>
      <c r="D1917" s="234"/>
      <c r="E1917" s="268"/>
      <c r="F1917" s="269"/>
      <c r="G1917" s="258"/>
      <c r="H1917" s="270"/>
      <c r="I1917" s="271"/>
      <c r="J1917" s="271"/>
      <c r="K1917" s="234"/>
      <c r="L1917" s="307"/>
      <c r="M1917" s="272"/>
      <c r="N1917" s="253"/>
      <c r="O1917" s="256"/>
      <c r="P1917" s="256"/>
      <c r="Q1917" s="256"/>
      <c r="R1917" s="256"/>
      <c r="S1917" s="234"/>
      <c r="T1917" s="258"/>
    </row>
    <row r="1918" spans="2:20" ht="22.5" customHeight="1" x14ac:dyDescent="0.25">
      <c r="B1918" s="267"/>
      <c r="C1918" s="234"/>
      <c r="D1918" s="234"/>
      <c r="E1918" s="268"/>
      <c r="F1918" s="269"/>
      <c r="G1918" s="258"/>
      <c r="H1918" s="270"/>
      <c r="I1918" s="271"/>
      <c r="J1918" s="271"/>
      <c r="K1918" s="234"/>
      <c r="L1918" s="307"/>
      <c r="M1918" s="272"/>
      <c r="N1918" s="253"/>
      <c r="O1918" s="256"/>
      <c r="P1918" s="256"/>
      <c r="Q1918" s="256"/>
      <c r="R1918" s="256"/>
      <c r="S1918" s="234"/>
      <c r="T1918" s="258"/>
    </row>
    <row r="1919" spans="2:20" ht="22.5" customHeight="1" x14ac:dyDescent="0.25">
      <c r="B1919" s="267"/>
      <c r="C1919" s="234"/>
      <c r="D1919" s="234"/>
      <c r="E1919" s="268"/>
      <c r="F1919" s="269"/>
      <c r="G1919" s="258"/>
      <c r="H1919" s="270"/>
      <c r="I1919" s="271"/>
      <c r="J1919" s="271"/>
      <c r="K1919" s="234"/>
      <c r="L1919" s="307"/>
      <c r="M1919" s="272"/>
      <c r="N1919" s="253"/>
      <c r="O1919" s="256"/>
      <c r="P1919" s="256"/>
      <c r="Q1919" s="256"/>
      <c r="R1919" s="256"/>
      <c r="S1919" s="234"/>
      <c r="T1919" s="258"/>
    </row>
    <row r="1920" spans="2:20" ht="22.5" customHeight="1" x14ac:dyDescent="0.25">
      <c r="B1920" s="267"/>
      <c r="C1920" s="234"/>
      <c r="D1920" s="234"/>
      <c r="E1920" s="268"/>
      <c r="F1920" s="269"/>
      <c r="G1920" s="258"/>
      <c r="H1920" s="270"/>
      <c r="I1920" s="271"/>
      <c r="J1920" s="271"/>
      <c r="K1920" s="234"/>
      <c r="L1920" s="307"/>
      <c r="M1920" s="272"/>
      <c r="N1920" s="253"/>
      <c r="O1920" s="256"/>
      <c r="P1920" s="256"/>
      <c r="Q1920" s="256"/>
      <c r="R1920" s="256"/>
      <c r="S1920" s="234"/>
      <c r="T1920" s="258"/>
    </row>
    <row r="1921" spans="2:20" ht="22.5" customHeight="1" x14ac:dyDescent="0.25">
      <c r="B1921" s="267"/>
      <c r="C1921" s="234"/>
      <c r="D1921" s="234"/>
      <c r="E1921" s="268"/>
      <c r="F1921" s="269"/>
      <c r="G1921" s="258"/>
      <c r="H1921" s="270"/>
      <c r="I1921" s="271"/>
      <c r="J1921" s="271"/>
      <c r="K1921" s="234"/>
      <c r="L1921" s="307"/>
      <c r="M1921" s="272"/>
      <c r="N1921" s="253"/>
      <c r="O1921" s="256"/>
      <c r="P1921" s="256"/>
      <c r="Q1921" s="256"/>
      <c r="R1921" s="256"/>
      <c r="S1921" s="234"/>
      <c r="T1921" s="258"/>
    </row>
    <row r="1922" spans="2:20" ht="22.5" customHeight="1" x14ac:dyDescent="0.25">
      <c r="B1922" s="267"/>
      <c r="C1922" s="234"/>
      <c r="D1922" s="234"/>
      <c r="E1922" s="268"/>
      <c r="F1922" s="269"/>
      <c r="G1922" s="258"/>
      <c r="H1922" s="270"/>
      <c r="I1922" s="271"/>
      <c r="J1922" s="271"/>
      <c r="K1922" s="234"/>
      <c r="L1922" s="307"/>
      <c r="M1922" s="272"/>
      <c r="N1922" s="253"/>
      <c r="O1922" s="256"/>
      <c r="P1922" s="256"/>
      <c r="Q1922" s="256"/>
      <c r="R1922" s="256"/>
      <c r="S1922" s="234"/>
      <c r="T1922" s="258"/>
    </row>
    <row r="1923" spans="2:20" ht="22.5" customHeight="1" x14ac:dyDescent="0.25">
      <c r="B1923" s="267"/>
      <c r="C1923" s="234"/>
      <c r="D1923" s="234"/>
      <c r="E1923" s="268"/>
      <c r="F1923" s="269"/>
      <c r="G1923" s="258"/>
      <c r="H1923" s="270"/>
      <c r="I1923" s="271"/>
      <c r="J1923" s="271"/>
      <c r="K1923" s="234"/>
      <c r="L1923" s="307"/>
      <c r="M1923" s="272"/>
      <c r="N1923" s="253"/>
      <c r="O1923" s="256"/>
      <c r="P1923" s="256"/>
      <c r="Q1923" s="256"/>
      <c r="R1923" s="256"/>
      <c r="S1923" s="234"/>
      <c r="T1923" s="258"/>
    </row>
    <row r="1924" spans="2:20" ht="22.5" customHeight="1" x14ac:dyDescent="0.25">
      <c r="B1924" s="267"/>
      <c r="C1924" s="234"/>
      <c r="D1924" s="234"/>
      <c r="E1924" s="268"/>
      <c r="F1924" s="269"/>
      <c r="G1924" s="258"/>
      <c r="H1924" s="270"/>
      <c r="I1924" s="271"/>
      <c r="J1924" s="271"/>
      <c r="K1924" s="234"/>
      <c r="L1924" s="307"/>
      <c r="M1924" s="272"/>
      <c r="N1924" s="253"/>
      <c r="O1924" s="256"/>
      <c r="P1924" s="256"/>
      <c r="Q1924" s="256"/>
      <c r="R1924" s="256"/>
      <c r="S1924" s="234"/>
      <c r="T1924" s="258"/>
    </row>
    <row r="1925" spans="2:20" ht="22.5" customHeight="1" x14ac:dyDescent="0.25">
      <c r="B1925" s="267"/>
      <c r="C1925" s="234"/>
      <c r="D1925" s="234"/>
      <c r="E1925" s="268"/>
      <c r="F1925" s="269"/>
      <c r="G1925" s="258"/>
      <c r="H1925" s="270"/>
      <c r="I1925" s="271"/>
      <c r="J1925" s="271"/>
      <c r="K1925" s="234"/>
      <c r="L1925" s="307"/>
      <c r="M1925" s="272"/>
      <c r="N1925" s="253"/>
      <c r="O1925" s="256"/>
      <c r="P1925" s="256"/>
      <c r="Q1925" s="256"/>
      <c r="R1925" s="256"/>
      <c r="S1925" s="234"/>
      <c r="T1925" s="258"/>
    </row>
    <row r="1926" spans="2:20" ht="22.5" customHeight="1" x14ac:dyDescent="0.25">
      <c r="B1926" s="267"/>
      <c r="C1926" s="234"/>
      <c r="D1926" s="234"/>
      <c r="E1926" s="268"/>
      <c r="F1926" s="269"/>
      <c r="G1926" s="258"/>
      <c r="H1926" s="270"/>
      <c r="I1926" s="271"/>
      <c r="J1926" s="271"/>
      <c r="K1926" s="234"/>
      <c r="L1926" s="307"/>
      <c r="M1926" s="272"/>
      <c r="N1926" s="253"/>
      <c r="O1926" s="256"/>
      <c r="P1926" s="256"/>
      <c r="Q1926" s="256"/>
      <c r="R1926" s="256"/>
      <c r="S1926" s="234"/>
      <c r="T1926" s="258"/>
    </row>
    <row r="1927" spans="2:20" ht="22.5" customHeight="1" x14ac:dyDescent="0.25">
      <c r="B1927" s="267"/>
      <c r="C1927" s="234"/>
      <c r="D1927" s="234"/>
      <c r="E1927" s="268"/>
      <c r="F1927" s="269"/>
      <c r="G1927" s="258"/>
      <c r="H1927" s="270"/>
      <c r="I1927" s="271"/>
      <c r="J1927" s="271"/>
      <c r="K1927" s="234"/>
      <c r="L1927" s="307"/>
      <c r="M1927" s="272"/>
      <c r="N1927" s="253"/>
      <c r="O1927" s="256"/>
      <c r="P1927" s="256"/>
      <c r="Q1927" s="256"/>
      <c r="R1927" s="256"/>
      <c r="S1927" s="234"/>
      <c r="T1927" s="258"/>
    </row>
    <row r="1928" spans="2:20" ht="22.5" customHeight="1" x14ac:dyDescent="0.25">
      <c r="B1928" s="267"/>
      <c r="C1928" s="234"/>
      <c r="D1928" s="234"/>
      <c r="E1928" s="268"/>
      <c r="F1928" s="269"/>
      <c r="G1928" s="258"/>
      <c r="H1928" s="270"/>
      <c r="I1928" s="271"/>
      <c r="J1928" s="271"/>
      <c r="K1928" s="234"/>
      <c r="L1928" s="307"/>
      <c r="M1928" s="272"/>
      <c r="N1928" s="253"/>
      <c r="O1928" s="256"/>
      <c r="P1928" s="256"/>
      <c r="Q1928" s="256"/>
      <c r="R1928" s="256"/>
      <c r="S1928" s="234"/>
      <c r="T1928" s="258"/>
    </row>
    <row r="1929" spans="2:20" ht="22.5" customHeight="1" x14ac:dyDescent="0.25">
      <c r="B1929" s="267"/>
      <c r="C1929" s="234"/>
      <c r="D1929" s="234"/>
      <c r="E1929" s="268"/>
      <c r="F1929" s="269"/>
      <c r="G1929" s="258"/>
      <c r="H1929" s="270"/>
      <c r="I1929" s="271"/>
      <c r="J1929" s="271"/>
      <c r="K1929" s="234"/>
      <c r="L1929" s="307"/>
      <c r="M1929" s="272"/>
      <c r="N1929" s="253"/>
      <c r="O1929" s="256"/>
      <c r="P1929" s="256"/>
      <c r="Q1929" s="256"/>
      <c r="R1929" s="256"/>
      <c r="S1929" s="234"/>
      <c r="T1929" s="258"/>
    </row>
    <row r="1930" spans="2:20" ht="22.5" customHeight="1" x14ac:dyDescent="0.25">
      <c r="B1930" s="267"/>
      <c r="C1930" s="234"/>
      <c r="D1930" s="234"/>
      <c r="E1930" s="268"/>
      <c r="F1930" s="269"/>
      <c r="G1930" s="258"/>
      <c r="H1930" s="270"/>
      <c r="I1930" s="271"/>
      <c r="J1930" s="271"/>
      <c r="K1930" s="234"/>
      <c r="L1930" s="307"/>
      <c r="M1930" s="272"/>
      <c r="N1930" s="253"/>
      <c r="O1930" s="256"/>
      <c r="P1930" s="256"/>
      <c r="Q1930" s="256"/>
      <c r="R1930" s="256"/>
      <c r="S1930" s="234"/>
      <c r="T1930" s="258"/>
    </row>
    <row r="1931" spans="2:20" ht="22.5" customHeight="1" x14ac:dyDescent="0.25">
      <c r="B1931" s="267"/>
      <c r="C1931" s="234"/>
      <c r="D1931" s="234"/>
      <c r="E1931" s="268"/>
      <c r="F1931" s="269"/>
      <c r="G1931" s="258"/>
      <c r="H1931" s="270"/>
      <c r="I1931" s="271"/>
      <c r="J1931" s="271"/>
      <c r="K1931" s="234"/>
      <c r="L1931" s="307"/>
      <c r="M1931" s="272"/>
      <c r="N1931" s="253"/>
      <c r="O1931" s="256"/>
      <c r="P1931" s="256"/>
      <c r="Q1931" s="256"/>
      <c r="R1931" s="256"/>
      <c r="S1931" s="234"/>
      <c r="T1931" s="258"/>
    </row>
    <row r="1932" spans="2:20" ht="22.5" customHeight="1" x14ac:dyDescent="0.25">
      <c r="B1932" s="267"/>
      <c r="C1932" s="234"/>
      <c r="D1932" s="234"/>
      <c r="E1932" s="268"/>
      <c r="F1932" s="269"/>
      <c r="G1932" s="258"/>
      <c r="H1932" s="270"/>
      <c r="I1932" s="271"/>
      <c r="J1932" s="271"/>
      <c r="K1932" s="234"/>
      <c r="L1932" s="307"/>
      <c r="M1932" s="272"/>
      <c r="N1932" s="253"/>
      <c r="O1932" s="256"/>
      <c r="P1932" s="256"/>
      <c r="Q1932" s="256"/>
      <c r="R1932" s="256"/>
      <c r="S1932" s="234"/>
      <c r="T1932" s="258"/>
    </row>
    <row r="1933" spans="2:20" ht="22.5" customHeight="1" x14ac:dyDescent="0.25">
      <c r="B1933" s="267"/>
      <c r="C1933" s="234"/>
      <c r="D1933" s="234"/>
      <c r="E1933" s="268"/>
      <c r="F1933" s="269"/>
      <c r="G1933" s="258"/>
      <c r="H1933" s="270"/>
      <c r="I1933" s="271"/>
      <c r="J1933" s="271"/>
      <c r="K1933" s="234"/>
      <c r="L1933" s="307"/>
      <c r="M1933" s="272"/>
      <c r="N1933" s="253"/>
      <c r="O1933" s="256"/>
      <c r="P1933" s="256"/>
      <c r="Q1933" s="256"/>
      <c r="R1933" s="256"/>
      <c r="S1933" s="234"/>
      <c r="T1933" s="258"/>
    </row>
    <row r="1934" spans="2:20" ht="22.5" customHeight="1" x14ac:dyDescent="0.25">
      <c r="B1934" s="267"/>
      <c r="C1934" s="234"/>
      <c r="D1934" s="234"/>
      <c r="E1934" s="268"/>
      <c r="F1934" s="269"/>
      <c r="G1934" s="258"/>
      <c r="H1934" s="270"/>
      <c r="I1934" s="271"/>
      <c r="J1934" s="271"/>
      <c r="K1934" s="234"/>
      <c r="L1934" s="307"/>
      <c r="M1934" s="272"/>
      <c r="N1934" s="253"/>
      <c r="O1934" s="256"/>
      <c r="P1934" s="256"/>
      <c r="Q1934" s="256"/>
      <c r="R1934" s="256"/>
      <c r="S1934" s="234"/>
      <c r="T1934" s="258"/>
    </row>
    <row r="1935" spans="2:20" ht="22.5" customHeight="1" x14ac:dyDescent="0.25">
      <c r="B1935" s="267"/>
      <c r="C1935" s="234"/>
      <c r="D1935" s="234"/>
      <c r="E1935" s="268"/>
      <c r="F1935" s="269"/>
      <c r="G1935" s="258"/>
      <c r="H1935" s="270"/>
      <c r="I1935" s="271"/>
      <c r="J1935" s="271"/>
      <c r="K1935" s="234"/>
      <c r="L1935" s="307"/>
      <c r="M1935" s="272"/>
      <c r="N1935" s="253"/>
      <c r="O1935" s="256"/>
      <c r="P1935" s="256"/>
      <c r="Q1935" s="256"/>
      <c r="R1935" s="256"/>
      <c r="S1935" s="234"/>
      <c r="T1935" s="258"/>
    </row>
    <row r="1936" spans="2:20" ht="22.5" customHeight="1" x14ac:dyDescent="0.25">
      <c r="B1936" s="267"/>
      <c r="C1936" s="234"/>
      <c r="D1936" s="234"/>
      <c r="E1936" s="268"/>
      <c r="F1936" s="269"/>
      <c r="G1936" s="258"/>
      <c r="H1936" s="270"/>
      <c r="I1936" s="271"/>
      <c r="J1936" s="271"/>
      <c r="K1936" s="234"/>
      <c r="L1936" s="307"/>
      <c r="M1936" s="272"/>
      <c r="N1936" s="253"/>
      <c r="O1936" s="256"/>
      <c r="P1936" s="256"/>
      <c r="Q1936" s="256"/>
      <c r="R1936" s="256"/>
      <c r="S1936" s="234"/>
      <c r="T1936" s="258"/>
    </row>
    <row r="1937" spans="2:20" ht="22.5" customHeight="1" x14ac:dyDescent="0.25">
      <c r="B1937" s="267"/>
      <c r="C1937" s="234"/>
      <c r="D1937" s="234"/>
      <c r="E1937" s="268"/>
      <c r="F1937" s="269"/>
      <c r="G1937" s="258"/>
      <c r="H1937" s="270"/>
      <c r="I1937" s="271"/>
      <c r="J1937" s="271"/>
      <c r="K1937" s="234"/>
      <c r="L1937" s="307"/>
      <c r="M1937" s="272"/>
      <c r="N1937" s="253"/>
      <c r="O1937" s="256"/>
      <c r="P1937" s="256"/>
      <c r="Q1937" s="256"/>
      <c r="R1937" s="256"/>
      <c r="S1937" s="234"/>
      <c r="T1937" s="258"/>
    </row>
    <row r="1938" spans="2:20" ht="22.5" customHeight="1" x14ac:dyDescent="0.25">
      <c r="B1938" s="267"/>
      <c r="C1938" s="234"/>
      <c r="D1938" s="234"/>
      <c r="E1938" s="268"/>
      <c r="F1938" s="269"/>
      <c r="G1938" s="258"/>
      <c r="H1938" s="270"/>
      <c r="I1938" s="271"/>
      <c r="J1938" s="271"/>
      <c r="K1938" s="234"/>
      <c r="L1938" s="307"/>
      <c r="M1938" s="272"/>
      <c r="N1938" s="253"/>
      <c r="O1938" s="256"/>
      <c r="P1938" s="256"/>
      <c r="Q1938" s="256"/>
      <c r="R1938" s="256"/>
      <c r="S1938" s="234"/>
      <c r="T1938" s="258"/>
    </row>
    <row r="1939" spans="2:20" ht="22.5" customHeight="1" x14ac:dyDescent="0.25">
      <c r="B1939" s="267"/>
      <c r="C1939" s="234"/>
      <c r="D1939" s="234"/>
      <c r="E1939" s="268"/>
      <c r="F1939" s="269"/>
      <c r="G1939" s="258"/>
      <c r="H1939" s="270"/>
      <c r="I1939" s="271"/>
      <c r="J1939" s="271"/>
      <c r="K1939" s="234"/>
      <c r="L1939" s="307"/>
      <c r="M1939" s="272"/>
      <c r="N1939" s="253"/>
      <c r="O1939" s="256"/>
      <c r="P1939" s="256"/>
      <c r="Q1939" s="256"/>
      <c r="R1939" s="256"/>
      <c r="S1939" s="234"/>
      <c r="T1939" s="258"/>
    </row>
    <row r="1940" spans="2:20" ht="22.5" customHeight="1" x14ac:dyDescent="0.25">
      <c r="B1940" s="267"/>
      <c r="C1940" s="234"/>
      <c r="D1940" s="234"/>
      <c r="E1940" s="268"/>
      <c r="F1940" s="269"/>
      <c r="G1940" s="258"/>
      <c r="H1940" s="270"/>
      <c r="I1940" s="271"/>
      <c r="J1940" s="271"/>
      <c r="K1940" s="234"/>
      <c r="L1940" s="307"/>
      <c r="M1940" s="272"/>
      <c r="N1940" s="253"/>
      <c r="O1940" s="256"/>
      <c r="P1940" s="256"/>
      <c r="Q1940" s="256"/>
      <c r="R1940" s="256"/>
      <c r="S1940" s="234"/>
      <c r="T1940" s="258"/>
    </row>
    <row r="1941" spans="2:20" ht="22.5" customHeight="1" x14ac:dyDescent="0.25">
      <c r="B1941" s="267"/>
      <c r="C1941" s="234"/>
      <c r="D1941" s="234"/>
      <c r="E1941" s="268"/>
      <c r="F1941" s="269"/>
      <c r="G1941" s="258"/>
      <c r="H1941" s="270"/>
      <c r="I1941" s="271"/>
      <c r="J1941" s="271"/>
      <c r="K1941" s="234"/>
      <c r="L1941" s="307"/>
      <c r="M1941" s="272"/>
      <c r="N1941" s="253"/>
      <c r="O1941" s="256"/>
      <c r="P1941" s="256"/>
      <c r="Q1941" s="256"/>
      <c r="R1941" s="256"/>
      <c r="S1941" s="234"/>
      <c r="T1941" s="258"/>
    </row>
    <row r="1942" spans="2:20" ht="22.5" customHeight="1" x14ac:dyDescent="0.25">
      <c r="B1942" s="267"/>
      <c r="C1942" s="234"/>
      <c r="D1942" s="234"/>
      <c r="E1942" s="268"/>
      <c r="F1942" s="269"/>
      <c r="G1942" s="258"/>
      <c r="H1942" s="270"/>
      <c r="I1942" s="271"/>
      <c r="J1942" s="271"/>
      <c r="K1942" s="234"/>
      <c r="L1942" s="307"/>
      <c r="M1942" s="272"/>
      <c r="N1942" s="253"/>
      <c r="O1942" s="256"/>
      <c r="P1942" s="256"/>
      <c r="Q1942" s="256"/>
      <c r="R1942" s="256"/>
      <c r="S1942" s="234"/>
      <c r="T1942" s="258"/>
    </row>
    <row r="1943" spans="2:20" ht="22.5" customHeight="1" x14ac:dyDescent="0.25">
      <c r="B1943" s="267"/>
      <c r="C1943" s="234"/>
      <c r="D1943" s="234"/>
      <c r="E1943" s="268"/>
      <c r="F1943" s="269"/>
      <c r="G1943" s="258"/>
      <c r="H1943" s="270"/>
      <c r="I1943" s="271"/>
      <c r="J1943" s="271"/>
      <c r="K1943" s="234"/>
      <c r="L1943" s="307"/>
      <c r="M1943" s="272"/>
      <c r="N1943" s="253"/>
      <c r="O1943" s="256"/>
      <c r="P1943" s="256"/>
      <c r="Q1943" s="256"/>
      <c r="R1943" s="256"/>
      <c r="S1943" s="234"/>
      <c r="T1943" s="258"/>
    </row>
    <row r="1944" spans="2:20" ht="22.5" customHeight="1" x14ac:dyDescent="0.25">
      <c r="B1944" s="267"/>
      <c r="C1944" s="234"/>
      <c r="D1944" s="234"/>
      <c r="E1944" s="268"/>
      <c r="F1944" s="269"/>
      <c r="G1944" s="258"/>
      <c r="H1944" s="270"/>
      <c r="I1944" s="271"/>
      <c r="J1944" s="271"/>
      <c r="K1944" s="234"/>
      <c r="L1944" s="307"/>
      <c r="M1944" s="272"/>
      <c r="N1944" s="253"/>
      <c r="O1944" s="256"/>
      <c r="P1944" s="256"/>
      <c r="Q1944" s="256"/>
      <c r="R1944" s="256"/>
      <c r="S1944" s="234"/>
      <c r="T1944" s="258"/>
    </row>
    <row r="1945" spans="2:20" ht="22.5" customHeight="1" x14ac:dyDescent="0.25">
      <c r="B1945" s="267"/>
      <c r="C1945" s="234"/>
      <c r="D1945" s="234"/>
      <c r="E1945" s="268"/>
      <c r="F1945" s="269"/>
      <c r="G1945" s="258"/>
      <c r="H1945" s="270"/>
      <c r="I1945" s="271"/>
      <c r="J1945" s="271"/>
      <c r="K1945" s="234"/>
      <c r="L1945" s="307"/>
      <c r="M1945" s="272"/>
      <c r="N1945" s="253"/>
      <c r="O1945" s="256"/>
      <c r="P1945" s="256"/>
      <c r="Q1945" s="256"/>
      <c r="R1945" s="256"/>
      <c r="S1945" s="234"/>
      <c r="T1945" s="258"/>
    </row>
    <row r="1946" spans="2:20" ht="22.5" customHeight="1" x14ac:dyDescent="0.25">
      <c r="B1946" s="267"/>
      <c r="C1946" s="234"/>
      <c r="D1946" s="234"/>
      <c r="E1946" s="268"/>
      <c r="F1946" s="269"/>
      <c r="G1946" s="258"/>
      <c r="H1946" s="270"/>
      <c r="I1946" s="271"/>
      <c r="J1946" s="271"/>
      <c r="K1946" s="234"/>
      <c r="L1946" s="307"/>
      <c r="M1946" s="272"/>
      <c r="N1946" s="253"/>
      <c r="O1946" s="256"/>
      <c r="P1946" s="256"/>
      <c r="Q1946" s="256"/>
      <c r="R1946" s="256"/>
      <c r="S1946" s="234"/>
      <c r="T1946" s="258"/>
    </row>
    <row r="1947" spans="2:20" ht="22.5" customHeight="1" x14ac:dyDescent="0.25">
      <c r="B1947" s="267"/>
      <c r="C1947" s="234"/>
      <c r="D1947" s="234"/>
      <c r="E1947" s="268"/>
      <c r="F1947" s="269"/>
      <c r="G1947" s="258"/>
      <c r="H1947" s="270"/>
      <c r="I1947" s="271"/>
      <c r="J1947" s="271"/>
      <c r="K1947" s="234"/>
      <c r="L1947" s="307"/>
      <c r="M1947" s="272"/>
      <c r="N1947" s="253"/>
      <c r="O1947" s="256"/>
      <c r="P1947" s="256"/>
      <c r="Q1947" s="256"/>
      <c r="R1947" s="256"/>
      <c r="S1947" s="234"/>
      <c r="T1947" s="258"/>
    </row>
    <row r="1948" spans="2:20" ht="22.5" customHeight="1" x14ac:dyDescent="0.25">
      <c r="B1948" s="267"/>
      <c r="C1948" s="234"/>
      <c r="D1948" s="234"/>
      <c r="E1948" s="268"/>
      <c r="F1948" s="269"/>
      <c r="G1948" s="258"/>
      <c r="H1948" s="270"/>
      <c r="I1948" s="271"/>
      <c r="J1948" s="271"/>
      <c r="K1948" s="234"/>
      <c r="L1948" s="307"/>
      <c r="M1948" s="272"/>
      <c r="N1948" s="253"/>
      <c r="O1948" s="256"/>
      <c r="P1948" s="256"/>
      <c r="Q1948" s="256"/>
      <c r="R1948" s="256"/>
      <c r="S1948" s="234"/>
      <c r="T1948" s="258"/>
    </row>
    <row r="1949" spans="2:20" ht="22.5" customHeight="1" x14ac:dyDescent="0.25">
      <c r="B1949" s="267"/>
      <c r="C1949" s="234"/>
      <c r="D1949" s="234"/>
      <c r="E1949" s="268"/>
      <c r="F1949" s="269"/>
      <c r="G1949" s="258"/>
      <c r="H1949" s="270"/>
      <c r="I1949" s="271"/>
      <c r="J1949" s="271"/>
      <c r="K1949" s="234"/>
      <c r="L1949" s="307"/>
      <c r="M1949" s="272"/>
      <c r="N1949" s="253"/>
      <c r="O1949" s="256"/>
      <c r="P1949" s="256"/>
      <c r="Q1949" s="256"/>
      <c r="R1949" s="256"/>
      <c r="S1949" s="234"/>
      <c r="T1949" s="258"/>
    </row>
    <row r="1950" spans="2:20" ht="22.5" customHeight="1" x14ac:dyDescent="0.25">
      <c r="B1950" s="267"/>
      <c r="C1950" s="234"/>
      <c r="D1950" s="234"/>
      <c r="E1950" s="268"/>
      <c r="F1950" s="269"/>
      <c r="G1950" s="258"/>
      <c r="H1950" s="270"/>
      <c r="I1950" s="271"/>
      <c r="J1950" s="271"/>
      <c r="K1950" s="234"/>
      <c r="L1950" s="307"/>
      <c r="M1950" s="272"/>
      <c r="N1950" s="253"/>
      <c r="O1950" s="256"/>
      <c r="P1950" s="256"/>
      <c r="Q1950" s="256"/>
      <c r="R1950" s="256"/>
      <c r="S1950" s="234"/>
      <c r="T1950" s="258"/>
    </row>
    <row r="1951" spans="2:20" ht="22.5" customHeight="1" x14ac:dyDescent="0.25">
      <c r="B1951" s="267"/>
      <c r="C1951" s="234"/>
      <c r="D1951" s="234"/>
      <c r="E1951" s="268"/>
      <c r="F1951" s="269"/>
      <c r="G1951" s="258"/>
      <c r="H1951" s="270"/>
      <c r="I1951" s="271"/>
      <c r="J1951" s="271"/>
      <c r="K1951" s="234"/>
      <c r="L1951" s="307"/>
      <c r="M1951" s="272"/>
      <c r="N1951" s="253"/>
      <c r="O1951" s="256"/>
      <c r="P1951" s="256"/>
      <c r="Q1951" s="256"/>
      <c r="R1951" s="256"/>
      <c r="S1951" s="234"/>
      <c r="T1951" s="258"/>
    </row>
    <row r="1952" spans="2:20" ht="22.5" customHeight="1" x14ac:dyDescent="0.25">
      <c r="B1952" s="267"/>
      <c r="C1952" s="234"/>
      <c r="D1952" s="234"/>
      <c r="E1952" s="268"/>
      <c r="F1952" s="269"/>
      <c r="G1952" s="258"/>
      <c r="H1952" s="270"/>
      <c r="I1952" s="271"/>
      <c r="J1952" s="271"/>
      <c r="K1952" s="234"/>
      <c r="L1952" s="307"/>
      <c r="M1952" s="272"/>
      <c r="N1952" s="253"/>
      <c r="O1952" s="256"/>
      <c r="P1952" s="256"/>
      <c r="Q1952" s="256"/>
      <c r="R1952" s="256"/>
      <c r="S1952" s="234"/>
      <c r="T1952" s="258"/>
    </row>
    <row r="1953" spans="2:20" ht="22.5" customHeight="1" x14ac:dyDescent="0.25">
      <c r="B1953" s="267"/>
      <c r="C1953" s="234"/>
      <c r="D1953" s="234"/>
      <c r="E1953" s="268"/>
      <c r="F1953" s="269"/>
      <c r="G1953" s="258"/>
      <c r="H1953" s="270"/>
      <c r="I1953" s="271"/>
      <c r="J1953" s="271"/>
      <c r="K1953" s="234"/>
      <c r="L1953" s="307"/>
      <c r="M1953" s="272"/>
      <c r="N1953" s="253"/>
      <c r="O1953" s="256"/>
      <c r="P1953" s="256"/>
      <c r="Q1953" s="256"/>
      <c r="R1953" s="256"/>
      <c r="S1953" s="234"/>
      <c r="T1953" s="258"/>
    </row>
    <row r="1954" spans="2:20" ht="22.5" customHeight="1" x14ac:dyDescent="0.25">
      <c r="B1954" s="267"/>
      <c r="C1954" s="234"/>
      <c r="D1954" s="234"/>
      <c r="E1954" s="268"/>
      <c r="F1954" s="269"/>
      <c r="G1954" s="258"/>
      <c r="H1954" s="270"/>
      <c r="I1954" s="271"/>
      <c r="J1954" s="271"/>
      <c r="K1954" s="234"/>
      <c r="L1954" s="307"/>
      <c r="M1954" s="272"/>
      <c r="N1954" s="253"/>
      <c r="O1954" s="256"/>
      <c r="P1954" s="256"/>
      <c r="Q1954" s="256"/>
      <c r="R1954" s="256"/>
      <c r="S1954" s="234"/>
      <c r="T1954" s="258"/>
    </row>
    <row r="1955" spans="2:20" ht="22.5" customHeight="1" x14ac:dyDescent="0.25">
      <c r="B1955" s="267"/>
      <c r="C1955" s="234"/>
      <c r="D1955" s="234"/>
      <c r="E1955" s="268"/>
      <c r="F1955" s="269"/>
      <c r="G1955" s="258"/>
      <c r="H1955" s="270"/>
      <c r="I1955" s="271"/>
      <c r="J1955" s="271"/>
      <c r="K1955" s="234"/>
      <c r="L1955" s="307"/>
      <c r="M1955" s="272"/>
      <c r="N1955" s="253"/>
      <c r="O1955" s="256"/>
      <c r="P1955" s="256"/>
      <c r="Q1955" s="256"/>
      <c r="R1955" s="256"/>
      <c r="S1955" s="234"/>
      <c r="T1955" s="258"/>
    </row>
    <row r="1956" spans="2:20" ht="22.5" customHeight="1" x14ac:dyDescent="0.25">
      <c r="B1956" s="267"/>
      <c r="C1956" s="234"/>
      <c r="D1956" s="234"/>
      <c r="E1956" s="268"/>
      <c r="F1956" s="269"/>
      <c r="G1956" s="258"/>
      <c r="H1956" s="270"/>
      <c r="I1956" s="271"/>
      <c r="J1956" s="271"/>
      <c r="K1956" s="234"/>
      <c r="L1956" s="307"/>
      <c r="M1956" s="272"/>
      <c r="N1956" s="253"/>
      <c r="O1956" s="256"/>
      <c r="P1956" s="256"/>
      <c r="Q1956" s="256"/>
      <c r="R1956" s="256"/>
      <c r="S1956" s="234"/>
      <c r="T1956" s="258"/>
    </row>
    <row r="1957" spans="2:20" ht="22.5" customHeight="1" x14ac:dyDescent="0.25">
      <c r="B1957" s="267"/>
      <c r="C1957" s="234"/>
      <c r="D1957" s="234"/>
      <c r="E1957" s="268"/>
      <c r="F1957" s="269"/>
      <c r="G1957" s="258"/>
      <c r="H1957" s="270"/>
      <c r="I1957" s="271"/>
      <c r="J1957" s="271"/>
      <c r="K1957" s="234"/>
      <c r="L1957" s="307"/>
      <c r="M1957" s="272"/>
      <c r="N1957" s="253"/>
      <c r="O1957" s="256"/>
      <c r="P1957" s="256"/>
      <c r="Q1957" s="256"/>
      <c r="R1957" s="256"/>
      <c r="S1957" s="234"/>
      <c r="T1957" s="258"/>
    </row>
    <row r="1958" spans="2:20" ht="22.5" customHeight="1" x14ac:dyDescent="0.25">
      <c r="B1958" s="267"/>
      <c r="C1958" s="234"/>
      <c r="D1958" s="234"/>
      <c r="E1958" s="268"/>
      <c r="F1958" s="269"/>
      <c r="G1958" s="258"/>
      <c r="H1958" s="270"/>
      <c r="I1958" s="271"/>
      <c r="J1958" s="271"/>
      <c r="K1958" s="234"/>
      <c r="L1958" s="307"/>
      <c r="M1958" s="272"/>
      <c r="N1958" s="253"/>
      <c r="O1958" s="256"/>
      <c r="P1958" s="256"/>
      <c r="Q1958" s="256"/>
      <c r="R1958" s="256"/>
      <c r="S1958" s="234"/>
      <c r="T1958" s="258"/>
    </row>
    <row r="1959" spans="2:20" ht="22.5" customHeight="1" x14ac:dyDescent="0.25">
      <c r="B1959" s="267"/>
      <c r="C1959" s="234"/>
      <c r="D1959" s="234"/>
      <c r="E1959" s="268"/>
      <c r="F1959" s="269"/>
      <c r="G1959" s="258"/>
      <c r="H1959" s="270"/>
      <c r="I1959" s="271"/>
      <c r="J1959" s="271"/>
      <c r="K1959" s="234"/>
      <c r="L1959" s="307"/>
      <c r="M1959" s="272"/>
      <c r="N1959" s="253"/>
      <c r="O1959" s="256"/>
      <c r="P1959" s="256"/>
      <c r="Q1959" s="256"/>
      <c r="R1959" s="256"/>
      <c r="S1959" s="234"/>
      <c r="T1959" s="258"/>
    </row>
    <row r="1960" spans="2:20" ht="22.5" customHeight="1" x14ac:dyDescent="0.25">
      <c r="B1960" s="267"/>
      <c r="C1960" s="234"/>
      <c r="D1960" s="234"/>
      <c r="E1960" s="268"/>
      <c r="F1960" s="269"/>
      <c r="G1960" s="258"/>
      <c r="H1960" s="270"/>
      <c r="I1960" s="271"/>
      <c r="J1960" s="271"/>
      <c r="K1960" s="234"/>
      <c r="L1960" s="307"/>
      <c r="M1960" s="272"/>
      <c r="N1960" s="253"/>
      <c r="O1960" s="256"/>
      <c r="P1960" s="256"/>
      <c r="Q1960" s="256"/>
      <c r="R1960" s="256"/>
      <c r="S1960" s="234"/>
      <c r="T1960" s="258"/>
    </row>
    <row r="1961" spans="2:20" ht="22.5" customHeight="1" x14ac:dyDescent="0.25">
      <c r="B1961" s="267"/>
      <c r="C1961" s="234"/>
      <c r="D1961" s="234"/>
      <c r="E1961" s="268"/>
      <c r="F1961" s="269"/>
      <c r="G1961" s="258"/>
      <c r="H1961" s="270"/>
      <c r="I1961" s="271"/>
      <c r="J1961" s="271"/>
      <c r="K1961" s="234"/>
      <c r="L1961" s="307"/>
      <c r="M1961" s="272"/>
      <c r="N1961" s="253"/>
      <c r="O1961" s="256"/>
      <c r="P1961" s="256"/>
      <c r="Q1961" s="256"/>
      <c r="R1961" s="256"/>
      <c r="S1961" s="234"/>
      <c r="T1961" s="258"/>
    </row>
    <row r="1962" spans="2:20" ht="22.5" customHeight="1" x14ac:dyDescent="0.25">
      <c r="B1962" s="267"/>
      <c r="C1962" s="234"/>
      <c r="D1962" s="234"/>
      <c r="E1962" s="268"/>
      <c r="F1962" s="269"/>
      <c r="G1962" s="258"/>
      <c r="H1962" s="270"/>
      <c r="I1962" s="271"/>
      <c r="J1962" s="271"/>
      <c r="K1962" s="234"/>
      <c r="L1962" s="307"/>
      <c r="M1962" s="272"/>
      <c r="N1962" s="253"/>
      <c r="O1962" s="256"/>
      <c r="P1962" s="256"/>
      <c r="Q1962" s="256"/>
      <c r="R1962" s="256"/>
      <c r="S1962" s="234"/>
      <c r="T1962" s="258"/>
    </row>
    <row r="1963" spans="2:20" ht="22.5" customHeight="1" x14ac:dyDescent="0.25">
      <c r="B1963" s="267"/>
      <c r="C1963" s="234"/>
      <c r="D1963" s="234"/>
      <c r="E1963" s="268"/>
      <c r="F1963" s="269"/>
      <c r="G1963" s="258"/>
      <c r="H1963" s="270"/>
      <c r="I1963" s="271"/>
      <c r="J1963" s="271"/>
      <c r="K1963" s="234"/>
      <c r="L1963" s="307"/>
      <c r="M1963" s="272"/>
      <c r="N1963" s="253"/>
      <c r="O1963" s="256"/>
      <c r="P1963" s="256"/>
      <c r="Q1963" s="256"/>
      <c r="R1963" s="256"/>
      <c r="S1963" s="234"/>
      <c r="T1963" s="258"/>
    </row>
    <row r="1964" spans="2:20" ht="22.5" customHeight="1" x14ac:dyDescent="0.25">
      <c r="B1964" s="267"/>
      <c r="C1964" s="234"/>
      <c r="D1964" s="234"/>
      <c r="E1964" s="268"/>
      <c r="F1964" s="269"/>
      <c r="G1964" s="258"/>
      <c r="H1964" s="270"/>
      <c r="I1964" s="271"/>
      <c r="J1964" s="271"/>
      <c r="K1964" s="234"/>
      <c r="L1964" s="307"/>
      <c r="M1964" s="272"/>
      <c r="N1964" s="253"/>
      <c r="O1964" s="256"/>
      <c r="P1964" s="256"/>
      <c r="Q1964" s="256"/>
      <c r="R1964" s="256"/>
      <c r="S1964" s="234"/>
      <c r="T1964" s="258"/>
    </row>
    <row r="1965" spans="2:20" ht="22.5" customHeight="1" x14ac:dyDescent="0.25">
      <c r="B1965" s="267"/>
      <c r="C1965" s="234"/>
      <c r="D1965" s="234"/>
      <c r="E1965" s="268"/>
      <c r="F1965" s="269"/>
      <c r="G1965" s="258"/>
      <c r="H1965" s="270"/>
      <c r="I1965" s="271"/>
      <c r="J1965" s="271"/>
      <c r="K1965" s="234"/>
      <c r="L1965" s="307"/>
      <c r="M1965" s="272"/>
      <c r="N1965" s="253"/>
      <c r="O1965" s="256"/>
      <c r="P1965" s="256"/>
      <c r="Q1965" s="256"/>
      <c r="R1965" s="256"/>
      <c r="S1965" s="234"/>
      <c r="T1965" s="258"/>
    </row>
    <row r="1966" spans="2:20" ht="22.5" customHeight="1" x14ac:dyDescent="0.25">
      <c r="B1966" s="267"/>
      <c r="C1966" s="234"/>
      <c r="D1966" s="234"/>
      <c r="E1966" s="268"/>
      <c r="F1966" s="269"/>
      <c r="G1966" s="258"/>
      <c r="H1966" s="270"/>
      <c r="I1966" s="271"/>
      <c r="J1966" s="271"/>
      <c r="K1966" s="234"/>
      <c r="L1966" s="307"/>
      <c r="M1966" s="272"/>
      <c r="N1966" s="253"/>
      <c r="O1966" s="256"/>
      <c r="P1966" s="256"/>
      <c r="Q1966" s="256"/>
      <c r="R1966" s="256"/>
      <c r="S1966" s="234"/>
      <c r="T1966" s="258"/>
    </row>
    <row r="1967" spans="2:20" ht="22.5" customHeight="1" x14ac:dyDescent="0.25">
      <c r="B1967" s="267"/>
      <c r="C1967" s="234"/>
      <c r="D1967" s="234"/>
      <c r="E1967" s="268"/>
      <c r="F1967" s="269"/>
      <c r="G1967" s="258"/>
      <c r="H1967" s="270"/>
      <c r="I1967" s="271"/>
      <c r="J1967" s="271"/>
      <c r="K1967" s="234"/>
      <c r="L1967" s="307"/>
      <c r="M1967" s="272"/>
      <c r="N1967" s="253"/>
      <c r="O1967" s="256"/>
      <c r="P1967" s="256"/>
      <c r="Q1967" s="256"/>
      <c r="R1967" s="256"/>
      <c r="S1967" s="234"/>
      <c r="T1967" s="258"/>
    </row>
    <row r="1968" spans="2:20" ht="22.5" customHeight="1" x14ac:dyDescent="0.25">
      <c r="B1968" s="267"/>
      <c r="C1968" s="234"/>
      <c r="D1968" s="234"/>
      <c r="E1968" s="268"/>
      <c r="F1968" s="269"/>
      <c r="G1968" s="258"/>
      <c r="H1968" s="270"/>
      <c r="I1968" s="271"/>
      <c r="J1968" s="271"/>
      <c r="K1968" s="234"/>
      <c r="L1968" s="307"/>
      <c r="M1968" s="272"/>
      <c r="N1968" s="253"/>
      <c r="O1968" s="256"/>
      <c r="P1968" s="256"/>
      <c r="Q1968" s="256"/>
      <c r="R1968" s="256"/>
      <c r="S1968" s="234"/>
      <c r="T1968" s="258"/>
    </row>
    <row r="1969" spans="2:20" ht="22.5" customHeight="1" x14ac:dyDescent="0.25">
      <c r="B1969" s="267"/>
      <c r="C1969" s="234"/>
      <c r="D1969" s="234"/>
      <c r="E1969" s="268"/>
      <c r="F1969" s="269"/>
      <c r="G1969" s="258"/>
      <c r="H1969" s="270"/>
      <c r="I1969" s="271"/>
      <c r="J1969" s="271"/>
      <c r="K1969" s="234"/>
      <c r="L1969" s="307"/>
      <c r="M1969" s="272"/>
      <c r="N1969" s="253"/>
      <c r="O1969" s="256"/>
      <c r="P1969" s="256"/>
      <c r="Q1969" s="256"/>
      <c r="R1969" s="256"/>
      <c r="S1969" s="234"/>
      <c r="T1969" s="258"/>
    </row>
    <row r="1970" spans="2:20" ht="22.5" customHeight="1" x14ac:dyDescent="0.25">
      <c r="B1970" s="267"/>
      <c r="C1970" s="234"/>
      <c r="D1970" s="234"/>
      <c r="E1970" s="268"/>
      <c r="F1970" s="269"/>
      <c r="G1970" s="258"/>
      <c r="H1970" s="270"/>
      <c r="I1970" s="271"/>
      <c r="J1970" s="271"/>
      <c r="K1970" s="234"/>
      <c r="L1970" s="307"/>
      <c r="M1970" s="272"/>
      <c r="N1970" s="253"/>
      <c r="O1970" s="256"/>
      <c r="P1970" s="256"/>
      <c r="Q1970" s="256"/>
      <c r="R1970" s="256"/>
      <c r="S1970" s="234"/>
      <c r="T1970" s="258"/>
    </row>
    <row r="1971" spans="2:20" ht="22.5" customHeight="1" x14ac:dyDescent="0.25">
      <c r="B1971" s="267"/>
      <c r="C1971" s="234"/>
      <c r="D1971" s="234"/>
      <c r="E1971" s="268"/>
      <c r="F1971" s="269"/>
      <c r="G1971" s="258"/>
      <c r="H1971" s="270"/>
      <c r="I1971" s="271"/>
      <c r="J1971" s="271"/>
      <c r="K1971" s="234"/>
      <c r="L1971" s="307"/>
      <c r="M1971" s="272"/>
      <c r="N1971" s="253"/>
      <c r="O1971" s="256"/>
      <c r="P1971" s="256"/>
      <c r="Q1971" s="256"/>
      <c r="R1971" s="256"/>
      <c r="S1971" s="234"/>
      <c r="T1971" s="258"/>
    </row>
    <row r="1972" spans="2:20" ht="22.5" customHeight="1" x14ac:dyDescent="0.25">
      <c r="B1972" s="267"/>
      <c r="C1972" s="234"/>
      <c r="D1972" s="234"/>
      <c r="E1972" s="268"/>
      <c r="F1972" s="269"/>
      <c r="G1972" s="258"/>
      <c r="H1972" s="270"/>
      <c r="I1972" s="271"/>
      <c r="J1972" s="271"/>
      <c r="K1972" s="234"/>
      <c r="L1972" s="307"/>
      <c r="M1972" s="272"/>
      <c r="N1972" s="253"/>
      <c r="O1972" s="256"/>
      <c r="P1972" s="256"/>
      <c r="Q1972" s="256"/>
      <c r="R1972" s="256"/>
      <c r="S1972" s="234"/>
      <c r="T1972" s="258"/>
    </row>
    <row r="1973" spans="2:20" ht="22.5" customHeight="1" x14ac:dyDescent="0.25">
      <c r="B1973" s="267"/>
      <c r="C1973" s="234"/>
      <c r="D1973" s="234"/>
      <c r="E1973" s="268"/>
      <c r="F1973" s="269"/>
      <c r="G1973" s="258"/>
      <c r="H1973" s="270"/>
      <c r="I1973" s="271"/>
      <c r="J1973" s="271"/>
      <c r="K1973" s="234"/>
      <c r="L1973" s="307"/>
      <c r="M1973" s="272"/>
      <c r="N1973" s="253"/>
      <c r="O1973" s="256"/>
      <c r="P1973" s="256"/>
      <c r="Q1973" s="256"/>
      <c r="R1973" s="256"/>
      <c r="S1973" s="234"/>
      <c r="T1973" s="258"/>
    </row>
    <row r="1974" spans="2:20" ht="22.5" customHeight="1" x14ac:dyDescent="0.25">
      <c r="B1974" s="267"/>
      <c r="C1974" s="234"/>
      <c r="D1974" s="234"/>
      <c r="E1974" s="268"/>
      <c r="F1974" s="269"/>
      <c r="G1974" s="258"/>
      <c r="H1974" s="270"/>
      <c r="I1974" s="271"/>
      <c r="J1974" s="271"/>
      <c r="K1974" s="234"/>
      <c r="L1974" s="307"/>
      <c r="M1974" s="272"/>
      <c r="N1974" s="253"/>
      <c r="O1974" s="256"/>
      <c r="P1974" s="256"/>
      <c r="Q1974" s="256"/>
      <c r="R1974" s="256"/>
      <c r="S1974" s="234"/>
      <c r="T1974" s="258"/>
    </row>
    <row r="1975" spans="2:20" ht="22.5" customHeight="1" x14ac:dyDescent="0.25">
      <c r="B1975" s="267"/>
      <c r="C1975" s="234"/>
      <c r="D1975" s="234"/>
      <c r="E1975" s="268"/>
      <c r="F1975" s="269"/>
      <c r="G1975" s="258"/>
      <c r="H1975" s="270"/>
      <c r="I1975" s="271"/>
      <c r="J1975" s="271"/>
      <c r="K1975" s="234"/>
      <c r="L1975" s="307"/>
      <c r="M1975" s="272"/>
      <c r="N1975" s="253"/>
      <c r="O1975" s="256"/>
      <c r="P1975" s="256"/>
      <c r="Q1975" s="256"/>
      <c r="R1975" s="256"/>
      <c r="S1975" s="234"/>
      <c r="T1975" s="258"/>
    </row>
    <row r="1976" spans="2:20" ht="22.5" customHeight="1" x14ac:dyDescent="0.25">
      <c r="B1976" s="267"/>
      <c r="C1976" s="234"/>
      <c r="D1976" s="234"/>
      <c r="E1976" s="268"/>
      <c r="F1976" s="269"/>
      <c r="G1976" s="258"/>
      <c r="H1976" s="270"/>
      <c r="I1976" s="271"/>
      <c r="J1976" s="271"/>
      <c r="K1976" s="234"/>
      <c r="L1976" s="307"/>
      <c r="M1976" s="272"/>
      <c r="N1976" s="253"/>
      <c r="O1976" s="256"/>
      <c r="P1976" s="256"/>
      <c r="Q1976" s="256"/>
      <c r="R1976" s="256"/>
      <c r="S1976" s="234"/>
      <c r="T1976" s="258"/>
    </row>
    <row r="1977" spans="2:20" ht="22.5" customHeight="1" x14ac:dyDescent="0.25">
      <c r="B1977" s="267"/>
      <c r="C1977" s="234"/>
      <c r="D1977" s="234"/>
      <c r="E1977" s="268"/>
      <c r="F1977" s="269"/>
      <c r="G1977" s="258"/>
      <c r="H1977" s="270"/>
      <c r="I1977" s="271"/>
      <c r="J1977" s="271"/>
      <c r="K1977" s="234"/>
      <c r="L1977" s="307"/>
      <c r="M1977" s="272"/>
      <c r="N1977" s="253"/>
      <c r="O1977" s="256"/>
      <c r="P1977" s="256"/>
      <c r="Q1977" s="256"/>
      <c r="R1977" s="256"/>
      <c r="S1977" s="234"/>
      <c r="T1977" s="258"/>
    </row>
    <row r="1978" spans="2:20" ht="22.5" customHeight="1" x14ac:dyDescent="0.25">
      <c r="B1978" s="267"/>
      <c r="C1978" s="234"/>
      <c r="D1978" s="234"/>
      <c r="E1978" s="268"/>
      <c r="F1978" s="269"/>
      <c r="G1978" s="258"/>
      <c r="H1978" s="270"/>
      <c r="I1978" s="271"/>
      <c r="J1978" s="271"/>
      <c r="K1978" s="234"/>
      <c r="L1978" s="307"/>
      <c r="M1978" s="272"/>
      <c r="N1978" s="253"/>
      <c r="O1978" s="256"/>
      <c r="P1978" s="256"/>
      <c r="Q1978" s="256"/>
      <c r="R1978" s="256"/>
      <c r="S1978" s="234"/>
      <c r="T1978" s="258"/>
    </row>
    <row r="1979" spans="2:20" ht="22.5" customHeight="1" x14ac:dyDescent="0.25">
      <c r="B1979" s="267"/>
      <c r="C1979" s="234"/>
      <c r="D1979" s="234"/>
      <c r="E1979" s="268"/>
      <c r="F1979" s="269"/>
      <c r="G1979" s="258"/>
      <c r="H1979" s="270"/>
      <c r="I1979" s="271"/>
      <c r="J1979" s="271"/>
      <c r="K1979" s="234"/>
      <c r="L1979" s="307"/>
      <c r="M1979" s="272"/>
      <c r="N1979" s="253"/>
      <c r="O1979" s="256"/>
      <c r="P1979" s="256"/>
      <c r="Q1979" s="256"/>
      <c r="R1979" s="256"/>
      <c r="S1979" s="234"/>
      <c r="T1979" s="258"/>
    </row>
    <row r="1980" spans="2:20" ht="22.5" customHeight="1" x14ac:dyDescent="0.25">
      <c r="B1980" s="267"/>
      <c r="C1980" s="234"/>
      <c r="D1980" s="234"/>
      <c r="E1980" s="268"/>
      <c r="F1980" s="269"/>
      <c r="G1980" s="258"/>
      <c r="H1980" s="270"/>
      <c r="I1980" s="271"/>
      <c r="J1980" s="271"/>
      <c r="K1980" s="234"/>
      <c r="L1980" s="307"/>
      <c r="M1980" s="272"/>
      <c r="N1980" s="253"/>
      <c r="O1980" s="256"/>
      <c r="P1980" s="256"/>
      <c r="Q1980" s="256"/>
      <c r="R1980" s="256"/>
      <c r="S1980" s="234"/>
      <c r="T1980" s="258"/>
    </row>
    <row r="1981" spans="2:20" ht="22.5" customHeight="1" x14ac:dyDescent="0.25">
      <c r="B1981" s="267"/>
      <c r="C1981" s="234"/>
      <c r="D1981" s="234"/>
      <c r="E1981" s="268"/>
      <c r="F1981" s="269"/>
      <c r="G1981" s="258"/>
      <c r="H1981" s="270"/>
      <c r="I1981" s="271"/>
      <c r="J1981" s="271"/>
      <c r="K1981" s="234"/>
      <c r="L1981" s="307"/>
      <c r="M1981" s="272"/>
      <c r="N1981" s="253"/>
      <c r="O1981" s="256"/>
      <c r="P1981" s="256"/>
      <c r="Q1981" s="256"/>
      <c r="R1981" s="256"/>
      <c r="S1981" s="234"/>
      <c r="T1981" s="258"/>
    </row>
    <row r="1982" spans="2:20" ht="22.5" customHeight="1" x14ac:dyDescent="0.25">
      <c r="B1982" s="267"/>
      <c r="C1982" s="234"/>
      <c r="D1982" s="234"/>
      <c r="E1982" s="268"/>
      <c r="F1982" s="269"/>
      <c r="G1982" s="258"/>
      <c r="H1982" s="270"/>
      <c r="I1982" s="271"/>
      <c r="J1982" s="271"/>
      <c r="K1982" s="234"/>
      <c r="L1982" s="307"/>
      <c r="M1982" s="272"/>
      <c r="N1982" s="253"/>
      <c r="O1982" s="256"/>
      <c r="P1982" s="256"/>
      <c r="Q1982" s="256"/>
      <c r="R1982" s="256"/>
      <c r="S1982" s="234"/>
      <c r="T1982" s="258"/>
    </row>
    <row r="1983" spans="2:20" ht="22.5" customHeight="1" x14ac:dyDescent="0.25">
      <c r="B1983" s="267"/>
      <c r="C1983" s="234"/>
      <c r="D1983" s="234"/>
      <c r="E1983" s="268"/>
      <c r="F1983" s="269"/>
      <c r="G1983" s="258"/>
      <c r="H1983" s="270"/>
      <c r="I1983" s="271"/>
      <c r="J1983" s="271"/>
      <c r="K1983" s="234"/>
      <c r="L1983" s="307"/>
      <c r="M1983" s="272"/>
      <c r="N1983" s="253"/>
      <c r="O1983" s="256"/>
      <c r="P1983" s="256"/>
      <c r="Q1983" s="256"/>
      <c r="R1983" s="256"/>
      <c r="S1983" s="234"/>
      <c r="T1983" s="258"/>
    </row>
    <row r="1984" spans="2:20" ht="22.5" customHeight="1" x14ac:dyDescent="0.25">
      <c r="B1984" s="267"/>
      <c r="C1984" s="234"/>
      <c r="D1984" s="234"/>
      <c r="E1984" s="268"/>
      <c r="F1984" s="269"/>
      <c r="G1984" s="258"/>
      <c r="H1984" s="270"/>
      <c r="I1984" s="271"/>
      <c r="J1984" s="271"/>
      <c r="K1984" s="234"/>
      <c r="L1984" s="307"/>
      <c r="M1984" s="272"/>
      <c r="N1984" s="253"/>
      <c r="O1984" s="256"/>
      <c r="P1984" s="256"/>
      <c r="Q1984" s="256"/>
      <c r="R1984" s="256"/>
      <c r="S1984" s="234"/>
      <c r="T1984" s="258"/>
    </row>
    <row r="1985" spans="2:20" ht="22.5" customHeight="1" x14ac:dyDescent="0.25">
      <c r="B1985" s="267"/>
      <c r="C1985" s="234"/>
      <c r="D1985" s="234"/>
      <c r="E1985" s="268"/>
      <c r="F1985" s="269"/>
      <c r="G1985" s="258"/>
      <c r="H1985" s="270"/>
      <c r="I1985" s="271"/>
      <c r="J1985" s="271"/>
      <c r="K1985" s="234"/>
      <c r="L1985" s="307"/>
      <c r="M1985" s="272"/>
      <c r="N1985" s="253"/>
      <c r="O1985" s="256"/>
      <c r="P1985" s="256"/>
      <c r="Q1985" s="256"/>
      <c r="R1985" s="256"/>
      <c r="S1985" s="234"/>
      <c r="T1985" s="258"/>
    </row>
    <row r="1986" spans="2:20" ht="22.5" customHeight="1" x14ac:dyDescent="0.25">
      <c r="B1986" s="267"/>
      <c r="C1986" s="234"/>
      <c r="D1986" s="234"/>
      <c r="E1986" s="268"/>
      <c r="F1986" s="269"/>
      <c r="G1986" s="258"/>
      <c r="H1986" s="270"/>
      <c r="I1986" s="271"/>
      <c r="J1986" s="271"/>
      <c r="K1986" s="234"/>
      <c r="L1986" s="307"/>
      <c r="M1986" s="272"/>
      <c r="N1986" s="253"/>
      <c r="O1986" s="256"/>
      <c r="P1986" s="256"/>
      <c r="Q1986" s="256"/>
      <c r="R1986" s="256"/>
      <c r="S1986" s="234"/>
      <c r="T1986" s="258"/>
    </row>
    <row r="1987" spans="2:20" ht="22.5" customHeight="1" x14ac:dyDescent="0.25">
      <c r="B1987" s="267"/>
      <c r="C1987" s="234"/>
      <c r="D1987" s="234"/>
      <c r="E1987" s="268"/>
      <c r="F1987" s="269"/>
      <c r="G1987" s="258"/>
      <c r="H1987" s="270"/>
      <c r="I1987" s="271"/>
      <c r="J1987" s="271"/>
      <c r="K1987" s="234"/>
      <c r="L1987" s="307"/>
      <c r="M1987" s="272"/>
      <c r="N1987" s="253"/>
      <c r="O1987" s="256"/>
      <c r="P1987" s="256"/>
      <c r="Q1987" s="256"/>
      <c r="R1987" s="256"/>
      <c r="S1987" s="234"/>
      <c r="T1987" s="258"/>
    </row>
    <row r="1988" spans="2:20" ht="22.5" customHeight="1" x14ac:dyDescent="0.25">
      <c r="B1988" s="267"/>
      <c r="C1988" s="234"/>
      <c r="D1988" s="234"/>
      <c r="E1988" s="268"/>
      <c r="F1988" s="269"/>
      <c r="G1988" s="258"/>
      <c r="H1988" s="270"/>
      <c r="I1988" s="271"/>
      <c r="J1988" s="271"/>
      <c r="K1988" s="234"/>
      <c r="L1988" s="307"/>
      <c r="M1988" s="272"/>
      <c r="N1988" s="253"/>
      <c r="O1988" s="256"/>
      <c r="P1988" s="256"/>
      <c r="Q1988" s="256"/>
      <c r="R1988" s="256"/>
      <c r="S1988" s="234"/>
      <c r="T1988" s="258"/>
    </row>
    <row r="1989" spans="2:20" ht="22.5" customHeight="1" x14ac:dyDescent="0.25">
      <c r="B1989" s="267"/>
      <c r="C1989" s="234"/>
      <c r="D1989" s="234"/>
      <c r="E1989" s="268"/>
      <c r="F1989" s="269"/>
      <c r="G1989" s="258"/>
      <c r="H1989" s="270"/>
      <c r="I1989" s="271"/>
      <c r="J1989" s="271"/>
      <c r="K1989" s="234"/>
      <c r="L1989" s="307"/>
      <c r="M1989" s="272"/>
      <c r="N1989" s="253"/>
      <c r="O1989" s="256"/>
      <c r="P1989" s="256"/>
      <c r="Q1989" s="256"/>
      <c r="R1989" s="256"/>
      <c r="S1989" s="234"/>
      <c r="T1989" s="258"/>
    </row>
    <row r="1990" spans="2:20" ht="22.5" customHeight="1" x14ac:dyDescent="0.25">
      <c r="B1990" s="267"/>
      <c r="C1990" s="234"/>
      <c r="D1990" s="234"/>
      <c r="E1990" s="268"/>
      <c r="F1990" s="269"/>
      <c r="G1990" s="258"/>
      <c r="H1990" s="270"/>
      <c r="I1990" s="271"/>
      <c r="J1990" s="271"/>
      <c r="K1990" s="234"/>
      <c r="L1990" s="307"/>
      <c r="M1990" s="272"/>
      <c r="N1990" s="253"/>
      <c r="O1990" s="256"/>
      <c r="P1990" s="256"/>
      <c r="Q1990" s="256"/>
      <c r="R1990" s="256"/>
      <c r="S1990" s="234"/>
      <c r="T1990" s="258"/>
    </row>
    <row r="1991" spans="2:20" ht="22.5" customHeight="1" x14ac:dyDescent="0.25">
      <c r="B1991" s="267"/>
      <c r="C1991" s="234"/>
      <c r="D1991" s="234"/>
      <c r="E1991" s="268"/>
      <c r="F1991" s="269"/>
      <c r="G1991" s="258"/>
      <c r="H1991" s="270"/>
      <c r="I1991" s="271"/>
      <c r="J1991" s="271"/>
      <c r="K1991" s="234"/>
      <c r="L1991" s="307"/>
      <c r="M1991" s="272"/>
      <c r="N1991" s="253"/>
      <c r="O1991" s="256"/>
      <c r="P1991" s="256"/>
      <c r="Q1991" s="256"/>
      <c r="R1991" s="256"/>
      <c r="S1991" s="234"/>
      <c r="T1991" s="258"/>
    </row>
    <row r="1992" spans="2:20" ht="22.5" customHeight="1" x14ac:dyDescent="0.25">
      <c r="B1992" s="267"/>
      <c r="C1992" s="234"/>
      <c r="D1992" s="234"/>
      <c r="E1992" s="268"/>
      <c r="F1992" s="269"/>
      <c r="G1992" s="258"/>
      <c r="H1992" s="270"/>
      <c r="I1992" s="271"/>
      <c r="J1992" s="271"/>
      <c r="K1992" s="234"/>
      <c r="L1992" s="307"/>
      <c r="M1992" s="272"/>
      <c r="N1992" s="253"/>
      <c r="O1992" s="256"/>
      <c r="P1992" s="256"/>
      <c r="Q1992" s="256"/>
      <c r="R1992" s="256"/>
      <c r="S1992" s="234"/>
      <c r="T1992" s="258"/>
    </row>
    <row r="1993" spans="2:20" ht="22.5" customHeight="1" x14ac:dyDescent="0.25">
      <c r="B1993" s="267"/>
      <c r="C1993" s="234"/>
      <c r="D1993" s="234"/>
      <c r="E1993" s="268"/>
      <c r="F1993" s="269"/>
      <c r="G1993" s="258"/>
      <c r="H1993" s="270"/>
      <c r="I1993" s="271"/>
      <c r="J1993" s="271"/>
      <c r="K1993" s="234"/>
      <c r="L1993" s="307"/>
      <c r="M1993" s="272"/>
      <c r="N1993" s="253"/>
      <c r="O1993" s="256"/>
      <c r="P1993" s="256"/>
      <c r="Q1993" s="256"/>
      <c r="R1993" s="256"/>
      <c r="S1993" s="234"/>
      <c r="T1993" s="258"/>
    </row>
    <row r="1994" spans="2:20" ht="22.5" customHeight="1" x14ac:dyDescent="0.25">
      <c r="B1994" s="267"/>
      <c r="C1994" s="234"/>
      <c r="D1994" s="234"/>
      <c r="E1994" s="268"/>
      <c r="F1994" s="269"/>
      <c r="G1994" s="258"/>
      <c r="H1994" s="270"/>
      <c r="I1994" s="271"/>
      <c r="J1994" s="271"/>
      <c r="K1994" s="234"/>
      <c r="L1994" s="307"/>
      <c r="M1994" s="272"/>
      <c r="N1994" s="253"/>
      <c r="O1994" s="256"/>
      <c r="P1994" s="256"/>
      <c r="Q1994" s="256"/>
      <c r="R1994" s="256"/>
      <c r="S1994" s="234"/>
      <c r="T1994" s="258"/>
    </row>
    <row r="1995" spans="2:20" ht="22.5" customHeight="1" x14ac:dyDescent="0.25">
      <c r="B1995" s="267"/>
      <c r="C1995" s="234"/>
      <c r="D1995" s="234"/>
      <c r="E1995" s="268"/>
      <c r="F1995" s="269"/>
      <c r="G1995" s="258"/>
      <c r="H1995" s="270"/>
      <c r="I1995" s="271"/>
      <c r="J1995" s="271"/>
      <c r="K1995" s="234"/>
      <c r="L1995" s="307"/>
      <c r="M1995" s="272"/>
      <c r="N1995" s="253"/>
      <c r="O1995" s="256"/>
      <c r="P1995" s="256"/>
      <c r="Q1995" s="256"/>
      <c r="R1995" s="256"/>
      <c r="S1995" s="234"/>
      <c r="T1995" s="258"/>
    </row>
    <row r="1996" spans="2:20" ht="22.5" customHeight="1" x14ac:dyDescent="0.25">
      <c r="B1996" s="267"/>
      <c r="C1996" s="234"/>
      <c r="D1996" s="234"/>
      <c r="E1996" s="268"/>
      <c r="F1996" s="269"/>
      <c r="G1996" s="258"/>
      <c r="H1996" s="270"/>
      <c r="I1996" s="271"/>
      <c r="J1996" s="271"/>
      <c r="K1996" s="234"/>
      <c r="L1996" s="307"/>
      <c r="M1996" s="272"/>
      <c r="N1996" s="253"/>
      <c r="O1996" s="256"/>
      <c r="P1996" s="256"/>
      <c r="Q1996" s="256"/>
      <c r="R1996" s="256"/>
      <c r="S1996" s="234"/>
      <c r="T1996" s="258"/>
    </row>
    <row r="1997" spans="2:20" ht="22.5" customHeight="1" x14ac:dyDescent="0.25">
      <c r="B1997" s="267"/>
      <c r="C1997" s="234"/>
      <c r="D1997" s="234"/>
      <c r="E1997" s="268"/>
      <c r="F1997" s="269"/>
      <c r="G1997" s="258"/>
      <c r="H1997" s="270"/>
      <c r="I1997" s="271"/>
      <c r="J1997" s="271"/>
      <c r="K1997" s="234"/>
      <c r="L1997" s="307"/>
      <c r="M1997" s="272"/>
      <c r="N1997" s="253"/>
      <c r="O1997" s="256"/>
      <c r="P1997" s="256"/>
      <c r="Q1997" s="256"/>
      <c r="R1997" s="256"/>
      <c r="S1997" s="234"/>
      <c r="T1997" s="258"/>
    </row>
    <row r="1998" spans="2:20" ht="22.5" customHeight="1" x14ac:dyDescent="0.25">
      <c r="B1998" s="267"/>
      <c r="C1998" s="234"/>
      <c r="D1998" s="234"/>
      <c r="E1998" s="268"/>
      <c r="F1998" s="269"/>
      <c r="G1998" s="258"/>
      <c r="H1998" s="270"/>
      <c r="I1998" s="271"/>
      <c r="J1998" s="271"/>
      <c r="K1998" s="234"/>
      <c r="L1998" s="307"/>
      <c r="M1998" s="272"/>
      <c r="N1998" s="253"/>
      <c r="O1998" s="256"/>
      <c r="P1998" s="256"/>
      <c r="Q1998" s="256"/>
      <c r="R1998" s="256"/>
      <c r="S1998" s="234"/>
      <c r="T1998" s="258"/>
    </row>
    <row r="1999" spans="2:20" ht="22.5" customHeight="1" x14ac:dyDescent="0.25">
      <c r="B1999" s="267"/>
      <c r="C1999" s="234"/>
      <c r="D1999" s="234"/>
      <c r="E1999" s="268"/>
      <c r="F1999" s="269"/>
      <c r="G1999" s="258"/>
      <c r="H1999" s="270"/>
      <c r="I1999" s="271"/>
      <c r="J1999" s="271"/>
      <c r="K1999" s="234"/>
      <c r="L1999" s="307"/>
      <c r="M1999" s="272"/>
      <c r="N1999" s="253"/>
      <c r="O1999" s="256"/>
      <c r="P1999" s="256"/>
      <c r="Q1999" s="256"/>
      <c r="R1999" s="256"/>
      <c r="S1999" s="234"/>
      <c r="T1999" s="258"/>
    </row>
    <row r="2000" spans="2:20" ht="22.5" customHeight="1" x14ac:dyDescent="0.25">
      <c r="B2000" s="273"/>
      <c r="C2000" s="261"/>
      <c r="D2000" s="261"/>
      <c r="E2000" s="274"/>
      <c r="F2000" s="275"/>
      <c r="G2000" s="276"/>
      <c r="H2000" s="277"/>
      <c r="I2000" s="278"/>
      <c r="J2000" s="278"/>
      <c r="K2000" s="261"/>
      <c r="L2000" s="308"/>
      <c r="M2000" s="279"/>
      <c r="N2000" s="280"/>
      <c r="O2000" s="281"/>
      <c r="P2000" s="281"/>
      <c r="Q2000" s="281"/>
      <c r="R2000" s="281"/>
      <c r="S2000" s="261"/>
      <c r="T2000" s="276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6"/>
  <sheetViews>
    <sheetView tabSelected="1" topLeftCell="A69" workbookViewId="0">
      <selection activeCell="A97" sqref="A97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27" t="s">
        <v>2195</v>
      </c>
      <c r="F1" s="228" t="s">
        <v>2196</v>
      </c>
    </row>
    <row r="2" spans="1:6" x14ac:dyDescent="0.25">
      <c r="F2" s="229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29" t="s">
        <v>2200</v>
      </c>
    </row>
    <row r="4" spans="1:6" x14ac:dyDescent="0.25">
      <c r="A4">
        <v>1</v>
      </c>
      <c r="B4" t="s">
        <v>2201</v>
      </c>
      <c r="D4" t="s">
        <v>2202</v>
      </c>
      <c r="F4" s="229" t="s">
        <v>2203</v>
      </c>
    </row>
    <row r="5" spans="1:6" x14ac:dyDescent="0.25">
      <c r="A5">
        <v>2</v>
      </c>
      <c r="B5" t="s">
        <v>1889</v>
      </c>
      <c r="D5" t="s">
        <v>2202</v>
      </c>
      <c r="F5" s="229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29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  <row r="94" spans="1:4" x14ac:dyDescent="0.25">
      <c r="A94">
        <v>92</v>
      </c>
      <c r="B94" t="s">
        <v>2412</v>
      </c>
      <c r="D94" t="s">
        <v>2202</v>
      </c>
    </row>
    <row r="95" spans="1:4" x14ac:dyDescent="0.25">
      <c r="A95">
        <v>93</v>
      </c>
      <c r="B95" t="s">
        <v>2413</v>
      </c>
      <c r="D95" t="s">
        <v>2202</v>
      </c>
    </row>
    <row r="96" spans="1:4" x14ac:dyDescent="0.25">
      <c r="A96">
        <v>94</v>
      </c>
      <c r="B96" t="s">
        <v>2415</v>
      </c>
      <c r="D96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20" activePane="bottomLeft" state="frozen"/>
      <selection pane="bottomLeft" activeCell="K29" sqref="K29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2" t="s">
        <v>2245</v>
      </c>
    </row>
    <row r="2" spans="1:31" x14ac:dyDescent="0.25">
      <c r="A2" s="96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1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3" t="s">
        <v>1</v>
      </c>
      <c r="AD2" s="213" t="s">
        <v>2250</v>
      </c>
      <c r="AE2" s="213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7">
        <v>2026</v>
      </c>
      <c r="AD3" s="93" t="s">
        <v>1358</v>
      </c>
      <c r="AE3" s="208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7">
        <v>2026</v>
      </c>
      <c r="AD4" s="93" t="s">
        <v>195</v>
      </c>
      <c r="AE4" s="208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7">
        <v>2026</v>
      </c>
      <c r="AD5" s="93" t="s">
        <v>2264</v>
      </c>
      <c r="AE5" s="208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7">
        <v>2026</v>
      </c>
      <c r="AD6" s="93" t="s">
        <v>2265</v>
      </c>
      <c r="AE6" s="208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7">
        <v>2026</v>
      </c>
      <c r="AD7" s="93" t="s">
        <v>88</v>
      </c>
      <c r="AE7" s="208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7">
        <v>2026</v>
      </c>
      <c r="AD8" s="93"/>
      <c r="AE8" s="208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7">
        <v>2026</v>
      </c>
      <c r="AD9" s="93"/>
      <c r="AE9" s="208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7">
        <v>2026</v>
      </c>
      <c r="AD10" s="93"/>
      <c r="AE10" s="208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7">
        <v>2026</v>
      </c>
      <c r="AD11" s="93"/>
      <c r="AE11" s="208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7">
        <v>2026</v>
      </c>
      <c r="AD12" s="93"/>
      <c r="AE12" s="208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7">
        <v>2026</v>
      </c>
      <c r="AD13" s="93"/>
      <c r="AE13" s="208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7">
        <v>2026</v>
      </c>
      <c r="AD14" s="93"/>
      <c r="AE14" s="208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7">
        <v>2026</v>
      </c>
      <c r="AD15" s="93"/>
      <c r="AE15" s="208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7">
        <v>2026</v>
      </c>
      <c r="AD16" s="93"/>
      <c r="AE16" s="208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7">
        <v>2026</v>
      </c>
      <c r="AD17" s="93"/>
      <c r="AE17" s="208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7">
        <v>2026</v>
      </c>
      <c r="AD18" s="93"/>
      <c r="AE18" s="208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2270</v>
      </c>
      <c r="Y19" s="93" t="s">
        <v>784</v>
      </c>
      <c r="AA19">
        <v>1.2</v>
      </c>
      <c r="AC19" s="207">
        <v>2026</v>
      </c>
      <c r="AD19" s="93"/>
      <c r="AE19" s="208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2270</v>
      </c>
      <c r="Y20" s="93" t="s">
        <v>1046</v>
      </c>
      <c r="AA20">
        <v>1.2</v>
      </c>
      <c r="AC20" s="207">
        <v>2026</v>
      </c>
      <c r="AD20" s="93"/>
      <c r="AE20" s="208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2270</v>
      </c>
      <c r="Y21" s="93" t="s">
        <v>2209</v>
      </c>
      <c r="AA21">
        <v>1.2</v>
      </c>
      <c r="AC21" s="207">
        <v>2026</v>
      </c>
      <c r="AD21" s="93"/>
      <c r="AE21" s="208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2270</v>
      </c>
      <c r="Y22" s="93" t="s">
        <v>2268</v>
      </c>
      <c r="AA22">
        <v>1.2</v>
      </c>
      <c r="AC22" s="207">
        <v>2026</v>
      </c>
      <c r="AD22" s="93"/>
      <c r="AE22" s="208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55</v>
      </c>
      <c r="Q23" t="str">
        <v>Tarsila Firmino Ely; Luciana Alvim</v>
      </c>
      <c r="R23">
        <v>2</v>
      </c>
      <c r="S23">
        <v>45</v>
      </c>
      <c r="T23">
        <v>43</v>
      </c>
      <c r="X23" s="96" t="s">
        <v>2271</v>
      </c>
      <c r="Y23" s="93" t="s">
        <v>2058</v>
      </c>
      <c r="AA23">
        <v>2.4</v>
      </c>
      <c r="AC23" s="207">
        <v>2026</v>
      </c>
      <c r="AD23" s="93"/>
      <c r="AE23" s="208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6" t="s">
        <v>2271</v>
      </c>
      <c r="Y24" s="93" t="s">
        <v>2215</v>
      </c>
      <c r="AA24">
        <v>0</v>
      </c>
      <c r="AC24" s="207">
        <v>2026</v>
      </c>
      <c r="AD24" s="93"/>
      <c r="AE24" s="208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2272</v>
      </c>
      <c r="Y25" s="93" t="s">
        <v>656</v>
      </c>
      <c r="AA25">
        <v>3.6</v>
      </c>
      <c r="AC25" s="207">
        <v>2026</v>
      </c>
      <c r="AD25" s="93"/>
      <c r="AE25" s="208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7">
        <v>2026</v>
      </c>
      <c r="AD26" s="93"/>
      <c r="AE26" s="208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5" t="s">
        <v>2273</v>
      </c>
      <c r="Y27" s="93" t="s">
        <v>2058</v>
      </c>
      <c r="AA27">
        <v>2.4</v>
      </c>
      <c r="AC27" s="207">
        <v>2026</v>
      </c>
      <c r="AD27" s="93"/>
      <c r="AE27" s="208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5" t="s">
        <v>2273</v>
      </c>
      <c r="Y28" s="93" t="s">
        <v>2215</v>
      </c>
      <c r="AA28">
        <v>0</v>
      </c>
      <c r="AC28" s="207">
        <v>2026</v>
      </c>
      <c r="AD28" s="93"/>
      <c r="AE28" s="208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5" t="s">
        <v>2274</v>
      </c>
      <c r="Y29" s="93" t="s">
        <v>2058</v>
      </c>
      <c r="AA29">
        <v>2.4</v>
      </c>
      <c r="AC29" s="207">
        <v>2026</v>
      </c>
      <c r="AD29" s="93"/>
      <c r="AE29" s="208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5" t="s">
        <v>2274</v>
      </c>
      <c r="Y30" s="93" t="s">
        <v>2215</v>
      </c>
      <c r="AA30">
        <v>0</v>
      </c>
      <c r="AC30" s="207">
        <v>2026</v>
      </c>
      <c r="AD30" s="93"/>
      <c r="AE30" s="208"/>
    </row>
    <row r="31" spans="1:31" x14ac:dyDescent="0.25">
      <c r="A31" s="96">
        <v>2026</v>
      </c>
      <c r="B31" s="96" t="str">
        <v>2026-021</v>
      </c>
      <c r="C31" s="96" t="str">
        <v>Realizado</v>
      </c>
      <c r="D31" s="93" t="str">
        <v>Curso de Fundamentos básicos de controle externo no TCDF</v>
      </c>
      <c r="E31" s="95">
        <v>12</v>
      </c>
      <c r="F31" s="93" t="str">
        <v>Cinthia Thais de Carvalho Luz Thomazi</v>
      </c>
      <c r="G31" s="95">
        <v>5</v>
      </c>
      <c r="H31" s="97">
        <v>12</v>
      </c>
      <c r="I31" s="97">
        <v>0.72</v>
      </c>
      <c r="J31" s="97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15" t="s">
        <v>2275</v>
      </c>
      <c r="Y31" s="93" t="s">
        <v>365</v>
      </c>
      <c r="Z31">
        <v>0</v>
      </c>
      <c r="AA31">
        <v>0</v>
      </c>
      <c r="AC31" s="207">
        <v>2026</v>
      </c>
      <c r="AD31" s="93"/>
      <c r="AE31" s="208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Reinaldo Alencar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15" t="s">
        <v>2276</v>
      </c>
      <c r="Y32" t="s">
        <v>1028</v>
      </c>
      <c r="Z32">
        <v>4</v>
      </c>
      <c r="AA32">
        <v>0.6</v>
      </c>
      <c r="AC32" s="207">
        <v>2026</v>
      </c>
      <c r="AD32" s="93"/>
      <c r="AE32" s="208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Rogério Ribeiro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15" t="s">
        <v>2276</v>
      </c>
      <c r="Y33" t="s">
        <v>2228</v>
      </c>
      <c r="Z33">
        <v>4</v>
      </c>
      <c r="AA33">
        <v>0.6</v>
      </c>
      <c r="AC33" s="209"/>
      <c r="AD33" s="210" t="s">
        <v>2277</v>
      </c>
      <c r="AE33" s="211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Rômulo Miranda Alvim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15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Gabriel Heller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15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2026-022</v>
      </c>
      <c r="C36" s="96" t="str">
        <v>Realizado</v>
      </c>
      <c r="D36" s="93" t="str">
        <v>UniTCDF: Ciências Contábeis</v>
      </c>
      <c r="E36" s="95">
        <v>3</v>
      </c>
      <c r="F36" s="93" t="str">
        <v>Fernanda Viana de Souza</v>
      </c>
      <c r="G36" s="95">
        <v>2</v>
      </c>
      <c r="H36" s="97">
        <v>3</v>
      </c>
      <c r="I36" s="97">
        <v>0.44999999999999996</v>
      </c>
      <c r="J36" s="97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15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Túllio Herbeth Teixeira Moraes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2026-042</v>
      </c>
      <c r="N37" t="str">
        <v>Em andamento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2278</v>
      </c>
      <c r="Y37" t="s">
        <v>324</v>
      </c>
      <c r="Z37">
        <v>0</v>
      </c>
      <c r="AA37">
        <v>55</v>
      </c>
    </row>
    <row r="38" spans="1:31" x14ac:dyDescent="0.25">
      <c r="A38">
        <v>2026</v>
      </c>
      <c r="B38" t="str">
        <v>2026-023</v>
      </c>
      <c r="C38" s="161" t="str">
        <v>Realizado</v>
      </c>
      <c r="D38" t="str">
        <v>Tcendo o Futuro 2</v>
      </c>
      <c r="E38" s="161">
        <v>4</v>
      </c>
      <c r="F38" t="str">
        <v>Cinthia Thais de Carvalho Luz Thomazi</v>
      </c>
      <c r="G38" s="161">
        <v>5</v>
      </c>
      <c r="H38" s="161">
        <v>4</v>
      </c>
      <c r="I38" s="161">
        <v>0.24</v>
      </c>
      <c r="J38" s="161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2278</v>
      </c>
      <c r="Y38" s="218" t="s">
        <v>840</v>
      </c>
      <c r="Z38">
        <v>0</v>
      </c>
      <c r="AA38">
        <v>55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Adriana Cuoco Portugal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Fernanda Viana de Souza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2026-046</v>
      </c>
      <c r="N40" t="str">
        <v>A realizar</v>
      </c>
      <c r="O40" t="str">
        <v>Oficina Temática – SEMAT: Falhas recorrentes em contratações de TI</v>
      </c>
      <c r="P40">
        <v>8</v>
      </c>
      <c r="Q40" t="str">
        <v>Felipe da Costa Malaquias</v>
      </c>
      <c r="R40">
        <v>1</v>
      </c>
      <c r="S40">
        <v>80</v>
      </c>
      <c r="T40">
        <v>79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Denise Duarte Guirra Kuhlmann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2026-047</v>
      </c>
      <c r="N41" t="str">
        <v>A realizar</v>
      </c>
      <c r="O41" t="str">
        <v>Oficina Temática - SEMAT: MROSC para servidores do GDF</v>
      </c>
      <c r="P41">
        <v>4</v>
      </c>
      <c r="Q41" t="str">
        <v>Indio Artiaga do Brasil Rabelo; Leonardo de Melo</v>
      </c>
      <c r="R41">
        <v>2</v>
      </c>
      <c r="S41">
        <v>82</v>
      </c>
      <c r="T41">
        <v>80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Priscila Nolasco de Oliveira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84</v>
      </c>
      <c r="T42">
        <v>82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2026-049</v>
      </c>
      <c r="N43" t="str">
        <v>A realizar</v>
      </c>
      <c r="O43" t="str">
        <v>Oficina Temática - SEMAT: Pesquisa de Preços em contratos de obras e serviços de engenharia</v>
      </c>
      <c r="P43">
        <v>4</v>
      </c>
      <c r="Q43" t="str">
        <v>Silvia Lima Damasceno Carvalho; Wibys Pereira</v>
      </c>
      <c r="R43">
        <v>2</v>
      </c>
      <c r="S43">
        <v>86</v>
      </c>
      <c r="T43">
        <v>84</v>
      </c>
      <c r="X43" t="s">
        <v>2282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2026-050</v>
      </c>
      <c r="N44" t="str">
        <v>A realizar</v>
      </c>
      <c r="O44" t="str">
        <v>Encontro Técnico - SEMAT: Concursos públicos e registro de admissões</v>
      </c>
      <c r="P44">
        <v>4</v>
      </c>
      <c r="Q44" t="str">
        <v>Carlos Antônio</v>
      </c>
      <c r="R44">
        <v>1</v>
      </c>
      <c r="S44">
        <v>87</v>
      </c>
      <c r="T44">
        <v>86</v>
      </c>
      <c r="X44" t="s">
        <v>2282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55</v>
      </c>
      <c r="F45" t="str">
        <v>Tarsila Firmino Ely</v>
      </c>
      <c r="G45">
        <v>2</v>
      </c>
      <c r="H45">
        <v>55</v>
      </c>
      <c r="I45">
        <v>8.25</v>
      </c>
      <c r="J45">
        <v>63.25</v>
      </c>
      <c r="L45">
        <v>2026</v>
      </c>
      <c r="M45" t="str">
        <v>2026-051</v>
      </c>
      <c r="N45" t="str">
        <v>A realizar</v>
      </c>
      <c r="O45" t="str">
        <v>Oficina Temática – SEMAT: Controle Tecnológico de obras e serviços de engenharia</v>
      </c>
      <c r="P45">
        <v>4</v>
      </c>
      <c r="Q45" t="str">
        <v>Silvia Lima Damasceno Carvalho; Marcelo Silva Santana</v>
      </c>
      <c r="R45">
        <v>2</v>
      </c>
      <c r="S45">
        <v>89</v>
      </c>
      <c r="T45">
        <v>87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55</v>
      </c>
      <c r="F46" t="str">
        <v>Luciana Alvim</v>
      </c>
      <c r="G46">
        <v>2</v>
      </c>
      <c r="H46">
        <v>55</v>
      </c>
      <c r="I46">
        <v>8.25</v>
      </c>
      <c r="J46">
        <v>63.25</v>
      </c>
      <c r="L46">
        <v>2026</v>
      </c>
      <c r="M46" t="str">
        <v>2026-052</v>
      </c>
      <c r="N46" t="str">
        <v>A realizar</v>
      </c>
      <c r="O46" t="str">
        <v>Encontro Técnico– SEMAT: Concessões e Fiscalização de Pessoal</v>
      </c>
      <c r="P46">
        <v>4</v>
      </c>
      <c r="Q46" t="str">
        <v>Jamile Medeiros Fon; José Roberto Alcuri Júnior</v>
      </c>
      <c r="R46">
        <v>2</v>
      </c>
      <c r="S46">
        <v>91</v>
      </c>
      <c r="T46">
        <v>89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2026-053</v>
      </c>
      <c r="N47" t="str">
        <v>A realizar</v>
      </c>
      <c r="O47" t="str">
        <v>Oficina Temática - SEMAT: Aditivos na Contratação Integrada de obras e serviços de engenharia</v>
      </c>
      <c r="P47">
        <v>4</v>
      </c>
      <c r="Q47" t="str">
        <v>Douglas Vieira Silva Filho; Silvia Lima Damasceno Carvalho</v>
      </c>
      <c r="R47">
        <v>2</v>
      </c>
      <c r="S47">
        <v>93</v>
      </c>
      <c r="T47">
        <v>91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2026-054</v>
      </c>
      <c r="N48" t="str">
        <v>A realizar</v>
      </c>
      <c r="O48" t="str">
        <v>TCendo o Futuro</v>
      </c>
      <c r="P48">
        <v>4</v>
      </c>
      <c r="Q48" t="str">
        <v>Adriana Cuoco Portugal; Cinthia Thais de Carvalho Luz Thomazi; Fernanda Viana de Souza;  Luiz Felipe Tenório de Lima Gondim; Priscila Nolasco de Oliveira</v>
      </c>
      <c r="R48">
        <v>5</v>
      </c>
      <c r="S48">
        <v>98</v>
      </c>
      <c r="T48">
        <v>93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2026-055</v>
      </c>
      <c r="N49" t="str">
        <v>A realizar</v>
      </c>
      <c r="O49" t="str">
        <v>TCendo o Futuro</v>
      </c>
      <c r="P49">
        <v>4</v>
      </c>
      <c r="Q49" t="str">
        <v>Adriana Cuoco Portugal; Cinthia Thais de Carvalho Luz Thomazi; Fernanda Viana de Souza; Luiz Felipe Tenório de Lima Gondim; Priscila Nolasco de Oliveira</v>
      </c>
      <c r="R49">
        <v>5</v>
      </c>
      <c r="S49">
        <v>103</v>
      </c>
      <c r="T49">
        <v>98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Luiz Felipe Tenório de Lima Gondim; Priscila Nolasco de Oliveira</v>
      </c>
      <c r="R50">
        <v>5</v>
      </c>
      <c r="S50">
        <v>108</v>
      </c>
      <c r="T50">
        <v>103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2026-058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113</v>
      </c>
      <c r="T51">
        <v>108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2026-059</v>
      </c>
      <c r="N52" t="str">
        <v>A realizar</v>
      </c>
      <c r="O52" t="str">
        <v>TCendo o Futuro</v>
      </c>
      <c r="P52">
        <v>4</v>
      </c>
      <c r="Q52" t="str">
        <v>Adriana Cuoco Portugal; Cinthia Thais de Carvalho Luz Thomazi; Fernanda Viana de Souza; Luiz Felipe Tenório de Lima Gondim; Priscila Nolasco de Oliveira</v>
      </c>
      <c r="R52">
        <v>5</v>
      </c>
      <c r="S52">
        <v>118</v>
      </c>
      <c r="T52">
        <v>113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2026-060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123</v>
      </c>
      <c r="T53">
        <v>118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2026-063</v>
      </c>
      <c r="N54" t="str">
        <v>A realizar</v>
      </c>
      <c r="O54" t="str">
        <v>Contratações de TIC com base na jurisprudência do TCDF - EAD</v>
      </c>
      <c r="P54">
        <v>17.45</v>
      </c>
      <c r="Q54" t="str">
        <v>Flávio José Fonseca de Souza; Felipe da Costa Malaquias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Oficina Temática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</row>
    <row r="58" spans="1:27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Em andamento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2026-046</v>
      </c>
      <c r="C81" t="str">
        <v>A realizar</v>
      </c>
      <c r="D81" t="str">
        <v>Oficina Temática – SEMAT: Falhas recorrentes em contratações de TI</v>
      </c>
      <c r="E81">
        <v>8</v>
      </c>
      <c r="F81" t="str">
        <v>Felipe da Costa Malaquias</v>
      </c>
      <c r="G81">
        <v>1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Indio Artiaga do Brasil Rabelo</v>
      </c>
      <c r="G82">
        <v>2</v>
      </c>
      <c r="H82">
        <v>4</v>
      </c>
      <c r="I82">
        <v>0.6</v>
      </c>
      <c r="J82">
        <v>4.5999999999999996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Leonardo de Melo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Thiago Magalhães de Oliveira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Wibys Pereira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Encontro Técnico - SEMAT: Concursos públicos e registro de admissões</v>
      </c>
      <c r="E88">
        <v>4</v>
      </c>
      <c r="F88" t="str">
        <v>Carlos Antônio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19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Silvia Lima Damasceno Carvalho</v>
      </c>
      <c r="G89">
        <v>2</v>
      </c>
      <c r="H89">
        <v>4</v>
      </c>
      <c r="I89">
        <v>0.6</v>
      </c>
      <c r="J89">
        <v>4.5999999999999996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Marcelo Silva Santana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Jamile Medeiros Fon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José Roberto Alcuri Júnior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Douglas Vieira Silva Filho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Silvia Lima Damasceno Carvalho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2026-054</v>
      </c>
      <c r="C95" t="str">
        <v>A realizar</v>
      </c>
      <c r="D95" t="str">
        <v>TCendo o Futuro</v>
      </c>
      <c r="E95">
        <v>4</v>
      </c>
      <c r="F95" t="str">
        <v>Adriana Cuoco Portugal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TCendo o Futuro</v>
      </c>
      <c r="E96">
        <v>4</v>
      </c>
      <c r="F96" t="str">
        <v>Cinthia Thais de Carvalho Luz Thomazi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TCendo o Futuro</v>
      </c>
      <c r="E97">
        <v>4</v>
      </c>
      <c r="F97" t="str">
        <v>Fernanda Viana de Souza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TCendo o Futuro</v>
      </c>
      <c r="E98">
        <v>4</v>
      </c>
      <c r="F98" t="str">
        <v>Luiz Felipe Tenório de Lima Gondim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TCendo o Futuro</v>
      </c>
      <c r="E99">
        <v>4</v>
      </c>
      <c r="F99" t="str">
        <v>Priscila Nolasco de Oliveira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2026-057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2026-057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2026-057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2026-057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2026-057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1.2</v>
      </c>
      <c r="J109">
        <v>5.2</v>
      </c>
      <c r="R109" t="str">
        <v/>
      </c>
      <c r="S109" t="str">
        <v/>
      </c>
    </row>
    <row r="110" spans="1:19" x14ac:dyDescent="0.25">
      <c r="A110">
        <v>2026</v>
      </c>
      <c r="B110" t="str">
        <v>2026-058</v>
      </c>
      <c r="C110" t="str">
        <v>A realizar</v>
      </c>
      <c r="D110" t="str">
        <v>TCendo o Futuro</v>
      </c>
      <c r="E110">
        <v>4</v>
      </c>
      <c r="F110" t="str">
        <v>Adriana Cuoco Portugal</v>
      </c>
      <c r="G110">
        <v>5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2026-058</v>
      </c>
      <c r="C111" t="str">
        <v>A realizar</v>
      </c>
      <c r="D111" t="str">
        <v>TCendo o Futuro</v>
      </c>
      <c r="E111">
        <v>4</v>
      </c>
      <c r="F111" t="str">
        <v>Cinthia Thais de Carvalho Luz Thomazi</v>
      </c>
      <c r="G111">
        <v>5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A112">
        <v>2026</v>
      </c>
      <c r="B112" t="str">
        <v>2026-058</v>
      </c>
      <c r="C112" t="str">
        <v>A realizar</v>
      </c>
      <c r="D112" t="str">
        <v>TCendo o Futuro</v>
      </c>
      <c r="E112">
        <v>4</v>
      </c>
      <c r="F112" t="str">
        <v>Fernanda Viana de Souza</v>
      </c>
      <c r="G112">
        <v>5</v>
      </c>
      <c r="H112">
        <v>4</v>
      </c>
      <c r="I112">
        <v>1.2</v>
      </c>
      <c r="J112">
        <v>5.2</v>
      </c>
      <c r="R112" t="str">
        <v/>
      </c>
      <c r="S112" t="str">
        <v/>
      </c>
    </row>
    <row r="113" spans="1:19" x14ac:dyDescent="0.25">
      <c r="A113">
        <v>2026</v>
      </c>
      <c r="B113" t="str">
        <v>2026-058</v>
      </c>
      <c r="C113" t="str">
        <v>A realizar</v>
      </c>
      <c r="D113" t="str">
        <v>TCendo o Futuro</v>
      </c>
      <c r="E113">
        <v>4</v>
      </c>
      <c r="F113" t="str">
        <v>Luiz Felipe Tenório de Lima Gondim</v>
      </c>
      <c r="G113">
        <v>5</v>
      </c>
      <c r="H113">
        <v>4</v>
      </c>
      <c r="I113">
        <v>1.2</v>
      </c>
      <c r="J113">
        <v>5.2</v>
      </c>
      <c r="R113" t="str">
        <v/>
      </c>
      <c r="S113" t="str">
        <v/>
      </c>
    </row>
    <row r="114" spans="1:19" x14ac:dyDescent="0.25">
      <c r="A114">
        <v>2026</v>
      </c>
      <c r="B114" t="str">
        <v>2026-058</v>
      </c>
      <c r="C114" t="str">
        <v>A realizar</v>
      </c>
      <c r="D114" t="str">
        <v>TCendo o Futuro</v>
      </c>
      <c r="E114">
        <v>4</v>
      </c>
      <c r="F114" t="str">
        <v>Priscila Nolasco de Oliveira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Adriana Cuoco Portugal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Cinthia Thais de Carvalho Luz Thomazi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Fernanda Viana de Souza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Luiz Felipe Tenório de Lima Gondim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2026-059</v>
      </c>
      <c r="C119" t="str">
        <v>A realizar</v>
      </c>
      <c r="D119" t="str">
        <v>TCendo o Futuro</v>
      </c>
      <c r="E119">
        <v>4</v>
      </c>
      <c r="F119" t="str">
        <v>Priscila Nolasco de Oliveira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Adriana Cuoco Portugal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Cinthia Thais de Carvalho Luz Thomazi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Fernanda Viana de Souza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Luiz Felipe Tenório de Lima Gondim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2026-060</v>
      </c>
      <c r="C124" t="str">
        <v>A realizar</v>
      </c>
      <c r="D124" t="str">
        <v>TCendo o Futuro</v>
      </c>
      <c r="E124">
        <v>4</v>
      </c>
      <c r="F124" t="str">
        <v>Priscila Nolasco de Oliveira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Contratações de TIC com base na jurisprudência do TCDF - EAD</v>
      </c>
      <c r="E125">
        <v>17.45</v>
      </c>
      <c r="F125" t="str">
        <v>Flávio José Fonseca de Souza</v>
      </c>
      <c r="G125">
        <v>2</v>
      </c>
      <c r="H125">
        <v>17.45</v>
      </c>
      <c r="I125">
        <v>5.2349999999999994</v>
      </c>
      <c r="J125">
        <v>22.684999999999999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Contratações de TIC com base na jurisprudência do TCDF - EAD</v>
      </c>
      <c r="E126">
        <v>17.45</v>
      </c>
      <c r="F126" t="str">
        <v>Felipe da Costa Malaquias</v>
      </c>
      <c r="G126">
        <v>2</v>
      </c>
      <c r="H126">
        <v>17.45</v>
      </c>
      <c r="I126">
        <v>5.2349999999999994</v>
      </c>
      <c r="J126">
        <v>22.684999999999999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19" t="s">
        <v>2292</v>
      </c>
      <c r="B1" s="319"/>
      <c r="C1" s="319"/>
      <c r="D1" s="319"/>
      <c r="E1" s="319"/>
      <c r="F1" s="319"/>
      <c r="G1" s="319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20" t="s">
        <v>2293</v>
      </c>
      <c r="B4" s="321"/>
      <c r="D4" s="322" t="s">
        <v>2294</v>
      </c>
      <c r="E4" s="323"/>
      <c r="G4" s="123" t="s">
        <v>2295</v>
      </c>
    </row>
    <row r="5" spans="1:7" ht="54.95" customHeight="1" thickBot="1" x14ac:dyDescent="0.75">
      <c r="A5" s="113">
        <f>COUNTIF('Ações InCompany'!B:B,2026)</f>
        <v>64</v>
      </c>
      <c r="B5" s="114" t="s">
        <v>2296</v>
      </c>
      <c r="D5" s="121">
        <f>COUNTIFS('Ações InCompany'!B:B,2026,'Ações InCompany'!C:C,"Realizado")</f>
        <v>36</v>
      </c>
      <c r="E5" s="122" t="s">
        <v>2296</v>
      </c>
      <c r="G5" s="124">
        <f>COUNTIFS('Ações InCompany'!B:B,2026,'Ações InCompany'!C:C,"A realizar")</f>
        <v>23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17" t="s">
        <v>2297</v>
      </c>
      <c r="B8" s="317"/>
      <c r="D8" s="317" t="s">
        <v>2298</v>
      </c>
      <c r="E8" s="317"/>
    </row>
    <row r="9" spans="1:7" ht="5.0999999999999996" customHeight="1" x14ac:dyDescent="0.25">
      <c r="A9" s="318"/>
      <c r="B9" s="318"/>
      <c r="D9" s="318"/>
      <c r="E9" s="318"/>
    </row>
    <row r="10" spans="1:7" ht="24.95" customHeight="1" x14ac:dyDescent="0.25">
      <c r="A10" s="106" t="s">
        <v>5</v>
      </c>
      <c r="B10" s="106" t="s">
        <v>2299</v>
      </c>
      <c r="D10" s="106" t="s">
        <v>2300</v>
      </c>
      <c r="E10" s="106" t="s">
        <v>2301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2302</v>
      </c>
      <c r="E11" s="108">
        <f>SUMIFS('Ações InCompany'!O:O,'Ações InCompany'!B:B,2026,'Ações InCompany'!C:C,"Realizado")</f>
        <v>535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2303</v>
      </c>
      <c r="E12" s="110">
        <f>SUMIFS('Ações InCompany'!P:P,'Ações InCompany'!B:B,2026,'Ações InCompany'!C:C,"Realizado")</f>
        <v>808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6</v>
      </c>
      <c r="D13" s="107" t="s">
        <v>2304</v>
      </c>
      <c r="E13" s="108">
        <f>SUMIFS('Ações InCompany'!Q:Q,'Ações InCompany'!B:B,2026,'Ações InCompany'!C:C,"Realizado")</f>
        <v>433</v>
      </c>
    </row>
    <row r="14" spans="1:7" ht="27.95" customHeight="1" x14ac:dyDescent="0.3">
      <c r="A14" s="111" t="s">
        <v>2305</v>
      </c>
      <c r="B14" s="112">
        <f>SUM(B11:B13)</f>
        <v>36</v>
      </c>
      <c r="D14" s="111" t="s">
        <v>2306</v>
      </c>
      <c r="E14" s="112">
        <f>SUM(E11:E13)</f>
        <v>1776</v>
      </c>
    </row>
    <row r="30" spans="1:5" ht="17.25" x14ac:dyDescent="0.3">
      <c r="A30" s="317" t="s">
        <v>2307</v>
      </c>
      <c r="B30" s="317"/>
      <c r="C30" s="317"/>
      <c r="D30" s="317"/>
      <c r="E30" s="317"/>
    </row>
    <row r="31" spans="1:5" ht="5.0999999999999996" customHeight="1" x14ac:dyDescent="0.25">
      <c r="A31" s="318"/>
      <c r="B31" s="318"/>
      <c r="C31" s="318"/>
      <c r="D31" s="318"/>
      <c r="E31" s="318"/>
    </row>
    <row r="32" spans="1:5" ht="24.95" customHeight="1" x14ac:dyDescent="0.25">
      <c r="A32" s="106" t="s">
        <v>6</v>
      </c>
      <c r="B32" s="106" t="s">
        <v>2308</v>
      </c>
      <c r="C32" s="106" t="s">
        <v>2309</v>
      </c>
      <c r="D32" s="106" t="s">
        <v>2310</v>
      </c>
      <c r="E32" s="106" t="s">
        <v>2311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13</v>
      </c>
      <c r="D33" s="115">
        <f t="shared" ref="D33:D44" si="0">B33+C33</f>
        <v>20</v>
      </c>
      <c r="E33" s="116">
        <f t="shared" ref="E33:E44" si="1">D33/$D$45</f>
        <v>0.33898305084745761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5.0847457627118647E-2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0.10169491525423729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3.3898305084745763E-2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3.3898305084745763E-2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6</v>
      </c>
      <c r="C38" s="126">
        <f>COUNTIFS('Ações InCompany'!B:B,2026,'Ações InCompany'!C:C,"A realizar",'Ações InCompany'!G:G,A38)</f>
        <v>7</v>
      </c>
      <c r="D38" s="117">
        <f t="shared" si="0"/>
        <v>13</v>
      </c>
      <c r="E38" s="118">
        <f t="shared" si="1"/>
        <v>0.22033898305084745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6.7796610169491525E-2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0</v>
      </c>
      <c r="D40" s="151">
        <f>B40+C40</f>
        <v>0</v>
      </c>
      <c r="E40" s="156">
        <f>D40/$D$45</f>
        <v>0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0.11864406779661017</v>
      </c>
    </row>
    <row r="42" spans="1:5" ht="24" customHeight="1" x14ac:dyDescent="0.25">
      <c r="A42" s="154" t="s">
        <v>2312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3.3898305084745763E-2</v>
      </c>
    </row>
    <row r="44" spans="1:5" ht="24" customHeight="1" x14ac:dyDescent="0.25">
      <c r="A44" s="146" t="s">
        <v>2313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2305</v>
      </c>
      <c r="B45" s="119">
        <f>SUM(B33:B44)</f>
        <v>36</v>
      </c>
      <c r="C45" s="119">
        <f>SUM(C33:C44)</f>
        <v>23</v>
      </c>
      <c r="D45" s="119">
        <f>SUM(D33:D44)</f>
        <v>59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17" t="s">
        <v>22</v>
      </c>
      <c r="B2" s="217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17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17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7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7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7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7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4" t="s">
        <v>2357</v>
      </c>
      <c r="B1" s="324"/>
      <c r="C1" s="324"/>
      <c r="D1" s="324"/>
      <c r="E1" s="324"/>
      <c r="F1" s="324"/>
      <c r="G1" s="324"/>
      <c r="H1" s="324"/>
    </row>
    <row r="2" spans="1:8" x14ac:dyDescent="0.25">
      <c r="A2" s="128" t="s">
        <v>2358</v>
      </c>
    </row>
    <row r="4" spans="1:8" ht="21.95" customHeight="1" x14ac:dyDescent="0.25">
      <c r="A4" s="325" t="s">
        <v>2359</v>
      </c>
      <c r="B4" s="326"/>
      <c r="D4" s="325" t="s">
        <v>2360</v>
      </c>
      <c r="E4" s="326"/>
      <c r="G4" s="325" t="s">
        <v>2361</v>
      </c>
      <c r="H4" s="326"/>
    </row>
    <row r="5" spans="1:8" ht="35.1" customHeight="1" x14ac:dyDescent="0.25">
      <c r="A5" s="329">
        <f>COUNTIF('Ações InCompany'!E:E,"*maratona*")</f>
        <v>13</v>
      </c>
      <c r="B5" s="328"/>
      <c r="D5" s="327">
        <f>SUM(H8:H100)</f>
        <v>1762</v>
      </c>
      <c r="E5" s="328"/>
      <c r="G5" s="327">
        <f>IFERROR(ROUND(D5/A5,0),"-")</f>
        <v>136</v>
      </c>
      <c r="H5" s="328"/>
    </row>
    <row r="6" spans="1:8" ht="9.9499999999999993" customHeight="1" x14ac:dyDescent="0.25"/>
    <row r="7" spans="1:8" ht="24.95" customHeight="1" thickBot="1" x14ac:dyDescent="0.3">
      <c r="A7" s="141" t="s">
        <v>2362</v>
      </c>
      <c r="B7" s="141" t="s">
        <v>2363</v>
      </c>
      <c r="C7" s="141" t="s">
        <v>1</v>
      </c>
      <c r="D7" s="141" t="s">
        <v>2364</v>
      </c>
      <c r="E7" s="141" t="s">
        <v>2365</v>
      </c>
      <c r="F7" s="141" t="s">
        <v>2236</v>
      </c>
      <c r="G7" s="141" t="s">
        <v>5</v>
      </c>
      <c r="H7" s="141" t="s">
        <v>2366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2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3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4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3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4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3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4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3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4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3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4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5">
        <v>12</v>
      </c>
      <c r="B19" s="196">
        <v>46321</v>
      </c>
      <c r="C19" s="195">
        <v>2026</v>
      </c>
      <c r="D19" s="197" t="str">
        <v>Maratona Temática - Obras Públicas</v>
      </c>
      <c r="E19" s="195" t="str">
        <v>26 e 27/10/2026</v>
      </c>
      <c r="F19" s="195" t="str">
        <v>A realizar</v>
      </c>
      <c r="G19" s="195" t="str">
        <v>Jurisdicionados</v>
      </c>
      <c r="H19" s="198">
        <v>0</v>
      </c>
    </row>
    <row r="20" spans="1:8" x14ac:dyDescent="0.25">
      <c r="A20" s="199">
        <v>13</v>
      </c>
      <c r="B20" s="200">
        <v>46335</v>
      </c>
      <c r="C20" s="199">
        <v>2026</v>
      </c>
      <c r="D20" s="201" t="str">
        <v>Maratona Temática - Mobilidade Urbana</v>
      </c>
      <c r="E20" s="199" t="str">
        <v>09 e 10/11/2026</v>
      </c>
      <c r="F20" s="199" t="str">
        <v>A realizar</v>
      </c>
      <c r="G20" s="199" t="str">
        <v>Jurisdicionados</v>
      </c>
      <c r="H20" s="20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6" activePane="bottomLeft" state="frozen"/>
      <selection pane="bottomLeft" activeCell="K50" sqref="K50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0" t="s">
        <v>2367</v>
      </c>
      <c r="B1" s="330"/>
      <c r="C1" s="330"/>
      <c r="D1" s="330"/>
      <c r="E1" s="330"/>
      <c r="F1" s="330"/>
    </row>
    <row r="2" spans="1:7" x14ac:dyDescent="0.25">
      <c r="A2" s="331" t="s">
        <v>2368</v>
      </c>
      <c r="B2" s="331"/>
      <c r="C2" s="331"/>
      <c r="D2" s="331"/>
      <c r="E2" s="331"/>
      <c r="F2" s="331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2369</v>
      </c>
      <c r="E4" s="100" t="s">
        <v>2241</v>
      </c>
      <c r="F4" s="100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9.120000000000001</v>
      </c>
      <c r="D5" s="214">
        <f>IF($A5="","",SUMIFS('GECC 2026'!$AE$3:$AE$32,'GECC 2026'!$AD$3:$AD$32,$A5))</f>
        <v>0</v>
      </c>
      <c r="E5" s="203">
        <f>IF($A5="","",SUMIFS('GECC 2026'!J$2:J$200,'GECC 2026'!F$2:F$200,$A5)+SUMIFS('GECC 2026'!$AE$3:$AE$32,'GECC 2026'!$AD$3:$AD$32,$A5))</f>
        <v>49.120000000000012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4">
        <f>IF($A6="","",SUMIFS('GECC 2026'!$AE$3:$AE$32,'GECC 2026'!$AD$3:$AD$32,$A6))</f>
        <v>0</v>
      </c>
      <c r="E6" s="203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8</v>
      </c>
      <c r="C7" s="101">
        <f>IF($A7="","",SUMIFS('GECC 2026'!I$2:I$200,'GECC 2026'!F$2:F$200,$A7))</f>
        <v>0.24</v>
      </c>
      <c r="D7" s="214">
        <f>IF($A7="","",SUMIFS('GECC 2026'!$AE$3:$AE$32,'GECC 2026'!$AD$3:$AD$32,$A7))</f>
        <v>0</v>
      </c>
      <c r="E7" s="203">
        <f>IF($A7="","",SUMIFS('GECC 2026'!J$2:J$200,'GECC 2026'!F$2:F$200,$A7)+SUMIFS('GECC 2026'!$AE$3:$AE$32,'GECC 2026'!$AD$3:$AD$32,$A7))</f>
        <v>8.24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4">
        <f>IF($A8="","",SUMIFS('GECC 2026'!$AE$3:$AE$32,'GECC 2026'!$AD$3:$AD$32,$A8))</f>
        <v>0</v>
      </c>
      <c r="E8" s="203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Carlos Antônio</v>
      </c>
      <c r="B9" s="101">
        <f>IF($A9="","",SUMIFS('GECC 2026'!H$2:H$200,'GECC 2026'!F$2:F$200,$A9))</f>
        <v>4</v>
      </c>
      <c r="C9" s="101">
        <f>IF($A9="","",SUMIFS('GECC 2026'!I$2:I$200,'GECC 2026'!F$2:F$200,$A9))</f>
        <v>1.2</v>
      </c>
      <c r="D9" s="214">
        <f>IF($A9="","",SUMIFS('GECC 2026'!$AE$3:$AE$32,'GECC 2026'!$AD$3:$AD$32,$A9))</f>
        <v>0</v>
      </c>
      <c r="E9" s="203">
        <f>IF($A9="","",SUMIFS('GECC 2026'!J$2:J$200,'GECC 2026'!F$2:F$200,$A9)+SUMIFS('GECC 2026'!$AE$3:$AE$32,'GECC 2026'!$AD$3:$AD$32,$A9))</f>
        <v>5.2</v>
      </c>
      <c r="F9" s="99">
        <f>IF($A9="","",COUNTIFS('GECC 2026'!F$2:F$200,$A9))</f>
        <v>1</v>
      </c>
    </row>
    <row r="10" spans="1:7" x14ac:dyDescent="0.25">
      <c r="A10" t="str">
        <v>Carolina Pereira de Oliveira</v>
      </c>
      <c r="B10" s="101">
        <f>IF($A10="","",SUMIFS('GECC 2026'!H$2:H$200,'GECC 2026'!F$2:F$200,$A10))</f>
        <v>8</v>
      </c>
      <c r="C10" s="101">
        <f>IF($A10="","",SUMIFS('GECC 2026'!I$2:I$200,'GECC 2026'!F$2:F$200,$A10))</f>
        <v>0.24</v>
      </c>
      <c r="D10" s="214">
        <f>IF($A10="","",SUMIFS('GECC 2026'!$AE$3:$AE$32,'GECC 2026'!$AD$3:$AD$32,$A10))</f>
        <v>0</v>
      </c>
      <c r="E10" s="203">
        <f>IF($A10="","",SUMIFS('GECC 2026'!J$2:J$200,'GECC 2026'!F$2:F$200,$A10)+SUMIFS('GECC 2026'!$AE$3:$AE$32,'GECC 2026'!$AD$3:$AD$32,$A10))</f>
        <v>8.24</v>
      </c>
      <c r="F10" s="99">
        <f>IF($A10="","",COUNTIFS('GECC 2026'!F$2:F$200,$A10))</f>
        <v>1</v>
      </c>
    </row>
    <row r="11" spans="1:7" x14ac:dyDescent="0.25">
      <c r="A11" t="str">
        <v>Cássio Murilo Alves Costa Filho</v>
      </c>
      <c r="B11" s="101">
        <f>IF($A11="","",SUMIFS('GECC 2026'!H$2:H$200,'GECC 2026'!F$2:F$200,$A11))</f>
        <v>16</v>
      </c>
      <c r="C11" s="101">
        <f>IF($A11="","",SUMIFS('GECC 2026'!I$2:I$200,'GECC 2026'!F$2:F$200,$A11))</f>
        <v>4.8</v>
      </c>
      <c r="D11" s="214">
        <f>IF($A11="","",SUMIFS('GECC 2026'!$AE$3:$AE$32,'GECC 2026'!$AD$3:$AD$32,$A11))</f>
        <v>16</v>
      </c>
      <c r="E11" s="203">
        <f>IF($A11="","",SUMIFS('GECC 2026'!J$2:J$200,'GECC 2026'!F$2:F$200,$A11)+SUMIFS('GECC 2026'!$AE$3:$AE$32,'GECC 2026'!$AD$3:$AD$32,$A11))</f>
        <v>36.799999999999997</v>
      </c>
      <c r="F11" s="99">
        <f>IF($A11="","",COUNTIFS('GECC 2026'!F$2:F$200,$A11))</f>
        <v>1</v>
      </c>
    </row>
    <row r="12" spans="1:7" x14ac:dyDescent="0.25">
      <c r="A12" t="str">
        <v>Cinthia Thais de Carvalho Luz Thomazi</v>
      </c>
      <c r="B12" s="101">
        <f>IF($A12="","",SUMIFS('GECC 2026'!H$2:H$200,'GECC 2026'!F$2:F$200,$A12))</f>
        <v>76</v>
      </c>
      <c r="C12" s="101">
        <f>IF($A12="","",SUMIFS('GECC 2026'!I$2:I$200,'GECC 2026'!F$2:F$200,$A12))</f>
        <v>11.879999999999999</v>
      </c>
      <c r="D12" s="214">
        <f>IF($A12="","",SUMIFS('GECC 2026'!$AE$3:$AE$32,'GECC 2026'!$AD$3:$AD$32,$A12))</f>
        <v>0</v>
      </c>
      <c r="E12" s="203">
        <f>IF($A12="","",SUMIFS('GECC 2026'!J$2:J$200,'GECC 2026'!F$2:F$200,$A12)+SUMIFS('GECC 2026'!$AE$3:$AE$32,'GECC 2026'!$AD$3:$AD$32,$A12))</f>
        <v>87.88000000000001</v>
      </c>
      <c r="F12" s="99">
        <f>IF($A12="","",COUNTIFS('GECC 2026'!F$2:F$200,$A12))</f>
        <v>12</v>
      </c>
    </row>
    <row r="13" spans="1:7" x14ac:dyDescent="0.25">
      <c r="A13" t="str">
        <v>Davi Assunção Salvador Nery de Castro</v>
      </c>
      <c r="B13" s="101">
        <f>IF($A13="","",SUMIFS('GECC 2026'!H$2:H$200,'GECC 2026'!F$2:F$200,$A13))</f>
        <v>12</v>
      </c>
      <c r="C13" s="101">
        <f>IF($A13="","",SUMIFS('GECC 2026'!I$2:I$200,'GECC 2026'!F$2:F$200,$A13))</f>
        <v>1.2</v>
      </c>
      <c r="D13" s="214">
        <f>IF($A13="","",SUMIFS('GECC 2026'!$AE$3:$AE$32,'GECC 2026'!$AD$3:$AD$32,$A13))</f>
        <v>0</v>
      </c>
      <c r="E13" s="203">
        <f>IF($A13="","",SUMIFS('GECC 2026'!J$2:J$200,'GECC 2026'!F$2:F$200,$A13)+SUMIFS('GECC 2026'!$AE$3:$AE$32,'GECC 2026'!$AD$3:$AD$32,$A13))</f>
        <v>13.2</v>
      </c>
      <c r="F13" s="99">
        <f>IF($A13="","",COUNTIFS('GECC 2026'!F$2:F$200,$A13))</f>
        <v>1</v>
      </c>
    </row>
    <row r="14" spans="1:7" x14ac:dyDescent="0.25">
      <c r="A14" t="str">
        <v>David da Silva de Araújo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4">
        <f>IF($A14="","",SUMIFS('GECC 2026'!$AE$3:$AE$32,'GECC 2026'!$AD$3:$AD$32,$A14))</f>
        <v>0</v>
      </c>
      <c r="E14" s="203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Denise Duarte Guirra Kuhlmann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2.6399999999999997</v>
      </c>
      <c r="D15" s="214">
        <f>IF($A15="","",SUMIFS('GECC 2026'!$AE$3:$AE$32,'GECC 2026'!$AD$3:$AD$32,$A15))</f>
        <v>0</v>
      </c>
      <c r="E15" s="203">
        <f>IF($A15="","",SUMIFS('GECC 2026'!J$2:J$200,'GECC 2026'!F$2:F$200,$A15)+SUMIFS('GECC 2026'!$AE$3:$AE$32,'GECC 2026'!$AD$3:$AD$32,$A15))</f>
        <v>14.64</v>
      </c>
      <c r="F15" s="99">
        <f>IF($A15="","",COUNTIFS('GECC 2026'!F$2:F$200,$A15))</f>
        <v>3</v>
      </c>
    </row>
    <row r="16" spans="1:7" x14ac:dyDescent="0.25">
      <c r="A16" t="str">
        <v>Diversos</v>
      </c>
      <c r="B16" s="101">
        <f>IF($A16="","",SUMIFS('GECC 2026'!H$2:H$200,'GECC 2026'!F$2:F$200,$A16))</f>
        <v>24</v>
      </c>
      <c r="C16" s="101">
        <f>IF($A16="","",SUMIFS('GECC 2026'!I$2:I$200,'GECC 2026'!F$2:F$200,$A16))</f>
        <v>7.2</v>
      </c>
      <c r="D16" s="214">
        <f>IF($A16="","",SUMIFS('GECC 2026'!$AE$3:$AE$32,'GECC 2026'!$AD$3:$AD$32,$A16))</f>
        <v>0</v>
      </c>
      <c r="E16" s="203">
        <f>IF($A16="","",SUMIFS('GECC 2026'!J$2:J$200,'GECC 2026'!F$2:F$200,$A16)+SUMIFS('GECC 2026'!$AE$3:$AE$32,'GECC 2026'!$AD$3:$AD$32,$A16))</f>
        <v>31.2</v>
      </c>
      <c r="F16" s="99">
        <f>IF($A16="","",COUNTIFS('GECC 2026'!F$2:F$200,$A16))</f>
        <v>2</v>
      </c>
    </row>
    <row r="17" spans="1:6" x14ac:dyDescent="0.25">
      <c r="A17" t="str">
        <v>Douglas Vieira Silva Filho</v>
      </c>
      <c r="B17" s="101">
        <f>IF($A17="","",SUMIFS('GECC 2026'!H$2:H$200,'GECC 2026'!F$2:F$200,$A17))</f>
        <v>4</v>
      </c>
      <c r="C17" s="101">
        <f>IF($A17="","",SUMIFS('GECC 2026'!I$2:I$200,'GECC 2026'!F$2:F$200,$A17))</f>
        <v>0.6</v>
      </c>
      <c r="D17" s="214">
        <f>IF($A17="","",SUMIFS('GECC 2026'!$AE$3:$AE$32,'GECC 2026'!$AD$3:$AD$32,$A17))</f>
        <v>0</v>
      </c>
      <c r="E17" s="203">
        <f>IF($A17="","",SUMIFS('GECC 2026'!J$2:J$200,'GECC 2026'!F$2:F$200,$A17)+SUMIFS('GECC 2026'!$AE$3:$AE$32,'GECC 2026'!$AD$3:$AD$32,$A17))</f>
        <v>4.5999999999999996</v>
      </c>
      <c r="F17" s="99">
        <f>IF($A17="","",COUNTIFS('GECC 2026'!F$2:F$200,$A17))</f>
        <v>1</v>
      </c>
    </row>
    <row r="18" spans="1:6" x14ac:dyDescent="0.25">
      <c r="A18" t="str">
        <v>Eustáquio Rabelo de Souza</v>
      </c>
      <c r="B18" s="101">
        <f>IF($A18="","",SUMIFS('GECC 2026'!H$2:H$200,'GECC 2026'!F$2:F$200,$A18))</f>
        <v>8</v>
      </c>
      <c r="C18" s="101">
        <f>IF($A18="","",SUMIFS('GECC 2026'!I$2:I$200,'GECC 2026'!F$2:F$200,$A18))</f>
        <v>0.24</v>
      </c>
      <c r="D18" s="214">
        <f>IF($A18="","",SUMIFS('GECC 2026'!$AE$3:$AE$32,'GECC 2026'!$AD$3:$AD$32,$A18))</f>
        <v>0</v>
      </c>
      <c r="E18" s="203">
        <f>IF($A18="","",SUMIFS('GECC 2026'!J$2:J$200,'GECC 2026'!F$2:F$200,$A18)+SUMIFS('GECC 2026'!$AE$3:$AE$32,'GECC 2026'!$AD$3:$AD$32,$A18))</f>
        <v>8.24</v>
      </c>
      <c r="F18" s="99">
        <f>IF($A18="","",COUNTIFS('GECC 2026'!F$2:F$200,$A18))</f>
        <v>1</v>
      </c>
    </row>
    <row r="19" spans="1:6" x14ac:dyDescent="0.25">
      <c r="A19" t="str">
        <v>Felipe da Costa Malaquias</v>
      </c>
      <c r="B19" s="101">
        <f>IF($A19="","",SUMIFS('GECC 2026'!H$2:H$200,'GECC 2026'!F$2:F$200,$A19))</f>
        <v>25.45</v>
      </c>
      <c r="C19" s="101">
        <f>IF($A19="","",SUMIFS('GECC 2026'!I$2:I$200,'GECC 2026'!F$2:F$200,$A19))</f>
        <v>7.6349999999999998</v>
      </c>
      <c r="D19" s="214">
        <f>IF($A19="","",SUMIFS('GECC 2026'!$AE$3:$AE$32,'GECC 2026'!$AD$3:$AD$32,$A19))</f>
        <v>0</v>
      </c>
      <c r="E19" s="203">
        <f>IF($A19="","",SUMIFS('GECC 2026'!J$2:J$200,'GECC 2026'!F$2:F$200,$A19)+SUMIFS('GECC 2026'!$AE$3:$AE$32,'GECC 2026'!$AD$3:$AD$32,$A19))</f>
        <v>33.085000000000001</v>
      </c>
      <c r="F19" s="99">
        <f>IF($A19="","",COUNTIFS('GECC 2026'!F$2:F$200,$A19))</f>
        <v>2</v>
      </c>
    </row>
    <row r="20" spans="1:6" x14ac:dyDescent="0.25">
      <c r="A20" t="str">
        <v>Felipe Ramos Barbosa</v>
      </c>
      <c r="B20" s="101">
        <f>IF($A20="","",SUMIFS('GECC 2026'!H$2:H$200,'GECC 2026'!F$2:F$200,$A20))</f>
        <v>8</v>
      </c>
      <c r="C20" s="101">
        <f>IF($A20="","",SUMIFS('GECC 2026'!I$2:I$200,'GECC 2026'!F$2:F$200,$A20))</f>
        <v>0.24</v>
      </c>
      <c r="D20" s="214">
        <f>IF($A20="","",SUMIFS('GECC 2026'!$AE$3:$AE$32,'GECC 2026'!$AD$3:$AD$32,$A20))</f>
        <v>0</v>
      </c>
      <c r="E20" s="203">
        <f>IF($A20="","",SUMIFS('GECC 2026'!J$2:J$200,'GECC 2026'!F$2:F$200,$A20)+SUMIFS('GECC 2026'!$AE$3:$AE$32,'GECC 2026'!$AD$3:$AD$32,$A20))</f>
        <v>8.24</v>
      </c>
      <c r="F20" s="99">
        <f>IF($A20="","",COUNTIFS('GECC 2026'!F$2:F$200,$A20))</f>
        <v>1</v>
      </c>
    </row>
    <row r="21" spans="1:6" x14ac:dyDescent="0.25">
      <c r="A21" t="str">
        <v>Fernanda Viana de Souza</v>
      </c>
      <c r="B21" s="101">
        <f>IF($A21="","",SUMIFS('GECC 2026'!H$2:H$200,'GECC 2026'!F$2:F$200,$A21))</f>
        <v>39</v>
      </c>
      <c r="C21" s="101">
        <f>IF($A21="","",SUMIFS('GECC 2026'!I$2:I$200,'GECC 2026'!F$2:F$200,$A21))</f>
        <v>8.370000000000001</v>
      </c>
      <c r="D21" s="214">
        <f>IF($A21="","",SUMIFS('GECC 2026'!$AE$3:$AE$32,'GECC 2026'!$AD$3:$AD$32,$A21))</f>
        <v>0</v>
      </c>
      <c r="E21" s="203">
        <f>IF($A21="","",SUMIFS('GECC 2026'!J$2:J$200,'GECC 2026'!F$2:F$200,$A21)+SUMIFS('GECC 2026'!$AE$3:$AE$32,'GECC 2026'!$AD$3:$AD$32,$A21))</f>
        <v>47.370000000000012</v>
      </c>
      <c r="F21" s="99">
        <f>IF($A21="","",COUNTIFS('GECC 2026'!F$2:F$200,$A21))</f>
        <v>10</v>
      </c>
    </row>
    <row r="22" spans="1:6" x14ac:dyDescent="0.25">
      <c r="A22" t="str">
        <v>Flávio José Fonseca de Souza</v>
      </c>
      <c r="B22" s="101">
        <f>IF($A22="","",SUMIFS('GECC 2026'!H$2:H$200,'GECC 2026'!F$2:F$200,$A22))</f>
        <v>25.45</v>
      </c>
      <c r="C22" s="101">
        <f>IF($A22="","",SUMIFS('GECC 2026'!I$2:I$200,'GECC 2026'!F$2:F$200,$A22))</f>
        <v>7.6349999999999998</v>
      </c>
      <c r="D22" s="214">
        <f>IF($A22="","",SUMIFS('GECC 2026'!$AE$3:$AE$32,'GECC 2026'!$AD$3:$AD$32,$A22))</f>
        <v>0</v>
      </c>
      <c r="E22" s="203">
        <f>IF($A22="","",SUMIFS('GECC 2026'!J$2:J$200,'GECC 2026'!F$2:F$200,$A22)+SUMIFS('GECC 2026'!$AE$3:$AE$32,'GECC 2026'!$AD$3:$AD$32,$A22))</f>
        <v>33.085000000000001</v>
      </c>
      <c r="F22" s="99">
        <f>IF($A22="","",COUNTIFS('GECC 2026'!F$2:F$200,$A22))</f>
        <v>2</v>
      </c>
    </row>
    <row r="23" spans="1:6" x14ac:dyDescent="0.25">
      <c r="A23" t="str">
        <v>Gabriel Heller</v>
      </c>
      <c r="B23" s="101">
        <f>IF($A23="","",SUMIFS('GECC 2026'!H$2:H$200,'GECC 2026'!F$2:F$200,$A23))</f>
        <v>28</v>
      </c>
      <c r="C23" s="101">
        <f>IF($A23="","",SUMIFS('GECC 2026'!I$2:I$200,'GECC 2026'!F$2:F$200,$A23))</f>
        <v>5.52</v>
      </c>
      <c r="D23" s="214">
        <f>IF($A23="","",SUMIFS('GECC 2026'!$AE$3:$AE$32,'GECC 2026'!$AD$3:$AD$32,$A23))</f>
        <v>0</v>
      </c>
      <c r="E23" s="203">
        <f>IF($A23="","",SUMIFS('GECC 2026'!J$2:J$200,'GECC 2026'!F$2:F$200,$A23)+SUMIFS('GECC 2026'!$AE$3:$AE$32,'GECC 2026'!$AD$3:$AD$32,$A23))</f>
        <v>33.520000000000003</v>
      </c>
      <c r="F23" s="99">
        <f>IF($A23="","",COUNTIFS('GECC 2026'!F$2:F$200,$A23))</f>
        <v>2</v>
      </c>
    </row>
    <row r="24" spans="1:6" x14ac:dyDescent="0.25">
      <c r="A24" t="str">
        <v>Guilherme Bride Fernandes</v>
      </c>
      <c r="B24" s="101">
        <f>IF($A24="","",SUMIFS('GECC 2026'!H$2:H$200,'GECC 2026'!F$2:F$200,$A24))</f>
        <v>8</v>
      </c>
      <c r="C24" s="101">
        <f>IF($A24="","",SUMIFS('GECC 2026'!I$2:I$200,'GECC 2026'!F$2:F$200,$A24))</f>
        <v>0.24</v>
      </c>
      <c r="D24" s="214">
        <f>IF($A24="","",SUMIFS('GECC 2026'!$AE$3:$AE$32,'GECC 2026'!$AD$3:$AD$32,$A24))</f>
        <v>0</v>
      </c>
      <c r="E24" s="203">
        <f>IF($A24="","",SUMIFS('GECC 2026'!J$2:J$200,'GECC 2026'!F$2:F$200,$A24)+SUMIFS('GECC 2026'!$AE$3:$AE$32,'GECC 2026'!$AD$3:$AD$32,$A24))</f>
        <v>8.24</v>
      </c>
      <c r="F24" s="99">
        <f>IF($A24="","",COUNTIFS('GECC 2026'!F$2:F$200,$A24))</f>
        <v>1</v>
      </c>
    </row>
    <row r="25" spans="1:6" x14ac:dyDescent="0.25">
      <c r="A25" t="str">
        <v>Gustavo Takahashi</v>
      </c>
      <c r="B25" s="101">
        <f>IF($A25="","",SUMIFS('GECC 2026'!H$2:H$200,'GECC 2026'!F$2:F$200,$A25))</f>
        <v>33</v>
      </c>
      <c r="C25" s="101">
        <f>IF($A25="","",SUMIFS('GECC 2026'!I$2:I$200,'GECC 2026'!F$2:F$200,$A25))</f>
        <v>3.5999999999999996</v>
      </c>
      <c r="D25" s="214">
        <f>IF($A25="","",SUMIFS('GECC 2026'!$AE$3:$AE$32,'GECC 2026'!$AD$3:$AD$32,$A25))</f>
        <v>0</v>
      </c>
      <c r="E25" s="203">
        <f>IF($A25="","",SUMIFS('GECC 2026'!J$2:J$200,'GECC 2026'!F$2:F$200,$A25)+SUMIFS('GECC 2026'!$AE$3:$AE$32,'GECC 2026'!$AD$3:$AD$32,$A25))</f>
        <v>36.599999999999994</v>
      </c>
      <c r="F25" s="99">
        <f>IF($A25="","",COUNTIFS('GECC 2026'!F$2:F$200,$A25))</f>
        <v>5</v>
      </c>
    </row>
    <row r="26" spans="1:6" x14ac:dyDescent="0.25">
      <c r="A26" t="str">
        <v>Hamilton de Jesus Lopes Neto</v>
      </c>
      <c r="B26" s="101">
        <f>IF($A26="","",SUMIFS('GECC 2026'!H$2:H$200,'GECC 2026'!F$2:F$200,$A26))</f>
        <v>12</v>
      </c>
      <c r="C26" s="101">
        <f>IF($A26="","",SUMIFS('GECC 2026'!I$2:I$200,'GECC 2026'!F$2:F$200,$A26))</f>
        <v>1.2</v>
      </c>
      <c r="D26" s="214">
        <f>IF($A26="","",SUMIFS('GECC 2026'!$AE$3:$AE$32,'GECC 2026'!$AD$3:$AD$32,$A26))</f>
        <v>0</v>
      </c>
      <c r="E26" s="203">
        <f>IF($A26="","",SUMIFS('GECC 2026'!J$2:J$200,'GECC 2026'!F$2:F$200,$A26)+SUMIFS('GECC 2026'!$AE$3:$AE$32,'GECC 2026'!$AD$3:$AD$32,$A26))</f>
        <v>13.2</v>
      </c>
      <c r="F26" s="99">
        <f>IF($A26="","",COUNTIFS('GECC 2026'!F$2:F$200,$A26))</f>
        <v>1</v>
      </c>
    </row>
    <row r="27" spans="1:6" x14ac:dyDescent="0.25">
      <c r="A27" t="str">
        <v>Igor Queiroz</v>
      </c>
      <c r="B27" s="101">
        <f>IF($A27="","",SUMIFS('GECC 2026'!H$2:H$200,'GECC 2026'!F$2:F$200,$A27))</f>
        <v>8</v>
      </c>
      <c r="C27" s="101">
        <f>IF($A27="","",SUMIFS('GECC 2026'!I$2:I$200,'GECC 2026'!F$2:F$200,$A27))</f>
        <v>0.24</v>
      </c>
      <c r="D27" s="214">
        <f>IF($A27="","",SUMIFS('GECC 2026'!$AE$3:$AE$32,'GECC 2026'!$AD$3:$AD$32,$A27))</f>
        <v>0</v>
      </c>
      <c r="E27" s="203">
        <f>IF($A27="","",SUMIFS('GECC 2026'!J$2:J$200,'GECC 2026'!F$2:F$200,$A27)+SUMIFS('GECC 2026'!$AE$3:$AE$32,'GECC 2026'!$AD$3:$AD$32,$A27))</f>
        <v>8.24</v>
      </c>
      <c r="F27" s="99">
        <f>IF($A27="","",COUNTIFS('GECC 2026'!F$2:F$200,$A27))</f>
        <v>1</v>
      </c>
    </row>
    <row r="28" spans="1:6" x14ac:dyDescent="0.25">
      <c r="A28" t="str">
        <v>Indio Artiaga do Brasil Rabelo</v>
      </c>
      <c r="B28" s="101">
        <f>IF($A28="","",SUMIFS('GECC 2026'!H$2:H$200,'GECC 2026'!F$2:F$200,$A28))</f>
        <v>16</v>
      </c>
      <c r="C28" s="101">
        <f>IF($A28="","",SUMIFS('GECC 2026'!I$2:I$200,'GECC 2026'!F$2:F$200,$A28))</f>
        <v>2.4</v>
      </c>
      <c r="D28" s="214">
        <f>IF($A28="","",SUMIFS('GECC 2026'!$AE$3:$AE$32,'GECC 2026'!$AD$3:$AD$32,$A28))</f>
        <v>0</v>
      </c>
      <c r="E28" s="203">
        <f>IF($A28="","",SUMIFS('GECC 2026'!J$2:J$200,'GECC 2026'!F$2:F$200,$A28)+SUMIFS('GECC 2026'!$AE$3:$AE$32,'GECC 2026'!$AD$3:$AD$32,$A28))</f>
        <v>18.399999999999999</v>
      </c>
      <c r="F28" s="99">
        <f>IF($A28="","",COUNTIFS('GECC 2026'!F$2:F$200,$A28))</f>
        <v>2</v>
      </c>
    </row>
    <row r="29" spans="1:6" x14ac:dyDescent="0.25">
      <c r="A29" t="str">
        <v>Jamile Medeiros Fon</v>
      </c>
      <c r="B29" s="101">
        <f>IF($A29="","",SUMIFS('GECC 2026'!H$2:H$200,'GECC 2026'!F$2:F$200,$A29))</f>
        <v>4</v>
      </c>
      <c r="C29" s="101">
        <f>IF($A29="","",SUMIFS('GECC 2026'!I$2:I$200,'GECC 2026'!F$2:F$200,$A29))</f>
        <v>0.6</v>
      </c>
      <c r="D29" s="214">
        <f>IF($A29="","",SUMIFS('GECC 2026'!$AE$3:$AE$32,'GECC 2026'!$AD$3:$AD$32,$A29))</f>
        <v>0</v>
      </c>
      <c r="E29" s="203">
        <f>IF($A29="","",SUMIFS('GECC 2026'!J$2:J$200,'GECC 2026'!F$2:F$200,$A29)+SUMIFS('GECC 2026'!$AE$3:$AE$32,'GECC 2026'!$AD$3:$AD$32,$A29))</f>
        <v>4.5999999999999996</v>
      </c>
      <c r="F29" s="99">
        <f>IF($A29="","",COUNTIFS('GECC 2026'!F$2:F$200,$A29))</f>
        <v>1</v>
      </c>
    </row>
    <row r="30" spans="1:6" x14ac:dyDescent="0.25">
      <c r="A30" t="str">
        <v>José Roberto Alcuri Júnior</v>
      </c>
      <c r="B30" s="101">
        <f>IF($A30="","",SUMIFS('GECC 2026'!H$2:H$200,'GECC 2026'!F$2:F$200,$A30))</f>
        <v>12</v>
      </c>
      <c r="C30" s="101">
        <f>IF($A30="","",SUMIFS('GECC 2026'!I$2:I$200,'GECC 2026'!F$2:F$200,$A30))</f>
        <v>0.84</v>
      </c>
      <c r="D30" s="214">
        <f>IF($A30="","",SUMIFS('GECC 2026'!$AE$3:$AE$32,'GECC 2026'!$AD$3:$AD$32,$A30))</f>
        <v>0</v>
      </c>
      <c r="E30" s="203">
        <f>IF($A30="","",SUMIFS('GECC 2026'!J$2:J$200,'GECC 2026'!F$2:F$200,$A30)+SUMIFS('GECC 2026'!$AE$3:$AE$32,'GECC 2026'!$AD$3:$AD$32,$A30))</f>
        <v>12.84</v>
      </c>
      <c r="F30" s="99">
        <f>IF($A30="","",COUNTIFS('GECC 2026'!F$2:F$200,$A30))</f>
        <v>2</v>
      </c>
    </row>
    <row r="31" spans="1:6" x14ac:dyDescent="0.25">
      <c r="A31" t="str">
        <v>Leonardo de Melo</v>
      </c>
      <c r="B31" s="101">
        <f>IF($A31="","",SUMIFS('GECC 2026'!H$2:H$200,'GECC 2026'!F$2:F$200,$A31))</f>
        <v>16</v>
      </c>
      <c r="C31" s="101">
        <f>IF($A31="","",SUMIFS('GECC 2026'!I$2:I$200,'GECC 2026'!F$2:F$200,$A31))</f>
        <v>2.4</v>
      </c>
      <c r="D31" s="214">
        <f>IF($A31="","",SUMIFS('GECC 2026'!$AE$3:$AE$32,'GECC 2026'!$AD$3:$AD$32,$A31))</f>
        <v>0</v>
      </c>
      <c r="E31" s="203">
        <f>IF($A31="","",SUMIFS('GECC 2026'!J$2:J$200,'GECC 2026'!F$2:F$200,$A31)+SUMIFS('GECC 2026'!$AE$3:$AE$32,'GECC 2026'!$AD$3:$AD$32,$A31))</f>
        <v>18.399999999999999</v>
      </c>
      <c r="F31" s="99">
        <f>IF($A31="","",COUNTIFS('GECC 2026'!F$2:F$200,$A31))</f>
        <v>2</v>
      </c>
    </row>
    <row r="32" spans="1:6" x14ac:dyDescent="0.25">
      <c r="A32" t="str">
        <v>Leonardo José Alves Leal Neri</v>
      </c>
      <c r="B32" s="101">
        <f>IF($A32="","",SUMIFS('GECC 2026'!H$2:H$200,'GECC 2026'!F$2:F$200,$A32))</f>
        <v>40</v>
      </c>
      <c r="C32" s="101">
        <f>IF($A32="","",SUMIFS('GECC 2026'!I$2:I$200,'GECC 2026'!F$2:F$200,$A32))</f>
        <v>12</v>
      </c>
      <c r="D32" s="214">
        <f>IF($A32="","",SUMIFS('GECC 2026'!$AE$3:$AE$32,'GECC 2026'!$AD$3:$AD$32,$A32))</f>
        <v>0</v>
      </c>
      <c r="E32" s="203">
        <f>IF($A32="","",SUMIFS('GECC 2026'!J$2:J$200,'GECC 2026'!F$2:F$200,$A32)+SUMIFS('GECC 2026'!$AE$3:$AE$32,'GECC 2026'!$AD$3:$AD$32,$A32))</f>
        <v>52</v>
      </c>
      <c r="F32" s="99">
        <f>IF($A32="","",COUNTIFS('GECC 2026'!F$2:F$200,$A32))</f>
        <v>2</v>
      </c>
    </row>
    <row r="33" spans="1:6" x14ac:dyDescent="0.25">
      <c r="A33" t="str">
        <v>Luciana Alvim</v>
      </c>
      <c r="B33" s="101">
        <f>IF($A33="","",SUMIFS('GECC 2026'!H$2:H$200,'GECC 2026'!F$2:F$200,$A33))</f>
        <v>115</v>
      </c>
      <c r="C33" s="101">
        <f>IF($A33="","",SUMIFS('GECC 2026'!I$2:I$200,'GECC 2026'!F$2:F$200,$A33))</f>
        <v>17.25</v>
      </c>
      <c r="D33" s="214">
        <f>IF($A33="","",SUMIFS('GECC 2026'!$AE$3:$AE$32,'GECC 2026'!$AD$3:$AD$32,$A33))</f>
        <v>0</v>
      </c>
      <c r="E33" s="203">
        <f>IF($A33="","",SUMIFS('GECC 2026'!J$2:J$200,'GECC 2026'!F$2:F$200,$A33)+SUMIFS('GECC 2026'!$AE$3:$AE$32,'GECC 2026'!$AD$3:$AD$32,$A33))</f>
        <v>132.25</v>
      </c>
      <c r="F33" s="99">
        <f>IF($A33="","",COUNTIFS('GECC 2026'!F$2:F$200,$A33))</f>
        <v>6</v>
      </c>
    </row>
    <row r="34" spans="1:6" x14ac:dyDescent="0.25">
      <c r="A34" t="str">
        <v>Luiz Felipe Tenório de Lima Gondim</v>
      </c>
      <c r="B34" s="101">
        <f>IF($A34="","",SUMIFS('GECC 2026'!H$2:H$200,'GECC 2026'!F$2:F$200,$A34))</f>
        <v>24</v>
      </c>
      <c r="C34" s="101">
        <f>IF($A34="","",SUMIFS('GECC 2026'!I$2:I$200,'GECC 2026'!F$2:F$200,$A34))</f>
        <v>5.28</v>
      </c>
      <c r="D34" s="214">
        <f>IF($A34="","",SUMIFS('GECC 2026'!$AE$3:$AE$32,'GECC 2026'!$AD$3:$AD$32,$A34))</f>
        <v>0</v>
      </c>
      <c r="E34" s="203">
        <f>IF($A34="","",SUMIFS('GECC 2026'!J$2:J$200,'GECC 2026'!F$2:F$200,$A34)+SUMIFS('GECC 2026'!$AE$3:$AE$32,'GECC 2026'!$AD$3:$AD$32,$A34))</f>
        <v>29.279999999999998</v>
      </c>
      <c r="F34" s="99">
        <f>IF($A34="","",COUNTIFS('GECC 2026'!F$2:F$200,$A34))</f>
        <v>6</v>
      </c>
    </row>
    <row r="35" spans="1:6" x14ac:dyDescent="0.25">
      <c r="A35" t="str">
        <v>Marcelo Bálbio Moraes</v>
      </c>
      <c r="B35" s="101">
        <f>IF($A35="","",SUMIFS('GECC 2026'!H$2:H$200,'GECC 2026'!F$2:F$200,$A35))</f>
        <v>0</v>
      </c>
      <c r="C35" s="101">
        <f>IF($A35="","",SUMIFS('GECC 2026'!I$2:I$200,'GECC 2026'!F$2:F$200,$A35))</f>
        <v>0</v>
      </c>
      <c r="D35" s="214">
        <f>IF($A35="","",SUMIFS('GECC 2026'!$AE$3:$AE$32,'GECC 2026'!$AD$3:$AD$32,$A35))</f>
        <v>16</v>
      </c>
      <c r="E35" s="203">
        <f>IF($A35="","",SUMIFS('GECC 2026'!J$2:J$200,'GECC 2026'!F$2:F$200,$A35)+SUMIFS('GECC 2026'!$AE$3:$AE$32,'GECC 2026'!$AD$3:$AD$32,$A35))</f>
        <v>16</v>
      </c>
      <c r="F35" s="99">
        <f>IF($A35="","",COUNTIFS('GECC 2026'!F$2:F$200,$A35))</f>
        <v>0</v>
      </c>
    </row>
    <row r="36" spans="1:6" x14ac:dyDescent="0.25">
      <c r="A36" t="str">
        <v>Marcelo Santana</v>
      </c>
      <c r="B36" s="101">
        <f>IF($A36="","",SUMIFS('GECC 2026'!H$2:H$200,'GECC 2026'!F$2:F$200,$A36))</f>
        <v>8</v>
      </c>
      <c r="C36" s="101">
        <f>IF($A36="","",SUMIFS('GECC 2026'!I$2:I$200,'GECC 2026'!F$2:F$200,$A36))</f>
        <v>0.24</v>
      </c>
      <c r="D36" s="214">
        <f>IF($A36="","",SUMIFS('GECC 2026'!$AE$3:$AE$32,'GECC 2026'!$AD$3:$AD$32,$A36))</f>
        <v>0</v>
      </c>
      <c r="E36" s="203">
        <f>IF($A36="","",SUMIFS('GECC 2026'!J$2:J$200,'GECC 2026'!F$2:F$200,$A36)+SUMIFS('GECC 2026'!$AE$3:$AE$32,'GECC 2026'!$AD$3:$AD$32,$A36))</f>
        <v>8.24</v>
      </c>
      <c r="F36" s="99">
        <f>IF($A36="","",COUNTIFS('GECC 2026'!F$2:F$200,$A36))</f>
        <v>1</v>
      </c>
    </row>
    <row r="37" spans="1:6" x14ac:dyDescent="0.25">
      <c r="A37" t="str">
        <v>Marcelo Silva Santana</v>
      </c>
      <c r="B37" s="101">
        <f>IF($A37="","",SUMIFS('GECC 2026'!H$2:H$200,'GECC 2026'!F$2:F$200,$A37))</f>
        <v>4</v>
      </c>
      <c r="C37" s="101">
        <f>IF($A37="","",SUMIFS('GECC 2026'!I$2:I$200,'GECC 2026'!F$2:F$200,$A37))</f>
        <v>0.6</v>
      </c>
      <c r="D37" s="214">
        <f>IF($A37="","",SUMIFS('GECC 2026'!$AE$3:$AE$32,'GECC 2026'!$AD$3:$AD$32,$A37))</f>
        <v>0</v>
      </c>
      <c r="E37" s="203">
        <f>IF($A37="","",SUMIFS('GECC 2026'!J$2:J$200,'GECC 2026'!F$2:F$200,$A37)+SUMIFS('GECC 2026'!$AE$3:$AE$32,'GECC 2026'!$AD$3:$AD$32,$A37))</f>
        <v>4.5999999999999996</v>
      </c>
      <c r="F37" s="99">
        <f>IF($A37="","",COUNTIFS('GECC 2026'!F$2:F$200,$A37))</f>
        <v>1</v>
      </c>
    </row>
    <row r="38" spans="1:6" x14ac:dyDescent="0.25">
      <c r="A38" t="str">
        <v>Mauri Siqueira Montessi</v>
      </c>
      <c r="B38" s="101">
        <f>IF($A38="","",SUMIFS('GECC 2026'!H$2:H$200,'GECC 2026'!F$2:F$200,$A38))</f>
        <v>0</v>
      </c>
      <c r="C38" s="101">
        <f>IF($A38="","",SUMIFS('GECC 2026'!I$2:I$200,'GECC 2026'!F$2:F$200,$A38))</f>
        <v>0</v>
      </c>
      <c r="D38" s="214">
        <f>IF($A38="","",SUMIFS('GECC 2026'!$AE$3:$AE$32,'GECC 2026'!$AD$3:$AD$32,$A38))</f>
        <v>16</v>
      </c>
      <c r="E38" s="203">
        <f>IF($A38="","",SUMIFS('GECC 2026'!J$2:J$200,'GECC 2026'!F$2:F$200,$A38)+SUMIFS('GECC 2026'!$AE$3:$AE$32,'GECC 2026'!$AD$3:$AD$32,$A38))</f>
        <v>16</v>
      </c>
      <c r="F38" s="99">
        <f>IF($A38="","",COUNTIFS('GECC 2026'!F$2:F$200,$A38))</f>
        <v>0</v>
      </c>
    </row>
    <row r="39" spans="1:6" x14ac:dyDescent="0.25">
      <c r="A39" t="str">
        <v>Michel Martins de Morais</v>
      </c>
      <c r="B39" s="101">
        <f>IF($A39="","",SUMIFS('GECC 2026'!H$2:H$200,'GECC 2026'!F$2:F$200,$A39))</f>
        <v>0</v>
      </c>
      <c r="C39" s="101">
        <f>IF($A39="","",SUMIFS('GECC 2026'!I$2:I$200,'GECC 2026'!F$2:F$200,$A39))</f>
        <v>0</v>
      </c>
      <c r="D39" s="214">
        <f>IF($A39="","",SUMIFS('GECC 2026'!$AE$3:$AE$32,'GECC 2026'!$AD$3:$AD$32,$A39))</f>
        <v>16</v>
      </c>
      <c r="E39" s="203">
        <f>IF($A39="","",SUMIFS('GECC 2026'!J$2:J$200,'GECC 2026'!F$2:F$200,$A39)+SUMIFS('GECC 2026'!$AE$3:$AE$32,'GECC 2026'!$AD$3:$AD$32,$A39))</f>
        <v>16</v>
      </c>
      <c r="F39" s="99">
        <f>IF($A39="","",COUNTIFS('GECC 2026'!F$2:F$200,$A39))</f>
        <v>0</v>
      </c>
    </row>
    <row r="40" spans="1:6" x14ac:dyDescent="0.25">
      <c r="A40" t="str">
        <v>Paulo José Góes Daltro</v>
      </c>
      <c r="B40" s="101">
        <f>IF($A40="","",SUMIFS('GECC 2026'!H$2:H$200,'GECC 2026'!F$2:F$200,$A40))</f>
        <v>28</v>
      </c>
      <c r="C40" s="101">
        <f>IF($A40="","",SUMIFS('GECC 2026'!I$2:I$200,'GECC 2026'!F$2:F$200,$A40))</f>
        <v>8.3999999999999986</v>
      </c>
      <c r="D40" s="214">
        <f>IF($A40="","",SUMIFS('GECC 2026'!$AE$3:$AE$32,'GECC 2026'!$AD$3:$AD$32,$A40))</f>
        <v>0</v>
      </c>
      <c r="E40" s="203">
        <f>IF($A40="","",SUMIFS('GECC 2026'!J$2:J$200,'GECC 2026'!F$2:F$200,$A40)+SUMIFS('GECC 2026'!$AE$3:$AE$32,'GECC 2026'!$AD$3:$AD$32,$A40))</f>
        <v>36.4</v>
      </c>
      <c r="F40" s="99">
        <f>IF($A40="","",COUNTIFS('GECC 2026'!F$2:F$200,$A40))</f>
        <v>3</v>
      </c>
    </row>
    <row r="41" spans="1:6" x14ac:dyDescent="0.25">
      <c r="A41" t="str">
        <v>Priscila Nolasco de Oliveira</v>
      </c>
      <c r="B41" s="101">
        <f>IF($A41="","",SUMIFS('GECC 2026'!H$2:H$200,'GECC 2026'!F$2:F$200,$A41))</f>
        <v>36</v>
      </c>
      <c r="C41" s="101">
        <f>IF($A41="","",SUMIFS('GECC 2026'!I$2:I$200,'GECC 2026'!F$2:F$200,$A41))</f>
        <v>6</v>
      </c>
      <c r="D41" s="214">
        <f>IF($A41="","",SUMIFS('GECC 2026'!$AE$3:$AE$32,'GECC 2026'!$AD$3:$AD$32,$A41))</f>
        <v>0</v>
      </c>
      <c r="E41" s="203">
        <f>IF($A41="","",SUMIFS('GECC 2026'!J$2:J$200,'GECC 2026'!F$2:F$200,$A41)+SUMIFS('GECC 2026'!$AE$3:$AE$32,'GECC 2026'!$AD$3:$AD$32,$A41))</f>
        <v>42.000000000000007</v>
      </c>
      <c r="F41" s="99">
        <f>IF($A41="","",COUNTIFS('GECC 2026'!F$2:F$200,$A41))</f>
        <v>9</v>
      </c>
    </row>
    <row r="42" spans="1:6" x14ac:dyDescent="0.25">
      <c r="A42" t="str">
        <v>Reinaldo Alencar</v>
      </c>
      <c r="B42" s="101">
        <f>IF($A42="","",SUMIFS('GECC 2026'!H$2:H$200,'GECC 2026'!F$2:F$200,$A42))</f>
        <v>56</v>
      </c>
      <c r="C42" s="101">
        <f>IF($A42="","",SUMIFS('GECC 2026'!I$2:I$200,'GECC 2026'!F$2:F$200,$A42))</f>
        <v>7.3199999999999994</v>
      </c>
      <c r="D42" s="214">
        <f>IF($A42="","",SUMIFS('GECC 2026'!$AE$3:$AE$32,'GECC 2026'!$AD$3:$AD$32,$A42))</f>
        <v>0</v>
      </c>
      <c r="E42" s="203">
        <f>IF($A42="","",SUMIFS('GECC 2026'!J$2:J$200,'GECC 2026'!F$2:F$200,$A42)+SUMIFS('GECC 2026'!$AE$3:$AE$32,'GECC 2026'!$AD$3:$AD$32,$A42))</f>
        <v>63.32</v>
      </c>
      <c r="F42" s="99">
        <f>IF($A42="","",COUNTIFS('GECC 2026'!F$2:F$200,$A42))</f>
        <v>3</v>
      </c>
    </row>
    <row r="43" spans="1:6" x14ac:dyDescent="0.25">
      <c r="A43" t="str">
        <v>Renan Dias da Silva</v>
      </c>
      <c r="B43" s="101">
        <f>IF($A43="","",SUMIFS('GECC 2026'!H$2:H$200,'GECC 2026'!F$2:F$200,$A43))</f>
        <v>4</v>
      </c>
      <c r="C43" s="101">
        <f>IF($A43="","",SUMIFS('GECC 2026'!I$2:I$200,'GECC 2026'!F$2:F$200,$A43))</f>
        <v>1.2</v>
      </c>
      <c r="D43" s="214">
        <f>IF($A43="","",SUMIFS('GECC 2026'!$AE$3:$AE$32,'GECC 2026'!$AD$3:$AD$32,$A43))</f>
        <v>0</v>
      </c>
      <c r="E43" s="203">
        <f>IF($A43="","",SUMIFS('GECC 2026'!J$2:J$200,'GECC 2026'!F$2:F$200,$A43)+SUMIFS('GECC 2026'!$AE$3:$AE$32,'GECC 2026'!$AD$3:$AD$32,$A43))</f>
        <v>5.2</v>
      </c>
      <c r="F43" s="99">
        <f>IF($A43="","",COUNTIFS('GECC 2026'!F$2:F$200,$A43))</f>
        <v>1</v>
      </c>
    </row>
    <row r="44" spans="1:6" x14ac:dyDescent="0.25">
      <c r="A44" t="str">
        <v>Rogério Ribeiro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4">
        <f>IF($A44="","",SUMIFS('GECC 2026'!$AE$3:$AE$32,'GECC 2026'!$AD$3:$AD$32,$A44))</f>
        <v>0</v>
      </c>
      <c r="E44" s="203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Rômulo Miranda Alvim</v>
      </c>
      <c r="B45" s="101">
        <f>IF($A45="","",SUMIFS('GECC 2026'!H$2:H$200,'GECC 2026'!F$2:F$200,$A45))</f>
        <v>32</v>
      </c>
      <c r="C45" s="101">
        <f>IF($A45="","",SUMIFS('GECC 2026'!I$2:I$200,'GECC 2026'!F$2:F$200,$A45))</f>
        <v>3.7199999999999998</v>
      </c>
      <c r="D45" s="214">
        <f>IF($A45="","",SUMIFS('GECC 2026'!$AE$3:$AE$32,'GECC 2026'!$AD$3:$AD$32,$A45))</f>
        <v>16</v>
      </c>
      <c r="E45" s="203">
        <f>IF($A45="","",SUMIFS('GECC 2026'!J$2:J$200,'GECC 2026'!F$2:F$200,$A45)+SUMIFS('GECC 2026'!$AE$3:$AE$32,'GECC 2026'!$AD$3:$AD$32,$A45))</f>
        <v>51.72</v>
      </c>
      <c r="F45" s="99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1">
        <f>IF($A46="","",SUMIFS('GECC 2026'!H$2:H$200,'GECC 2026'!F$2:F$200,$A46))</f>
        <v>0</v>
      </c>
      <c r="C46" s="101">
        <f>IF($A46="","",SUMIFS('GECC 2026'!I$2:I$200,'GECC 2026'!F$2:F$200,$A46))</f>
        <v>0</v>
      </c>
      <c r="D46" s="214">
        <f>IF($A46="","",SUMIFS('GECC 2026'!$AE$3:$AE$32,'GECC 2026'!$AD$3:$AD$32,$A46))</f>
        <v>0</v>
      </c>
      <c r="E46" s="203">
        <f>IF($A46="","",SUMIFS('GECC 2026'!J$2:J$200,'GECC 2026'!F$2:F$200,$A46)+SUMIFS('GECC 2026'!$AE$3:$AE$32,'GECC 2026'!$AD$3:$AD$32,$A46))</f>
        <v>0</v>
      </c>
      <c r="F46" s="99">
        <f>IF($A46="","",COUNTIFS('GECC 2026'!F$2:F$200,$A46))</f>
        <v>1</v>
      </c>
    </row>
    <row r="47" spans="1:6" x14ac:dyDescent="0.25">
      <c r="A47" t="str">
        <v>Silvia Lima Damasceno Carvalho</v>
      </c>
      <c r="B47" s="101">
        <f>IF($A47="","",SUMIFS('GECC 2026'!H$2:H$200,'GECC 2026'!F$2:F$200,$A47))</f>
        <v>28</v>
      </c>
      <c r="C47" s="101">
        <f>IF($A47="","",SUMIFS('GECC 2026'!I$2:I$200,'GECC 2026'!F$2:F$200,$A47))</f>
        <v>3.84</v>
      </c>
      <c r="D47" s="214">
        <f>IF($A47="","",SUMIFS('GECC 2026'!$AE$3:$AE$32,'GECC 2026'!$AD$3:$AD$32,$A47))</f>
        <v>0</v>
      </c>
      <c r="E47" s="203">
        <f>IF($A47="","",SUMIFS('GECC 2026'!J$2:J$200,'GECC 2026'!F$2:F$200,$A47)+SUMIFS('GECC 2026'!$AE$3:$AE$32,'GECC 2026'!$AD$3:$AD$32,$A47))</f>
        <v>31.84</v>
      </c>
      <c r="F47" s="99">
        <f>IF($A47="","",COUNTIFS('GECC 2026'!F$2:F$200,$A47))</f>
        <v>6</v>
      </c>
    </row>
    <row r="48" spans="1:6" x14ac:dyDescent="0.25">
      <c r="A48" t="str">
        <v>Tarsila Firmino Ely</v>
      </c>
      <c r="B48" s="101">
        <f>IF($A48="","",SUMIFS('GECC 2026'!H$2:H$200,'GECC 2026'!F$2:F$200,$A48))</f>
        <v>111</v>
      </c>
      <c r="C48" s="101">
        <f>IF($A48="","",SUMIFS('GECC 2026'!I$2:I$200,'GECC 2026'!F$2:F$200,$A48))</f>
        <v>19.650000000000002</v>
      </c>
      <c r="D48" s="214">
        <f>IF($A48="","",SUMIFS('GECC 2026'!$AE$3:$AE$32,'GECC 2026'!$AD$3:$AD$32,$A48))</f>
        <v>0</v>
      </c>
      <c r="E48" s="203">
        <f>IF($A48="","",SUMIFS('GECC 2026'!J$2:J$200,'GECC 2026'!F$2:F$200,$A48)+SUMIFS('GECC 2026'!$AE$3:$AE$32,'GECC 2026'!$AD$3:$AD$32,$A48))</f>
        <v>130.64999999999998</v>
      </c>
      <c r="F48" s="99">
        <f>IF($A48="","",COUNTIFS('GECC 2026'!F$2:F$200,$A48))</f>
        <v>5</v>
      </c>
    </row>
    <row r="49" spans="1:6" x14ac:dyDescent="0.25">
      <c r="A49" t="str">
        <v>Thiago Magalhães de Oliveira</v>
      </c>
      <c r="B49" s="101">
        <f>IF($A49="","",SUMIFS('GECC 2026'!H$2:H$200,'GECC 2026'!F$2:F$200,$A49))</f>
        <v>4</v>
      </c>
      <c r="C49" s="101">
        <f>IF($A49="","",SUMIFS('GECC 2026'!I$2:I$200,'GECC 2026'!F$2:F$200,$A49))</f>
        <v>0.6</v>
      </c>
      <c r="D49" s="214">
        <f>IF($A49="","",SUMIFS('GECC 2026'!$AE$3:$AE$32,'GECC 2026'!$AD$3:$AD$32,$A49))</f>
        <v>0</v>
      </c>
      <c r="E49" s="203">
        <f>IF($A49="","",SUMIFS('GECC 2026'!J$2:J$200,'GECC 2026'!F$2:F$200,$A49)+SUMIFS('GECC 2026'!$AE$3:$AE$32,'GECC 2026'!$AD$3:$AD$32,$A49))</f>
        <v>4.5999999999999996</v>
      </c>
      <c r="F49" s="99">
        <f>IF($A49="","",COUNTIFS('GECC 2026'!F$2:F$200,$A49))</f>
        <v>1</v>
      </c>
    </row>
    <row r="50" spans="1:6" x14ac:dyDescent="0.25">
      <c r="A50" t="str">
        <v>Túllio Herbeth Teixeira Moraes</v>
      </c>
      <c r="B50" s="101">
        <f>IF($A50="","",SUMIFS('GECC 2026'!H$2:H$200,'GECC 2026'!F$2:F$200,$A50))</f>
        <v>3</v>
      </c>
      <c r="C50" s="101">
        <f>IF($A50="","",SUMIFS('GECC 2026'!I$2:I$200,'GECC 2026'!F$2:F$200,$A50))</f>
        <v>0.44999999999999996</v>
      </c>
      <c r="D50" s="214">
        <f>IF($A50="","",SUMIFS('GECC 2026'!$AE$3:$AE$32,'GECC 2026'!$AD$3:$AD$32,$A50))</f>
        <v>0</v>
      </c>
      <c r="E50" s="203">
        <f>IF($A50="","",SUMIFS('GECC 2026'!J$2:J$200,'GECC 2026'!F$2:F$200,$A50)+SUMIFS('GECC 2026'!$AE$3:$AE$32,'GECC 2026'!$AD$3:$AD$32,$A50))</f>
        <v>3.45</v>
      </c>
      <c r="F50" s="99">
        <f>IF($A50="","",COUNTIFS('GECC 2026'!F$2:F$200,$A50))</f>
        <v>1</v>
      </c>
    </row>
    <row r="51" spans="1:6" x14ac:dyDescent="0.25">
      <c r="A51" t="str">
        <v>Wibys Pereira</v>
      </c>
      <c r="B51" s="101">
        <f>IF($A51="","",SUMIFS('GECC 2026'!H$2:H$200,'GECC 2026'!F$2:F$200,$A51))</f>
        <v>4</v>
      </c>
      <c r="C51" s="101">
        <f>IF($A51="","",SUMIFS('GECC 2026'!I$2:I$200,'GECC 2026'!F$2:F$200,$A51))</f>
        <v>0.6</v>
      </c>
      <c r="D51" s="214">
        <f>IF($A51="","",SUMIFS('GECC 2026'!$AE$3:$AE$32,'GECC 2026'!$AD$3:$AD$32,$A51))</f>
        <v>0</v>
      </c>
      <c r="E51" s="203">
        <f>IF($A51="","",SUMIFS('GECC 2026'!J$2:J$200,'GECC 2026'!F$2:F$200,$A51)+SUMIFS('GECC 2026'!$AE$3:$AE$32,'GECC 2026'!$AD$3:$AD$32,$A51))</f>
        <v>4.5999999999999996</v>
      </c>
      <c r="F51" s="99">
        <f>IF($A51="","",COUNTIFS('GECC 2026'!F$2:F$200,$A51))</f>
        <v>1</v>
      </c>
    </row>
    <row r="52" spans="1:6" x14ac:dyDescent="0.25">
      <c r="B52" s="101" t="str">
        <f>IF($A52="","",SUMIFS('GECC 2026'!H$2:H$200,'GECC 2026'!F$2:F$200,$A52))</f>
        <v/>
      </c>
      <c r="C52" s="101" t="str">
        <f>IF($A52="","",SUMIFS('GECC 2026'!I$2:I$200,'GECC 2026'!F$2:F$200,$A52))</f>
        <v/>
      </c>
      <c r="D52" s="214" t="str">
        <f>IF($A52="","",SUMIFS('GECC 2026'!$AE$3:$AE$32,'GECC 2026'!$AD$3:$AD$32,$A52))</f>
        <v/>
      </c>
      <c r="E52" s="203" t="str">
        <f>IF($A52="","",SUMIFS('GECC 2026'!J$2:J$200,'GECC 2026'!F$2:F$200,$A52)+SUMIFS('GECC 2026'!$AE$3:$AE$32,'GECC 2026'!$AD$3:$AD$32,$A52))</f>
        <v/>
      </c>
      <c r="F52" s="99" t="str">
        <f>IF($A52="","",COUNTIFS('GECC 2026'!F$2:F$200,$A52))</f>
        <v/>
      </c>
    </row>
    <row r="53" spans="1:6" x14ac:dyDescent="0.25">
      <c r="B53" s="101" t="str">
        <f>IF($A53="","",SUMIFS('GECC 2026'!H$2:H$200,'GECC 2026'!F$2:F$200,$A53))</f>
        <v/>
      </c>
      <c r="C53" s="101" t="str">
        <f>IF($A53="","",SUMIFS('GECC 2026'!I$2:I$200,'GECC 2026'!F$2:F$200,$A53))</f>
        <v/>
      </c>
      <c r="D53" s="214" t="str">
        <f>IF($A53="","",SUMIFS('GECC 2026'!$AE$3:$AE$32,'GECC 2026'!$AD$3:$AD$32,$A53))</f>
        <v/>
      </c>
      <c r="E53" s="203" t="str">
        <f>IF($A53="","",SUMIFS('GECC 2026'!J$2:J$200,'GECC 2026'!F$2:F$200,$A53)+SUMIFS('GECC 2026'!$AE$3:$AE$32,'GECC 2026'!$AD$3:$AD$32,$A53))</f>
        <v/>
      </c>
      <c r="F53" s="99" t="str">
        <f>IF($A53="","",COUNTIFS('GECC 2026'!F$2:F$200,$A53))</f>
        <v/>
      </c>
    </row>
    <row r="54" spans="1:6" x14ac:dyDescent="0.25">
      <c r="B54" s="101" t="str">
        <f>IF($A54="","",SUMIFS('GECC 2026'!H$2:H$200,'GECC 2026'!F$2:F$200,$A54))</f>
        <v/>
      </c>
      <c r="C54" s="101" t="str">
        <f>IF($A54="","",SUMIFS('GECC 2026'!I$2:I$200,'GECC 2026'!F$2:F$200,$A54))</f>
        <v/>
      </c>
      <c r="D54" s="214" t="str">
        <f>IF($A54="","",SUMIFS('GECC 2026'!$AE$3:$AE$32,'GECC 2026'!$AD$3:$AD$32,$A54))</f>
        <v/>
      </c>
      <c r="E54" s="203" t="str">
        <f>IF($A54="","",SUMIFS('GECC 2026'!J$2:J$200,'GECC 2026'!F$2:F$200,$A54)+SUMIFS('GECC 2026'!$AE$3:$AE$32,'GECC 2026'!$AD$3:$AD$32,$A54))</f>
        <v/>
      </c>
      <c r="F54" s="99" t="str">
        <f>IF($A54="","",COUNTIFS('GECC 2026'!F$2:F$200,$A54))</f>
        <v/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4" t="str">
        <f>IF($A55="","",SUMIFS('GECC 2026'!$AE$3:$AE$32,'GECC 2026'!$AD$3:$AD$32,$A55))</f>
        <v/>
      </c>
      <c r="E55" s="203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4" t="str">
        <f>IF($A56="","",SUMIFS('GECC 2026'!$AE$3:$AE$32,'GECC 2026'!$AD$3:$AD$32,$A56))</f>
        <v/>
      </c>
      <c r="E56" s="203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4" t="str">
        <f>IF($A57="","",SUMIFS('GECC 2026'!$AE$3:$AE$32,'GECC 2026'!$AD$3:$AD$32,$A57))</f>
        <v/>
      </c>
      <c r="E57" s="203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4" t="str">
        <f>IF($A58="","",SUMIFS('GECC 2026'!$AE$3:$AE$32,'GECC 2026'!$AD$3:$AD$32,$A58))</f>
        <v/>
      </c>
      <c r="E58" s="203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4" t="str">
        <f>IF($A59="","",SUMIFS('GECC 2026'!$AE$3:$AE$32,'GECC 2026'!$AD$3:$AD$32,$A59))</f>
        <v/>
      </c>
      <c r="E59" s="203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4" t="str">
        <f>IF($A60="","",SUMIFS('GECC 2026'!$AE$3:$AE$32,'GECC 2026'!$AD$3:$AD$32,$A60))</f>
        <v/>
      </c>
      <c r="E60" s="203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4" t="str">
        <f>IF($A61="","",SUMIFS('GECC 2026'!$AE$3:$AE$32,'GECC 2026'!$AD$3:$AD$32,$A61))</f>
        <v/>
      </c>
      <c r="E61" s="203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4" t="str">
        <f>IF($A62="","",SUMIFS('GECC 2026'!$AE$3:$AE$32,'GECC 2026'!$AD$3:$AD$32,$A62))</f>
        <v/>
      </c>
      <c r="E62" s="203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4" t="str">
        <f>IF($A63="","",SUMIFS('GECC 2026'!$AE$3:$AE$32,'GECC 2026'!$AD$3:$AD$32,$A63))</f>
        <v/>
      </c>
      <c r="E63" s="203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4" t="str">
        <f>IF($A64="","",SUMIFS('GECC 2026'!$AE$3:$AE$32,'GECC 2026'!$AD$3:$AD$32,$A64))</f>
        <v/>
      </c>
      <c r="E64" s="203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4" t="str">
        <f>IF($A65="","",SUMIFS('GECC 2026'!$AE$3:$AE$32,'GECC 2026'!$AD$3:$AD$32,$A65))</f>
        <v/>
      </c>
      <c r="E65" s="203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4" t="str">
        <f>IF($A66="","",SUMIFS('GECC 2026'!$AE$3:$AE$32,'GECC 2026'!$AD$3:$AD$32,$A66))</f>
        <v/>
      </c>
      <c r="E66" s="203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4" t="str">
        <f>IF($A67="","",SUMIFS('GECC 2026'!$AE$3:$AE$32,'GECC 2026'!$AD$3:$AD$32,$A67))</f>
        <v/>
      </c>
      <c r="E67" s="203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4" t="str">
        <f>IF($A68="","",SUMIFS('GECC 2026'!$AE$3:$AE$32,'GECC 2026'!$AD$3:$AD$32,$A68))</f>
        <v/>
      </c>
      <c r="E68" s="203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4" t="str">
        <f>IF($A69="","",SUMIFS('GECC 2026'!$AE$3:$AE$32,'GECC 2026'!$AD$3:$AD$32,$A69))</f>
        <v/>
      </c>
      <c r="E69" s="203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4" t="str">
        <f>IF($A70="","",SUMIFS('GECC 2026'!$AE$3:$AE$32,'GECC 2026'!$AD$3:$AD$32,$A70))</f>
        <v/>
      </c>
      <c r="E70" s="203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4" t="str">
        <f>IF($A71="","",SUMIFS('GECC 2026'!$AE$3:$AE$32,'GECC 2026'!$AD$3:$AD$32,$A71))</f>
        <v/>
      </c>
      <c r="E71" s="203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4" t="str">
        <f>IF($A72="","",SUMIFS('GECC 2026'!$AE$3:$AE$32,'GECC 2026'!$AD$3:$AD$32,$A72))</f>
        <v/>
      </c>
      <c r="E72" s="203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4" t="str">
        <f>IF($A73="","",SUMIFS('GECC 2026'!$AE$3:$AE$32,'GECC 2026'!$AD$3:$AD$32,$A73))</f>
        <v/>
      </c>
      <c r="E73" s="203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4" t="str">
        <f>IF($A74="","",SUMIFS('GECC 2026'!$AE$3:$AE$32,'GECC 2026'!$AD$3:$AD$32,$A74))</f>
        <v/>
      </c>
      <c r="E74" s="203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4" t="str">
        <f>IF($A75="","",SUMIFS('GECC 2026'!$AE$3:$AE$32,'GECC 2026'!$AD$3:$AD$32,$A75))</f>
        <v/>
      </c>
      <c r="E75" s="203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4" t="str">
        <f>IF($A76="","",SUMIFS('GECC 2026'!$AE$3:$AE$32,'GECC 2026'!$AD$3:$AD$32,$A76))</f>
        <v/>
      </c>
      <c r="E76" s="203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4" t="str">
        <f>IF($A77="","",SUMIFS('GECC 2026'!$AE$3:$AE$32,'GECC 2026'!$AD$3:$AD$32,$A77))</f>
        <v/>
      </c>
      <c r="E77" s="203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4" t="str">
        <f>IF($A78="","",SUMIFS('GECC 2026'!$AE$3:$AE$32,'GECC 2026'!$AD$3:$AD$32,$A78))</f>
        <v/>
      </c>
      <c r="E78" s="203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4" t="str">
        <f>IF($A79="","",SUMIFS('GECC 2026'!$AE$3:$AE$32,'GECC 2026'!$AD$3:$AD$32,$A79))</f>
        <v/>
      </c>
      <c r="E79" s="203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4" t="str">
        <f>IF($A80="","",SUMIFS('GECC 2026'!$AE$3:$AE$32,'GECC 2026'!$AD$3:$AD$32,$A80))</f>
        <v/>
      </c>
      <c r="E80" s="203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4" t="str">
        <f>IF($A81="","",SUMIFS('GECC 2026'!$AE$3:$AE$32,'GECC 2026'!$AD$3:$AD$32,$A81))</f>
        <v/>
      </c>
      <c r="E81" s="203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4" t="str">
        <f>IF($A82="","",SUMIFS('GECC 2026'!$AE$3:$AE$32,'GECC 2026'!$AD$3:$AD$32,$A82))</f>
        <v/>
      </c>
      <c r="E82" s="203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4" t="str">
        <f>IF($A83="","",SUMIFS('GECC 2026'!$AE$3:$AE$32,'GECC 2026'!$AD$3:$AD$32,$A83))</f>
        <v/>
      </c>
      <c r="E83" s="203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4" t="str">
        <f>IF($A84="","",SUMIFS('GECC 2026'!$AE$3:$AE$32,'GECC 2026'!$AD$3:$AD$32,$A84))</f>
        <v/>
      </c>
      <c r="E84" s="203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4" t="str">
        <f>IF($A85="","",SUMIFS('GECC 2026'!$AE$3:$AE$32,'GECC 2026'!$AD$3:$AD$32,$A85))</f>
        <v/>
      </c>
      <c r="E85" s="203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4" t="str">
        <f>IF($A86="","",SUMIFS('GECC 2026'!$AE$3:$AE$32,'GECC 2026'!$AD$3:$AD$32,$A86))</f>
        <v/>
      </c>
      <c r="E86" s="203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4" t="str">
        <f>IF($A87="","",SUMIFS('GECC 2026'!$AE$3:$AE$32,'GECC 2026'!$AD$3:$AD$32,$A87))</f>
        <v/>
      </c>
      <c r="E87" s="203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4" t="str">
        <f>IF($A88="","",SUMIFS('GECC 2026'!$AE$3:$AE$32,'GECC 2026'!$AD$3:$AD$32,$A88))</f>
        <v/>
      </c>
      <c r="E88" s="203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4" t="str">
        <f>IF($A89="","",SUMIFS('GECC 2026'!$AE$3:$AE$32,'GECC 2026'!$AD$3:$AD$32,$A89))</f>
        <v/>
      </c>
      <c r="E89" s="203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4" t="str">
        <f>IF($A90="","",SUMIFS('GECC 2026'!$AE$3:$AE$32,'GECC 2026'!$AD$3:$AD$32,$A90))</f>
        <v/>
      </c>
      <c r="E90" s="203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4" t="str">
        <f>IF($A91="","",SUMIFS('GECC 2026'!$AE$3:$AE$32,'GECC 2026'!$AD$3:$AD$32,$A91))</f>
        <v/>
      </c>
      <c r="E91" s="203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4" t="str">
        <f>IF($A92="","",SUMIFS('GECC 2026'!$AE$3:$AE$32,'GECC 2026'!$AD$3:$AD$32,$A92))</f>
        <v/>
      </c>
      <c r="E92" s="203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4" t="str">
        <f>IF($A93="","",SUMIFS('GECC 2026'!$AE$3:$AE$32,'GECC 2026'!$AD$3:$AD$32,$A93))</f>
        <v/>
      </c>
      <c r="E93" s="203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4" t="str">
        <f>IF($A94="","",SUMIFS('GECC 2026'!$AE$3:$AE$32,'GECC 2026'!$AD$3:$AD$32,$A94))</f>
        <v/>
      </c>
      <c r="E94" s="203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4" t="str">
        <f>IF($A95="","",SUMIFS('GECC 2026'!$AE$3:$AE$32,'GECC 2026'!$AD$3:$AD$32,$A95))</f>
        <v/>
      </c>
      <c r="E95" s="203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4" t="str">
        <f>IF($A96="","",SUMIFS('GECC 2026'!$AE$3:$AE$32,'GECC 2026'!$AD$3:$AD$32,$A96))</f>
        <v/>
      </c>
      <c r="E96" s="203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4" t="str">
        <f>IF($A97="","",SUMIFS('GECC 2026'!$AE$3:$AE$32,'GECC 2026'!$AD$3:$AD$32,$A97))</f>
        <v/>
      </c>
      <c r="E97" s="203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4" t="str">
        <f>IF($A98="","",SUMIFS('GECC 2026'!$AE$3:$AE$32,'GECC 2026'!$AD$3:$AD$32,$A98))</f>
        <v/>
      </c>
      <c r="E98" s="203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4" t="str">
        <f>IF($A99="","",SUMIFS('GECC 2026'!$AE$3:$AE$32,'GECC 2026'!$AD$3:$AD$32,$A99))</f>
        <v/>
      </c>
      <c r="E99" s="203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4" t="str">
        <f>IF($A100="","",SUMIFS('GECC 2026'!$AE$3:$AE$32,'GECC 2026'!$AD$3:$AD$32,$A100))</f>
        <v/>
      </c>
      <c r="E100" s="203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4" t="str">
        <f>IF($A101="","",SUMIFS('GECC 2026'!$AE$3:$AE$32,'GECC 2026'!$AD$3:$AD$32,$A101))</f>
        <v/>
      </c>
      <c r="E101" s="203" t="str">
        <f>IF($A101="","",SUMIFS('GECC 2026'!J$2:J$200,'GECC 2026'!F$2:F$200,$A101)+SUMIFS('GECC 2026'!$AE$3:$AE$32,'GECC 2026'!$AD$3:$AD$32,$A101))</f>
        <v/>
      </c>
    </row>
    <row r="102" spans="1:6" x14ac:dyDescent="0.25">
      <c r="D102" s="214" t="str">
        <f>IF($A102="","",SUMIFS('GECC 2026'!$AE$3:$AE$32,'GECC 2026'!$AD$3:$AD$32,$A102))</f>
        <v/>
      </c>
      <c r="E102" s="203" t="str">
        <f>IF($A102="","",SUMIFS('GECC 2026'!J$2:J$200,'GECC 2026'!F$2:F$200,$A102)+SUMIFS('GECC 2026'!$AE$3:$AE$32,'GECC 2026'!$AD$3:$AD$32,$A102))</f>
        <v/>
      </c>
    </row>
    <row r="103" spans="1:6" x14ac:dyDescent="0.25">
      <c r="D103" s="214" t="str">
        <f>IF($A103="","",SUMIFS('GECC 2026'!$AE$3:$AE$32,'GECC 2026'!$AD$3:$AD$32,$A103))</f>
        <v/>
      </c>
      <c r="E103" s="203" t="str">
        <f>IF($A103="","",SUMIFS('GECC 2026'!J$2:J$200,'GECC 2026'!F$2:F$200,$A103)+SUMIFS('GECC 2026'!$AE$3:$AE$32,'GECC 2026'!$AD$3:$AD$32,$A103))</f>
        <v/>
      </c>
    </row>
    <row r="104" spans="1:6" x14ac:dyDescent="0.25">
      <c r="D104" s="214" t="str">
        <f>IF($A104="","",SUMIFS('GECC 2026'!$AE$3:$AE$32,'GECC 2026'!$AD$3:$AD$32,$A104))</f>
        <v/>
      </c>
      <c r="E104" s="203" t="str">
        <f>IF($A104="","",SUMIFS('GECC 2026'!J$2:J$200,'GECC 2026'!F$2:F$200,$A104)+SUMIFS('GECC 2026'!$AE$3:$AE$32,'GECC 2026'!$AD$3:$AD$32,$A104))</f>
        <v/>
      </c>
    </row>
    <row r="105" spans="1:6" x14ac:dyDescent="0.25">
      <c r="A105" s="204" t="s">
        <v>2306</v>
      </c>
      <c r="B105" s="205">
        <f>SUM(B5:B100)</f>
        <v>1076.9000000000001</v>
      </c>
      <c r="C105" s="205">
        <f>SUM(C5:C100)</f>
        <v>188.54999999999998</v>
      </c>
      <c r="D105" s="214">
        <f>IF($A105="","",SUMIFS('GECC 2026'!$AE$3:$AE$32,'GECC 2026'!$AD$3:$AD$32,$A105))</f>
        <v>0</v>
      </c>
      <c r="E105" s="203">
        <f>IF($A105="","",SUMIFS('GECC 2026'!J$2:J$200,'GECC 2026'!F$2:F$200,$A105)+SUMIFS('GECC 2026'!$AE$3:$AE$32,'GECC 2026'!$AD$3:$AD$32,$A105))</f>
        <v>0</v>
      </c>
      <c r="F105" s="206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fe686eaa-0658-4f15-b230-9e46c4d089fd"/>
    <ds:schemaRef ds:uri="http://schemas.microsoft.com/office/2006/documentManagement/types"/>
    <ds:schemaRef ds:uri="http://schemas.openxmlformats.org/package/2006/metadata/core-properties"/>
    <ds:schemaRef ds:uri="91ce1707-6d34-452b-b217-9734c03e6729"/>
    <ds:schemaRef ds:uri="http://www.w3.org/XML/1998/namespace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2026-07-24T17:47:11Z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