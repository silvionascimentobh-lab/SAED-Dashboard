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07" documentId="13_ncr:1_{6A2CC3E2-FAFB-4D8F-B284-5E8FB5045DFE}" xr6:coauthVersionLast="47" xr6:coauthVersionMax="47" xr10:uidLastSave="{901600B0-6243-47C4-902B-655CF1742C8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E105" i="23" s="1"/>
  <c r="A2" i="20" l="1"/>
  <c r="A5" i="23" a="1"/>
  <c r="D32" i="23" l="1"/>
  <c r="B57" i="23"/>
  <c r="F57" i="23"/>
  <c r="C57" i="23"/>
  <c r="E57" i="23"/>
  <c r="D57" i="23"/>
  <c r="D48" i="23"/>
  <c r="B36" i="23"/>
  <c r="D10" i="23"/>
  <c r="D8" i="23"/>
  <c r="C37" i="23"/>
  <c r="F56" i="23"/>
  <c r="C22" i="23"/>
  <c r="C20" i="23"/>
  <c r="C42" i="23"/>
  <c r="B56" i="23"/>
  <c r="D22" i="23"/>
  <c r="F55" i="23"/>
  <c r="E18" i="23"/>
  <c r="D25" i="23"/>
  <c r="C9" i="23"/>
  <c r="E21" i="23"/>
  <c r="B43" i="23"/>
  <c r="B13" i="23"/>
  <c r="E6" i="23"/>
  <c r="F15" i="23"/>
  <c r="C17" i="23"/>
  <c r="F29" i="23"/>
  <c r="F9" i="23"/>
  <c r="D28" i="23"/>
  <c r="F26" i="23"/>
  <c r="B34" i="23"/>
  <c r="C54" i="23"/>
  <c r="F21" i="23"/>
  <c r="C15" i="23"/>
  <c r="C12" i="23"/>
  <c r="E37" i="23"/>
  <c r="D20" i="23"/>
  <c r="E23" i="23"/>
  <c r="F28" i="23"/>
  <c r="D49" i="23"/>
  <c r="B17" i="23"/>
  <c r="D16" i="23"/>
  <c r="D7" i="23"/>
  <c r="B38" i="23"/>
  <c r="B7" i="23"/>
  <c r="F47" i="23"/>
  <c r="E45" i="23"/>
  <c r="E7" i="23"/>
  <c r="B37" i="23"/>
  <c r="F14" i="23"/>
  <c r="E41" i="23"/>
  <c r="F45" i="23"/>
  <c r="E55" i="23"/>
  <c r="D33" i="23"/>
  <c r="F51" i="23"/>
  <c r="B50" i="23"/>
  <c r="B23" i="23"/>
  <c r="D26" i="23"/>
  <c r="B8" i="23"/>
  <c r="F16" i="23"/>
  <c r="B18" i="23"/>
  <c r="D44" i="23"/>
  <c r="C24" i="23"/>
  <c r="C7" i="23"/>
  <c r="F42" i="23"/>
  <c r="D51" i="23"/>
  <c r="D40" i="23"/>
  <c r="B12" i="23"/>
  <c r="D36" i="23"/>
  <c r="C43" i="23"/>
  <c r="C31" i="23"/>
  <c r="B42" i="23"/>
  <c r="D6" i="23"/>
  <c r="C28" i="23"/>
  <c r="F23" i="23"/>
  <c r="C39" i="23"/>
  <c r="C19" i="23"/>
  <c r="D24" i="23"/>
  <c r="D50" i="23"/>
  <c r="F33" i="23"/>
  <c r="B27" i="23"/>
  <c r="D17" i="23"/>
  <c r="D14" i="23"/>
  <c r="E56" i="23"/>
  <c r="F24" i="23"/>
  <c r="E54" i="23"/>
  <c r="C49" i="23"/>
  <c r="E27" i="23"/>
  <c r="D31" i="23"/>
  <c r="C36" i="23"/>
  <c r="E15" i="23"/>
  <c r="C48" i="23"/>
  <c r="B24" i="23"/>
  <c r="D12" i="23"/>
  <c r="D38" i="23"/>
  <c r="B45" i="23"/>
  <c r="C10" i="23"/>
  <c r="B11" i="23"/>
  <c r="F52" i="23"/>
  <c r="F18" i="23"/>
  <c r="C8" i="23"/>
  <c r="B48" i="23"/>
  <c r="E11" i="23"/>
  <c r="E40" i="23"/>
  <c r="D18" i="23"/>
  <c r="C11" i="23"/>
  <c r="E17" i="23"/>
  <c r="C45" i="23"/>
  <c r="B15" i="23"/>
  <c r="F6" i="23"/>
  <c r="E44" i="23"/>
  <c r="E34" i="23"/>
  <c r="B22" i="23"/>
  <c r="E13" i="23"/>
  <c r="C53" i="23"/>
  <c r="E19" i="23"/>
  <c r="E38" i="23"/>
  <c r="F46" i="23"/>
  <c r="E33" i="23"/>
  <c r="F20" i="23"/>
  <c r="B44" i="23"/>
  <c r="E53" i="23"/>
  <c r="F27" i="23"/>
  <c r="B10" i="23"/>
  <c r="C50" i="23"/>
  <c r="C38" i="23"/>
  <c r="E20" i="23"/>
  <c r="F43" i="23"/>
  <c r="C33" i="23"/>
  <c r="E50" i="23"/>
  <c r="D52" i="23"/>
  <c r="F32" i="23"/>
  <c r="F37" i="23"/>
  <c r="E12" i="23"/>
  <c r="D15" i="23"/>
  <c r="E36" i="23"/>
  <c r="E22" i="23"/>
  <c r="B19" i="23"/>
  <c r="D29" i="23"/>
  <c r="D41" i="23"/>
  <c r="F49" i="23"/>
  <c r="D37" i="23"/>
  <c r="F48" i="23"/>
  <c r="D53" i="23"/>
  <c r="A5" i="23"/>
  <c r="F5" i="23" s="1"/>
  <c r="F41" i="23"/>
  <c r="E8" i="23"/>
  <c r="C23" i="23"/>
  <c r="E29" i="23"/>
  <c r="E35" i="23"/>
  <c r="B53" i="23"/>
  <c r="E16" i="23"/>
  <c r="F13" i="23"/>
  <c r="B39" i="23"/>
  <c r="C46" i="23"/>
  <c r="E46" i="23"/>
  <c r="D47" i="23"/>
  <c r="C35" i="23"/>
  <c r="B46" i="23"/>
  <c r="F10" i="23"/>
  <c r="C44" i="23"/>
  <c r="B31" i="23"/>
  <c r="B21" i="23"/>
  <c r="E39" i="23"/>
  <c r="E26" i="23"/>
  <c r="C34" i="23"/>
  <c r="B29" i="23"/>
  <c r="F30" i="23"/>
  <c r="D11" i="23"/>
  <c r="B49" i="23"/>
  <c r="E28" i="23"/>
  <c r="C29" i="23"/>
  <c r="B20" i="23"/>
  <c r="C26" i="23"/>
  <c r="D34" i="23"/>
  <c r="B52" i="23"/>
  <c r="B6" i="23"/>
  <c r="F39" i="23"/>
  <c r="F25" i="23"/>
  <c r="F7" i="23"/>
  <c r="B25" i="23"/>
  <c r="C21" i="23"/>
  <c r="E52" i="23"/>
  <c r="E10" i="23"/>
  <c r="B16" i="23"/>
  <c r="F53" i="23"/>
  <c r="F22" i="23"/>
  <c r="B30" i="23"/>
  <c r="B47" i="23"/>
  <c r="C41" i="23"/>
  <c r="B28" i="23"/>
  <c r="D23" i="23"/>
  <c r="D42" i="23"/>
  <c r="C14" i="23"/>
  <c r="E47" i="23"/>
  <c r="D45" i="23"/>
  <c r="B9" i="23"/>
  <c r="E31" i="23"/>
  <c r="B14" i="23"/>
  <c r="F17" i="23"/>
  <c r="B26" i="23"/>
  <c r="C27" i="23"/>
  <c r="C32" i="23"/>
  <c r="F34" i="23"/>
  <c r="F11" i="23"/>
  <c r="D21" i="23"/>
  <c r="C56" i="23"/>
  <c r="C25" i="23"/>
  <c r="F50" i="23"/>
  <c r="D46" i="23"/>
  <c r="D30" i="23"/>
  <c r="C51" i="23"/>
  <c r="C18" i="23"/>
  <c r="D35" i="23"/>
  <c r="E9" i="23"/>
  <c r="F38" i="23"/>
  <c r="B55" i="23"/>
  <c r="D39" i="23"/>
  <c r="D55" i="23"/>
  <c r="E51" i="23"/>
  <c r="C30" i="23"/>
  <c r="D9" i="23"/>
  <c r="D54" i="23"/>
  <c r="C47" i="23"/>
  <c r="E42" i="23"/>
  <c r="E25" i="23"/>
  <c r="E43" i="23"/>
  <c r="B54" i="23"/>
  <c r="F19" i="23"/>
  <c r="E30" i="23"/>
  <c r="F35" i="23"/>
  <c r="C52" i="23"/>
  <c r="C16" i="23"/>
  <c r="D19" i="23"/>
  <c r="F40" i="23"/>
  <c r="E32" i="23"/>
  <c r="F44" i="23"/>
  <c r="F36" i="23"/>
  <c r="B51" i="23"/>
  <c r="C55" i="23"/>
  <c r="B32" i="23"/>
  <c r="B40" i="23"/>
  <c r="B33" i="23"/>
  <c r="F12" i="23"/>
  <c r="C40" i="23"/>
  <c r="F54" i="23"/>
  <c r="F31" i="23"/>
  <c r="E49" i="23"/>
  <c r="B41" i="23"/>
  <c r="B35" i="23"/>
  <c r="D56" i="23"/>
  <c r="E24" i="23"/>
  <c r="F8" i="23"/>
  <c r="D27" i="23"/>
  <c r="C13" i="23"/>
  <c r="D13" i="23"/>
  <c r="E48" i="23"/>
  <c r="E14" i="23"/>
  <c r="D43" i="23"/>
  <c r="C6" i="23"/>
  <c r="B5" i="23" l="1"/>
  <c r="B105" i="23" s="1"/>
  <c r="E5" i="23"/>
  <c r="D5" i="23"/>
  <c r="C5" i="23"/>
  <c r="C105" i="23" s="1"/>
  <c r="G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<sst xmlns="http://schemas.openxmlformats.org/spreadsheetml/2006/main" count="7305" uniqueCount="3209">
  <si>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</si>
  <si>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</si>
  <si>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</si>
  <si>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</si>
  <si>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</si>
  <si>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</si>
  <si>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</si>
  <si>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</si>
  <si>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</si>
  <si>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</si>
  <si>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</si>
  <si>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</si>
  <si>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</si>
  <si>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</si>
  <si>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</si>
  <si>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</si>
  <si>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</si>
  <si>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</si>
  <si>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</si>
  <si>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</si>
  <si>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</si>
  <si>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</si>
  <si>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</si>
  <si>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</si>
  <si>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</si>
  <si>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</si>
  <si>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</si>
  <si>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</si>
  <si>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</si>
  <si>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</si>
  <si>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</si>
  <si>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</si>
  <si>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</si>
  <si>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</si>
  <si>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</si>
  <si>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</si>
  <si>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</si>
  <si>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</si>
  <si>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</si>
  <si>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</si>
  <si>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</si>
  <si>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</si>
  <si>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</si>
  <si>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</si>
  <si>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</si>
  <si>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</si>
  <si>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</si>
  <si>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</si>
  <si>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</si>
  <si>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</si>
  <si>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</si>
  <si>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</si>
  <si>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</si>
  <si>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</si>
  <si>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</si>
  <si>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</si>
  <si>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</si>
  <si>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</si>
  <si>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</si>
  <si>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</si>
  <si>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</si>
  <si>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</si>
  <si>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</si>
  <si>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</si>
  <si>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</si>
  <si>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</si>
  <si>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</si>
  <si>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</si>
  <si>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</si>
  <si>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</si>
  <si>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</si>
  <si>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</si>
  <si>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</si>
  <si>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</si>
  <si>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</si>
  <si>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</si>
  <si>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</si>
  <si>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</si>
  <si>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</si>
  <si>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</si>
  <si>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</si>
  <si>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</si>
  <si>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</si>
  <si>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</si>
  <si>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</si>
  <si>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</si>
  <si>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</si>
  <si>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</si>
  <si>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</si>
  <si>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</si>
  <si>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</si>
  <si>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</si>
  <si>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</si>
  <si>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</si>
  <si>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</si>
  <si>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</si>
  <si>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</si>
  <si>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</si>
  <si>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</si>
  <si>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</si>
  <si>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</si>
  <si>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</si>
  <si>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</si>
  <si>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</si>
  <si>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</si>
  <si>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</si>
  <si>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</si>
  <si>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</si>
  <si>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</si>
  <si>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</si>
  <si>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</si>
  <si>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</si>
  <si>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</si>
  <si>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</si>
  <si>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</si>
  <si>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</si>
  <si>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</si>
  <si>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</si>
  <si>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</si>
  <si>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</si>
  <si>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</si>
  <si>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</si>
  <si>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</si>
  <si>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</si>
  <si>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</si>
  <si>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</si>
  <si>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</si>
  <si>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</si>
  <si>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</si>
  <si>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</si>
  <si>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</si>
  <si>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</si>
  <si>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</si>
  <si>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</si>
  <si>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</si>
  <si>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</si>
  <si>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</si>
  <si>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</si>
  <si>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</si>
  <si>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</si>
  <si>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</si>
  <si>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</si>
  <si>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</si>
  <si>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</si>
  <si>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</si>
  <si>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</si>
  <si>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</si>
  <si>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</si>
  <si>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</si>
  <si>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</si>
  <si>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</si>
  <si>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</si>
  <si>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</si>
  <si>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</si>
  <si>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</si>
  <si>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</si>
  <si>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</si>
  <si>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</si>
  <si>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</si>
  <si>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</si>
  <si>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</si>
  <si>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</si>
  <si>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</si>
  <si>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</si>
  <si>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</si>
  <si>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</si>
  <si>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</si>
  <si>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</si>
  <si>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</si>
  <si>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</si>
  <si>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</si>
  <si>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</si>
  <si>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</si>
  <si>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</si>
  <si>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</si>
  <si>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</si>
  <si>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</si>
  <si>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</si>
  <si>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</si>
  <si>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</si>
  <si>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</si>
  <si>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</si>
  <si>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</si>
  <si>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</si>
  <si>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</si>
  <si>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</si>
  <si>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</si>
  <si>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</si>
  <si>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</si>
  <si>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</si>
  <si>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</si>
  <si>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</si>
  <si>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</si>
  <si>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</si>
  <si>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</si>
  <si>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</si>
  <si>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</si>
  <si>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</si>
  <si>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</si>
  <si>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</si>
  <si>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</si>
  <si>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</si>
  <si>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</si>
  <si>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</si>
  <si>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</si>
  <si>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</si>
  <si>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</si>
  <si>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</si>
  <si>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</si>
  <si>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</si>
  <si>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</si>
  <si>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</si>
  <si>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</si>
  <si>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</si>
  <si>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</si>
  <si>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</si>
  <si>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</si>
  <si>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</si>
  <si>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</si>
  <si>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</si>
  <si>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</si>
  <si>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</si>
  <si>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</si>
  <si>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</si>
  <si>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</si>
  <si>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</si>
  <si>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</si>
  <si>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</si>
  <si>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</si>
  <si>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</si>
  <si>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</si>
  <si>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</si>
  <si>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</si>
  <si>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</si>
  <si>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</si>
  <si>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</si>
  <si>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</si>
  <si>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</si>
  <si>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</si>
  <si>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</si>
  <si>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</si>
  <si>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</si>
  <si>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</si>
  <si>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</si>
  <si>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</si>
  <si>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</si>
  <si>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</si>
  <si>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</si>
  <si>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</si>
  <si>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</si>
  <si>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</si>
  <si>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</si>
  <si>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</si>
  <si>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</si>
  <si>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</si>
  <si>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</si>
  <si>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</si>
  <si>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</si>
  <si>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</si>
  <si>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</si>
  <si>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</si>
  <si>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</si>
  <si>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</si>
  <si>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</si>
  <si>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</si>
  <si>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</si>
  <si>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</si>
  <si>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</si>
  <si>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</si>
  <si>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</si>
  <si>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</si>
  <si>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</si>
  <si>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</si>
  <si>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</si>
  <si>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</si>
  <si>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</si>
  <si>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</si>
  <si>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</si>
  <si>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</si>
  <si>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</si>
  <si>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</si>
  <si>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</si>
  <si>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</si>
  <si>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</si>
  <si>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</si>
  <si>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</si>
  <si>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</si>
  <si>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</si>
  <si>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</si>
  <si>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</si>
  <si>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</si>
  <si>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</si>
  <si>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</si>
  <si>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</si>
  <si>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</si>
  <si>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</si>
  <si>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</si>
  <si>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</si>
  <si>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</si>
  <si>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</si>
  <si>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</si>
  <si>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</si>
  <si>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</si>
  <si>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</si>
  <si>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</si>
  <si>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</si>
  <si>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</si>
  <si>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</si>
  <si>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</si>
  <si>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</si>
  <si>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</si>
  <si>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</si>
  <si>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</si>
  <si>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</si>
  <si>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</si>
  <si>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</si>
  <si>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</si>
  <si>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</si>
  <si>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</si>
  <si>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</si>
  <si>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</si>
  <si>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</si>
  <si>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</si>
  <si>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</si>
  <si>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</si>
  <si>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</si>
  <si>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</si>
  <si>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</si>
  <si>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</si>
  <si>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</si>
  <si>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</si>
  <si>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</si>
  <si>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</si>
  <si>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</si>
  <si>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</si>
  <si>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</si>
  <si>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</si>
  <si>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</si>
  <si>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</si>
  <si>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</si>
  <si>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</si>
  <si>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</si>
  <si>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</si>
  <si>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</si>
  <si>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</si>
  <si>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</si>
  <si>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</si>
  <si>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</si>
  <si>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</si>
  <si>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</si>
  <si>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</si>
  <si>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</si>
  <si>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</si>
  <si>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</si>
  <si>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</si>
  <si>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</si>
  <si>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</si>
  <si>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</si>
  <si>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</si>
  <si>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</si>
  <si>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</si>
  <si>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</si>
  <si>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</si>
  <si>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</si>
  <si>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</si>
  <si>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</si>
  <si>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</si>
  <si>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</si>
  <si>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</si>
  <si>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</si>
  <si>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</si>
  <si>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</si>
  <si>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</si>
  <si>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</si>
  <si>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</si>
  <si>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</si>
  <si>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</si>
  <si>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</si>
  <si>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</si>
  <si>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</si>
  <si>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</si>
  <si>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</si>
  <si>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</si>
  <si>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</si>
  <si>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</si>
  <si>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</si>
  <si>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</si>
  <si>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</si>
  <si>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</si>
  <si>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</si>
  <si>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</si>
  <si>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</si>
  <si>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</si>
  <si>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</si>
  <si>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</si>
  <si>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</si>
  <si>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</si>
  <si>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</si>
  <si>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</si>
  <si>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</si>
  <si>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</si>
  <si>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</si>
  <si>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</si>
  <si>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</si>
  <si>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</si>
  <si>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</si>
  <si>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</si>
  <si>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</si>
  <si>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</si>
  <si>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</si>
  <si>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</si>
  <si>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</si>
  <si>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</si>
  <si>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</si>
  <si>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</si>
  <si>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</si>
  <si>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</si>
  <si>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</si>
  <si>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</si>
  <si>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</si>
  <si>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</si>
  <si>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</si>
  <si>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</si>
  <si>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</si>
  <si>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</si>
  <si>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</si>
  <si>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</si>
  <si>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</si>
  <si>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</si>
  <si>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</si>
  <si>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</si>
  <si>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</si>
  <si>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</si>
  <si>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</si>
  <si>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</si>
  <si>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</si>
  <si>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</si>
  <si>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</si>
  <si>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</si>
  <si>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</si>
  <si>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</si>
  <si>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</si>
  <si>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</si>
  <si>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</si>
  <si>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</si>
  <si>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</si>
  <si>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</si>
  <si>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</si>
  <si>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</si>
  <si>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</si>
  <si>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</si>
  <si>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</si>
  <si>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</si>
  <si>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</si>
  <si>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</si>
  <si>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</si>
  <si>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</si>
  <si>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</si>
  <si>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</si>
  <si>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</si>
  <si>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</si>
  <si>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</si>
  <si>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</si>
  <si>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</si>
  <si>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</si>
  <si>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</si>
  <si>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</si>
  <si>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</si>
  <si>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</si>
  <si>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</si>
  <si>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</si>
  <si>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</si>
  <si>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</si>
  <si>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</si>
  <si>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</si>
  <si>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</si>
  <si>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</si>
  <si>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</si>
  <si>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</si>
  <si>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</si>
  <si>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</si>
  <si>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</si>
  <si>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</si>
  <si>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</si>
  <si>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</si>
  <si>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</si>
  <si>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</si>
  <si>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</si>
  <si>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</si>
  <si>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</si>
  <si>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</si>
  <si>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</si>
  <si>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</si>
  <si>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</si>
  <si>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</si>
  <si>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</si>
  <si>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</si>
  <si>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</si>
  <si>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</si>
  <si>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</si>
  <si>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</si>
  <si>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</si>
  <si>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</si>
  <si>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</si>
  <si>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</si>
  <si>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</si>
  <si>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</si>
  <si>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</si>
  <si>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</si>
  <si>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</si>
  <si>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</si>
  <si>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</si>
  <si>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</si>
  <si>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</si>
  <si>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</si>
  <si>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</si>
  <si>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</si>
  <si>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</si>
  <si>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</si>
  <si>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</si>
  <si>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</si>
  <si>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</si>
  <si>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</si>
  <si>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</si>
  <si>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</si>
  <si>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</si>
  <si>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</si>
  <si>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</si>
  <si>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</si>
  <si>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</si>
  <si>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</si>
  <si>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</si>
  <si>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</si>
  <si>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</si>
  <si>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</si>
  <si>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</si>
  <si>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</si>
  <si>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</si>
  <si>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</si>
  <si>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</si>
  <si>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</si>
  <si>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</si>
  <si>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</si>
  <si>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</si>
  <si>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</si>
  <si>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</si>
  <si>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</si>
  <si>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</si>
  <si>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</si>
  <si>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</si>
  <si>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</si>
  <si>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</si>
  <si>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</si>
  <si>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</si>
  <si>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</si>
  <si>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</si>
  <si>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</si>
  <si>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</si>
  <si>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</si>
  <si>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</si>
  <si>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</si>
  <si>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</si>
  <si>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</si>
  <si>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</si>
  <si>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</si>
  <si>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</si>
  <si>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</si>
  <si>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</si>
  <si>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</si>
  <si>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</si>
  <si>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</si>
  <si>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</si>
  <si>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</si>
  <si>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</si>
  <si>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</si>
  <si>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</si>
  <si>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</si>
  <si>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</si>
  <si>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</si>
  <si>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</si>
  <si>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</si>
  <si>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</si>
  <si>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</si>
  <si>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</si>
  <si>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</si>
  <si>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</si>
  <si>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</si>
  <si>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</si>
  <si>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</si>
  <si>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</si>
  <si>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</si>
  <si>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</si>
  <si>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</si>
  <si>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</si>
  <si>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</si>
  <si>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</si>
  <si>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</si>
  <si>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</si>
  <si>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</si>
  <si>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</si>
  <si>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</si>
  <si>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</si>
  <si>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</si>
  <si>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</si>
  <si>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</si>
  <si>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</si>
  <si>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</si>
  <si>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</si>
  <si>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</si>
  <si>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</si>
  <si>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</si>
  <si>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</si>
  <si>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</si>
  <si>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</si>
  <si>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</si>
  <si>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</si>
  <si>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</si>
  <si>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</si>
  <si>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</si>
  <si>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</si>
  <si>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</si>
  <si>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</si>
  <si>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</si>
  <si>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</si>
  <si>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</si>
  <si>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</si>
  <si>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</si>
  <si>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</si>
  <si>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</si>
  <si>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</si>
  <si>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</si>
  <si>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</si>
  <si>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</si>
  <si>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</si>
  <si>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</si>
  <si>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</si>
  <si>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</si>
  <si>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</si>
  <si>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</si>
  <si>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</si>
  <si>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</si>
  <si>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</si>
  <si>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</si>
  <si>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</si>
  <si>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</si>
  <si>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</si>
  <si>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</si>
  <si>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</si>
  <si>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</si>
  <si>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</si>
  <si>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</si>
  <si>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</si>
  <si>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</si>
  <si>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</si>
  <si>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</si>
  <si>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</si>
  <si>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</si>
  <si>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</si>
  <si>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</si>
  <si>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</si>
  <si>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</si>
  <si>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</si>
  <si>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</si>
  <si>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</si>
  <si>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</si>
  <si>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</si>
  <si>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</si>
  <si>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</si>
  <si>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</si>
  <si>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</si>
  <si>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</si>
  <si>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</si>
  <si>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</si>
  <si>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</si>
  <si>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</si>
  <si>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</si>
  <si>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</si>
  <si>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</si>
  <si>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</si>
  <si>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</si>
  <si>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</si>
  <si>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</si>
  <si>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</si>
  <si>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</si>
  <si>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</si>
  <si>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</si>
  <si>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</si>
  <si>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</si>
  <si>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</si>
  <si>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</si>
  <si>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</si>
  <si>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</si>
  <si>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</si>
  <si>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</si>
  <si>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</si>
  <si>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</si>
  <si>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</si>
  <si>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</si>
  <si>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</si>
  <si>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</si>
  <si>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</si>
  <si>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</si>
  <si>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</si>
  <si>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</si>
  <si>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</si>
  <si>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</si>
  <si>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</si>
  <si>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</si>
  <si>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</si>
  <si>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</si>
  <si>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</si>
  <si>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</si>
  <si>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</si>
  <si>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</si>
  <si>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</si>
  <si>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</si>
  <si>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</si>
  <si>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</si>
  <si>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</si>
  <si>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</si>
  <si>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</si>
  <si>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</si>
  <si>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</si>
  <si>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</si>
  <si>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</si>
  <si>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</si>
  <si>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</si>
  <si>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</si>
  <si>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</si>
  <si>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</si>
  <si>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</si>
  <si>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</si>
  <si>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</si>
  <si>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</si>
  <si>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</si>
  <si>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</si>
  <si>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</si>
  <si>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</si>
  <si>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</si>
  <si>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</si>
  <si>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</si>
  <si>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</si>
  <si>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</si>
  <si>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</si>
  <si>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</si>
  <si>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</si>
  <si>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</si>
  <si>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</si>
  <si>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</si>
  <si>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</si>
  <si>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</si>
  <si>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</si>
  <si>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</si>
  <si>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</si>
  <si>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</si>
  <si>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</si>
  <si>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</si>
  <si>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</si>
  <si>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</si>
  <si>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</si>
  <si>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</si>
  <si>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</si>
  <si>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</si>
  <si>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</si>
  <si>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</si>
  <si>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</si>
  <si>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</si>
  <si>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</si>
  <si>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</si>
  <si>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</si>
  <si>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</si>
  <si>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</si>
  <si>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</si>
  <si>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</si>
  <si>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</si>
  <si>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</si>
  <si>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</si>
  <si>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</si>
  <si>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</si>
  <si>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</si>
  <si>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</si>
  <si>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</si>
  <si>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</si>
  <si>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</si>
  <si>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</si>
  <si>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</si>
  <si>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</si>
  <si>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</si>
  <si>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</si>
  <si>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</si>
  <si>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</si>
  <si>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</si>
  <si>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</si>
  <si>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</si>
  <si>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</si>
  <si>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</si>
  <si>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</si>
  <si>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</si>
  <si>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</si>
  <si>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</si>
  <si>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</si>
  <si>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</si>
  <si>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</si>
  <si>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</si>
  <si>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</si>
  <si>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</si>
  <si>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</si>
  <si>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</si>
  <si>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</si>
  <si>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</si>
  <si>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</si>
  <si>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</si>
  <si>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</si>
  <si>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</si>
  <si>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</si>
  <si>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</si>
  <si>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</si>
  <si>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</si>
  <si>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</si>
  <si>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</si>
  <si>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</si>
  <si>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</si>
  <si>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</si>
  <si>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</si>
  <si>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</si>
  <si>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</si>
  <si>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</si>
  <si>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</si>
  <si>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</si>
  <si>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</si>
  <si>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</si>
  <si>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</si>
  <si>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</si>
  <si>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</si>
  <si>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</si>
  <si>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</si>
  <si>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</si>
  <si>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</si>
  <si>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</si>
  <si>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</si>
  <si>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</si>
  <si>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</si>
  <si>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</si>
  <si>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</si>
  <si>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</si>
  <si>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</si>
  <si>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</si>
  <si>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</si>
  <si>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</si>
  <si>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</si>
  <si>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</si>
  <si>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</si>
  <si>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</si>
  <si>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</si>
  <si>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</si>
  <si>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</si>
  <si>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</si>
  <si>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</si>
  <si>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</si>
  <si>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</si>
  <si>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</si>
  <si>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</si>
  <si>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</si>
  <si>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</si>
  <si>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</si>
  <si>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</si>
  <si>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</si>
  <si>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</si>
  <si>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</si>
  <si>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</si>
  <si>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</si>
  <si>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</si>
  <si>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</si>
  <si>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</si>
  <si>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</si>
  <si>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</si>
  <si>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</si>
  <si>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</si>
  <si>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</si>
  <si>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</si>
  <si>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</si>
  <si>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</si>
  <si>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</si>
  <si>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</si>
  <si>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</si>
  <si>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</si>
  <si>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</si>
  <si>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</si>
  <si>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</si>
  <si>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</si>
  <si>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</si>
  <si>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</si>
  <si>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</si>
  <si>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</si>
  <si>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</si>
  <si>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</si>
  <si>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</si>
  <si>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</si>
  <si>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</si>
  <si>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</si>
  <si>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</si>
  <si>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</si>
  <si>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</si>
  <si>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</si>
  <si>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</si>
  <si>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</si>
  <si>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</si>
  <si>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</si>
  <si>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</si>
  <si>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</si>
  <si>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</si>
  <si>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</si>
  <si>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</si>
  <si>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</si>
  <si>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</si>
  <si>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</si>
  <si>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</si>
  <si>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</si>
  <si>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</si>
  <si>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</si>
  <si>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</si>
  <si>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</si>
  <si>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</si>
  <si>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</si>
  <si>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</si>
  <si>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</si>
  <si>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</si>
  <si>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</si>
  <si>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</si>
  <si>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</si>
  <si>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</si>
  <si>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</si>
  <si>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</si>
  <si>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</si>
  <si>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</si>
  <si>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</si>
  <si>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</si>
  <si>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</si>
  <si>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</si>
  <si>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</si>
  <si>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</si>
  <si>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</si>
  <si>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</si>
  <si>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</si>
  <si>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</si>
  <si>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</si>
  <si>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</si>
  <si>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</si>
  <si>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</si>
  <si>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</si>
  <si>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</si>
  <si>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</si>
  <si>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</si>
  <si>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</si>
  <si>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</si>
  <si>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</si>
  <si>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</si>
  <si>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</si>
  <si>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</si>
  <si>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</si>
  <si>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</si>
  <si>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</si>
  <si>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</si>
  <si>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</si>
  <si>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</si>
  <si>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</si>
  <si>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</si>
  <si>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</si>
  <si>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</si>
  <si>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</si>
  <si>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</si>
  <si>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</si>
  <si>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</si>
  <si>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</si>
  <si>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</si>
  <si>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</si>
  <si>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</si>
  <si>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</si>
  <si>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</si>
  <si>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</si>
  <si>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</si>
  <si>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</si>
  <si>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</si>
  <si>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</si>
  <si>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</si>
  <si>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</si>
  <si>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</si>
  <si>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</si>
  <si>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</si>
  <si>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</si>
  <si>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</si>
  <si>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</si>
  <si>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</si>
  <si>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</si>
  <si>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</si>
  <si>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</si>
  <si>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</si>
  <si>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</si>
  <si>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</si>
  <si>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</si>
  <si>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</si>
  <si>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</si>
  <si>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</si>
  <si>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</si>
  <si>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</si>
  <si>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</si>
  <si>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</si>
  <si>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</si>
  <si>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</si>
  <si>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</si>
  <si>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</si>
  <si>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</si>
  <si>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</si>
  <si>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</si>
  <si>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</si>
  <si>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</si>
  <si>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</si>
  <si>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</si>
  <si>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</si>
  <si>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</si>
  <si>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</si>
  <si>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</si>
  <si>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</si>
  <si>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</si>
  <si>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</si>
  <si>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</si>
  <si>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</si>
  <si>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</si>
  <si>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</si>
  <si>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</si>
  <si>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</si>
  <si>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</si>
  <si>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</si>
  <si>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</si>
  <si>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</si>
  <si>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</si>
  <si>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</si>
  <si>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</si>
  <si>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</si>
  <si>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</si>
  <si>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</si>
  <si>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</si>
  <si>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</si>
  <si>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</si>
  <si>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</si>
  <si>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</si>
  <si>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</si>
  <si>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</si>
  <si>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</si>
  <si>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</si>
  <si>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</si>
  <si>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</si>
  <si>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</si>
  <si>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</si>
  <si>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</si>
  <si>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</si>
  <si>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</si>
  <si>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</si>
  <si>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</si>
  <si>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</si>
  <si>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</si>
  <si>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</si>
  <si>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</si>
  <si>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</si>
  <si>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</si>
  <si>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</si>
  <si>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</si>
  <si>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</si>
  <si>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</si>
  <si>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</si>
  <si>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</si>
  <si>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</si>
  <si>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</si>
  <si>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</si>
  <si>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</si>
  <si>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</si>
  <si>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</si>
  <si>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</si>
  <si>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</si>
  <si>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</si>
  <si>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</si>
  <si>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</si>
  <si>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</si>
  <si>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</si>
  <si>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</si>
  <si>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</si>
  <si>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</si>
  <si>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</si>
  <si>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</si>
  <si>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</si>
  <si>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</si>
  <si>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</si>
  <si>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</si>
  <si>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</si>
  <si>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</si>
  <si>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</si>
  <si>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</si>
  <si>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</si>
  <si>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</si>
  <si>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</si>
  <si>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</si>
  <si>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</si>
  <si>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</si>
  <si>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</si>
  <si>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</si>
  <si>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</si>
  <si>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</si>
  <si>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</si>
  <si>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</si>
  <si>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</si>
  <si>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</si>
  <si>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</si>
  <si>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</si>
  <si>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</si>
  <si>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</si>
  <si>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</si>
  <si>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</si>
  <si>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</si>
  <si>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</si>
  <si>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</si>
  <si>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</si>
  <si>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</si>
  <si>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</si>
  <si>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</si>
  <si>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</si>
  <si>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</si>
  <si>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</si>
  <si>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</si>
  <si>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</si>
  <si>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</si>
  <si>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</si>
  <si>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</si>
  <si>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</si>
  <si>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</si>
  <si>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</si>
  <si>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</si>
  <si>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</si>
  <si>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</si>
  <si>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</si>
  <si>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</si>
  <si>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</si>
  <si>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</si>
  <si>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</si>
  <si>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</si>
  <si>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</si>
  <si>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</si>
  <si>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</si>
  <si>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</si>
  <si>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</si>
  <si>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</si>
  <si>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</si>
  <si>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</si>
  <si>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</si>
  <si>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</si>
  <si>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</si>
  <si>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</si>
  <si>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</si>
  <si>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</si>
  <si>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</si>
  <si>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</si>
  <si>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</si>
  <si>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</si>
  <si>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</si>
  <si>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</si>
  <si>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</si>
  <si>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</si>
  <si>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</si>
  <si>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</si>
  <si>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</si>
  <si>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</si>
  <si>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</si>
  <si>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</si>
  <si>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</si>
  <si>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</si>
  <si>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</si>
  <si>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</si>
  <si>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</si>
  <si>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</si>
  <si>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</si>
  <si>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</si>
  <si>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</si>
  <si>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</si>
  <si>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</si>
  <si>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</si>
  <si>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</si>
  <si>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</si>
  <si>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</si>
  <si>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</si>
  <si>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</si>
  <si>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</si>
  <si>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</si>
  <si>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</si>
  <si>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</si>
  <si>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</si>
  <si>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</si>
  <si>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</si>
  <si>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</si>
  <si>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</si>
  <si>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</si>
  <si>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</si>
  <si>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</si>
  <si>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</si>
  <si>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</si>
  <si>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</si>
  <si>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</si>
  <si>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</si>
  <si>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</si>
  <si>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</si>
  <si>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</si>
  <si>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</si>
  <si>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</si>
  <si>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</si>
  <si>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</si>
  <si>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</si>
  <si>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</si>
  <si>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</si>
  <si>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</si>
  <si>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</si>
  <si>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</si>
  <si>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</si>
  <si>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</si>
  <si>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</si>
  <si>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</si>
  <si>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</si>
  <si>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</si>
  <si>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</si>
  <si>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</si>
  <si>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</si>
  <si>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</si>
  <si>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</si>
  <si>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</si>
  <si>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</si>
  <si>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</si>
  <si>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</si>
  <si>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</si>
  <si>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</si>
  <si>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</si>
  <si>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</si>
  <si>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</si>
  <si>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</si>
  <si>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</si>
  <si>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</si>
  <si>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</si>
  <si>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</si>
  <si>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</si>
  <si>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</si>
  <si>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</si>
  <si>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</si>
  <si>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</si>
  <si>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</si>
  <si>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</si>
  <si>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</si>
  <si>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</si>
  <si>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</si>
  <si>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</si>
  <si>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</si>
  <si>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</si>
  <si>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</si>
  <si>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</si>
  <si>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</si>
  <si>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</si>
  <si>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</si>
  <si>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</si>
  <si>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</si>
  <si>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</si>
  <si>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</si>
  <si>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</si>
  <si>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</si>
  <si>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</si>
  <si>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</si>
  <si>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</si>
  <si>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</si>
  <si>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</si>
  <si>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</si>
  <si>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</si>
  <si>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</si>
  <si>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</si>
  <si>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</si>
  <si>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</si>
  <si>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</si>
  <si>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</si>
  <si>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</si>
  <si>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</si>
  <si>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</si>
  <si>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</si>
  <si>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</si>
  <si>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</si>
  <si>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</si>
  <si>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</si>
  <si>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</si>
  <si>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</si>
  <si>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</si>
  <si>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</si>
  <si>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</si>
  <si>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</si>
  <si>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</si>
  <si>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</si>
  <si>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</si>
  <si>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</si>
  <si>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</si>
  <si>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</si>
  <si>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</si>
  <si>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</si>
  <si>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</si>
  <si>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</si>
  <si>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</si>
  <si>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</si>
  <si>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</si>
  <si>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</si>
  <si>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</si>
  <si>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</si>
  <si>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</si>
  <si>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</si>
  <si>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</si>
  <si>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</si>
  <si>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</si>
  <si>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</si>
  <si>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</si>
  <si>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</si>
  <si>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</si>
  <si>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</si>
  <si>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</si>
  <si>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</si>
  <si>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</si>
  <si>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</si>
  <si>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</si>
  <si>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</si>
  <si>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</si>
  <si>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</si>
  <si>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</si>
  <si>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</si>
  <si>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</si>
  <si>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</si>
  <si>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</si>
  <si>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</si>
  <si>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</si>
  <si>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</si>
  <si>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</si>
  <si>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</si>
  <si>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</si>
  <si>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</si>
  <si>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</si>
  <si>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</si>
  <si>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</si>
  <si>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</si>
  <si>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</si>
  <si>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</si>
  <si>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</si>
  <si>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</si>
  <si>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</si>
  <si>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</si>
  <si>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</si>
  <si>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</si>
  <si>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</si>
  <si>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</si>
  <si>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</si>
  <si>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</si>
  <si>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</si>
  <si>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</si>
  <si>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</si>
  <si>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</si>
  <si>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</si>
  <si>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</si>
  <si>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</si>
  <si>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</si>
  <si>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</si>
  <si>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</si>
  <si>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</si>
  <si>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</si>
  <si>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</si>
  <si>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</si>
  <si>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</si>
  <si>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</si>
  <si>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</si>
  <si>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</si>
  <si>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</si>
  <si>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</si>
  <si>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</si>
  <si>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</si>
  <si>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</si>
  <si>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</si>
  <si>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</si>
  <si>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</si>
  <si>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</si>
  <si>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</si>
  <si>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</si>
  <si>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</si>
  <si>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</si>
  <si>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</si>
  <si>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</si>
  <si>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</si>
  <si>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</si>
  <si>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</si>
  <si>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</si>
  <si>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</si>
  <si>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</si>
  <si>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</si>
  <si>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</si>
  <si>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</si>
  <si>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</si>
  <si>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</si>
  <si>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</si>
  <si>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</si>
  <si>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</si>
  <si>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</si>
  <si>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</si>
  <si>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</si>
  <si>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</si>
  <si>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</si>
  <si>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</si>
  <si>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</si>
  <si>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</si>
  <si>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</si>
  <si>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</si>
  <si>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</si>
  <si>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</si>
  <si>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</si>
  <si>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</si>
  <si>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</si>
  <si>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</si>
  <si>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</si>
  <si>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</si>
  <si>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</si>
  <si>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</si>
  <si>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</si>
  <si>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</si>
  <si>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</si>
  <si>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</si>
  <si>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</si>
  <si>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</si>
  <si>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</si>
  <si>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</si>
  <si>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</si>
  <si>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</si>
  <si>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</si>
  <si>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</si>
  <si>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</si>
  <si>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</si>
  <si>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</si>
  <si>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</si>
  <si>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</si>
  <si>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</si>
  <si>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</si>
  <si>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</si>
  <si>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</si>
  <si>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</si>
  <si>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</si>
  <si>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</si>
  <si>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</si>
  <si>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</si>
  <si>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</si>
  <si>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</si>
  <si>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</si>
  <si>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</si>
  <si>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</si>
  <si>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</si>
  <si>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</si>
  <si>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</si>
  <si>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</si>
  <si>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</si>
  <si>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</si>
  <si>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</si>
  <si>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</si>
  <si>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</si>
  <si>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</si>
  <si>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</si>
  <si>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</si>
  <si>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</si>
  <si>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</si>
  <si>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</si>
  <si>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</si>
  <si>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</si>
  <si>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</si>
  <si>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</si>
  <si>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</si>
  <si>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</si>
  <si>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</si>
  <si>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</si>
  <si>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</si>
  <si>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</si>
  <si>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</si>
  <si>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</si>
  <si>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</si>
  <si>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</si>
  <si>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</si>
  <si>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</si>
  <si>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</si>
  <si>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</si>
  <si>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</si>
  <si>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</si>
  <si>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</si>
  <si>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</si>
  <si>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</si>
  <si>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</si>
  <si>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</si>
  <si>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</si>
  <si>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</si>
  <si>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</si>
  <si>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</si>
  <si>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</si>
  <si>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</si>
  <si>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</si>
  <si>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</si>
  <si>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</si>
  <si>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</si>
  <si>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</si>
  <si>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</si>
  <si>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</si>
  <si>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</si>
  <si>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</si>
  <si>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</si>
  <si>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</si>
  <si>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</si>
  <si>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</si>
  <si>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</si>
  <si>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</si>
  <si>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</si>
  <si>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</si>
  <si>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</si>
  <si>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</si>
  <si>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</si>
  <si>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</si>
  <si>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</si>
  <si>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</si>
  <si>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</si>
  <si>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</si>
  <si>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</si>
  <si>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</si>
  <si>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</si>
  <si>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</si>
  <si>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</si>
  <si>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</si>
  <si>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</si>
  <si>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</si>
  <si>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</si>
  <si>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</si>
  <si>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</si>
  <si>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</si>
  <si>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</si>
  <si>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</si>
  <si>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</si>
  <si>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</si>
  <si>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</si>
  <si>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</si>
  <si>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</si>
  <si>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</si>
  <si>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</si>
  <si>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</si>
  <si>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</si>
  <si>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</si>
  <si>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</si>
  <si>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</si>
  <si>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</si>
  <si>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</si>
  <si>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</si>
  <si>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</si>
  <si>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</si>
  <si>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</si>
  <si>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</si>
  <si>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</si>
  <si>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</si>
  <si>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</si>
  <si>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</si>
  <si>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</si>
  <si>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</si>
  <si>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</si>
  <si>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</si>
  <si>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</si>
  <si>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</si>
  <si>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</si>
  <si>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</si>
  <si>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</si>
  <si>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</si>
  <si>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</si>
  <si>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</si>
  <si>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</si>
  <si>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</si>
  <si>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</si>
  <si>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</si>
  <si>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</si>
  <si>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</si>
  <si>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</si>
  <si>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</si>
  <si>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</si>
  <si>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</si>
  <si>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</si>
  <si>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</si>
  <si>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</si>
  <si>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</si>
  <si>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</si>
  <si>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</si>
  <si>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</si>
  <si>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</si>
  <si>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</si>
  <si>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</si>
  <si>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</si>
  <si>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</si>
  <si>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</si>
  <si>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</si>
  <si>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</si>
  <si>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</si>
  <si>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</si>
  <si>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</si>
  <si>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</si>
  <si>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</si>
  <si>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</si>
  <si>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</si>
  <si>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</si>
  <si>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</si>
  <si>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</si>
  <si>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</si>
  <si>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</si>
  <si>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</si>
  <si>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</si>
  <si>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</si>
  <si>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</si>
  <si>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</si>
  <si>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</si>
  <si>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</si>
  <si>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</si>
  <si>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</si>
  <si>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</si>
  <si>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</si>
  <si>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</si>
  <si>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</si>
  <si>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</si>
  <si>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</si>
  <si>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</si>
  <si>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</si>
  <si>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</si>
  <si>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</si>
  <si>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</si>
  <si>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</si>
  <si>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</si>
  <si>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</si>
  <si>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</si>
  <si>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</si>
  <si>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</si>
  <si>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</si>
  <si>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</si>
  <si>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</si>
  <si>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</si>
  <si>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</si>
  <si>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</si>
  <si>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</si>
  <si>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</si>
  <si>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</si>
  <si>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</si>
  <si>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</si>
  <si>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</si>
  <si>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</si>
  <si>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</si>
  <si>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</si>
  <si>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</si>
  <si>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</si>
  <si>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</si>
  <si>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</si>
  <si>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</si>
  <si>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</si>
  <si>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</si>
  <si>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</si>
  <si>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</si>
  <si>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</si>
  <si>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</si>
  <si>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</si>
  <si>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</si>
  <si>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</si>
  <si>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</si>
  <si>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</si>
  <si>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</si>
  <si>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</si>
  <si>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</si>
  <si>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</si>
  <si>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</si>
  <si>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</si>
  <si>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</si>
  <si>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</si>
  <si>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</si>
  <si>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</si>
  <si>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</si>
  <si>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</si>
  <si>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</si>
  <si>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</si>
  <si>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</si>
  <si>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</si>
  <si>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</si>
  <si>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</si>
  <si>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</si>
  <si>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</si>
  <si>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</si>
  <si>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</si>
  <si>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</si>
  <si>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</si>
  <si>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</si>
  <si>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</si>
  <si>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</si>
  <si>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</si>
  <si>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</si>
  <si>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</si>
  <si>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</si>
  <si>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</si>
  <si>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</si>
  <si>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</si>
  <si>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</si>
  <si>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</si>
  <si>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</si>
  <si>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</si>
  <si>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</si>
  <si>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</si>
  <si>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</si>
  <si>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</si>
  <si>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</si>
  <si>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</si>
  <si>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</si>
  <si>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</si>
  <si>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</si>
  <si>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</si>
  <si>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</si>
  <si>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</si>
  <si>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</si>
  <si>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</si>
  <si>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</si>
  <si>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</si>
  <si>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</si>
  <si>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</si>
  <si>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</si>
  <si>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</si>
  <si>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</si>
  <si>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</si>
  <si>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</si>
  <si>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</si>
  <si>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</si>
  <si>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</si>
  <si>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</si>
  <si>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</si>
  <si>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</si>
  <si>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</si>
  <si>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</si>
  <si>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</si>
  <si>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</si>
  <si>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</si>
  <si>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</si>
  <si>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</si>
  <si>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</si>
  <si>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</si>
  <si>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</si>
  <si>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</si>
  <si>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</si>
  <si>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</si>
  <si>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</si>
  <si>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</si>
  <si>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</si>
  <si>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</si>
  <si>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</si>
  <si>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</si>
  <si>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</si>
  <si>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</si>
  <si>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</si>
  <si>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</si>
  <si>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</si>
  <si>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</si>
  <si>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</si>
  <si>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</si>
  <si>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</si>
  <si>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</si>
  <si>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</si>
  <si>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</si>
  <si>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</si>
  <si>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</si>
  <si>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</si>
  <si>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</si>
  <si>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</si>
  <si>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</si>
  <si>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</si>
  <si>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</si>
  <si>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</si>
  <si>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</si>
  <si>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</si>
  <si>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</si>
  <si>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</si>
  <si>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</si>
  <si>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</si>
  <si>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</si>
  <si>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</si>
  <si>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</si>
  <si>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</si>
  <si>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</si>
  <si>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</si>
  <si>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</si>
  <si>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</si>
  <si>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</si>
  <si>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</si>
  <si>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</si>
  <si>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</si>
  <si>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</si>
  <si>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</si>
  <si>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</si>
  <si>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</si>
  <si>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</si>
  <si>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</si>
  <si>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</si>
  <si>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</si>
  <si>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</si>
  <si>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</si>
  <si>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</si>
  <si>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</si>
  <si>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</si>
  <si>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</si>
  <si>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</si>
  <si>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</si>
  <si>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</si>
  <si>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</si>
  <si>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</si>
  <si>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</si>
  <si>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</si>
  <si>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</si>
  <si>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</si>
  <si>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</si>
  <si>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</si>
  <si>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</si>
  <si>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</si>
  <si>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</si>
  <si>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</si>
  <si>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</si>
  <si>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</si>
  <si>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</si>
  <si>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</si>
  <si>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</si>
  <si>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</si>
  <si>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</si>
  <si>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</si>
  <si>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</si>
  <si>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</si>
  <si>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</si>
  <si>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</si>
  <si>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</si>
  <si>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</si>
  <si>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</si>
  <si>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</si>
  <si>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</si>
  <si>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</si>
  <si>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</si>
  <si>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</si>
  <si>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</si>
  <si>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</si>
  <si>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</si>
  <si>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</si>
  <si>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</si>
  <si>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</si>
  <si>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</si>
  <si>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</si>
  <si>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</si>
  <si>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</si>
  <si>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</si>
  <si>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</si>
  <si>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</si>
  <si>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</si>
  <si>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</si>
  <si>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</si>
  <si>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</si>
  <si>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</si>
  <si>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</si>
  <si>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</si>
  <si>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</si>
  <si>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</si>
  <si>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</si>
  <si>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</si>
  <si>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</si>
  <si>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</si>
  <si>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</si>
  <si>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</si>
  <si>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</si>
  <si>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</si>
  <si>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</si>
  <si>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</si>
  <si>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</si>
  <si>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</si>
  <si>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</si>
  <si>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</si>
  <si>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</si>
  <si>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</si>
  <si>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</si>
  <si>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</si>
  <si>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</si>
  <si>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</si>
  <si>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</si>
  <si>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</si>
  <si>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</si>
  <si>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</si>
  <si>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</si>
  <si>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</si>
  <si>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</si>
  <si>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</si>
  <si>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</si>
  <si>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</si>
  <si>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</si>
  <si>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</si>
  <si>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</si>
  <si>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</si>
  <si>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</si>
  <si>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</si>
  <si>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</si>
  <si>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</si>
  <si>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</si>
  <si>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</si>
  <si>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</si>
  <si>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</si>
  <si>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</si>
  <si>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</si>
  <si>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</si>
  <si>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</si>
  <si>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</si>
  <si>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</si>
  <si>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</si>
  <si>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</si>
  <si>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</si>
  <si>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</si>
  <si>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</si>
  <si>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</si>
  <si>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</si>
  <si>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</si>
  <si>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</si>
  <si>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</si>
  <si>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</si>
  <si>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</si>
  <si>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</si>
  <si>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</si>
  <si>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</si>
  <si>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</si>
  <si>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</si>
  <si>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</si>
  <si>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</si>
  <si>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</si>
  <si>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</si>
  <si>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</si>
  <si>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</si>
  <si>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</si>
  <si>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</si>
  <si>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</si>
  <si>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</si>
  <si>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</si>
  <si>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</si>
  <si>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</si>
  <si>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</si>
  <si>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</si>
  <si>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</si>
  <si>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</si>
  <si>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</si>
  <si>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</si>
  <si>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</si>
  <si>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</si>
  <si>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</si>
  <si>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</si>
  <si>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</si>
  <si>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</si>
  <si>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</si>
  <si>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</si>
  <si>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</si>
  <si>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</si>
  <si>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</si>
  <si>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</si>
  <si>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</si>
  <si>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</si>
  <si>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</si>
  <si>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</si>
  <si>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</si>
  <si>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</si>
  <si>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</si>
  <si>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</si>
  <si>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</si>
  <si>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</si>
  <si>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</si>
  <si>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</si>
  <si>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</si>
  <si>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</si>
  <si>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</si>
  <si>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</si>
  <si>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</si>
  <si>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</si>
  <si>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</si>
  <si>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</si>
  <si>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</si>
  <si>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</si>
  <si>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</si>
  <si>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</si>
  <si>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</si>
  <si>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</si>
  <si>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</si>
  <si>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</si>
  <si>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</si>
  <si>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</si>
  <si>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</si>
  <si>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</si>
  <si>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</si>
  <si>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</si>
  <si>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</si>
  <si>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</si>
  <si>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</si>
  <si>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</si>
  <si>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</si>
  <si>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</si>
  <si>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</si>
  <si>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</si>
  <si>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</si>
  <si>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</si>
  <si>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</si>
  <si>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</si>
  <si>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</si>
  <si>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</si>
  <si>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</si>
  <si>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</si>
  <si>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</si>
  <si>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</si>
  <si>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</si>
  <si>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</si>
  <si>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</si>
  <si>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</si>
  <si>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</si>
  <si>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</si>
  <si>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</si>
  <si>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</si>
  <si>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</si>
  <si>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</si>
  <si>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</si>
  <si>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</si>
  <si>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</si>
  <si>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</si>
  <si>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</si>
  <si>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</si>
  <si>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</si>
  <si>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</si>
  <si>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</si>
  <si>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</si>
  <si>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</si>
  <si>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</si>
  <si>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</si>
  <si>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</si>
  <si>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</si>
  <si>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</si>
  <si>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</si>
  <si>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</si>
  <si>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</si>
  <si>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</si>
  <si>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</si>
  <si>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</si>
  <si>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</si>
  <si>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</si>
  <si>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</si>
  <si>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</si>
  <si>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</si>
  <si>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</si>
  <si>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</si>
  <si>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</si>
  <si>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</si>
  <si>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</si>
  <si>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</si>
  <si>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</si>
  <si>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</si>
  <si>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</si>
  <si>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</si>
  <si>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</si>
  <si>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</si>
  <si>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</si>
  <si>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</si>
  <si>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</si>
  <si>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</si>
  <si>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</si>
  <si>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</si>
  <si>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</si>
  <si>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</si>
  <si>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</si>
  <si>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</si>
  <si>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</si>
  <si>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</si>
  <si>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</si>
  <si>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</si>
  <si>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</si>
  <si>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</si>
  <si>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</si>
  <si>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</si>
  <si>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</si>
  <si>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</si>
  <si>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</si>
  <si>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</si>
  <si>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</si>
  <si>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</si>
  <si>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</si>
  <si>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</si>
  <si>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</si>
  <si>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</si>
  <si>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</si>
  <si>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</si>
  <si>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</si>
  <si>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</si>
  <si>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</si>
  <si>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</si>
  <si>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</si>
  <si>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</si>
  <si>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</si>
  <si>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</si>
  <si>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</si>
  <si>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</si>
  <si>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</si>
  <si>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</si>
  <si>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</si>
  <si>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</si>
  <si>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</si>
  <si>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</si>
  <si>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</si>
  <si>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</si>
  <si>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</si>
  <si>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</si>
  <si>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</si>
  <si>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</si>
  <si>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</si>
  <si>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</si>
  <si>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</si>
  <si>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</si>
  <si>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</si>
  <si>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</si>
  <si>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</si>
  <si>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</si>
  <si>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</si>
  <si>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</si>
  <si>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</si>
  <si>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</si>
  <si>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</si>
  <si>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</si>
  <si>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</si>
  <si>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</si>
  <si>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</si>
  <si>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</si>
  <si>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</si>
  <si>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</si>
  <si>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</si>
  <si>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</si>
  <si>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</si>
  <si>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</si>
  <si>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</si>
  <si>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</si>
  <si>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</si>
  <si>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</si>
  <si>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</si>
  <si>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</si>
  <si>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</si>
  <si>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</si>
  <si>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</si>
  <si>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</si>
  <si>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</si>
  <si>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</si>
  <si>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</si>
  <si>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</si>
  <si>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</si>
  <si>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</si>
  <si>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</si>
  <si>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</si>
  <si>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</si>
  <si>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</si>
  <si>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</si>
  <si>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</si>
  <si>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</si>
  <si>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</si>
  <si>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</si>
  <si>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</si>
  <si>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</si>
  <si>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</si>
  <si>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</si>
  <si>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</si>
  <si>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</si>
  <si>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</si>
  <si>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</si>
  <si>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</si>
  <si>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</si>
  <si>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</si>
  <si>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</si>
  <si>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</si>
  <si>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</si>
  <si>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</si>
  <si>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</si>
  <si>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</si>
  <si>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</si>
  <si>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</si>
  <si>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</si>
  <si>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</si>
  <si>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</si>
  <si>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</si>
  <si>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</si>
  <si>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</si>
  <si>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</si>
  <si>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</si>
  <si>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</si>
  <si>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</si>
  <si>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</si>
  <si>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</si>
  <si>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</si>
  <si>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</si>
  <si>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</si>
  <si>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</si>
  <si>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</si>
  <si>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</si>
  <si>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</si>
  <si>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</si>
  <si>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</si>
  <si>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</si>
  <si>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</si>
  <si>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</si>
  <si>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</si>
  <si>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</si>
  <si>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</si>
  <si>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</si>
  <si>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</si>
  <si>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</si>
  <si>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</si>
  <si>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</si>
  <si>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</si>
  <si>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</si>
  <si>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</si>
  <si>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</si>
  <si>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</si>
  <si>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</si>
  <si>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</si>
  <si>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</si>
  <si>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</si>
  <si>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</si>
  <si>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</si>
  <si>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</si>
  <si>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</si>
  <si>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</si>
  <si>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</si>
  <si>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</si>
  <si>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</si>
  <si>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</si>
  <si>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</si>
  <si>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</si>
  <si>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</si>
  <si>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</si>
  <si>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</si>
  <si>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</si>
  <si>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</si>
  <si>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</si>
  <si>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</si>
  <si>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</si>
  <si>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</si>
  <si>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</si>
  <si>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</si>
  <si>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</si>
  <si>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</si>
  <si>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</si>
  <si>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</si>
  <si>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</si>
  <si>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</si>
  <si>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</si>
  <si>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</si>
  <si>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</si>
  <si>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</si>
  <si>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</si>
  <si>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</si>
  <si>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</si>
  <si>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</si>
  <si>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</si>
  <si>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</si>
  <si>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</si>
  <si>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</si>
  <si>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</si>
  <si>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</si>
  <si>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</si>
  <si>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</si>
  <si>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</si>
  <si>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</si>
  <si>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</si>
  <si>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</si>
  <si>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</si>
  <si>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</si>
  <si>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</si>
  <si>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</si>
  <si>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</si>
  <si>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</si>
  <si>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</si>
  <si>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</si>
  <si>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</si>
  <si>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</si>
  <si>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</si>
  <si>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</si>
  <si>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</si>
  <si>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</si>
  <si>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</si>
  <si>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</si>
  <si>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</si>
  <si>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</si>
  <si>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</si>
  <si>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</si>
  <si>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</si>
  <si>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</si>
  <si>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</si>
  <si>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</si>
  <si>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</si>
  <si>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</si>
  <si>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</si>
  <si>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</si>
  <si>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</si>
  <si>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</si>
  <si>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</si>
  <si>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</si>
  <si>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</si>
  <si>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</si>
  <si>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</si>
  <si>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</si>
  <si>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</si>
  <si>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</si>
  <si>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</si>
  <si>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</si>
  <si>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</si>
  <si>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</si>
  <si>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</si>
  <si>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</si>
  <si>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</si>
  <si>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</si>
  <si>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</si>
  <si>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</si>
  <si>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</si>
  <si>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</si>
  <si>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</si>
  <si>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</si>
  <si>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</si>
  <si>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</si>
  <si>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</si>
  <si>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</si>
  <si>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</si>
  <si>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</si>
  <si>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</si>
  <si>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</si>
  <si>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</si>
  <si>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</si>
  <si>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</si>
  <si>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</si>
  <si>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</si>
  <si>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</si>
  <si>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</si>
  <si>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</si>
  <si>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</si>
  <si>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</si>
  <si>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</si>
  <si>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</si>
  <si>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</si>
  <si>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</si>
  <si>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</si>
  <si>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</si>
  <si>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</si>
  <si>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</si>
  <si>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</si>
  <si>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</si>
  <si>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</si>
  <si>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</si>
  <si>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</si>
  <si>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</si>
  <si>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</si>
  <si>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</si>
  <si>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</si>
  <si>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</si>
  <si>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</si>
  <si>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</si>
  <si>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</si>
  <si>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</si>
  <si>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</si>
  <si>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</si>
  <si>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</si>
  <si>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</si>
  <si>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</si>
  <si>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</si>
  <si>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</si>
  <si>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</si>
  <si>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</si>
  <si>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</si>
  <si>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</si>
  <si>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</si>
  <si>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</si>
  <si>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</si>
  <si>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</si>
  <si>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</si>
  <si>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</si>
  <si>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</si>
  <si>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</si>
  <si>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</si>
  <si>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</si>
  <si>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</si>
  <si>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</si>
  <si>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</si>
  <si>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</si>
  <si>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</si>
  <si>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</si>
  <si>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</si>
  <si>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</si>
  <si>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</si>
  <si>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</si>
  <si>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</si>
  <si>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</si>
  <si>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</si>
  <si>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</si>
  <si>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</si>
  <si>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</si>
  <si>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</si>
  <si>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</si>
  <si>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</si>
  <si>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</si>
  <si>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</si>
  <si>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</si>
  <si>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</si>
  <si>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</si>
  <si>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</si>
  <si>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</si>
  <si>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</si>
  <si>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</si>
  <si>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</si>
  <si>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</si>
  <si>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</si>
  <si>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</si>
  <si>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</si>
  <si>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</si>
  <si>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</si>
  <si>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</si>
  <si>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</si>
  <si>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</si>
  <si>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</si>
  <si>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</si>
  <si>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</si>
  <si>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</si>
  <si>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</si>
  <si>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</si>
  <si>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</si>
  <si>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</si>
  <si>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</si>
  <si>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</si>
  <si>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</si>
  <si>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</si>
  <si>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</si>
  <si>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</si>
  <si>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</si>
  <si>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</si>
  <si>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</si>
  <si>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</si>
  <si>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</si>
  <si>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</si>
  <si>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</si>
  <si>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</si>
  <si>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</si>
  <si>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</si>
  <si>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</si>
  <si>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</si>
  <si>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</si>
  <si>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</si>
  <si>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</si>
  <si>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</si>
  <si>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</si>
  <si>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</si>
  <si>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</si>
  <si>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</si>
  <si>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</si>
  <si>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</si>
  <si>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</si>
  <si>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</si>
  <si>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</si>
  <si>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</si>
  <si>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</si>
  <si>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</si>
  <si>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</si>
  <si>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</si>
  <si>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</si>
  <si>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</si>
  <si>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</si>
  <si>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</si>
  <si>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</si>
  <si>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</si>
  <si>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</si>
  <si>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</si>
  <si>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</si>
  <si>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</si>
  <si>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</si>
  <si>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</si>
  <si>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</si>
  <si>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</si>
  <si>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</si>
  <si>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</si>
  <si>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</si>
  <si>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</si>
  <si>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</si>
  <si>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</si>
  <si>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</si>
  <si>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</si>
  <si>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</si>
  <si>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</si>
  <si>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</si>
  <si>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</si>
  <si>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</si>
  <si>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</si>
  <si>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</si>
  <si>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</si>
  <si>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</si>
  <si>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</si>
  <si>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</si>
  <si>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</si>
  <si>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</si>
  <si>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</si>
  <si>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</si>
  <si>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</si>
  <si>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</si>
  <si>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</si>
  <si>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</si>
  <si>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</si>
  <si>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</si>
  <si>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</si>
  <si>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</si>
  <si>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</si>
  <si>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</si>
  <si>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</si>
  <si>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</si>
  <si>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</si>
  <si>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</si>
  <si>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</si>
  <si>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</si>
  <si>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</si>
  <si>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</si>
  <si>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</si>
  <si>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</si>
  <si>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</si>
  <si>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</si>
  <si>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</si>
  <si>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</si>
  <si>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</si>
  <si>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</si>
  <si>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</si>
  <si>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</si>
  <si>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</si>
  <si>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</si>
  <si>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</si>
  <si>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</si>
  <si>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</si>
  <si>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</si>
  <si>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</si>
  <si>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</si>
  <si>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</si>
  <si>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</si>
  <si>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</si>
  <si>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</si>
  <si>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</si>
  <si>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</si>
  <si>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</si>
  <si>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</si>
  <si>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</si>
  <si>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</si>
  <si>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</si>
  <si>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</si>
  <si>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</si>
  <si>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</si>
  <si>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</si>
  <si>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</si>
  <si>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</si>
  <si>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</si>
  <si>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</si>
  <si>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</si>
  <si>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</si>
  <si>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</si>
  <si>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</si>
  <si>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</si>
  <si>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</si>
  <si>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</si>
  <si>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</si>
  <si>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</si>
  <si>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</si>
  <si>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</si>
  <si>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</si>
  <si>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</si>
  <si>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</si>
  <si>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</si>
  <si>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</si>
  <si>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</si>
  <si>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</si>
  <si>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</si>
  <si>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</si>
  <si>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</si>
  <si>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</si>
  <si>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</si>
  <si>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</si>
  <si>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</si>
  <si>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</si>
  <si>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</si>
  <si>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</si>
  <si>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</si>
  <si>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</si>
  <si>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</si>
  <si>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</si>
  <si>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</si>
  <si>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</si>
  <si>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</si>
  <si>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</si>
  <si>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</si>
  <si>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</si>
  <si>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</si>
  <si>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</si>
  <si>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</si>
  <si>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</si>
  <si>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</si>
  <si>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</si>
  <si>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</si>
  <si>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</si>
  <si>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</si>
  <si>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</si>
  <si>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</si>
  <si>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</si>
  <si>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</si>
  <si>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</si>
  <si>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</si>
  <si>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</si>
  <si>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</si>
  <si>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</si>
  <si>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</si>
  <si>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</si>
  <si>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</si>
  <si>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</si>
  <si>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</si>
  <si>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</si>
  <si>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</si>
  <si>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</si>
  <si>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</si>
  <si>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</si>
  <si>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</si>
  <si>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</si>
  <si>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</si>
  <si>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</si>
  <si>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</si>
  <si>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</si>
  <si>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</si>
  <si>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</si>
  <si>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</si>
  <si>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</si>
  <si>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</si>
  <si>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</si>
  <si>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</si>
  <si>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</si>
  <si>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</si>
  <si>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</si>
  <si>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</si>
  <si>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</si>
  <si>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</si>
  <si>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</si>
  <si>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</si>
  <si>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</si>
  <si>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</si>
  <si>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</si>
  <si>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</si>
  <si>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</si>
  <si>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</si>
  <si>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</si>
  <si>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</si>
  <si>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</si>
  <si>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</si>
  <si>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</si>
  <si>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</si>
  <si>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</si>
  <si>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</si>
  <si>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</si>
  <si>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</si>
  <si>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</si>
  <si>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</si>
  <si>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</si>
  <si>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</si>
  <si>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</si>
  <si>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</si>
  <si>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</si>
  <si>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</si>
  <si>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</si>
  <si>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</si>
  <si>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</si>
  <si>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</si>
  <si>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</si>
  <si>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</si>
  <si>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</si>
  <si>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</si>
  <si>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</si>
  <si>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</si>
  <si>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</si>
  <si>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</si>
  <si>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</si>
  <si>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</si>
  <si>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</si>
  <si>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</si>
  <si>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</si>
  <si>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</si>
  <si>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</si>
  <si>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</si>
  <si>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</si>
  <si>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</si>
  <si>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</si>
  <si>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</si>
  <si>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</si>
  <si>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</si>
  <si>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</si>
  <si>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</si>
  <si>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</si>
  <si>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</si>
  <si>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</si>
  <si>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</si>
  <si>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</si>
  <si>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</si>
  <si>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</si>
  <si>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</si>
  <si>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</si>
  <si>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</si>
  <si>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</si>
  <si>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</si>
  <si>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</si>
  <si>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</si>
  <si>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</si>
  <si>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</si>
  <si>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</si>
  <si>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</si>
  <si>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</si>
  <si>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</si>
  <si>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</si>
  <si>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</si>
  <si>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</si>
  <si>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</si>
  <si>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</si>
  <si>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</si>
  <si>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</si>
  <si>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</si>
  <si>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</si>
  <si>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</si>
  <si>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</si>
  <si>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</si>
  <si>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</si>
  <si>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</si>
  <si>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</si>
  <si>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</si>
  <si>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</si>
  <si>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</si>
  <si>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</si>
  <si>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</si>
  <si>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</si>
  <si>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</si>
  <si>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</si>
  <si>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</si>
  <si>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</si>
  <si>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</si>
  <si>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</si>
  <si>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</si>
  <si>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</si>
  <si>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</si>
  <si>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</si>
  <si>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</si>
  <si>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</si>
  <si>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</si>
  <si>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</si>
  <si>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</si>
  <si>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</si>
  <si>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</si>
  <si>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</si>
  <si>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</si>
  <si>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</si>
  <si>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</si>
  <si>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</si>
  <si>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</si>
  <si>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</si>
  <si>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</si>
  <si>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</si>
  <si>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</si>
  <si>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</si>
  <si>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</si>
  <si>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</si>
  <si>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</si>
  <si>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</si>
  <si>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</si>
  <si>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</si>
  <si>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</si>
  <si>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</si>
  <si>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</si>
  <si>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</si>
  <si>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</si>
  <si>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</si>
  <si>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</si>
  <si>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</si>
  <si>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</si>
  <si>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</si>
  <si>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</si>
  <si>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</si>
  <si>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</si>
  <si>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</si>
  <si>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</si>
  <si>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</si>
  <si>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</si>
  <si>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</si>
  <si>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</si>
  <si>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</si>
  <si>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</si>
  <si>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</si>
  <si>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</si>
  <si>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</si>
  <si>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</si>
  <si>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</si>
  <si>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</si>
  <si>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</si>
  <si>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</si>
  <si>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</si>
  <si>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</si>
  <si>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</si>
  <si>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</si>
  <si>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</si>
  <si>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</si>
  <si>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</si>
  <si>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</si>
  <si>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</si>
  <si>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</si>
  <si>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</si>
  <si>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</si>
  <si>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</si>
  <si>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</si>
  <si>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</si>
  <si>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</si>
  <si>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</si>
  <si>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</si>
  <si>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</si>
  <si>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</si>
  <si>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</si>
  <si>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</si>
  <si>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</si>
  <si>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</si>
  <si>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</si>
  <si>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</si>
  <si>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</si>
  <si>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</si>
  <si>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</si>
  <si>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</si>
  <si>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</si>
  <si>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</si>
  <si>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</si>
  <si>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</si>
  <si>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</si>
  <si>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</si>
  <si>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</si>
  <si>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</si>
  <si>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</si>
  <si>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</si>
  <si>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</si>
  <si>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</si>
  <si>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</si>
  <si>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</si>
  <si>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</si>
  <si>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</si>
  <si>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</si>
  <si>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</si>
  <si>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</si>
  <si>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</si>
  <si>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</si>
  <si>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</si>
  <si>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</si>
  <si>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</si>
  <si>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</si>
  <si>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</si>
  <si>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</si>
  <si>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</si>
  <si>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</si>
  <si>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</si>
  <si>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</si>
  <si>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</si>
  <si>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</si>
  <si>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</si>
  <si>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</si>
  <si>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</si>
  <si>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</si>
  <si>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</si>
  <si>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</si>
  <si>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</si>
  <si>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</si>
  <si>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</si>
  <si>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</si>
  <si>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</si>
  <si>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</si>
  <si>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</si>
  <si>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</si>
  <si>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</si>
  <si>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</si>
  <si>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</si>
  <si>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</si>
  <si>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</si>
  <si>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</si>
  <si>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</si>
  <si>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</si>
  <si>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</si>
  <si>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</si>
  <si>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</si>
  <si>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</si>
  <si>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</si>
  <si>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</si>
  <si>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</si>
  <si>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</si>
  <si>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</si>
  <si>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</si>
  <si>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</si>
  <si>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</si>
  <si>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</si>
  <si>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</si>
  <si>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</si>
  <si>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</si>
  <si>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</si>
  <si>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</si>
  <si>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</si>
  <si>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</si>
  <si>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</si>
  <si>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</si>
  <si>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</si>
  <si>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</si>
  <si>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</si>
  <si>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</si>
  <si>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</si>
  <si>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</si>
  <si>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</si>
  <si>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</si>
  <si>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</si>
  <si>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</si>
  <si>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</si>
  <si>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</si>
  <si>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</si>
  <si>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</si>
  <si>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</si>
  <si>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</si>
  <si>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</si>
  <si>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</si>
  <si>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</si>
  <si>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</si>
  <si>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</si>
  <si>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</si>
  <si>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</si>
  <si>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</si>
  <si>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</si>
  <si>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</si>
  <si>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</si>
  <si>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</si>
  <si>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</si>
  <si>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</si>
  <si>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</si>
  <si>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</si>
  <si>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</si>
  <si>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</si>
  <si>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</si>
  <si>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</si>
  <si>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</si>
  <si>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</si>
  <si>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</si>
  <si>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</si>
  <si>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</si>
  <si>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</si>
  <si>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</si>
  <si>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</si>
  <si>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</si>
  <si>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</si>
  <si>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</si>
  <si>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</si>
  <si>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</si>
  <si>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</si>
  <si>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</si>
  <si>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</si>
  <si>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</si>
  <si>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</si>
  <si>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</si>
  <si>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</si>
  <si>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</si>
  <si>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</si>
  <si>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</si>
  <si>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</si>
  <si>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</si>
  <si>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</si>
  <si>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</si>
  <si>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</si>
  <si>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</si>
  <si>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</si>
  <si>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</si>
  <si>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</si>
  <si>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</si>
  <si>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</si>
  <si>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</si>
  <si>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</si>
  <si>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</si>
  <si>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</si>
  <si>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</si>
  <si>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</si>
  <si>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</si>
  <si>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</si>
  <si>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</si>
  <si>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</si>
  <si>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</si>
  <si>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</si>
  <si>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</si>
  <si>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</si>
  <si>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</si>
  <si>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</si>
  <si>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</si>
  <si>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</si>
  <si>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</si>
  <si>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</si>
  <si>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</si>
  <si>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</si>
  <si>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</si>
  <si>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</si>
  <si>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</si>
  <si>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</si>
  <si>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</si>
  <si>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</si>
  <si>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</si>
  <si>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</si>
  <si>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</si>
  <si>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</si>
  <si>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</si>
  <si>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</si>
  <si>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</si>
  <si>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</si>
  <si>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</si>
  <si>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</si>
  <si>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</si>
  <si>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</si>
  <si>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</si>
  <si>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</si>
  <si>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</si>
  <si>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</si>
  <si>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</si>
  <si>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</si>
  <si>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</si>
  <si>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</si>
  <si>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</si>
  <si>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</si>
  <si>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</si>
  <si>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</si>
  <si>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</si>
  <si>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</si>
  <si>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</si>
  <si>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</si>
  <si>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</si>
  <si>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</si>
  <si>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</si>
  <si>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</si>
  <si>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</si>
  <si>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</si>
  <si>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</si>
  <si>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</si>
  <si>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</si>
  <si>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</si>
  <si>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</si>
  <si>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</si>
  <si>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</si>
  <si>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</si>
  <si>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</si>
  <si>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</si>
  <si>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</si>
  <si>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</si>
  <si>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</si>
  <si>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</si>
  <si>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</si>
  <si>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</si>
  <si>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</si>
  <si>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</si>
  <si>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</si>
  <si>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</si>
  <si>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</si>
  <si>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</si>
  <si>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</si>
  <si>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</si>
  <si>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</si>
  <si>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</si>
  <si>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</si>
  <si>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</si>
  <si>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</si>
  <si>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</si>
  <si>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</si>
  <si>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</si>
  <si>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</si>
  <si>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</si>
  <si>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</si>
  <si>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</si>
  <si>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</si>
  <si>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</si>
  <si>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</si>
  <si>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</si>
  <si>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</si>
  <si>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</si>
  <si>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</si>
  <si>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</si>
  <si>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</si>
  <si>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</si>
  <si>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</si>
  <si>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</si>
  <si>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</si>
  <si>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</si>
  <si>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</si>
  <si>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</si>
  <si>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</si>
  <si>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</si>
  <si>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</si>
  <si>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</si>
  <si>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</si>
  <si>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</si>
  <si>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</si>
  <si>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</si>
  <si>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</si>
  <si>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</si>
  <si>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</si>
  <si>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</si>
  <si>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</si>
  <si>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</si>
  <si>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</si>
  <si>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</si>
  <si>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</si>
  <si>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</si>
  <si>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</si>
  <si>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</si>
  <si>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</si>
  <si>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</si>
  <si>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</si>
  <si>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</si>
  <si>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</si>
  <si>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</si>
  <si>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</si>
  <si>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</si>
  <si>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</si>
  <si>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</si>
  <si>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</si>
  <si>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</si>
  <si>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</si>
  <si>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</si>
  <si>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</si>
  <si>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</si>
  <si>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</si>
  <si>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</si>
  <si>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</si>
  <si>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</si>
  <si>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</si>
  <si>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</si>
  <si>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</si>
  <si>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</si>
  <si>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</si>
  <si>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</si>
  <si>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</si>
  <si>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</si>
  <si>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</si>
  <si>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</si>
  <si>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</si>
  <si>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</si>
  <si>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</si>
  <si>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</si>
  <si>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</si>
  <si>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</si>
  <si>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</si>
  <si>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</si>
  <si>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</si>
  <si>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</si>
  <si>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</si>
  <si>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</si>
  <si>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</si>
  <si>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</si>
  <si>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</si>
  <si>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</si>
  <si>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</si>
  <si>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</si>
  <si>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</si>
  <si>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</si>
  <si>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</si>
  <si>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</si>
  <si>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</si>
  <si>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</si>
  <si>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</si>
  <si>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</si>
  <si>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</si>
  <si>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</si>
  <si>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</si>
  <si>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</si>
  <si>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</si>
  <si>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</si>
  <si>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</si>
  <si>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</si>
  <si>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</si>
  <si>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</si>
  <si>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</si>
  <si>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</si>
  <si>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</si>
  <si>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</si>
  <si>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</si>
  <si>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</si>
  <si>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</si>
  <si>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</si>
  <si>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</si>
  <si>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</si>
  <si>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</si>
  <si>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</si>
  <si>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</si>
  <si>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</si>
  <si>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</si>
  <si>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</si>
  <si>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</si>
  <si>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</si>
  <si>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</si>
  <si>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</si>
  <si>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2026-084</t>
  </si>
  <si>
    <t>2026-085</t>
  </si>
  <si>
    <t>10884/2026</t>
  </si>
  <si>
    <t>10722/2026</t>
  </si>
  <si>
    <t>Oficina EmentAI: o seu assistente de IA na elaboração de ementas jurisprudenciais</t>
  </si>
  <si>
    <t>16/10/2026</t>
  </si>
  <si>
    <t>2026-086</t>
  </si>
  <si>
    <t xml:space="preserve">Introdução à Engenharia de Prompt – T5 </t>
  </si>
  <si>
    <t>Introdução à Engenharia de Prompt – T6</t>
  </si>
  <si>
    <t>21 e 23/09/2026</t>
  </si>
  <si>
    <t>27 e 29/10/2026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</si>
</sst>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5" activePane="bottomLeft" state="frozen"/>
      <selection pane="bottomLeft" activeCell="C745" sqref="C74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3198</v>
      </c>
      <c r="B740" s="183">
        <v>2026</v>
      </c>
      <c r="C740" s="183" t="s">
        <v>2697</v>
      </c>
      <c r="D740" s="183" t="s">
        <v>3200</v>
      </c>
      <c r="E740" s="180" t="s">
        <v>3202</v>
      </c>
      <c r="F740" s="185" t="s">
        <v>24</v>
      </c>
      <c r="G740" s="186" t="s">
        <v>2700</v>
      </c>
      <c r="H740" s="191" t="s">
        <v>3203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3199</v>
      </c>
      <c r="B741" s="183">
        <v>2026</v>
      </c>
      <c r="C741" s="183" t="s">
        <v>2697</v>
      </c>
      <c r="D741" s="183" t="s">
        <v>3201</v>
      </c>
      <c r="E741" s="180" t="s">
        <v>3205</v>
      </c>
      <c r="F741" s="185" t="s">
        <v>24</v>
      </c>
      <c r="G741" s="186" t="s">
        <v>2700</v>
      </c>
      <c r="H741" s="191" t="s">
        <v>3207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3204</v>
      </c>
      <c r="B742" s="183">
        <v>2026</v>
      </c>
      <c r="C742" s="183" t="s">
        <v>2697</v>
      </c>
      <c r="D742" s="183" t="s">
        <v>3201</v>
      </c>
      <c r="E742" s="184" t="s">
        <v>3206</v>
      </c>
      <c r="F742" s="185" t="s">
        <v>24</v>
      </c>
      <c r="G742" s="186" t="s">
        <v>2700</v>
      </c>
      <c r="H742" s="191" t="s">
        <v>3208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 t="s">
        <v>2566</v>
      </c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2001">
    <cfRule type="expression" dxfId="7" priority="9">
      <formula>MOD(ROW(),2)=0</formula>
    </cfRule>
  </conditionalFormatting>
  <conditionalFormatting sqref="A2002:A2006 E2007 A2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2" workbookViewId="0">
      <selection activeCell="I35" sqref="I35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3003</v>
      </c>
      <c r="H1" s="213" t="s">
        <v>3004</v>
      </c>
    </row>
    <row r="2" spans="1:8" x14ac:dyDescent="0.25">
      <c r="H2" s="212" t="s">
        <v>3005</v>
      </c>
    </row>
    <row r="3" spans="1:8" x14ac:dyDescent="0.25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 x14ac:dyDescent="0.25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 x14ac:dyDescent="0.25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 x14ac:dyDescent="0.25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 x14ac:dyDescent="0.25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3024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3025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3026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3027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3028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3029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3030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3031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3032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3033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3034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3035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3036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3037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3038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3039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3040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3041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3042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3043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3044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3045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3046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3047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3048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3049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3050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3051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3052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3053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3054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3055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3056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3057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3058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3059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3060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4" activePane="bottomLeft" state="frozen"/>
      <selection pane="bottomLeft" activeCell="Y58" sqref="Y5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3042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3090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3091</v>
      </c>
      <c r="B4" s="232"/>
      <c r="D4" s="233" t="s">
        <v>3092</v>
      </c>
      <c r="E4" s="234"/>
      <c r="G4" s="45" t="s">
        <v>3093</v>
      </c>
    </row>
    <row r="5" spans="1:7" ht="54.95" customHeight="1" thickBot="1" x14ac:dyDescent="0.75">
      <c r="A5" s="35">
        <f>COUNTIF('Ações InCompany'!B:B,2026)</f>
        <v>86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3095</v>
      </c>
      <c r="B8" s="228"/>
      <c r="D8" s="228" t="s">
        <v>3096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 x14ac:dyDescent="0.3">
      <c r="A30" s="228" t="s">
        <v>3105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6.0240963855421686E-2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0.12048192771084337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7.2289156626506021E-2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0.26506024096385544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9.6385542168674704E-2</v>
      </c>
    </row>
    <row r="42" spans="1:5" ht="24" customHeight="1" x14ac:dyDescent="0.25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 x14ac:dyDescent="0.25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3103</v>
      </c>
      <c r="B45" s="41">
        <f>SUM(B33:B44)</f>
        <v>53</v>
      </c>
      <c r="C45" s="41">
        <f>SUM(C33:C44)</f>
        <v>30</v>
      </c>
      <c r="D45" s="41">
        <f>SUM(D33:D44)</f>
        <v>83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 x14ac:dyDescent="0.25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 x14ac:dyDescent="0.25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 x14ac:dyDescent="0.25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 x14ac:dyDescent="0.25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 x14ac:dyDescent="0.25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 x14ac:dyDescent="0.25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 x14ac:dyDescent="0.25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 x14ac:dyDescent="0.25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 x14ac:dyDescent="0.25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 x14ac:dyDescent="0.25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 x14ac:dyDescent="0.25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 x14ac:dyDescent="0.25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 x14ac:dyDescent="0.25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 x14ac:dyDescent="0.25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 x14ac:dyDescent="0.25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 x14ac:dyDescent="0.25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3156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3157</v>
      </c>
    </row>
    <row r="4" spans="1:8" ht="21.95" customHeight="1" x14ac:dyDescent="0.25">
      <c r="A4" s="236" t="s">
        <v>3158</v>
      </c>
      <c r="B4" s="237"/>
      <c r="D4" s="236" t="s">
        <v>3159</v>
      </c>
      <c r="E4" s="237"/>
      <c r="G4" s="236" t="s">
        <v>3160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9" activePane="bottomLeft" state="frozen"/>
      <selection pane="bottomLeft" activeCell="G5" sqref="G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3166</v>
      </c>
      <c r="B1" s="241"/>
      <c r="C1" s="241"/>
      <c r="D1" s="241"/>
      <c r="E1" s="241"/>
      <c r="F1" s="241"/>
    </row>
    <row r="2" spans="1:7" x14ac:dyDescent="0.25">
      <c r="A2" s="242" t="s">
        <v>3167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3104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2026-08-25T18:44:36Z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