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12" documentId="13_ncr:1_{6A2CC3E2-FAFB-4D8F-B284-5E8FB5045DFE}" xr6:coauthVersionLast="47" xr6:coauthVersionMax="47" xr10:uidLastSave="{D3FF4562-BB75-4A46-AAF9-F0097103C177}"/>
  <bookViews>
    <workbookView xWindow="-108" yWindow="-108" windowWidth="23256" windowHeight="12456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A5" i="23" l="1" a="1"/>
  <c r="E105" i="23"/>
  <c r="A2" i="20"/>
  <c r="D64" i="23" l="1"/>
  <c r="C64" i="23"/>
  <c r="B64" i="23"/>
  <c r="E64" i="23"/>
  <c r="F64" i="23"/>
  <c r="D53" i="23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<sst xmlns="http://schemas.openxmlformats.org/spreadsheetml/2006/main" count="7415" uniqueCount="3264">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</sst>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K1" zoomScaleNormal="100" workbookViewId="0">
      <pane ySplit="1" topLeftCell="G722" activePane="bottomLeft" state="frozen"/>
      <selection pane="bottomLeft" activeCell="R727" sqref="R72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8.9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/>
      <c r="T727" s="154"/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58" t="s">
        <v>2988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5">
      <c r="A730" s="155" t="s">
        <v>2989</v>
      </c>
      <c r="B730" s="153">
        <v>2026</v>
      </c>
      <c r="C730" s="153" t="s">
        <v>2711</v>
      </c>
      <c r="D730" s="153" t="s">
        <v>2966</v>
      </c>
      <c r="E730" s="199" t="s">
        <v>2990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2991</v>
      </c>
      <c r="B731" s="153">
        <v>2026</v>
      </c>
      <c r="C731" s="153" t="s">
        <v>2711</v>
      </c>
      <c r="D731" s="153" t="s">
        <v>2966</v>
      </c>
      <c r="E731" s="199" t="s">
        <v>2992</v>
      </c>
      <c r="F731" s="169" t="s">
        <v>89</v>
      </c>
      <c r="G731" s="154" t="s">
        <v>2718</v>
      </c>
      <c r="H731" s="155" t="s">
        <v>2993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2994</v>
      </c>
      <c r="B732" s="153">
        <v>2026</v>
      </c>
      <c r="C732" s="153" t="s">
        <v>2711</v>
      </c>
      <c r="D732" s="153" t="s">
        <v>2995</v>
      </c>
      <c r="E732" s="158" t="s">
        <v>2996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2997</v>
      </c>
      <c r="B733" s="153">
        <v>2026</v>
      </c>
      <c r="C733" s="153" t="s">
        <v>2711</v>
      </c>
      <c r="D733" s="153"/>
      <c r="E733" s="199" t="s">
        <v>2998</v>
      </c>
      <c r="F733" s="169" t="s">
        <v>25</v>
      </c>
      <c r="G733" s="154" t="s">
        <v>2718</v>
      </c>
      <c r="H733" s="155" t="s">
        <v>2999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>
      <c r="A734" s="155" t="s">
        <v>3000</v>
      </c>
      <c r="B734" s="153">
        <v>2026</v>
      </c>
      <c r="C734" s="153" t="s">
        <v>2711</v>
      </c>
      <c r="D734" s="153" t="s">
        <v>3001</v>
      </c>
      <c r="E734" s="158" t="s">
        <v>3002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3003</v>
      </c>
      <c r="E735" s="158" t="s">
        <v>3004</v>
      </c>
      <c r="F735" s="169" t="s">
        <v>25</v>
      </c>
      <c r="G735" s="154" t="s">
        <v>207</v>
      </c>
      <c r="H735" s="155" t="s">
        <v>3005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3006</v>
      </c>
      <c r="U735" s="210"/>
    </row>
    <row r="736" spans="1:21" ht="14.4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3007</v>
      </c>
      <c r="E736" s="158" t="s">
        <v>3008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4.45">
      <c r="A737" s="155" t="s">
        <v>3009</v>
      </c>
      <c r="B737" s="153">
        <v>2026</v>
      </c>
      <c r="C737" s="153" t="s">
        <v>23</v>
      </c>
      <c r="D737" s="153" t="s">
        <v>3010</v>
      </c>
      <c r="E737" s="158" t="s">
        <v>3011</v>
      </c>
      <c r="F737" s="169" t="s">
        <v>70</v>
      </c>
      <c r="G737" s="154" t="s">
        <v>80</v>
      </c>
      <c r="H737" s="155" t="s">
        <v>3012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4.45">
      <c r="A738" s="155" t="s">
        <v>3013</v>
      </c>
      <c r="B738" s="153">
        <v>2026</v>
      </c>
      <c r="C738" s="153" t="s">
        <v>23</v>
      </c>
      <c r="D738" s="153" t="s">
        <v>3014</v>
      </c>
      <c r="E738" s="158" t="s">
        <v>3015</v>
      </c>
      <c r="F738" s="169" t="s">
        <v>70</v>
      </c>
      <c r="G738" s="154" t="s">
        <v>2694</v>
      </c>
      <c r="H738" s="155" t="s">
        <v>3016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3017</v>
      </c>
      <c r="U738" s="210"/>
    </row>
    <row r="739" spans="1:21" ht="14.45">
      <c r="A739" s="155" t="s">
        <v>3018</v>
      </c>
      <c r="B739" s="153">
        <v>2026</v>
      </c>
      <c r="C739" s="153" t="s">
        <v>23</v>
      </c>
      <c r="D739" s="153" t="s">
        <v>3019</v>
      </c>
      <c r="E739" s="158" t="s">
        <v>3020</v>
      </c>
      <c r="F739" s="169" t="s">
        <v>25</v>
      </c>
      <c r="G739" s="154" t="s">
        <v>2700</v>
      </c>
      <c r="H739" s="155" t="s">
        <v>3021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4.45">
      <c r="A740" s="155" t="s">
        <v>3022</v>
      </c>
      <c r="B740" s="153">
        <v>2026</v>
      </c>
      <c r="C740" s="153" t="s">
        <v>2711</v>
      </c>
      <c r="D740" s="153" t="s">
        <v>3023</v>
      </c>
      <c r="E740" s="158" t="s">
        <v>3024</v>
      </c>
      <c r="F740" s="169" t="s">
        <v>25</v>
      </c>
      <c r="G740" s="154" t="s">
        <v>2700</v>
      </c>
      <c r="H740" s="155" t="s">
        <v>3025</v>
      </c>
      <c r="I740" s="155" t="s">
        <v>3025</v>
      </c>
      <c r="J740" s="155" t="s">
        <v>3025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4.45">
      <c r="A741" s="155" t="s">
        <v>3026</v>
      </c>
      <c r="B741" s="153">
        <v>2026</v>
      </c>
      <c r="C741" s="153" t="s">
        <v>23</v>
      </c>
      <c r="D741" s="153" t="s">
        <v>3027</v>
      </c>
      <c r="E741" s="158" t="s">
        <v>3028</v>
      </c>
      <c r="F741" s="169" t="s">
        <v>25</v>
      </c>
      <c r="G741" s="154" t="s">
        <v>2700</v>
      </c>
      <c r="H741" s="155" t="s">
        <v>3029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4.45">
      <c r="A742" s="155" t="s">
        <v>3030</v>
      </c>
      <c r="B742" s="153">
        <v>2026</v>
      </c>
      <c r="C742" s="153" t="s">
        <v>2711</v>
      </c>
      <c r="D742" s="153" t="s">
        <v>3027</v>
      </c>
      <c r="E742" s="158" t="s">
        <v>3031</v>
      </c>
      <c r="F742" s="169" t="s">
        <v>25</v>
      </c>
      <c r="G742" s="154" t="s">
        <v>2700</v>
      </c>
      <c r="H742" s="155" t="s">
        <v>3032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4.45">
      <c r="A743" s="155" t="s">
        <v>3033</v>
      </c>
      <c r="B743" s="153">
        <v>2026</v>
      </c>
      <c r="C743" s="153" t="s">
        <v>23</v>
      </c>
      <c r="D743" s="153" t="s">
        <v>3034</v>
      </c>
      <c r="E743" s="158" t="s">
        <v>3035</v>
      </c>
      <c r="F743" s="169" t="s">
        <v>25</v>
      </c>
      <c r="G743" s="154" t="s">
        <v>207</v>
      </c>
      <c r="H743" s="155" t="s">
        <v>3036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3006</v>
      </c>
      <c r="U743" s="210"/>
    </row>
    <row r="744" spans="1:21" ht="14.45">
      <c r="A744" s="155" t="s">
        <v>3037</v>
      </c>
      <c r="B744" s="153">
        <v>2026</v>
      </c>
      <c r="C744" s="153" t="s">
        <v>2711</v>
      </c>
      <c r="D744" s="153" t="s">
        <v>3038</v>
      </c>
      <c r="E744" s="165" t="s">
        <v>3039</v>
      </c>
      <c r="F744" s="169" t="s">
        <v>25</v>
      </c>
      <c r="G744" s="154" t="s">
        <v>207</v>
      </c>
      <c r="H744" s="155" t="s">
        <v>3040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>
      <c r="A745" s="155" t="s">
        <v>3041</v>
      </c>
      <c r="B745" s="153">
        <v>2026</v>
      </c>
      <c r="C745" s="153" t="s">
        <v>2711</v>
      </c>
      <c r="D745" s="153" t="s">
        <v>3038</v>
      </c>
      <c r="E745" s="165" t="s">
        <v>3042</v>
      </c>
      <c r="F745" s="169" t="s">
        <v>25</v>
      </c>
      <c r="G745" s="154" t="s">
        <v>207</v>
      </c>
      <c r="H745" s="155" t="s">
        <v>3043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4.45" hidden="1">
      <c r="A746" s="155" t="s">
        <v>3044</v>
      </c>
      <c r="B746" s="153">
        <v>2026</v>
      </c>
      <c r="C746" s="153" t="s">
        <v>2790</v>
      </c>
      <c r="D746" s="153" t="s">
        <v>3045</v>
      </c>
      <c r="E746" s="165" t="s">
        <v>3046</v>
      </c>
      <c r="F746" s="169" t="s">
        <v>25</v>
      </c>
      <c r="G746" s="154" t="s">
        <v>207</v>
      </c>
      <c r="H746" s="155" t="s">
        <v>3047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3048</v>
      </c>
      <c r="U746" s="210"/>
    </row>
    <row r="747" spans="1:21" ht="14.45">
      <c r="A747" s="155" t="s">
        <v>3049</v>
      </c>
      <c r="B747" s="153">
        <v>2026</v>
      </c>
      <c r="C747" s="153" t="s">
        <v>23</v>
      </c>
      <c r="D747" s="153" t="s">
        <v>3050</v>
      </c>
      <c r="E747" s="165" t="s">
        <v>3051</v>
      </c>
      <c r="F747" s="169" t="s">
        <v>25</v>
      </c>
      <c r="G747" s="154" t="s">
        <v>207</v>
      </c>
      <c r="H747" s="155" t="s">
        <v>3052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4.45">
      <c r="A748" s="155" t="s">
        <v>3053</v>
      </c>
      <c r="B748" s="153">
        <v>2026</v>
      </c>
      <c r="C748" s="153" t="s">
        <v>23</v>
      </c>
      <c r="D748" s="153" t="s">
        <v>3054</v>
      </c>
      <c r="E748" s="158" t="s">
        <v>3055</v>
      </c>
      <c r="F748" s="169" t="s">
        <v>70</v>
      </c>
      <c r="G748" s="154" t="s">
        <v>80</v>
      </c>
      <c r="H748" s="155" t="s">
        <v>3056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28.9" hidden="1">
      <c r="A749" s="155" t="s">
        <v>3057</v>
      </c>
      <c r="B749" s="153">
        <v>2026</v>
      </c>
      <c r="C749" s="153" t="s">
        <v>3058</v>
      </c>
      <c r="D749" s="153" t="s">
        <v>3059</v>
      </c>
      <c r="E749" s="165" t="s">
        <v>3060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3061</v>
      </c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4.4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4.4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4.4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4.4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6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0</v>
      </c>
      <c r="Q59">
        <f ca="1"/>
        <v>0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2026-079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3155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3155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3155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0</v>
      </c>
      <c r="F134" t="str">
        <f ca="1"/>
        <v>0</v>
      </c>
      <c r="G134">
        <f ca="1"/>
        <v>1</v>
      </c>
      <c r="H134">
        <f ca="1"/>
        <v>0</v>
      </c>
      <c r="I134">
        <f ca="1"/>
        <v>0</v>
      </c>
      <c r="J134">
        <f ca="1"/>
        <v>0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2026-079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0</v>
      </c>
      <c r="I140">
        <f ca="1"/>
        <v>0</v>
      </c>
      <c r="J140">
        <f ca="1"/>
        <v>0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4.4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3156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" thickBot="1"/>
    <row r="4" spans="1:7" ht="24.95" customHeight="1">
      <c r="A4" s="218" t="s">
        <v>3157</v>
      </c>
      <c r="B4" s="219"/>
      <c r="D4" s="220" t="s">
        <v>3158</v>
      </c>
      <c r="E4" s="221"/>
      <c r="G4" s="44" t="s">
        <v>3159</v>
      </c>
    </row>
    <row r="5" spans="1:7" ht="54.95" customHeight="1" thickBot="1">
      <c r="A5" s="34">
        <f>COUNTIF('Ações InCompany'!B:B,2026)</f>
        <v>93</v>
      </c>
      <c r="B5" s="35" t="s">
        <v>3160</v>
      </c>
      <c r="D5" s="42">
        <f>COUNTIFS('Ações InCompany'!B:B,2026,'Ações InCompany'!C:C,"Realizado")</f>
        <v>67</v>
      </c>
      <c r="E5" s="43" t="s">
        <v>3160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45">
      <c r="A8" s="216" t="s">
        <v>3161</v>
      </c>
      <c r="B8" s="216"/>
      <c r="D8" s="216" t="s">
        <v>3162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3163</v>
      </c>
      <c r="D10" s="27" t="s">
        <v>3164</v>
      </c>
      <c r="E10" s="27" t="s">
        <v>3165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3166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3167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3168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3169</v>
      </c>
      <c r="B14" s="33">
        <f>SUM(B11:B13)</f>
        <v>67</v>
      </c>
      <c r="D14" s="32" t="s">
        <v>3170</v>
      </c>
      <c r="E14" s="33">
        <f>SUM(E11:E13)</f>
        <v>3539</v>
      </c>
    </row>
    <row r="30" spans="1:5" ht="17.45">
      <c r="A30" s="216" t="s">
        <v>3171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3172</v>
      </c>
      <c r="C32" s="27" t="s">
        <v>3173</v>
      </c>
      <c r="D32" s="27" t="s">
        <v>3174</v>
      </c>
      <c r="E32" s="27" t="s">
        <v>3175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3176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3177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3169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3178</v>
      </c>
      <c r="B1" s="11" t="s">
        <v>3179</v>
      </c>
      <c r="C1" s="12" t="s">
        <v>3180</v>
      </c>
      <c r="D1" s="12" t="s">
        <v>3181</v>
      </c>
      <c r="E1" s="12" t="s">
        <v>3182</v>
      </c>
    </row>
    <row r="2" spans="1:5" ht="18" customHeight="1">
      <c r="A2" s="11" t="s">
        <v>3183</v>
      </c>
      <c r="B2" s="11" t="s">
        <v>3184</v>
      </c>
      <c r="C2" s="11" t="s">
        <v>1737</v>
      </c>
      <c r="D2" s="11" t="s">
        <v>3185</v>
      </c>
      <c r="E2" s="11" t="s">
        <v>3186</v>
      </c>
    </row>
    <row r="3" spans="1:5" ht="18" customHeight="1">
      <c r="A3" s="11" t="s">
        <v>3183</v>
      </c>
      <c r="B3" s="11" t="s">
        <v>3184</v>
      </c>
      <c r="C3" s="13" t="s">
        <v>26</v>
      </c>
      <c r="D3" s="11" t="s">
        <v>3187</v>
      </c>
      <c r="E3" s="11" t="s">
        <v>3188</v>
      </c>
    </row>
    <row r="4" spans="1:5" ht="18" customHeight="1">
      <c r="A4" s="11" t="s">
        <v>3183</v>
      </c>
      <c r="B4" s="11" t="s">
        <v>3184</v>
      </c>
      <c r="C4" s="11" t="s">
        <v>76</v>
      </c>
      <c r="D4" s="11" t="s">
        <v>3185</v>
      </c>
      <c r="E4" s="11" t="s">
        <v>3189</v>
      </c>
    </row>
    <row r="5" spans="1:5" ht="18" customHeight="1">
      <c r="A5" s="11" t="s">
        <v>3183</v>
      </c>
      <c r="B5" s="11" t="s">
        <v>3184</v>
      </c>
      <c r="C5" s="11" t="s">
        <v>80</v>
      </c>
      <c r="D5" s="11" t="s">
        <v>3190</v>
      </c>
      <c r="E5" s="11" t="s">
        <v>3191</v>
      </c>
    </row>
    <row r="6" spans="1:5" ht="18" customHeight="1">
      <c r="A6" s="11" t="s">
        <v>3183</v>
      </c>
      <c r="B6" s="11" t="s">
        <v>3184</v>
      </c>
      <c r="C6" s="11" t="s">
        <v>2718</v>
      </c>
      <c r="D6" s="11" t="s">
        <v>3192</v>
      </c>
      <c r="E6" s="11" t="s">
        <v>3193</v>
      </c>
    </row>
    <row r="7" spans="1:5" ht="18" customHeight="1">
      <c r="A7" s="11" t="s">
        <v>3183</v>
      </c>
      <c r="B7" s="11" t="s">
        <v>3194</v>
      </c>
      <c r="C7" s="11" t="s">
        <v>37</v>
      </c>
      <c r="D7" s="11" t="s">
        <v>3195</v>
      </c>
      <c r="E7" s="11" t="s">
        <v>3196</v>
      </c>
    </row>
    <row r="8" spans="1:5" ht="18" customHeight="1">
      <c r="A8" s="11" t="s">
        <v>3183</v>
      </c>
      <c r="B8" s="11" t="s">
        <v>3194</v>
      </c>
      <c r="C8" s="11" t="s">
        <v>43</v>
      </c>
      <c r="D8" s="11" t="s">
        <v>3197</v>
      </c>
      <c r="E8" s="11" t="s">
        <v>3198</v>
      </c>
    </row>
    <row r="9" spans="1:5" ht="18" customHeight="1">
      <c r="A9" s="11" t="s">
        <v>3183</v>
      </c>
      <c r="B9" s="11" t="s">
        <v>3199</v>
      </c>
      <c r="C9" s="11" t="s">
        <v>465</v>
      </c>
      <c r="D9" s="11" t="s">
        <v>3200</v>
      </c>
      <c r="E9" s="11" t="s">
        <v>3201</v>
      </c>
    </row>
    <row r="10" spans="1:5" ht="18" customHeight="1">
      <c r="A10" s="11" t="s">
        <v>3183</v>
      </c>
      <c r="B10" s="11" t="s">
        <v>3199</v>
      </c>
      <c r="C10" s="11" t="s">
        <v>207</v>
      </c>
      <c r="D10" s="11" t="s">
        <v>25</v>
      </c>
      <c r="E10" s="11" t="s">
        <v>3202</v>
      </c>
    </row>
    <row r="11" spans="1:5" ht="18" customHeight="1">
      <c r="A11" s="11" t="s">
        <v>3183</v>
      </c>
      <c r="B11" s="11" t="s">
        <v>3199</v>
      </c>
      <c r="C11" s="11" t="s">
        <v>372</v>
      </c>
      <c r="D11" s="11" t="s">
        <v>25</v>
      </c>
      <c r="E11" s="11" t="s">
        <v>3203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3204</v>
      </c>
      <c r="B1" s="5" t="s">
        <v>10</v>
      </c>
      <c r="C1" s="14" t="s">
        <v>3205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3206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3207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3178</v>
      </c>
      <c r="B1" s="11" t="s">
        <v>3179</v>
      </c>
      <c r="C1" s="12" t="s">
        <v>3180</v>
      </c>
      <c r="D1" s="12" t="s">
        <v>3181</v>
      </c>
      <c r="E1" s="12" t="s">
        <v>3182</v>
      </c>
    </row>
    <row r="2" spans="1:5" ht="18" customHeight="1">
      <c r="A2" s="11" t="s">
        <v>3209</v>
      </c>
      <c r="B2" s="11" t="s">
        <v>3184</v>
      </c>
      <c r="C2" s="13" t="s">
        <v>26</v>
      </c>
      <c r="D2" s="11" t="s">
        <v>3185</v>
      </c>
      <c r="E2" s="16" t="s">
        <v>3210</v>
      </c>
    </row>
    <row r="3" spans="1:5" ht="18" customHeight="1">
      <c r="A3" s="11" t="s">
        <v>3209</v>
      </c>
      <c r="B3" s="11" t="s">
        <v>3184</v>
      </c>
      <c r="C3" s="11" t="s">
        <v>76</v>
      </c>
      <c r="D3" s="11" t="s">
        <v>3187</v>
      </c>
      <c r="E3" s="11" t="s">
        <v>3211</v>
      </c>
    </row>
    <row r="4" spans="1:5" ht="18" customHeight="1">
      <c r="A4" s="11" t="s">
        <v>3209</v>
      </c>
      <c r="B4" s="11" t="s">
        <v>3184</v>
      </c>
      <c r="C4" s="11" t="s">
        <v>80</v>
      </c>
      <c r="D4" s="11" t="s">
        <v>3190</v>
      </c>
      <c r="E4" s="11" t="s">
        <v>3212</v>
      </c>
    </row>
    <row r="5" spans="1:5" ht="27.75" customHeight="1">
      <c r="A5" s="11" t="s">
        <v>3209</v>
      </c>
      <c r="B5" s="11" t="s">
        <v>3184</v>
      </c>
      <c r="C5" s="11" t="s">
        <v>2694</v>
      </c>
      <c r="D5" s="16" t="s">
        <v>3213</v>
      </c>
      <c r="E5" s="11" t="s">
        <v>3214</v>
      </c>
    </row>
    <row r="6" spans="1:5" ht="18" customHeight="1">
      <c r="A6" s="11" t="s">
        <v>3209</v>
      </c>
      <c r="B6" s="11" t="s">
        <v>3184</v>
      </c>
      <c r="C6" s="11" t="s">
        <v>2718</v>
      </c>
      <c r="D6" s="11" t="s">
        <v>3192</v>
      </c>
      <c r="E6" s="11" t="s">
        <v>3193</v>
      </c>
    </row>
    <row r="7" spans="1:5" ht="18" customHeight="1">
      <c r="A7" s="11" t="s">
        <v>3209</v>
      </c>
      <c r="B7" s="11" t="s">
        <v>3194</v>
      </c>
      <c r="C7" s="11" t="s">
        <v>2700</v>
      </c>
      <c r="D7" s="11" t="s">
        <v>3215</v>
      </c>
      <c r="E7" s="11" t="s">
        <v>3216</v>
      </c>
    </row>
    <row r="8" spans="1:5" ht="18" customHeight="1">
      <c r="A8" s="11" t="s">
        <v>3209</v>
      </c>
      <c r="B8" s="11" t="s">
        <v>3194</v>
      </c>
      <c r="C8" s="11" t="s">
        <v>43</v>
      </c>
      <c r="D8" s="11" t="s">
        <v>3197</v>
      </c>
      <c r="E8" s="11" t="s">
        <v>3198</v>
      </c>
    </row>
    <row r="9" spans="1:5" ht="18" customHeight="1">
      <c r="A9" s="11" t="s">
        <v>3209</v>
      </c>
      <c r="B9" s="11" t="s">
        <v>3194</v>
      </c>
      <c r="C9" s="11" t="s">
        <v>2793</v>
      </c>
      <c r="D9" s="11" t="s">
        <v>3217</v>
      </c>
      <c r="E9" s="16" t="s">
        <v>3218</v>
      </c>
    </row>
    <row r="10" spans="1:5" ht="18" customHeight="1">
      <c r="A10" s="11" t="s">
        <v>3209</v>
      </c>
      <c r="B10" s="11" t="s">
        <v>3219</v>
      </c>
      <c r="C10" s="11" t="s">
        <v>3176</v>
      </c>
      <c r="D10" s="11" t="s">
        <v>3220</v>
      </c>
      <c r="E10" s="16" t="s">
        <v>3221</v>
      </c>
    </row>
    <row r="11" spans="1:5" ht="18" customHeight="1">
      <c r="A11" s="11" t="s">
        <v>3209</v>
      </c>
      <c r="B11" s="11" t="s">
        <v>3219</v>
      </c>
      <c r="C11" s="11" t="s">
        <v>207</v>
      </c>
      <c r="D11" s="11" t="s">
        <v>25</v>
      </c>
      <c r="E11" s="11" t="s">
        <v>3202</v>
      </c>
    </row>
    <row r="12" spans="1:5" ht="18" customHeight="1">
      <c r="A12" s="11" t="s">
        <v>3209</v>
      </c>
      <c r="B12" s="11" t="s">
        <v>3219</v>
      </c>
      <c r="C12" s="11" t="s">
        <v>372</v>
      </c>
      <c r="D12" s="11" t="s">
        <v>25</v>
      </c>
      <c r="E12" s="11" t="s">
        <v>3203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4.4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3222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3223</v>
      </c>
    </row>
    <row r="4" spans="1:8" ht="21.95" customHeight="1">
      <c r="A4" s="223" t="s">
        <v>3224</v>
      </c>
      <c r="B4" s="224"/>
      <c r="D4" s="223" t="s">
        <v>3225</v>
      </c>
      <c r="E4" s="224"/>
      <c r="G4" s="223" t="s">
        <v>3226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3227</v>
      </c>
      <c r="B7" s="61" t="s">
        <v>3228</v>
      </c>
      <c r="C7" s="61" t="s">
        <v>1</v>
      </c>
      <c r="D7" s="61" t="s">
        <v>3229</v>
      </c>
      <c r="E7" s="61" t="s">
        <v>3230</v>
      </c>
      <c r="F7" s="61" t="s">
        <v>3127</v>
      </c>
      <c r="G7" s="61" t="s">
        <v>5</v>
      </c>
      <c r="H7" s="61" t="s">
        <v>3231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4.45"/>
  <cols>
    <col min="1" max="1" width="57.140625" customWidth="1"/>
    <col min="2" max="6" width="22.85546875" customWidth="1"/>
  </cols>
  <sheetData>
    <row r="1" spans="1:7" ht="18">
      <c r="A1" s="229" t="s">
        <v>3232</v>
      </c>
      <c r="B1" s="229"/>
      <c r="C1" s="229"/>
      <c r="D1" s="229"/>
      <c r="E1" s="229"/>
      <c r="F1" s="229"/>
    </row>
    <row r="2" spans="1:7">
      <c r="A2" s="230" t="s">
        <v>3233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3234</v>
      </c>
      <c r="E4" s="24" t="s">
        <v>3132</v>
      </c>
      <c r="F4" s="24" t="s">
        <v>3235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4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3170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4.4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3236</v>
      </c>
      <c r="B1" s="116" t="s">
        <v>3237</v>
      </c>
      <c r="C1" s="116" t="s">
        <v>3238</v>
      </c>
      <c r="D1" s="116" t="s">
        <v>3239</v>
      </c>
      <c r="E1" s="116" t="s">
        <v>3240</v>
      </c>
      <c r="F1" s="116" t="s">
        <v>3241</v>
      </c>
      <c r="G1" s="116" t="s">
        <v>10</v>
      </c>
      <c r="H1" s="116" t="s">
        <v>3242</v>
      </c>
      <c r="I1" s="116" t="s">
        <v>3243</v>
      </c>
      <c r="J1" s="116" t="s">
        <v>3244</v>
      </c>
      <c r="K1" s="116" t="s">
        <v>3245</v>
      </c>
      <c r="L1" s="116" t="s">
        <v>3246</v>
      </c>
      <c r="N1" s="116" t="s">
        <v>3247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3248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3249</v>
      </c>
      <c r="Q2" s="116" t="s">
        <v>3250</v>
      </c>
      <c r="R2" s="116" t="s">
        <v>3251</v>
      </c>
      <c r="S2" s="116" t="s">
        <v>3252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3248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3248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3248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3248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3248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3248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3248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3248</v>
      </c>
      <c r="L10" t="str">
        <f>IF(K10="","",IFERROR(INDEX(Tabela2[Curso],MATCH(K10,Tabela2[ID],0)),""))</f>
        <v/>
      </c>
      <c r="N10" s="110" t="s">
        <v>3253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3248</v>
      </c>
      <c r="L11" t="str">
        <f>IF(K11="","",IFERROR(INDEX(Tabela2[Curso],MATCH(K11,Tabela2[ID],0)),""))</f>
        <v/>
      </c>
      <c r="N11" s="208" t="s">
        <v>3254</v>
      </c>
      <c r="O11" s="208" t="s">
        <v>3255</v>
      </c>
      <c r="P11" s="208" t="s">
        <v>3256</v>
      </c>
      <c r="Q11" s="208" t="s">
        <v>3239</v>
      </c>
      <c r="R11" s="208" t="s">
        <v>3240</v>
      </c>
      <c r="S11" s="208" t="s">
        <v>3257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3248</v>
      </c>
      <c r="L12" t="str">
        <f>IF(K12="","",IFERROR(INDEX(Tabela2[Curso],MATCH(K12,Tabela2[ID],0)),""))</f>
        <v/>
      </c>
      <c r="N12" t="s">
        <v>3258</v>
      </c>
      <c r="O12" t="s">
        <v>2754</v>
      </c>
      <c r="P12" t="s">
        <v>3259</v>
      </c>
      <c r="Q12">
        <v>0</v>
      </c>
      <c r="R12">
        <v>0</v>
      </c>
      <c r="S12" t="s">
        <v>3260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3248</v>
      </c>
      <c r="L13" t="str">
        <f>IF(K13="","",IFERROR(INDEX(Tabela2[Curso],MATCH(K13,Tabela2[ID],0)),""))</f>
        <v/>
      </c>
      <c r="N13" t="s">
        <v>3261</v>
      </c>
      <c r="O13" t="s">
        <v>2686</v>
      </c>
      <c r="P13" t="s">
        <v>3262</v>
      </c>
      <c r="Q13">
        <v>0</v>
      </c>
      <c r="R13">
        <v>0</v>
      </c>
      <c r="S13" t="s">
        <v>3263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3248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3248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3248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3248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3248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3248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3248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3248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3248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3248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3248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3248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3248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3248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3248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3248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3248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3248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3248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3248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3248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3248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3248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3248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3248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3248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3248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3248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3248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3248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3248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3248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3248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3248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3248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3248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3248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3248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3248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3248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3248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3248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3248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3248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3248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3248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3248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3248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3248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3248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3248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2026-10-06T20:49:15Z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