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50" documentId="13_ncr:1_{6A2CC3E2-FAFB-4D8F-B284-5E8FB5045DFE}" xr6:coauthVersionLast="47" xr6:coauthVersionMax="47" xr10:uidLastSave="{DF41B720-47FD-403E-B44A-BFF695A37B7B}"/>
  <bookViews>
    <workbookView xWindow="-12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56" i="23" l="1"/>
  <c r="D56" i="23"/>
  <c r="B56" i="23"/>
  <c r="C56" i="23"/>
  <c r="F56" i="23"/>
  <c r="A2" i="20"/>
  <c r="E105" i="23"/>
  <c r="D45" i="23"/>
  <c r="F16" i="23"/>
  <c r="E32" i="23"/>
  <c r="C44" i="23"/>
  <c r="F10" i="23"/>
  <c r="B35" i="23"/>
  <c r="E41" i="23"/>
  <c r="F14" i="23"/>
  <c r="D41" i="23"/>
  <c r="F12" i="23"/>
  <c r="D50" i="23"/>
  <c r="C53" i="23"/>
  <c r="F26" i="23"/>
  <c r="C39" i="23"/>
  <c r="D21" i="23"/>
  <c r="E48" i="23"/>
  <c r="D40" i="23"/>
  <c r="B30" i="23"/>
  <c r="F6" i="23"/>
  <c r="E20" i="23"/>
  <c r="D27" i="23"/>
  <c r="B44" i="23"/>
  <c r="F50" i="23"/>
  <c r="F15" i="23"/>
  <c r="D48" i="23"/>
  <c r="B15" i="23"/>
  <c r="F11" i="23"/>
  <c r="B24" i="23"/>
  <c r="F39" i="23"/>
  <c r="C27" i="23"/>
  <c r="F45" i="23"/>
  <c r="D30" i="23"/>
  <c r="C22" i="23"/>
  <c r="E40" i="23"/>
  <c r="E47" i="23"/>
  <c r="F46" i="23"/>
  <c r="F19" i="23"/>
  <c r="F28" i="23"/>
  <c r="C29" i="23"/>
  <c r="F54" i="23"/>
  <c r="F49" i="23"/>
  <c r="E46" i="23"/>
  <c r="B53" i="23"/>
  <c r="F35" i="23"/>
  <c r="F21" i="23"/>
  <c r="E27" i="23"/>
  <c r="D17" i="23"/>
  <c r="E6" i="23"/>
  <c r="B27" i="23"/>
  <c r="D6" i="23"/>
  <c r="C35" i="23"/>
  <c r="E55" i="23"/>
  <c r="F30" i="23"/>
  <c r="D47" i="23"/>
  <c r="F8" i="23"/>
  <c r="B22" i="23"/>
  <c r="C13" i="23"/>
  <c r="D13" i="23"/>
  <c r="E37" i="23"/>
  <c r="E7" i="23"/>
  <c r="C19" i="23"/>
  <c r="C32" i="23"/>
  <c r="E23" i="23"/>
  <c r="B11" i="23"/>
  <c r="C15" i="23"/>
  <c r="B51" i="23"/>
  <c r="C45" i="23"/>
  <c r="C26" i="23"/>
  <c r="B20" i="23"/>
  <c r="C8" i="23"/>
  <c r="B54" i="23"/>
  <c r="B31" i="23"/>
  <c r="C11" i="23"/>
  <c r="C38" i="23"/>
  <c r="F24" i="23"/>
  <c r="E42" i="23"/>
  <c r="C54" i="23"/>
  <c r="C48" i="23"/>
  <c r="E38" i="23"/>
  <c r="B50" i="23"/>
  <c r="B21" i="23"/>
  <c r="D7" i="23"/>
  <c r="E19" i="23"/>
  <c r="D29" i="23"/>
  <c r="C50" i="23"/>
  <c r="B37" i="23"/>
  <c r="C9" i="23"/>
  <c r="D54" i="23"/>
  <c r="F25" i="23"/>
  <c r="D19" i="23"/>
  <c r="C24" i="23"/>
  <c r="F52" i="23"/>
  <c r="B28" i="23"/>
  <c r="D10" i="23"/>
  <c r="C28" i="23"/>
  <c r="F43" i="23"/>
  <c r="C18" i="23"/>
  <c r="C49" i="23"/>
  <c r="C25" i="23"/>
  <c r="D28" i="23"/>
  <c r="B40" i="23"/>
  <c r="B7" i="23"/>
  <c r="B16" i="23"/>
  <c r="B26" i="23"/>
  <c r="E49" i="23"/>
  <c r="D23" i="23"/>
  <c r="E30" i="23"/>
  <c r="D37" i="23"/>
  <c r="C52" i="23"/>
  <c r="B29" i="23"/>
  <c r="B42" i="23"/>
  <c r="F29" i="23"/>
  <c r="D43" i="23"/>
  <c r="F13" i="23"/>
  <c r="E28" i="23"/>
  <c r="B8" i="23"/>
  <c r="B25" i="23"/>
  <c r="B49" i="23"/>
  <c r="B18" i="23"/>
  <c r="D44" i="23"/>
  <c r="B19" i="23"/>
  <c r="B47" i="23"/>
  <c r="D16" i="23"/>
  <c r="E12" i="23"/>
  <c r="D14" i="23"/>
  <c r="B10" i="23"/>
  <c r="B38" i="23"/>
  <c r="C51" i="23"/>
  <c r="F32" i="23"/>
  <c r="E34" i="23"/>
  <c r="E24" i="23"/>
  <c r="F22" i="23"/>
  <c r="F53" i="23"/>
  <c r="F37" i="23"/>
  <c r="B32" i="23"/>
  <c r="C34" i="23"/>
  <c r="C42" i="23"/>
  <c r="F47" i="23"/>
  <c r="E15" i="23"/>
  <c r="F36" i="23"/>
  <c r="D25" i="23"/>
  <c r="B45" i="23"/>
  <c r="E18" i="23"/>
  <c r="C7" i="23"/>
  <c r="F33" i="23"/>
  <c r="D33" i="23"/>
  <c r="E43" i="23"/>
  <c r="E16" i="23"/>
  <c r="E22" i="23"/>
  <c r="C47" i="23"/>
  <c r="C12" i="23"/>
  <c r="B55" i="23"/>
  <c r="E33" i="23"/>
  <c r="D49" i="23"/>
  <c r="D36" i="23"/>
  <c r="F38" i="23"/>
  <c r="F34" i="23"/>
  <c r="D8" i="23"/>
  <c r="D26" i="23"/>
  <c r="F55" i="23"/>
  <c r="B17" i="23"/>
  <c r="D22" i="23"/>
  <c r="D12" i="23"/>
  <c r="B34" i="23"/>
  <c r="E44" i="23"/>
  <c r="F27" i="23"/>
  <c r="E31" i="23"/>
  <c r="E51" i="23"/>
  <c r="C41" i="23"/>
  <c r="E50" i="23"/>
  <c r="B33" i="23"/>
  <c r="C46" i="23"/>
  <c r="C40" i="23"/>
  <c r="F7" i="23"/>
  <c r="B48" i="23"/>
  <c r="D24" i="23"/>
  <c r="C33" i="23"/>
  <c r="C16" i="23"/>
  <c r="E10" i="23"/>
  <c r="F42" i="23"/>
  <c r="B6" i="23"/>
  <c r="E52" i="23"/>
  <c r="E36" i="23"/>
  <c r="C43" i="23"/>
  <c r="B43" i="23"/>
  <c r="D35" i="23"/>
  <c r="D9" i="23"/>
  <c r="E8" i="23"/>
  <c r="D31" i="23"/>
  <c r="B12" i="23"/>
  <c r="E53" i="23"/>
  <c r="D34" i="23"/>
  <c r="F20" i="23"/>
  <c r="D20" i="23"/>
  <c r="E13" i="23"/>
  <c r="F17" i="23"/>
  <c r="C36" i="23"/>
  <c r="F41" i="23"/>
  <c r="B23" i="23"/>
  <c r="C17" i="23"/>
  <c r="B46" i="23"/>
  <c r="B39" i="23"/>
  <c r="C10" i="23"/>
  <c r="B36" i="23"/>
  <c r="E21" i="23"/>
  <c r="D51" i="23"/>
  <c r="B13" i="23"/>
  <c r="B14" i="23"/>
  <c r="E54" i="23"/>
  <c r="F48" i="23"/>
  <c r="C55" i="23"/>
  <c r="E26" i="23"/>
  <c r="E35" i="23"/>
  <c r="F44" i="23"/>
  <c r="D46" i="23"/>
  <c r="D15" i="23"/>
  <c r="D38" i="23"/>
  <c r="E45" i="23"/>
  <c r="F23" i="23"/>
  <c r="D18" i="23"/>
  <c r="C20" i="23"/>
  <c r="C37" i="23"/>
  <c r="C6" i="23"/>
  <c r="E25" i="23"/>
  <c r="D32" i="23"/>
  <c r="D52" i="23"/>
  <c r="F18" i="23"/>
  <c r="D55" i="23"/>
  <c r="E14" i="23"/>
  <c r="C30" i="23"/>
  <c r="E17" i="23"/>
  <c r="C21" i="23"/>
  <c r="D39" i="23"/>
  <c r="F51" i="23"/>
  <c r="F31" i="23"/>
  <c r="E39" i="23"/>
  <c r="B41" i="23"/>
  <c r="F40" i="23"/>
  <c r="D11" i="23"/>
  <c r="D42" i="23"/>
  <c r="C23" i="23"/>
  <c r="B52" i="23"/>
  <c r="B9" i="23"/>
  <c r="C31" i="23"/>
  <c r="C14" i="23"/>
  <c r="E9" i="23"/>
  <c r="E29" i="23"/>
  <c r="E11" i="23"/>
  <c r="F9" i="23"/>
  <c r="D53" i="23"/>
  <c r="A5" i="23"/>
  <c r="E5" i="23" l="1"/>
  <c r="B5" i="23"/>
  <c r="B105" i="23" s="1"/>
  <c r="D5" i="23"/>
  <c r="C5" i="23"/>
  <c r="C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<sst xmlns="http://schemas.openxmlformats.org/spreadsheetml/2006/main" count="7277" uniqueCount="3198">
  <si>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</si>
  <si>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</si>
  <si>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</si>
  <si>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</si>
  <si>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</si>
  <si>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</si>
  <si>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</si>
  <si>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</si>
  <si>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</si>
  <si>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</si>
  <si>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</si>
  <si>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</si>
  <si>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</si>
  <si>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</si>
  <si>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</si>
  <si>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</si>
  <si>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</si>
  <si>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</si>
  <si>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</si>
  <si>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</si>
  <si>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</si>
  <si>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</si>
  <si>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</si>
  <si>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</si>
  <si>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</si>
  <si>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</si>
  <si>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</si>
  <si>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</si>
  <si>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</si>
  <si>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</si>
  <si>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</si>
  <si>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</si>
  <si>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</si>
  <si>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</si>
  <si>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</si>
  <si>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</si>
  <si>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</si>
  <si>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</si>
  <si>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</si>
  <si>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</si>
  <si>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</si>
  <si>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</si>
  <si>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</si>
  <si>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</si>
  <si>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</si>
  <si>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</si>
  <si>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</si>
  <si>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</si>
  <si>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</si>
  <si>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</si>
  <si>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</si>
  <si>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</si>
  <si>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</si>
  <si>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</si>
  <si>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</si>
  <si>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</si>
  <si>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</si>
  <si>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</si>
  <si>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</si>
  <si>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</si>
  <si>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</si>
  <si>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</si>
  <si>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</si>
  <si>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</si>
  <si>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</si>
  <si>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</si>
  <si>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</si>
  <si>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</si>
  <si>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</si>
  <si>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</si>
  <si>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</si>
  <si>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</si>
  <si>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</si>
  <si>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</si>
  <si>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</si>
  <si>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</si>
  <si>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</si>
  <si>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</si>
  <si>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</si>
  <si>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</si>
  <si>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</si>
  <si>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</si>
  <si>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</si>
  <si>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</si>
  <si>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</si>
  <si>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</si>
  <si>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</si>
  <si>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</si>
  <si>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</si>
  <si>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</si>
  <si>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</si>
  <si>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</si>
  <si>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</si>
  <si>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</si>
  <si>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</si>
  <si>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</si>
  <si>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</si>
  <si>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</si>
  <si>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</si>
  <si>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</si>
  <si>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</si>
  <si>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</si>
  <si>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</si>
  <si>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</si>
  <si>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</si>
  <si>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</si>
  <si>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</si>
  <si>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</si>
  <si>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</si>
  <si>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</si>
  <si>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</si>
  <si>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</si>
  <si>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</si>
  <si>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</si>
  <si>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</si>
  <si>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</si>
  <si>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</si>
  <si>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</si>
  <si>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</si>
  <si>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</si>
  <si>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</si>
  <si>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</si>
  <si>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</si>
  <si>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</si>
  <si>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</si>
  <si>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</si>
  <si>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</si>
  <si>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</si>
  <si>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</si>
  <si>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</si>
  <si>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</si>
  <si>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</si>
  <si>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</si>
  <si>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</si>
  <si>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</si>
  <si>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</si>
  <si>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</si>
  <si>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</si>
  <si>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</si>
  <si>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</si>
  <si>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</si>
  <si>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</si>
  <si>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</si>
  <si>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</si>
  <si>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</si>
  <si>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</si>
  <si>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</si>
  <si>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</si>
  <si>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</si>
  <si>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</si>
  <si>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</si>
  <si>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</si>
  <si>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</si>
  <si>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</si>
  <si>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</si>
  <si>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</si>
  <si>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</si>
  <si>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</si>
  <si>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</si>
  <si>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</si>
  <si>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</si>
  <si>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</si>
  <si>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</si>
  <si>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</si>
  <si>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</si>
  <si>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</si>
  <si>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</si>
  <si>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</si>
  <si>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</si>
  <si>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</si>
  <si>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</si>
  <si>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</si>
  <si>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</si>
  <si>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</si>
  <si>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</si>
  <si>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</si>
  <si>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</si>
  <si>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</si>
  <si>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</si>
  <si>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</si>
  <si>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</si>
  <si>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</si>
  <si>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</si>
  <si>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</si>
  <si>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</si>
  <si>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</si>
  <si>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</si>
  <si>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</si>
  <si>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</si>
  <si>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</si>
  <si>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</si>
  <si>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</si>
  <si>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</si>
  <si>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</si>
  <si>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</si>
  <si>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</si>
  <si>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</si>
  <si>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</si>
  <si>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</si>
  <si>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</si>
  <si>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</si>
  <si>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</si>
  <si>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</si>
  <si>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</si>
  <si>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</si>
  <si>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</si>
  <si>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</si>
  <si>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</si>
  <si>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</si>
  <si>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</si>
  <si>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</si>
  <si>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</si>
  <si>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</si>
  <si>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</si>
  <si>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</si>
  <si>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</si>
  <si>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</si>
  <si>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</si>
  <si>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</si>
  <si>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</si>
  <si>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</si>
  <si>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</si>
  <si>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</si>
  <si>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</si>
  <si>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</si>
  <si>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</si>
  <si>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</si>
  <si>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</si>
  <si>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</si>
  <si>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</si>
  <si>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</si>
  <si>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</si>
  <si>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</si>
  <si>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</si>
  <si>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</si>
  <si>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</si>
  <si>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</si>
  <si>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</si>
  <si>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</si>
  <si>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</si>
  <si>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</si>
  <si>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</si>
  <si>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</si>
  <si>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</si>
  <si>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</si>
  <si>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</si>
  <si>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</si>
  <si>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</si>
  <si>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</si>
  <si>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</si>
  <si>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</si>
  <si>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</si>
  <si>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</si>
  <si>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</si>
  <si>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</si>
  <si>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</si>
  <si>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</si>
  <si>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</si>
  <si>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</si>
  <si>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</si>
  <si>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</si>
  <si>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</si>
  <si>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</si>
  <si>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</si>
  <si>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</si>
  <si>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</si>
  <si>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</si>
  <si>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</si>
  <si>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</si>
  <si>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</si>
  <si>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</si>
  <si>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</si>
  <si>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</si>
  <si>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</si>
  <si>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</si>
  <si>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</si>
  <si>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</si>
  <si>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</si>
  <si>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</si>
  <si>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</si>
  <si>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</si>
  <si>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</si>
  <si>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</si>
  <si>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</si>
  <si>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</si>
  <si>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</si>
  <si>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</si>
  <si>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</si>
  <si>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</si>
  <si>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</si>
  <si>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</si>
  <si>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</si>
  <si>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</si>
  <si>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</si>
  <si>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</si>
  <si>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</si>
  <si>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</si>
  <si>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</si>
  <si>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</si>
  <si>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</si>
  <si>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</si>
  <si>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</si>
  <si>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</si>
  <si>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</si>
  <si>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</si>
  <si>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</si>
  <si>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</si>
  <si>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</si>
  <si>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</si>
  <si>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</si>
  <si>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</si>
  <si>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</si>
  <si>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</si>
  <si>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</si>
  <si>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</si>
  <si>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</si>
  <si>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</si>
  <si>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</si>
  <si>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</si>
  <si>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</si>
  <si>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</si>
  <si>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</si>
  <si>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</si>
  <si>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</si>
  <si>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</si>
  <si>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</si>
  <si>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</si>
  <si>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</si>
  <si>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</si>
  <si>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</si>
  <si>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</si>
  <si>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</si>
  <si>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</si>
  <si>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</si>
  <si>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</si>
  <si>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</si>
  <si>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</si>
  <si>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</si>
  <si>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</si>
  <si>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</si>
  <si>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</si>
  <si>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</si>
  <si>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</si>
  <si>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</si>
  <si>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</si>
  <si>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</si>
  <si>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</si>
  <si>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</si>
  <si>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</si>
  <si>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</si>
  <si>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</si>
  <si>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</si>
  <si>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</si>
  <si>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</si>
  <si>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</si>
  <si>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</si>
  <si>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</si>
  <si>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</si>
  <si>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</si>
  <si>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</si>
  <si>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</si>
  <si>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</si>
  <si>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</si>
  <si>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</si>
  <si>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</si>
  <si>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</si>
  <si>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</si>
  <si>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</si>
  <si>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</si>
  <si>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</si>
  <si>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</si>
  <si>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</si>
  <si>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</si>
  <si>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</si>
  <si>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</si>
  <si>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</si>
  <si>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</si>
  <si>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</si>
  <si>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</si>
  <si>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</si>
  <si>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</si>
  <si>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</si>
  <si>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</si>
  <si>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</si>
  <si>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</si>
  <si>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</si>
  <si>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</si>
  <si>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</si>
  <si>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</si>
  <si>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</si>
  <si>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</si>
  <si>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</si>
  <si>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</si>
  <si>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</si>
  <si>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</si>
  <si>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</si>
  <si>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</si>
  <si>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</si>
  <si>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</si>
  <si>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</si>
  <si>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</si>
  <si>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</si>
  <si>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</si>
  <si>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</si>
  <si>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</si>
  <si>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</si>
  <si>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</si>
  <si>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</si>
  <si>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</si>
  <si>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</si>
  <si>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</si>
  <si>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</si>
  <si>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</si>
  <si>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</si>
  <si>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</si>
  <si>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</si>
  <si>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</si>
  <si>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</si>
  <si>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</si>
  <si>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</si>
  <si>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</si>
  <si>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</si>
  <si>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</si>
  <si>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</si>
  <si>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</si>
  <si>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</si>
  <si>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</si>
  <si>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</si>
  <si>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</si>
  <si>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</si>
  <si>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</si>
  <si>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</si>
  <si>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</si>
  <si>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</si>
  <si>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</si>
  <si>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</si>
  <si>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</si>
  <si>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</si>
  <si>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</si>
  <si>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</si>
  <si>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</si>
  <si>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</si>
  <si>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</si>
  <si>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</si>
  <si>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</si>
  <si>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</si>
  <si>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</si>
  <si>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</si>
  <si>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</si>
  <si>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</si>
  <si>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</si>
  <si>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</si>
  <si>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</si>
  <si>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</si>
  <si>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</si>
  <si>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</si>
  <si>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</si>
  <si>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</si>
  <si>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</si>
  <si>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</si>
  <si>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</si>
  <si>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</si>
  <si>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</si>
  <si>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</si>
  <si>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</si>
  <si>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</si>
  <si>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</si>
  <si>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</si>
  <si>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</si>
  <si>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</si>
  <si>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</si>
  <si>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</si>
  <si>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</si>
  <si>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</si>
  <si>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</si>
  <si>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</si>
  <si>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</si>
  <si>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</si>
  <si>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</si>
  <si>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</si>
  <si>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</si>
  <si>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</si>
  <si>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</si>
  <si>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</si>
  <si>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</si>
  <si>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</si>
  <si>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</si>
  <si>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</si>
  <si>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</si>
  <si>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</si>
  <si>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</si>
  <si>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</si>
  <si>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</si>
  <si>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</si>
  <si>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</si>
  <si>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</si>
  <si>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</si>
  <si>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</si>
  <si>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</si>
  <si>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</si>
  <si>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</si>
  <si>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</si>
  <si>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</si>
  <si>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</si>
  <si>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</si>
  <si>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</si>
  <si>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</si>
  <si>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</si>
  <si>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</si>
  <si>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</si>
  <si>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</si>
  <si>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</si>
  <si>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</si>
  <si>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</si>
  <si>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</si>
  <si>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</si>
  <si>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</si>
  <si>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</si>
  <si>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</si>
  <si>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</si>
  <si>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</si>
  <si>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</si>
  <si>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</si>
  <si>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</si>
  <si>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</si>
  <si>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</si>
  <si>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</si>
  <si>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</si>
  <si>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</si>
  <si>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</si>
  <si>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</si>
  <si>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</si>
  <si>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</si>
  <si>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</si>
  <si>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</si>
  <si>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</si>
  <si>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</si>
  <si>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</si>
  <si>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</si>
  <si>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</si>
  <si>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</si>
  <si>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</si>
  <si>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</si>
  <si>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</si>
  <si>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</si>
  <si>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</si>
  <si>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</si>
  <si>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</si>
  <si>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</si>
  <si>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</si>
  <si>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</si>
  <si>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</si>
  <si>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</si>
  <si>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</si>
  <si>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</si>
  <si>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</si>
  <si>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</si>
  <si>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</si>
  <si>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</si>
  <si>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</si>
  <si>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</si>
  <si>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</si>
  <si>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</si>
  <si>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</si>
  <si>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</si>
  <si>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</si>
  <si>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</si>
  <si>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</si>
  <si>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</si>
  <si>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</si>
  <si>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</si>
  <si>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</si>
  <si>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</si>
  <si>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</si>
  <si>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</si>
  <si>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</si>
  <si>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</si>
  <si>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</si>
  <si>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</si>
  <si>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</si>
  <si>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</si>
  <si>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</si>
  <si>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</si>
  <si>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</si>
  <si>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</si>
  <si>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</si>
  <si>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</si>
  <si>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</si>
  <si>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</si>
  <si>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</si>
  <si>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</si>
  <si>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</si>
  <si>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</si>
  <si>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</si>
  <si>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</si>
  <si>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</si>
  <si>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</si>
  <si>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</si>
  <si>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</si>
  <si>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</si>
  <si>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</si>
  <si>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</si>
  <si>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</si>
  <si>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</si>
  <si>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</si>
  <si>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</si>
  <si>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</si>
  <si>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</si>
  <si>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</si>
  <si>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</si>
  <si>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</si>
  <si>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</si>
  <si>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</si>
  <si>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</si>
  <si>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</si>
  <si>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</si>
  <si>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</si>
  <si>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</si>
  <si>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</si>
  <si>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</si>
  <si>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</si>
  <si>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</si>
  <si>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</si>
  <si>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</si>
  <si>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</si>
  <si>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</si>
  <si>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</si>
  <si>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</si>
  <si>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</si>
  <si>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</si>
  <si>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</si>
  <si>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</si>
  <si>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</si>
  <si>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</si>
  <si>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</si>
  <si>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</si>
  <si>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</si>
  <si>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</si>
  <si>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</si>
  <si>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</si>
  <si>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</si>
  <si>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</si>
  <si>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</si>
  <si>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</si>
  <si>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</si>
  <si>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</si>
  <si>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</si>
  <si>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</si>
  <si>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</si>
  <si>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</si>
  <si>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</si>
  <si>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</si>
  <si>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</si>
  <si>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</si>
  <si>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</si>
  <si>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</si>
  <si>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</si>
  <si>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</si>
  <si>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</si>
  <si>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</si>
  <si>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</si>
  <si>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</si>
  <si>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</si>
  <si>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</si>
  <si>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</si>
  <si>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</si>
  <si>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</si>
  <si>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</si>
  <si>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</si>
  <si>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</si>
  <si>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</si>
  <si>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</si>
  <si>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</si>
  <si>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</si>
  <si>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</si>
  <si>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</si>
  <si>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</si>
  <si>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</si>
  <si>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</si>
  <si>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</si>
  <si>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</si>
  <si>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</si>
  <si>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</si>
  <si>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</si>
  <si>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</si>
  <si>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</si>
  <si>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</si>
  <si>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</si>
  <si>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</si>
  <si>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</si>
  <si>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</si>
  <si>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</si>
  <si>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</si>
  <si>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</si>
  <si>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</si>
  <si>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</si>
  <si>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</si>
  <si>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</si>
  <si>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</si>
  <si>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</si>
  <si>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</si>
  <si>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</si>
  <si>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</si>
  <si>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</si>
  <si>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</si>
  <si>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</si>
  <si>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</si>
  <si>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</si>
  <si>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</si>
  <si>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</si>
  <si>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</si>
  <si>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</si>
  <si>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</si>
  <si>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</si>
  <si>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</si>
  <si>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</si>
  <si>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</si>
  <si>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</si>
  <si>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</si>
  <si>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</si>
  <si>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</si>
  <si>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</si>
  <si>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</si>
  <si>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</si>
  <si>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</si>
  <si>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</si>
  <si>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</si>
  <si>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</si>
  <si>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</si>
  <si>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</si>
  <si>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</si>
  <si>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</si>
  <si>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</si>
  <si>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</si>
  <si>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</si>
  <si>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</si>
  <si>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</si>
  <si>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</si>
  <si>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</si>
  <si>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</si>
  <si>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</si>
  <si>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</si>
  <si>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</si>
  <si>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</si>
  <si>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</si>
  <si>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</si>
  <si>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</si>
  <si>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</si>
  <si>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</si>
  <si>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</si>
  <si>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</si>
  <si>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</si>
  <si>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</si>
  <si>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</si>
  <si>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</si>
  <si>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</si>
  <si>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</si>
  <si>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</si>
  <si>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</si>
  <si>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</si>
  <si>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</si>
  <si>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</si>
  <si>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</si>
  <si>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</si>
  <si>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</si>
  <si>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</si>
  <si>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</si>
  <si>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</si>
  <si>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</si>
  <si>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</si>
  <si>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</si>
  <si>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</si>
  <si>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</si>
  <si>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</si>
  <si>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</si>
  <si>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</si>
  <si>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</si>
  <si>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</si>
  <si>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</si>
  <si>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</si>
  <si>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</si>
  <si>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</si>
  <si>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</si>
  <si>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</si>
  <si>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</si>
  <si>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</si>
  <si>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</si>
  <si>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</si>
  <si>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</si>
  <si>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</si>
  <si>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</si>
  <si>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</si>
  <si>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</si>
  <si>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</si>
  <si>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</si>
  <si>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</si>
  <si>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</si>
  <si>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</si>
  <si>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</si>
  <si>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</si>
  <si>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</si>
  <si>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</si>
  <si>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</si>
  <si>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</si>
  <si>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</si>
  <si>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</si>
  <si>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</si>
  <si>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</si>
  <si>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</si>
  <si>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</si>
  <si>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</si>
  <si>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</si>
  <si>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</si>
  <si>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</si>
  <si>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</si>
  <si>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</si>
  <si>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</si>
  <si>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</si>
  <si>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</si>
  <si>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</si>
  <si>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</si>
  <si>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</si>
  <si>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</si>
  <si>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</si>
  <si>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</si>
  <si>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</si>
  <si>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</si>
  <si>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</si>
  <si>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</si>
  <si>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</si>
  <si>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</si>
  <si>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</si>
  <si>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</si>
  <si>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</si>
  <si>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</si>
  <si>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</si>
  <si>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</si>
  <si>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</si>
  <si>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</si>
  <si>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</si>
  <si>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</si>
  <si>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</si>
  <si>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</si>
  <si>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</si>
  <si>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</si>
  <si>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</si>
  <si>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</si>
  <si>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</si>
  <si>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</si>
  <si>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</si>
  <si>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</si>
  <si>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</si>
  <si>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</si>
  <si>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</si>
  <si>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</si>
  <si>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</si>
  <si>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</si>
  <si>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</si>
  <si>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</si>
  <si>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</si>
  <si>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</si>
  <si>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</si>
  <si>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</si>
  <si>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</si>
  <si>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</si>
  <si>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</si>
  <si>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</si>
  <si>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</si>
  <si>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</si>
  <si>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</si>
  <si>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</si>
  <si>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</si>
  <si>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</si>
  <si>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</si>
  <si>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</si>
  <si>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</si>
  <si>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</si>
  <si>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</si>
  <si>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</si>
  <si>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</si>
  <si>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</si>
  <si>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</si>
  <si>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</si>
  <si>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</si>
  <si>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</si>
  <si>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</si>
  <si>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</si>
  <si>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</si>
  <si>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</si>
  <si>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</si>
  <si>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</si>
  <si>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</si>
  <si>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</si>
  <si>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</si>
  <si>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</si>
  <si>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</si>
  <si>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</si>
  <si>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</si>
  <si>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</si>
  <si>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</si>
  <si>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</si>
  <si>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</si>
  <si>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</si>
  <si>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</si>
  <si>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</si>
  <si>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</si>
  <si>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</si>
  <si>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</si>
  <si>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</si>
  <si>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</si>
  <si>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</si>
  <si>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</si>
  <si>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</si>
  <si>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</si>
  <si>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</si>
  <si>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</si>
  <si>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</si>
  <si>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</si>
  <si>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</si>
  <si>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</si>
  <si>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</si>
  <si>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</si>
  <si>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</si>
  <si>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</si>
  <si>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</si>
  <si>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</si>
  <si>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</si>
  <si>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</si>
  <si>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</si>
  <si>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</si>
  <si>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</si>
  <si>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</si>
  <si>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</si>
  <si>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</si>
  <si>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</si>
  <si>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</si>
  <si>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</si>
  <si>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</si>
  <si>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</si>
  <si>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</si>
  <si>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</si>
  <si>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</si>
  <si>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</si>
  <si>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</si>
  <si>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</si>
  <si>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</si>
  <si>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</si>
  <si>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</si>
  <si>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</si>
  <si>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</si>
  <si>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</si>
  <si>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</si>
  <si>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</si>
  <si>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</si>
  <si>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</si>
  <si>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</si>
  <si>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</si>
  <si>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</si>
  <si>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</si>
  <si>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</si>
  <si>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</si>
  <si>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</si>
  <si>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</si>
  <si>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</si>
  <si>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</si>
  <si>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</si>
  <si>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</si>
  <si>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</si>
  <si>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</si>
  <si>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</si>
  <si>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</si>
  <si>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</si>
  <si>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</si>
  <si>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</si>
  <si>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</si>
  <si>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</si>
  <si>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</si>
  <si>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</si>
  <si>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</si>
  <si>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</si>
  <si>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</si>
  <si>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</si>
  <si>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</si>
  <si>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</si>
  <si>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</si>
  <si>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</si>
  <si>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</si>
  <si>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</si>
  <si>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</si>
  <si>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</si>
  <si>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</si>
  <si>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</si>
  <si>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</si>
  <si>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</si>
  <si>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</si>
  <si>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</si>
  <si>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</si>
  <si>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</si>
  <si>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</si>
  <si>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</si>
  <si>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</si>
  <si>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</si>
  <si>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</si>
  <si>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</si>
  <si>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</si>
  <si>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</si>
  <si>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</si>
  <si>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</si>
  <si>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</si>
  <si>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</si>
  <si>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</si>
  <si>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</si>
  <si>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</si>
  <si>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</si>
  <si>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</si>
  <si>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</si>
  <si>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</si>
  <si>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</si>
  <si>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</si>
  <si>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</si>
  <si>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</si>
  <si>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</si>
  <si>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</si>
  <si>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</si>
  <si>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</si>
  <si>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</si>
  <si>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</si>
  <si>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</si>
  <si>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</si>
  <si>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</si>
  <si>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</si>
  <si>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</si>
  <si>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</si>
  <si>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</si>
  <si>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</si>
  <si>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</si>
  <si>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</si>
  <si>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</si>
  <si>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</si>
  <si>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</si>
  <si>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</si>
  <si>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</si>
  <si>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</si>
  <si>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</si>
  <si>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</si>
  <si>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</si>
  <si>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</si>
  <si>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</si>
  <si>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</si>
  <si>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</si>
  <si>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</si>
  <si>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</si>
  <si>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</si>
  <si>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</si>
  <si>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</si>
  <si>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</si>
  <si>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</si>
  <si>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</si>
  <si>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</si>
  <si>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</si>
  <si>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</si>
  <si>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</si>
  <si>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</si>
  <si>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</si>
  <si>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</si>
  <si>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</si>
  <si>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</si>
  <si>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</si>
  <si>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</si>
  <si>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</si>
  <si>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</si>
  <si>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</si>
  <si>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</si>
  <si>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</si>
  <si>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</si>
  <si>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</si>
  <si>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</si>
  <si>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</si>
  <si>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</si>
  <si>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</si>
  <si>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</si>
  <si>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</si>
  <si>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</si>
  <si>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</si>
  <si>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</si>
  <si>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</si>
  <si>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</si>
  <si>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</si>
  <si>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</si>
  <si>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</si>
  <si>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</si>
  <si>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</si>
  <si>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</si>
  <si>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</si>
  <si>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</si>
  <si>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</si>
  <si>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</si>
  <si>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</si>
  <si>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</si>
  <si>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</si>
  <si>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</si>
  <si>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</si>
  <si>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</si>
  <si>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</si>
  <si>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</si>
  <si>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</si>
  <si>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</si>
  <si>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</si>
  <si>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</si>
  <si>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</si>
  <si>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</si>
  <si>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</si>
  <si>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</si>
  <si>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</si>
  <si>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</si>
  <si>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</si>
  <si>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</si>
  <si>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</si>
  <si>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</si>
  <si>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</si>
  <si>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</si>
  <si>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</si>
  <si>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</si>
  <si>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</si>
  <si>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</si>
  <si>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</si>
  <si>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</si>
  <si>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</si>
  <si>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</si>
  <si>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</si>
  <si>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</si>
  <si>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</si>
  <si>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</si>
  <si>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</si>
  <si>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</si>
  <si>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</si>
  <si>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</si>
  <si>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</si>
  <si>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</si>
  <si>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</si>
  <si>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</si>
  <si>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</si>
  <si>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</si>
  <si>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</si>
  <si>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</si>
  <si>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</si>
  <si>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</si>
  <si>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</si>
  <si>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</si>
  <si>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</si>
  <si>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</si>
  <si>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</si>
  <si>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</si>
  <si>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</si>
  <si>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</si>
  <si>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</si>
  <si>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</si>
  <si>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</si>
  <si>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</si>
  <si>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</si>
  <si>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</si>
  <si>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</si>
  <si>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</si>
  <si>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</si>
  <si>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</si>
  <si>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</si>
  <si>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</si>
  <si>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</si>
  <si>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</si>
  <si>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</si>
  <si>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</si>
  <si>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</si>
  <si>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</si>
  <si>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</si>
  <si>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</si>
  <si>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</si>
  <si>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</si>
  <si>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</si>
  <si>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</si>
  <si>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</si>
  <si>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</si>
  <si>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</si>
  <si>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</si>
  <si>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</si>
  <si>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</si>
  <si>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</si>
  <si>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</si>
  <si>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</si>
  <si>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</si>
  <si>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</si>
  <si>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</si>
  <si>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</si>
  <si>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</si>
  <si>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</si>
  <si>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</si>
  <si>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</si>
  <si>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</si>
  <si>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</si>
  <si>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</si>
  <si>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</si>
  <si>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</si>
  <si>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</si>
  <si>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</si>
  <si>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</si>
  <si>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</si>
  <si>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</si>
  <si>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</si>
  <si>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</si>
  <si>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</si>
  <si>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</si>
  <si>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</si>
  <si>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</si>
  <si>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</si>
  <si>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</si>
  <si>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</si>
  <si>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</si>
  <si>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</si>
  <si>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</si>
  <si>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</si>
  <si>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</si>
  <si>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</si>
  <si>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</si>
  <si>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</si>
  <si>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</si>
  <si>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</si>
  <si>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</si>
  <si>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</si>
  <si>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</si>
  <si>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</si>
  <si>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</si>
  <si>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</si>
  <si>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</si>
  <si>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</si>
  <si>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</si>
  <si>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</si>
  <si>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</si>
  <si>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</si>
  <si>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</si>
  <si>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</si>
  <si>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</si>
  <si>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</si>
  <si>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</si>
  <si>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</si>
  <si>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</si>
  <si>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</si>
  <si>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</si>
  <si>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</si>
  <si>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</si>
  <si>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</si>
  <si>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</si>
  <si>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</si>
  <si>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</si>
  <si>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</si>
  <si>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</si>
  <si>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</si>
  <si>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</si>
  <si>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</si>
  <si>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</si>
  <si>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</si>
  <si>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</si>
  <si>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</si>
  <si>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</si>
  <si>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</si>
  <si>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</si>
  <si>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</si>
  <si>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</si>
  <si>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</si>
  <si>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</si>
  <si>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</si>
  <si>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</si>
  <si>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</si>
  <si>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</si>
  <si>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</si>
  <si>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</si>
  <si>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</si>
  <si>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</si>
  <si>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</si>
  <si>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</si>
  <si>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</si>
  <si>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</si>
  <si>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</si>
  <si>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</si>
  <si>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</si>
  <si>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</si>
  <si>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</si>
  <si>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</si>
  <si>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</si>
  <si>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</si>
  <si>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</si>
  <si>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</si>
  <si>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</si>
  <si>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</si>
  <si>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</si>
  <si>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</si>
  <si>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</si>
  <si>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</si>
  <si>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</si>
  <si>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</si>
  <si>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</si>
  <si>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</si>
  <si>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</si>
  <si>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</si>
  <si>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</si>
  <si>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</si>
  <si>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</si>
  <si>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</si>
  <si>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</si>
  <si>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</si>
  <si>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</si>
  <si>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</si>
  <si>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</si>
  <si>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</si>
  <si>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</si>
  <si>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</si>
  <si>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</si>
  <si>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</si>
  <si>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</si>
  <si>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</si>
  <si>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</si>
  <si>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</si>
  <si>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</si>
  <si>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</si>
  <si>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</si>
  <si>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</si>
  <si>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</si>
  <si>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</si>
  <si>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</si>
  <si>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</si>
  <si>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</si>
  <si>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</si>
  <si>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</si>
  <si>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</si>
  <si>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</si>
  <si>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</si>
  <si>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</si>
  <si>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</si>
  <si>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</si>
  <si>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</si>
  <si>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</si>
  <si>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</si>
  <si>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</si>
  <si>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</si>
  <si>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</si>
  <si>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</si>
  <si>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</si>
  <si>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</si>
  <si>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</si>
  <si>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</si>
  <si>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</si>
  <si>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</si>
  <si>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</si>
  <si>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</si>
  <si>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</si>
  <si>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</si>
  <si>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</si>
  <si>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</si>
  <si>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</si>
  <si>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</si>
  <si>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</si>
  <si>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</si>
  <si>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</si>
  <si>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</si>
  <si>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</si>
  <si>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</si>
  <si>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</si>
  <si>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</si>
  <si>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</si>
  <si>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</si>
  <si>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</si>
  <si>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</si>
  <si>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</si>
  <si>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</si>
  <si>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</si>
  <si>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</si>
  <si>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</si>
  <si>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</si>
  <si>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</si>
  <si>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</si>
  <si>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</si>
  <si>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</si>
  <si>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</si>
  <si>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</si>
  <si>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</si>
  <si>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</si>
  <si>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</si>
  <si>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</si>
  <si>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</si>
  <si>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</si>
  <si>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</si>
  <si>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</si>
  <si>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</si>
  <si>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</si>
  <si>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</si>
  <si>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</si>
  <si>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</si>
  <si>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</si>
  <si>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</si>
  <si>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</si>
  <si>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</si>
  <si>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</si>
  <si>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</si>
  <si>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</si>
  <si>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</si>
  <si>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</si>
  <si>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</si>
  <si>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</si>
  <si>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</si>
  <si>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</si>
  <si>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</si>
  <si>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</si>
  <si>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</si>
  <si>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</si>
  <si>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</si>
  <si>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</si>
  <si>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</si>
  <si>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</si>
  <si>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</si>
  <si>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</si>
  <si>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</si>
  <si>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</si>
  <si>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</si>
  <si>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</si>
  <si>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</si>
  <si>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</si>
  <si>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</si>
  <si>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</si>
  <si>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</si>
  <si>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</si>
  <si>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</si>
  <si>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</si>
  <si>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</si>
  <si>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</si>
  <si>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</si>
  <si>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</si>
  <si>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</si>
  <si>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</si>
  <si>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</si>
  <si>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</si>
  <si>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</si>
  <si>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</si>
  <si>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</si>
  <si>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</si>
  <si>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</si>
  <si>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</si>
  <si>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</si>
  <si>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</si>
  <si>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</si>
  <si>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</si>
  <si>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</si>
  <si>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</si>
  <si>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</si>
  <si>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</si>
  <si>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</si>
  <si>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</si>
  <si>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</si>
  <si>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</si>
  <si>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</si>
  <si>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</si>
  <si>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</si>
  <si>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</si>
  <si>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</si>
  <si>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</si>
  <si>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</si>
  <si>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</si>
  <si>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</si>
  <si>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</si>
  <si>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</si>
  <si>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</si>
  <si>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</si>
  <si>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</si>
  <si>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</si>
  <si>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</si>
  <si>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</si>
  <si>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</si>
  <si>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</si>
  <si>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</si>
  <si>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</si>
  <si>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</si>
  <si>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</si>
  <si>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</si>
  <si>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</si>
  <si>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</si>
  <si>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</si>
  <si>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</si>
  <si>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</si>
  <si>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</si>
  <si>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</si>
  <si>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</si>
  <si>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</si>
  <si>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</si>
  <si>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</si>
  <si>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</si>
  <si>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</si>
  <si>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</si>
  <si>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</si>
  <si>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</si>
  <si>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</si>
  <si>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</si>
  <si>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</si>
  <si>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</si>
  <si>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</si>
  <si>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</si>
  <si>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</si>
  <si>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</si>
  <si>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</si>
  <si>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</si>
  <si>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</si>
  <si>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</si>
  <si>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</si>
  <si>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</si>
  <si>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</si>
  <si>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</si>
  <si>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</si>
  <si>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</si>
  <si>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</si>
  <si>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</si>
  <si>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</si>
  <si>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</si>
  <si>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</si>
  <si>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</si>
  <si>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</si>
  <si>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</si>
  <si>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</si>
  <si>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</si>
  <si>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</si>
  <si>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</si>
  <si>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</si>
  <si>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</si>
  <si>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</si>
  <si>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</si>
  <si>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</si>
  <si>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</si>
  <si>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</si>
  <si>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</si>
  <si>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</si>
  <si>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</si>
  <si>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</si>
  <si>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</si>
  <si>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</si>
  <si>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</si>
  <si>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</si>
  <si>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</si>
  <si>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</si>
  <si>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</si>
  <si>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</si>
  <si>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</si>
  <si>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</si>
  <si>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</si>
  <si>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</si>
  <si>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</si>
  <si>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</si>
  <si>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</si>
  <si>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</si>
  <si>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</si>
  <si>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</si>
  <si>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</si>
  <si>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</si>
  <si>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</si>
  <si>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</si>
  <si>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</si>
  <si>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</si>
  <si>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</si>
  <si>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</si>
  <si>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</si>
  <si>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</si>
  <si>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</si>
  <si>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</si>
  <si>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</si>
  <si>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</si>
  <si>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</si>
  <si>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</si>
  <si>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</si>
  <si>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</si>
  <si>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</si>
  <si>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</si>
  <si>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</si>
  <si>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</si>
  <si>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</si>
  <si>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</si>
  <si>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</si>
  <si>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</si>
  <si>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</si>
  <si>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</si>
  <si>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</si>
  <si>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</si>
  <si>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</si>
  <si>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</si>
  <si>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</si>
  <si>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</si>
  <si>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</si>
  <si>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</si>
  <si>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</si>
  <si>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</si>
  <si>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</si>
  <si>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</si>
  <si>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</si>
  <si>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</si>
  <si>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</si>
  <si>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</si>
  <si>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</si>
  <si>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</si>
  <si>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</si>
  <si>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</si>
  <si>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</si>
  <si>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</si>
  <si>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</si>
  <si>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</si>
  <si>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</si>
  <si>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</si>
  <si>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</si>
  <si>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</si>
  <si>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</si>
  <si>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</si>
  <si>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</si>
  <si>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</si>
  <si>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</si>
  <si>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</si>
  <si>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</si>
  <si>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</si>
  <si>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</si>
  <si>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</si>
  <si>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</si>
  <si>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</si>
  <si>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</si>
  <si>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</si>
  <si>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</si>
  <si>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</si>
  <si>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</si>
  <si>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</si>
  <si>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</si>
  <si>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</si>
  <si>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</si>
  <si>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</si>
  <si>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</si>
  <si>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</si>
  <si>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</si>
  <si>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</si>
  <si>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</si>
  <si>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</si>
  <si>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</si>
  <si>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</si>
  <si>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</si>
  <si>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</si>
  <si>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</si>
  <si>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</si>
  <si>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</si>
  <si>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</si>
  <si>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</si>
  <si>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</si>
  <si>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</si>
  <si>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</si>
  <si>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</si>
  <si>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</si>
  <si>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</si>
  <si>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</si>
  <si>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</si>
  <si>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</si>
  <si>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</si>
  <si>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</si>
  <si>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</si>
  <si>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</si>
  <si>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</si>
  <si>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</si>
  <si>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</si>
  <si>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</si>
  <si>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</si>
  <si>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</si>
  <si>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</si>
  <si>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</si>
  <si>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</si>
  <si>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</si>
  <si>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</si>
  <si>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</si>
  <si>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</si>
  <si>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</si>
  <si>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</si>
  <si>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</si>
  <si>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</si>
  <si>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</si>
  <si>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</si>
  <si>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</si>
  <si>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</si>
  <si>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</si>
  <si>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</si>
  <si>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</si>
  <si>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</si>
  <si>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</si>
  <si>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</si>
  <si>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</si>
  <si>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</si>
  <si>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</si>
  <si>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</si>
  <si>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</si>
  <si>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</si>
  <si>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</si>
  <si>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</si>
  <si>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</si>
  <si>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</si>
  <si>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</si>
  <si>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</si>
  <si>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</si>
  <si>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</si>
  <si>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</si>
  <si>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</si>
  <si>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</si>
  <si>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</si>
  <si>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</si>
  <si>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</si>
  <si>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</si>
  <si>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</si>
  <si>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</si>
  <si>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</si>
  <si>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</si>
  <si>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</si>
  <si>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</si>
  <si>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</si>
  <si>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</si>
  <si>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</si>
  <si>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</si>
  <si>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</si>
  <si>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</si>
  <si>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</si>
  <si>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</si>
  <si>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</si>
  <si>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</si>
  <si>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</si>
  <si>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</si>
  <si>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</si>
  <si>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</si>
  <si>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</si>
  <si>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</si>
  <si>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</si>
  <si>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</si>
  <si>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</si>
  <si>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</si>
  <si>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</si>
  <si>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</si>
  <si>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</si>
  <si>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</si>
  <si>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</si>
  <si>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</si>
  <si>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</si>
  <si>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</si>
  <si>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</si>
  <si>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</si>
  <si>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</si>
  <si>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</si>
  <si>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</si>
  <si>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</si>
  <si>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</si>
  <si>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</si>
  <si>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</si>
  <si>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</si>
  <si>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</si>
  <si>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</si>
  <si>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</si>
  <si>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</si>
  <si>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</si>
  <si>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</si>
  <si>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</si>
  <si>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</si>
  <si>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</si>
  <si>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</si>
  <si>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</si>
  <si>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</si>
  <si>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</si>
  <si>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</si>
  <si>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</si>
  <si>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</si>
  <si>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</si>
  <si>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</si>
  <si>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</si>
  <si>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</si>
  <si>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</si>
  <si>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</si>
  <si>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</si>
  <si>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</si>
  <si>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</si>
  <si>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</si>
  <si>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</si>
  <si>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</si>
  <si>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</si>
  <si>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</si>
  <si>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</si>
  <si>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</si>
  <si>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</si>
  <si>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</si>
  <si>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</si>
  <si>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</si>
  <si>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</si>
  <si>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</si>
  <si>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</si>
  <si>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</si>
  <si>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</si>
  <si>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</si>
  <si>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</si>
  <si>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</si>
  <si>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</si>
  <si>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</si>
  <si>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</si>
  <si>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</si>
  <si>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</si>
  <si>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</si>
  <si>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</si>
  <si>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</si>
  <si>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</si>
  <si>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</si>
  <si>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</si>
  <si>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</si>
  <si>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</si>
  <si>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</si>
  <si>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</si>
  <si>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</si>
  <si>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</si>
  <si>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</si>
  <si>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</si>
  <si>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</si>
  <si>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</si>
  <si>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</si>
  <si>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</si>
  <si>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</si>
  <si>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</si>
  <si>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</si>
  <si>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</si>
  <si>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</si>
  <si>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</si>
  <si>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</si>
  <si>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</si>
  <si>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</si>
  <si>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</si>
  <si>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</si>
  <si>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</si>
  <si>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</si>
  <si>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</si>
  <si>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</si>
  <si>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</si>
  <si>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</si>
  <si>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</si>
  <si>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</si>
  <si>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</si>
  <si>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</si>
  <si>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</si>
  <si>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</si>
  <si>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</si>
  <si>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</si>
  <si>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</si>
  <si>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</si>
  <si>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</si>
  <si>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</si>
  <si>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</si>
  <si>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</si>
  <si>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</si>
  <si>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</si>
  <si>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</si>
  <si>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</si>
  <si>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</si>
  <si>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</si>
  <si>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</si>
  <si>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</si>
  <si>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</si>
  <si>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</si>
  <si>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</si>
  <si>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</si>
  <si>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</si>
  <si>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</si>
  <si>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</si>
  <si>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</si>
  <si>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</si>
  <si>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</si>
  <si>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</si>
  <si>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</si>
  <si>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</si>
  <si>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</si>
  <si>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</si>
  <si>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</si>
  <si>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</si>
  <si>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</si>
  <si>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</si>
  <si>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</si>
  <si>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</si>
  <si>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</si>
  <si>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</si>
  <si>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</si>
  <si>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</si>
  <si>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</si>
  <si>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</si>
  <si>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</si>
  <si>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</si>
  <si>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</si>
  <si>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</si>
  <si>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</si>
  <si>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</si>
  <si>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</si>
  <si>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</si>
  <si>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</si>
  <si>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</si>
  <si>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</si>
  <si>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</si>
  <si>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</si>
  <si>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</si>
  <si>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</si>
  <si>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</si>
  <si>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</si>
  <si>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</si>
  <si>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</si>
  <si>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</si>
  <si>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</si>
  <si>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</si>
  <si>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</si>
  <si>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</si>
  <si>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</si>
  <si>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</si>
  <si>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</si>
  <si>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</si>
  <si>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</si>
  <si>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</si>
  <si>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</si>
  <si>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</si>
  <si>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</si>
  <si>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</si>
  <si>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</si>
  <si>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</si>
  <si>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</si>
  <si>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</si>
  <si>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</si>
  <si>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</si>
  <si>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</si>
  <si>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</si>
  <si>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</si>
  <si>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</si>
  <si>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</si>
  <si>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</si>
  <si>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</si>
  <si>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</si>
  <si>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</si>
  <si>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</si>
  <si>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</si>
  <si>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</si>
  <si>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</si>
  <si>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</si>
  <si>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</si>
  <si>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</si>
  <si>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</si>
  <si>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</si>
  <si>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</si>
  <si>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</si>
  <si>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</si>
  <si>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</si>
  <si>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</si>
  <si>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</si>
  <si>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</si>
  <si>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</si>
  <si>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</si>
  <si>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</si>
  <si>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</si>
  <si>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</si>
  <si>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</si>
  <si>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</si>
  <si>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</si>
  <si>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</si>
  <si>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</si>
  <si>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</si>
  <si>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</si>
  <si>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</si>
  <si>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</si>
  <si>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</si>
  <si>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</si>
  <si>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</si>
  <si>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</si>
  <si>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</si>
  <si>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</si>
  <si>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</si>
  <si>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</si>
  <si>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</si>
  <si>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</si>
  <si>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</si>
  <si>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</si>
  <si>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</si>
  <si>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</si>
  <si>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</si>
  <si>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</si>
  <si>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</si>
  <si>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</si>
  <si>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</si>
  <si>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</si>
  <si>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</si>
  <si>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</si>
  <si>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</si>
  <si>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</si>
  <si>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</si>
  <si>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</si>
  <si>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</si>
  <si>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</si>
  <si>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</si>
  <si>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</si>
  <si>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</si>
  <si>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</si>
  <si>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</si>
  <si>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</si>
  <si>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</si>
  <si>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</si>
  <si>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</si>
  <si>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</si>
  <si>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</si>
  <si>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</si>
  <si>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</si>
  <si>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</si>
  <si>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</si>
  <si>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</si>
  <si>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</si>
  <si>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</si>
  <si>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</si>
  <si>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</si>
  <si>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</si>
  <si>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</si>
  <si>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</si>
  <si>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</si>
  <si>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</si>
  <si>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</si>
  <si>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</si>
  <si>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</si>
  <si>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</si>
  <si>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</si>
  <si>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</si>
  <si>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</si>
  <si>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</si>
  <si>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</si>
  <si>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</si>
  <si>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</si>
  <si>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</si>
  <si>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</si>
  <si>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</si>
  <si>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</si>
  <si>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</si>
  <si>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</si>
  <si>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</si>
  <si>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</si>
  <si>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</si>
  <si>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</si>
  <si>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</si>
  <si>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</si>
  <si>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</si>
  <si>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</si>
  <si>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</si>
  <si>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</si>
  <si>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</si>
  <si>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</si>
  <si>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</si>
  <si>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</si>
  <si>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</si>
  <si>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</si>
  <si>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</si>
  <si>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</si>
  <si>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</si>
  <si>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</si>
  <si>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</si>
  <si>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</si>
  <si>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</si>
  <si>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</si>
  <si>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</si>
  <si>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</si>
  <si>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</si>
  <si>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</si>
  <si>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</si>
  <si>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</si>
  <si>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</si>
  <si>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</si>
  <si>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</si>
  <si>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</si>
  <si>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</si>
  <si>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</si>
  <si>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</si>
  <si>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</si>
  <si>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</si>
  <si>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</si>
  <si>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</si>
  <si>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</si>
  <si>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</si>
  <si>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</si>
  <si>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</si>
  <si>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</si>
  <si>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</si>
  <si>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</si>
  <si>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</si>
  <si>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</si>
  <si>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</si>
  <si>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</si>
  <si>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</si>
  <si>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</si>
  <si>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</si>
  <si>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</si>
  <si>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</si>
  <si>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</si>
  <si>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</si>
  <si>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</si>
  <si>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</si>
  <si>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</si>
  <si>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</si>
  <si>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</si>
  <si>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</si>
  <si>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</si>
  <si>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</si>
  <si>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</si>
  <si>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</si>
  <si>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</si>
  <si>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</si>
  <si>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</si>
  <si>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</si>
  <si>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</si>
  <si>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</si>
  <si>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</si>
  <si>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</si>
  <si>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</si>
  <si>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</si>
  <si>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</si>
  <si>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</si>
  <si>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</si>
  <si>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</si>
  <si>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</si>
  <si>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</si>
  <si>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</si>
  <si>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</si>
  <si>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</si>
  <si>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</si>
  <si>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</si>
  <si>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</si>
  <si>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</si>
  <si>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</si>
  <si>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</si>
  <si>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</si>
  <si>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</si>
  <si>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</si>
  <si>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</si>
  <si>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</si>
  <si>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</si>
  <si>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</si>
  <si>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</si>
  <si>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</si>
  <si>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</si>
  <si>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</si>
  <si>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</si>
  <si>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</si>
  <si>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</si>
  <si>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</si>
  <si>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</si>
  <si>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</si>
  <si>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</si>
  <si>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</si>
  <si>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</si>
  <si>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</si>
  <si>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</si>
  <si>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</si>
  <si>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</si>
  <si>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</si>
  <si>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</si>
  <si>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</si>
  <si>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</si>
  <si>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</si>
  <si>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</si>
  <si>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</si>
  <si>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</si>
  <si>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</si>
  <si>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</si>
  <si>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</si>
  <si>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</si>
  <si>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</si>
  <si>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</si>
  <si>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</si>
  <si>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</si>
  <si>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</si>
  <si>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</si>
  <si>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</si>
  <si>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</si>
  <si>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</si>
  <si>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</si>
  <si>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</si>
  <si>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</si>
  <si>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</si>
  <si>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</si>
  <si>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</si>
  <si>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</si>
  <si>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</si>
  <si>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</si>
  <si>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</si>
  <si>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</si>
  <si>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</si>
  <si>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</si>
  <si>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</si>
  <si>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</si>
  <si>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</si>
  <si>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</si>
  <si>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</si>
  <si>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</si>
  <si>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</si>
  <si>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</si>
  <si>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</si>
  <si>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</si>
  <si>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</si>
  <si>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</si>
  <si>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</si>
  <si>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</si>
  <si>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</si>
  <si>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</si>
  <si>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</si>
  <si>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</si>
  <si>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</si>
  <si>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</si>
  <si>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</si>
  <si>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</si>
  <si>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</si>
  <si>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</si>
  <si>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</si>
  <si>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</si>
  <si>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</si>
  <si>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</si>
  <si>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</si>
  <si>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</si>
  <si>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</si>
  <si>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</si>
  <si>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</si>
  <si>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</si>
  <si>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</si>
  <si>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</si>
  <si>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</si>
  <si>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</si>
  <si>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</si>
  <si>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</si>
  <si>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</si>
  <si>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</si>
  <si>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</si>
  <si>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</si>
  <si>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</si>
  <si>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</si>
  <si>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</si>
  <si>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</si>
  <si>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</si>
  <si>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</si>
  <si>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</si>
  <si>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</si>
  <si>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</si>
  <si>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</si>
  <si>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</si>
  <si>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</si>
  <si>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</si>
  <si>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</si>
  <si>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</si>
  <si>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</si>
  <si>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</si>
  <si>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</si>
  <si>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</si>
  <si>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</si>
  <si>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</si>
  <si>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</si>
  <si>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</si>
  <si>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</si>
  <si>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</si>
  <si>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</si>
  <si>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</si>
  <si>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</si>
  <si>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</si>
  <si>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</si>
  <si>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</si>
  <si>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</si>
  <si>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</si>
  <si>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</si>
  <si>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</si>
  <si>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</si>
  <si>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</si>
  <si>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</si>
  <si>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</si>
  <si>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</si>
  <si>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</si>
  <si>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</si>
  <si>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</si>
  <si>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</si>
  <si>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</si>
  <si>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</si>
  <si>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</si>
  <si>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</si>
  <si>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</si>
  <si>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</si>
  <si>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</si>
  <si>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</si>
  <si>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</si>
  <si>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</si>
  <si>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</si>
  <si>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</si>
  <si>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</si>
  <si>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</si>
  <si>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</si>
  <si>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</si>
  <si>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</si>
  <si>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</si>
  <si>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</si>
  <si>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</si>
  <si>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</si>
  <si>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</si>
  <si>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</si>
  <si>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</si>
  <si>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</si>
  <si>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</si>
  <si>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</si>
  <si>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</si>
  <si>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</si>
  <si>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</si>
  <si>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</si>
  <si>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</si>
  <si>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</si>
  <si>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</si>
  <si>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</si>
  <si>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</si>
  <si>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</si>
  <si>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</si>
  <si>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</si>
  <si>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</si>
  <si>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</si>
  <si>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</si>
  <si>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</si>
  <si>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</si>
  <si>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</si>
  <si>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</si>
  <si>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</si>
  <si>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</si>
  <si>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</si>
  <si>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</si>
  <si>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</si>
  <si>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</si>
  <si>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</si>
  <si>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</si>
  <si>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</si>
  <si>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</si>
  <si>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</si>
  <si>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</si>
  <si>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</si>
  <si>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</si>
  <si>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</si>
  <si>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</si>
  <si>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</si>
  <si>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</si>
  <si>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</si>
  <si>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</si>
  <si>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</si>
  <si>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</si>
  <si>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</si>
  <si>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</si>
  <si>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</si>
  <si>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</si>
  <si>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</si>
  <si>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</si>
  <si>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</si>
  <si>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</si>
  <si>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</si>
  <si>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</si>
  <si>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</si>
  <si>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</si>
  <si>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</si>
  <si>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</si>
  <si>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</si>
  <si>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</si>
  <si>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</si>
  <si>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</si>
  <si>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</si>
  <si>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</si>
  <si>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</si>
  <si>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</si>
  <si>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</si>
  <si>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</si>
  <si>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</si>
  <si>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</si>
  <si>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</si>
  <si>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</si>
  <si>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</si>
  <si>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</si>
  <si>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</si>
  <si>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</si>
  <si>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</si>
  <si>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</si>
  <si>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</si>
  <si>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</si>
  <si>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</si>
  <si>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</si>
  <si>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</si>
  <si>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</si>
  <si>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</si>
  <si>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</si>
  <si>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</si>
  <si>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</si>
  <si>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</si>
  <si>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</si>
  <si>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</si>
  <si>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</si>
  <si>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</si>
  <si>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</si>
  <si>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</si>
  <si>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</si>
  <si>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</si>
  <si>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</si>
  <si>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</si>
  <si>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</si>
  <si>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</si>
  <si>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</si>
  <si>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</si>
  <si>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</si>
  <si>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</si>
  <si>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</si>
  <si>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</si>
  <si>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</si>
  <si>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</si>
  <si>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</si>
  <si>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</si>
  <si>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</si>
  <si>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</si>
  <si>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</si>
  <si>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</si>
  <si>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</si>
  <si>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</si>
  <si>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</si>
  <si>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</si>
  <si>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</si>
  <si>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</si>
  <si>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</si>
  <si>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</si>
  <si>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</si>
  <si>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</si>
  <si>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</si>
  <si>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</si>
  <si>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</si>
  <si>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</si>
  <si>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</si>
  <si>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</si>
  <si>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</si>
  <si>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</si>
  <si>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</si>
  <si>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</si>
  <si>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</si>
  <si>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</si>
  <si>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</si>
  <si>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</si>
  <si>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</si>
  <si>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</si>
  <si>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</si>
  <si>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</si>
  <si>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</si>
  <si>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</si>
  <si>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</si>
  <si>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</si>
  <si>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</si>
  <si>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</si>
  <si>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</si>
  <si>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</si>
  <si>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</si>
  <si>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</si>
  <si>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</si>
  <si>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</si>
  <si>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</si>
  <si>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</si>
  <si>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</si>
  <si>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</si>
  <si>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</si>
  <si>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</si>
  <si>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</si>
  <si>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</si>
  <si>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</si>
  <si>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</si>
  <si>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</si>
  <si>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</si>
  <si>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</si>
  <si>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</si>
  <si>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</si>
  <si>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</si>
  <si>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</si>
  <si>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</si>
  <si>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</si>
  <si>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</si>
  <si>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</si>
  <si>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</si>
  <si>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</si>
  <si>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</si>
  <si>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</si>
  <si>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</si>
  <si>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</si>
  <si>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</si>
  <si>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</si>
  <si>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</si>
  <si>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</si>
  <si>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</si>
  <si>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</si>
  <si>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</si>
  <si>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</si>
  <si>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</si>
  <si>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</si>
  <si>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</si>
  <si>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</si>
  <si>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</si>
  <si>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</si>
  <si>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</si>
  <si>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</si>
  <si>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</si>
  <si>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</si>
  <si>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</si>
  <si>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</si>
  <si>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</si>
  <si>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</si>
  <si>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</si>
  <si>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</si>
  <si>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</si>
  <si>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</si>
  <si>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</si>
  <si>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</si>
  <si>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</si>
  <si>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</si>
  <si>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</si>
  <si>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</si>
  <si>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</si>
  <si>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</si>
  <si>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</si>
  <si>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</si>
  <si>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</si>
  <si>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</si>
  <si>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</si>
  <si>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</si>
  <si>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</si>
  <si>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</si>
  <si>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</si>
  <si>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</si>
  <si>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</si>
  <si>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</si>
  <si>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</si>
  <si>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</si>
  <si>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</si>
  <si>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</si>
  <si>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</si>
  <si>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</si>
  <si>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</si>
  <si>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</si>
  <si>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</si>
  <si>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</si>
  <si>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</si>
  <si>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</si>
  <si>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</si>
  <si>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</si>
  <si>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</si>
  <si>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</si>
  <si>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</si>
  <si>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</si>
  <si>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</si>
  <si>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</si>
  <si>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</si>
  <si>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</si>
  <si>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</si>
  <si>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</si>
  <si>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</si>
  <si>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</si>
  <si>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</si>
  <si>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</si>
  <si>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</si>
  <si>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</si>
  <si>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</si>
  <si>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</si>
  <si>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</si>
  <si>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</si>
  <si>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</si>
  <si>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</si>
  <si>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</si>
  <si>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</si>
  <si>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</si>
  <si>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</si>
  <si>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</si>
  <si>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</si>
  <si>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</si>
  <si>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</si>
  <si>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</si>
  <si>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</si>
  <si>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</si>
  <si>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</si>
  <si>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</si>
  <si>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</si>
  <si>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</si>
  <si>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</si>
  <si>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</si>
  <si>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</si>
  <si>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</si>
  <si>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</si>
  <si>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</si>
  <si>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</si>
  <si>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</si>
  <si>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</si>
  <si>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</si>
  <si>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</si>
  <si>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</si>
  <si>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</si>
  <si>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</si>
  <si>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</si>
  <si>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</si>
  <si>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</si>
  <si>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</si>
  <si>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</si>
  <si>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</si>
  <si>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</si>
  <si>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</si>
  <si>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</si>
  <si>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</si>
  <si>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</si>
  <si>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</si>
  <si>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</si>
  <si>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</si>
  <si>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</si>
  <si>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</si>
  <si>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</si>
  <si>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</si>
  <si>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</si>
  <si>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</si>
  <si>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</si>
  <si>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</si>
  <si>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</si>
  <si>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</si>
  <si>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</si>
  <si>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</si>
  <si>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</si>
  <si>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</si>
  <si>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</si>
  <si>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</si>
  <si>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</si>
  <si>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</si>
  <si>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</si>
  <si>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</si>
  <si>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</si>
  <si>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</si>
  <si>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</si>
  <si>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</si>
  <si>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</si>
  <si>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</si>
  <si>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</si>
  <si>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</si>
  <si>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</si>
  <si>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</si>
  <si>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</si>
  <si>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</si>
  <si>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</si>
  <si>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</si>
  <si>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</si>
  <si>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</si>
  <si>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</si>
  <si>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</si>
  <si>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</si>
  <si>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</si>
  <si>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</si>
  <si>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</si>
  <si>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</si>
  <si>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</si>
  <si>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</si>
  <si>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</si>
  <si>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</si>
  <si>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</si>
  <si>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</si>
  <si>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</si>
  <si>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</si>
  <si>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</si>
  <si>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</si>
  <si>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</si>
  <si>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</si>
  <si>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</si>
  <si>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</si>
  <si>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</si>
  <si>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</si>
  <si>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</si>
  <si>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</si>
  <si>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</si>
  <si>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</si>
  <si>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</si>
  <si>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</si>
  <si>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</si>
  <si>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</si>
  <si>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</si>
  <si>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</si>
  <si>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</si>
  <si>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</si>
  <si>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</si>
  <si>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</si>
  <si>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</si>
  <si>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</si>
  <si>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</si>
  <si>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</si>
  <si>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</si>
  <si>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</si>
  <si>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</si>
  <si>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</si>
  <si>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</si>
  <si>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</si>
  <si>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</si>
  <si>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</si>
  <si>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</si>
  <si>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</si>
  <si>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</si>
  <si>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</si>
  <si>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</si>
  <si>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</si>
  <si>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</si>
  <si>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</si>
  <si>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</si>
  <si>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</si>
  <si>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</si>
  <si>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</si>
  <si>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</si>
  <si>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</si>
  <si>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</si>
  <si>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</si>
  <si>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</si>
  <si>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</si>
  <si>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</si>
  <si>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</si>
  <si>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</si>
  <si>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</si>
  <si>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</si>
  <si>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</si>
  <si>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</si>
  <si>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</si>
  <si>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</si>
  <si>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</si>
  <si>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</si>
  <si>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</si>
  <si>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</si>
  <si>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</si>
  <si>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</si>
  <si>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</si>
  <si>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</si>
  <si>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</si>
  <si>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</si>
  <si>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</si>
  <si>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</si>
  <si>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</si>
  <si>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</si>
  <si>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</si>
  <si>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</si>
  <si>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</si>
  <si>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</si>
  <si>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</si>
  <si>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</si>
  <si>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</si>
  <si>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</si>
  <si>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</si>
  <si>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</si>
  <si>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</si>
  <si>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</si>
  <si>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</si>
  <si>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</si>
  <si>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</si>
  <si>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</si>
  <si>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</si>
  <si>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</si>
  <si>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</si>
  <si>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</si>
  <si>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</si>
  <si>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</si>
  <si>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</si>
  <si>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</si>
  <si>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</si>
  <si>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</si>
  <si>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</si>
  <si>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</si>
  <si>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</si>
  <si>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</si>
  <si>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</si>
  <si>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</si>
  <si>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</si>
  <si>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</si>
  <si>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</si>
  <si>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</si>
  <si>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</si>
  <si>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</si>
  <si>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</si>
  <si>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</si>
  <si>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</si>
  <si>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</si>
  <si>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</si>
  <si>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</si>
  <si>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</si>
  <si>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</si>
  <si>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</si>
  <si>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</si>
  <si>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</si>
  <si>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</si>
  <si>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</si>
  <si>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</si>
  <si>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</si>
  <si>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</si>
  <si>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</si>
  <si>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</si>
  <si>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</si>
  <si>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</si>
  <si>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</si>
  <si>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</si>
  <si>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</si>
  <si>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</si>
  <si>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</si>
  <si>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</si>
  <si>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</si>
  <si>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</si>
  <si>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</si>
  <si>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</si>
  <si>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</si>
  <si>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</si>
  <si>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</si>
  <si>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</si>
  <si>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</si>
  <si>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</si>
  <si>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</si>
  <si>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</si>
  <si>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</si>
  <si>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</si>
  <si>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</si>
  <si>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</si>
  <si>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</si>
  <si>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</si>
  <si>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</si>
  <si>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</si>
  <si>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</si>
  <si>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</si>
  <si>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</si>
  <si>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</si>
  <si>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</si>
  <si>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</si>
  <si>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</si>
  <si>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</si>
  <si>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</si>
  <si>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</si>
  <si>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</si>
  <si>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</si>
  <si>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</si>
  <si>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</si>
  <si>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</si>
  <si>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</si>
  <si>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</si>
  <si>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</si>
  <si>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</si>
  <si>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</si>
  <si>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</si>
  <si>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</si>
  <si>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</si>
  <si>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</si>
  <si>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</si>
  <si>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</si>
  <si>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</si>
  <si>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</si>
  <si>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</si>
  <si>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</si>
  <si>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</si>
  <si>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</si>
  <si>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</si>
  <si>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</si>
  <si>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</si>
  <si>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</si>
  <si>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</si>
  <si>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</si>
  <si>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</si>
  <si>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</si>
  <si>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</si>
  <si>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</si>
  <si>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</si>
  <si>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</si>
  <si>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</si>
  <si>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</si>
  <si>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</si>
  <si>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</si>
  <si>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</si>
  <si>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</si>
  <si>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</si>
  <si>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</si>
  <si>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</si>
  <si>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</si>
  <si>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</si>
  <si>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</si>
  <si>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</si>
  <si>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</si>
  <si>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</si>
  <si>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</si>
  <si>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</si>
  <si>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</si>
  <si>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</si>
  <si>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</si>
  <si>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</si>
  <si>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</si>
  <si>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</si>
  <si>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</si>
  <si>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</si>
  <si>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</si>
  <si>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</si>
  <si>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</si>
  <si>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</si>
  <si>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</si>
  <si>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</si>
  <si>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</si>
  <si>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</si>
  <si>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</si>
  <si>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</si>
  <si>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</si>
  <si>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</si>
  <si>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</si>
  <si>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</si>
  <si>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</si>
  <si>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</si>
  <si>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</si>
  <si>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</si>
  <si>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</si>
  <si>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</si>
  <si>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</si>
  <si>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</si>
  <si>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</si>
  <si>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</si>
  <si>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</si>
  <si>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</si>
  <si>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</si>
  <si>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</si>
  <si>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</si>
  <si>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</si>
  <si>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</si>
  <si>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</si>
  <si>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</si>
  <si>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</si>
  <si>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</si>
  <si>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</si>
  <si>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</si>
  <si>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</si>
  <si>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</si>
  <si>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</si>
  <si>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</si>
  <si>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</si>
  <si>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</si>
  <si>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</si>
  <si>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</si>
  <si>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</si>
  <si>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</si>
  <si>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</si>
  <si>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</si>
  <si>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</si>
  <si>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</si>
  <si>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</si>
  <si>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</si>
  <si>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</si>
  <si>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</si>
  <si>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</si>
  <si>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</si>
  <si>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</si>
  <si>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</si>
  <si>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</si>
  <si>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</si>
  <si>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</si>
  <si>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</si>
  <si>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</si>
  <si>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</si>
  <si>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</si>
  <si>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</si>
  <si>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</si>
  <si>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</si>
  <si>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</si>
  <si>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</si>
  <si>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</si>
  <si>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</si>
  <si>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</si>
  <si>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</si>
  <si>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</si>
  <si>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</si>
  <si>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</si>
  <si>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</si>
  <si>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</si>
  <si>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</si>
  <si>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</si>
  <si>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</si>
  <si>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</si>
  <si>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</si>
  <si>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</si>
  <si>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</si>
  <si>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</si>
  <si>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</si>
  <si>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</si>
  <si>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</si>
  <si>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</si>
  <si>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</si>
  <si>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</si>
  <si>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</si>
  <si>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</si>
  <si>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</si>
  <si>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</si>
  <si>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</si>
  <si>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</si>
  <si>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</si>
  <si>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</si>
  <si>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</si>
  <si>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</si>
  <si>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</si>
  <si>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</si>
  <si>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</si>
  <si>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</si>
  <si>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</si>
  <si>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</si>
  <si>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</si>
  <si>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</si>
  <si>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</si>
  <si>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</si>
  <si>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</si>
  <si>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</si>
  <si>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</si>
  <si>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</si>
  <si>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</si>
  <si>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</si>
  <si>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</si>
  <si>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</si>
  <si>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</si>
  <si>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</si>
  <si>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</si>
  <si>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</si>
  <si>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</si>
  <si>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</si>
  <si>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</si>
  <si>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</si>
  <si>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</si>
  <si>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</si>
  <si>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</si>
  <si>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</si>
  <si>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</si>
  <si>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</si>
  <si>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</si>
  <si>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</si>
  <si>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</si>
  <si>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</si>
  <si>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</si>
  <si>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</si>
  <si>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</si>
  <si>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</si>
  <si>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</si>
  <si>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</si>
  <si>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</si>
  <si>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</si>
  <si>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</si>
  <si>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</si>
  <si>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</si>
  <si>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</si>
  <si>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</si>
  <si>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</si>
  <si>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</si>
  <si>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</si>
  <si>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</si>
  <si>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</si>
  <si>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</si>
  <si>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</si>
  <si>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</si>
  <si>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</si>
  <si>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</si>
  <si>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</si>
  <si>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</si>
  <si>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</si>
  <si>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</si>
  <si>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</si>
  <si>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</si>
  <si>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</si>
  <si>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</si>
  <si>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</si>
  <si>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</si>
  <si>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</si>
  <si>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</si>
  <si>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</si>
  <si>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</si>
  <si>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</si>
  <si>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</si>
  <si>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</si>
  <si>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</si>
  <si>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</si>
  <si>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</si>
  <si>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</si>
  <si>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</si>
  <si>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</si>
  <si>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</si>
  <si>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</si>
  <si>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</si>
  <si>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</si>
  <si>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</si>
  <si>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</si>
  <si>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</si>
  <si>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</si>
  <si>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</si>
  <si>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</si>
  <si>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</si>
  <si>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</si>
  <si>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</si>
  <si>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</si>
  <si>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</si>
  <si>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</si>
  <si>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</si>
  <si>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</si>
  <si>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</si>
  <si>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</si>
  <si>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</si>
  <si>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</si>
  <si>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</si>
  <si>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</si>
  <si>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</si>
  <si>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</si>
  <si>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</si>
  <si>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</si>
  <si>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</si>
  <si>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</si>
  <si>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</si>
  <si>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</si>
  <si>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</si>
  <si>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</si>
  <si>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</si>
  <si>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</si>
  <si>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</si>
  <si>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</si>
  <si>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</si>
  <si>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</si>
  <si>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</si>
  <si>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</si>
  <si>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</si>
  <si>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</si>
  <si>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</si>
  <si>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</si>
  <si>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</si>
  <si>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</si>
  <si>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</si>
  <si>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</si>
  <si>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</si>
  <si>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</si>
  <si>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</si>
  <si>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</si>
  <si>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</si>
  <si>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</si>
  <si>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</si>
  <si>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</si>
  <si>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</si>
  <si>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</si>
  <si>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</si>
  <si>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</si>
  <si>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</si>
  <si>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</si>
  <si>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</si>
  <si>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</si>
  <si>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</si>
  <si>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</si>
  <si>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</si>
  <si>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</si>
  <si>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</si>
  <si>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</si>
  <si>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</si>
  <si>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</si>
  <si>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</si>
  <si>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</si>
  <si>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</si>
  <si>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</si>
  <si>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</si>
  <si>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</si>
  <si>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</si>
  <si>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</si>
  <si>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</si>
  <si>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</si>
  <si>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</si>
  <si>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</si>
  <si>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</si>
  <si>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</si>
  <si>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</si>
  <si>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</si>
  <si>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</si>
  <si>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</si>
  <si>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</si>
  <si>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</si>
  <si>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</si>
  <si>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</si>
  <si>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</si>
  <si>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</si>
  <si>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</si>
  <si>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</si>
  <si>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</si>
  <si>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</si>
  <si>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</si>
  <si>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</si>
  <si>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</si>
  <si>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</si>
  <si>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</si>
  <si>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</si>
  <si>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</si>
  <si>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</si>
  <si>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</si>
  <si>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</si>
  <si>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</si>
  <si>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</si>
  <si>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</si>
  <si>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</si>
  <si>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</si>
  <si>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</si>
  <si>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</si>
  <si>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</si>
  <si>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</si>
  <si>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</si>
  <si>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</si>
  <si>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10199/2026</t>
  </si>
  <si>
    <t>2026-083</t>
  </si>
  <si>
    <t>Oficina básica de Power Automate</t>
  </si>
  <si>
    <t>01 e 02/09/2026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</si>
</sst>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opLeftCell="H1" zoomScaleNormal="100" workbookViewId="0">
      <pane ySplit="1" topLeftCell="A721" activePane="bottomLeft" state="frozen"/>
      <selection pane="bottomLeft" activeCell="T739" sqref="T73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2026-084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3189</v>
      </c>
      <c r="B738" s="183">
        <v>2026</v>
      </c>
      <c r="C738" s="183" t="s">
        <v>2697</v>
      </c>
      <c r="D738" s="183" t="s">
        <v>3190</v>
      </c>
      <c r="E738" s="180" t="s">
        <v>3191</v>
      </c>
      <c r="F738" s="185" t="s">
        <v>69</v>
      </c>
      <c r="G738" s="186" t="s">
        <v>2694</v>
      </c>
      <c r="H738" s="191" t="s">
        <v>3192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3193</v>
      </c>
    </row>
    <row r="739" spans="1:20" ht="15" x14ac:dyDescent="0.25">
      <c r="A739" s="191" t="s">
        <v>3195</v>
      </c>
      <c r="B739" s="183">
        <v>2026</v>
      </c>
      <c r="C739" s="183" t="s">
        <v>2697</v>
      </c>
      <c r="D739" s="183" t="s">
        <v>3194</v>
      </c>
      <c r="E739" s="180" t="s">
        <v>3196</v>
      </c>
      <c r="F739" s="185" t="s">
        <v>24</v>
      </c>
      <c r="G739" s="186" t="s">
        <v>2700</v>
      </c>
      <c r="H739" s="175" t="s">
        <v>3197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97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21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2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3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3081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3082</v>
      </c>
      <c r="B4" s="232"/>
      <c r="D4" s="233" t="s">
        <v>3083</v>
      </c>
      <c r="E4" s="234"/>
      <c r="G4" s="45" t="s">
        <v>3084</v>
      </c>
    </row>
    <row r="5" spans="1:7" ht="54.95" customHeight="1" thickBot="1" x14ac:dyDescent="0.75">
      <c r="A5" s="35">
        <f>COUNTIF('Ações InCompany'!B:B,2026)</f>
        <v>83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30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3086</v>
      </c>
      <c r="B8" s="228"/>
      <c r="D8" s="228" t="s">
        <v>3087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 x14ac:dyDescent="0.3">
      <c r="A30" s="228" t="s">
        <v>3096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0.27500000000000002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6.25E-2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2</v>
      </c>
      <c r="D35" s="37">
        <f t="shared" si="0"/>
        <v>7</v>
      </c>
      <c r="E35" s="38">
        <f t="shared" si="1"/>
        <v>8.7499999999999994E-2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2.5000000000000001E-2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7.4999999999999997E-2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0.27500000000000002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0.05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2.5000000000000001E-2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0.1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2.5000000000000001E-2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30</v>
      </c>
      <c r="D45" s="41">
        <f>SUM(D33:D44)</f>
        <v>80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3147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3148</v>
      </c>
    </row>
    <row r="4" spans="1:8" ht="21.95" customHeight="1" x14ac:dyDescent="0.25">
      <c r="A4" s="236" t="s">
        <v>3149</v>
      </c>
      <c r="B4" s="237"/>
      <c r="D4" s="236" t="s">
        <v>3150</v>
      </c>
      <c r="E4" s="237"/>
      <c r="G4" s="236" t="s">
        <v>3151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3157</v>
      </c>
      <c r="B1" s="241"/>
      <c r="C1" s="241"/>
      <c r="D1" s="241"/>
      <c r="E1" s="241"/>
      <c r="F1" s="241"/>
    </row>
    <row r="2" spans="1:7" x14ac:dyDescent="0.25">
      <c r="A2" s="242" t="s">
        <v>3158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6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Josdeyvi Magalhães Russi</v>
      </c>
      <c r="B34" s="26">
        <f ca="1">IF($A34="","",SUMIFS('GECC 2026'!H$2:H$200,'GECC 2026'!F$2:F$200,$A34))</f>
        <v>9</v>
      </c>
      <c r="C34" s="26">
        <f ca="1">IF($A34="","",SUMIFS('GECC 2026'!I$2:I$200,'GECC 2026'!F$2:F$200,$A34))</f>
        <v>2.6999999999999997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11.7</v>
      </c>
      <c r="F34" s="24">
        <f ca="1">IF($A34="","",COUNTIFS('GECC 2026'!F$2:F$200,$A34))</f>
        <v>1</v>
      </c>
    </row>
    <row r="35" spans="1:6" x14ac:dyDescent="0.25">
      <c r="A35" t="str">
        <f ca="1"/>
        <v>José Roberto Alcuri Júnior</v>
      </c>
      <c r="B35" s="26">
        <f ca="1">IF($A35="","",SUMIFS('GECC 2026'!H$2:H$200,'GECC 2026'!F$2:F$200,$A35))</f>
        <v>1</v>
      </c>
      <c r="C35" s="26">
        <f ca="1">IF($A35="","",SUMIFS('GECC 2026'!I$2:I$200,'GECC 2026'!F$2:F$200,$A35))</f>
        <v>0.3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1.3</v>
      </c>
      <c r="F35" s="24">
        <f ca="1">IF($A35="","",COUNTIFS('GECC 2026'!F$2:F$200,$A35))</f>
        <v>2</v>
      </c>
    </row>
    <row r="36" spans="1:6" x14ac:dyDescent="0.25">
      <c r="A36" t="str">
        <f ca="1"/>
        <v>Leonardo de Melo</v>
      </c>
      <c r="B36" s="26">
        <f ca="1">IF($A36="","",SUMIFS('GECC 2026'!H$2:H$200,'GECC 2026'!F$2:F$200,$A36))</f>
        <v>0</v>
      </c>
      <c r="C36" s="26">
        <f ca="1">IF($A36="","",SUMIFS('GECC 2026'!I$2:I$200,'GECC 2026'!F$2:F$200,$A36))</f>
        <v>0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0</v>
      </c>
      <c r="F36" s="24">
        <f ca="1">IF($A36="","",COUNTIFS('GECC 2026'!F$2:F$200,$A36))</f>
        <v>2</v>
      </c>
    </row>
    <row r="37" spans="1:6" x14ac:dyDescent="0.25">
      <c r="A37" t="str">
        <f ca="1"/>
        <v>Leonardo José Alves Leal Neri</v>
      </c>
      <c r="B37" s="26">
        <f ca="1">IF($A37="","",SUMIFS('GECC 2026'!H$2:H$200,'GECC 2026'!F$2:F$200,$A37))</f>
        <v>40</v>
      </c>
      <c r="C37" s="26">
        <f ca="1">IF($A37="","",SUMIFS('GECC 2026'!I$2:I$200,'GECC 2026'!F$2:F$200,$A37))</f>
        <v>12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52</v>
      </c>
      <c r="F37" s="24">
        <f ca="1">IF($A37="","",COUNTIFS('GECC 2026'!F$2:F$200,$A37))</f>
        <v>2</v>
      </c>
    </row>
    <row r="38" spans="1:6" x14ac:dyDescent="0.25">
      <c r="A38" t="str">
        <f ca="1"/>
        <v>Luciana Alvim</v>
      </c>
      <c r="B38" s="26">
        <f ca="1">IF($A38="","",SUMIFS('GECC 2026'!H$2:H$200,'GECC 2026'!F$2:F$200,$A38))</f>
        <v>72</v>
      </c>
      <c r="C38" s="26">
        <f ca="1">IF($A38="","",SUMIFS('GECC 2026'!I$2:I$200,'GECC 2026'!F$2:F$200,$A38))</f>
        <v>77.599999999999994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149.6</v>
      </c>
      <c r="F38" s="24">
        <f ca="1">IF($A38="","",COUNTIFS('GECC 2026'!F$2:F$200,$A38))</f>
        <v>7</v>
      </c>
    </row>
    <row r="39" spans="1:6" x14ac:dyDescent="0.25">
      <c r="A39" t="str">
        <f ca="1"/>
        <v>Marcelo Bálbio Moraes</v>
      </c>
      <c r="B39" s="26">
        <f ca="1">IF($A39="","",SUMIFS('GECC 2026'!H$2:H$200,'GECC 2026'!F$2:F$200,$A39))</f>
        <v>0</v>
      </c>
      <c r="C39" s="26">
        <f ca="1">IF($A39="","",SUMIFS('GECC 2026'!I$2:I$200,'GECC 2026'!F$2:F$200,$A39))</f>
        <v>0</v>
      </c>
      <c r="D39" s="101">
        <f ca="1">IF($A39="","",SUMIFS('GECC 2026'!$AE$3:$AE$32,'GECC 2026'!$AD$3:$AD$32,$A39))</f>
        <v>16</v>
      </c>
      <c r="E39" s="93">
        <f ca="1">IF($A39="","",SUMIFS('GECC 2026'!J$2:J$200,'GECC 2026'!F$2:F$200,$A39)+SUMIFS('GECC 2026'!$AE$3:$AE$32,'GECC 2026'!$AD$3:$AD$32,$A39))</f>
        <v>16</v>
      </c>
      <c r="F39" s="24">
        <f ca="1">IF($A39="","",COUNTIFS('GECC 2026'!F$2:F$200,$A39))</f>
        <v>0</v>
      </c>
    </row>
    <row r="40" spans="1:6" x14ac:dyDescent="0.25">
      <c r="A40" t="str">
        <f ca="1"/>
        <v>Marcelo Silva Santana</v>
      </c>
      <c r="B40" s="26">
        <f ca="1">IF($A40="","",SUMIFS('GECC 2026'!H$2:H$200,'GECC 2026'!F$2:F$200,$A40))</f>
        <v>12</v>
      </c>
      <c r="C40" s="26">
        <f ca="1">IF($A40="","",SUMIFS('GECC 2026'!I$2:I$200,'GECC 2026'!F$2:F$200,$A40))</f>
        <v>1.44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13.440000000000001</v>
      </c>
      <c r="F40" s="24">
        <f ca="1">IF($A40="","",COUNTIFS('GECC 2026'!F$2:F$200,$A40))</f>
        <v>2</v>
      </c>
    </row>
    <row r="41" spans="1:6" x14ac:dyDescent="0.25">
      <c r="A41" t="str">
        <f ca="1"/>
        <v>Mauri Siqueira Montessi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Michel Martins de Morais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Paulo José Góes Daltro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0</v>
      </c>
      <c r="F43" s="24">
        <f ca="1">IF($A43="","",COUNTIFS('GECC 2026'!F$2:F$200,$A43))</f>
        <v>2</v>
      </c>
    </row>
    <row r="44" spans="1:6" x14ac:dyDescent="0.25">
      <c r="A44" t="str">
        <f ca="1"/>
        <v>Priscila Nolasco de Oliveira</v>
      </c>
      <c r="B44" s="26">
        <f ca="1">IF($A44="","",SUMIFS('GECC 2026'!H$2:H$200,'GECC 2026'!F$2:F$200,$A44))</f>
        <v>12</v>
      </c>
      <c r="C44" s="26">
        <f ca="1">IF($A44="","",SUMIFS('GECC 2026'!I$2:I$200,'GECC 2026'!F$2:F$200,$A44))</f>
        <v>3.5999999999999996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15.600000000000001</v>
      </c>
      <c r="F44" s="24">
        <f ca="1">IF($A44="","",COUNTIFS('GECC 2026'!F$2:F$200,$A44))</f>
        <v>3</v>
      </c>
    </row>
    <row r="45" spans="1:6" x14ac:dyDescent="0.25">
      <c r="A45" t="str">
        <f ca="1"/>
        <v>Reinaldo Alencar</v>
      </c>
      <c r="B45" s="26">
        <f ca="1">IF($A45="","",SUMIFS('GECC 2026'!H$2:H$200,'GECC 2026'!F$2:F$200,$A45))</f>
        <v>48</v>
      </c>
      <c r="C45" s="26">
        <f ca="1">IF($A45="","",SUMIFS('GECC 2026'!I$2:I$200,'GECC 2026'!F$2:F$200,$A45))</f>
        <v>7.1999999999999993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55.2</v>
      </c>
      <c r="F45" s="24">
        <f ca="1">IF($A45="","",COUNTIFS('GECC 2026'!F$2:F$200,$A45))</f>
        <v>3</v>
      </c>
    </row>
    <row r="46" spans="1:6" x14ac:dyDescent="0.25">
      <c r="A46" t="str">
        <f ca="1"/>
        <v>Renan Dias da Silva</v>
      </c>
      <c r="B46" s="26">
        <f ca="1">IF($A46="","",SUMIFS('GECC 2026'!H$2:H$200,'GECC 2026'!F$2:F$200,$A46))</f>
        <v>4</v>
      </c>
      <c r="C46" s="26">
        <f ca="1">IF($A46="","",SUMIFS('GECC 2026'!I$2:I$200,'GECC 2026'!F$2:F$200,$A46))</f>
        <v>1.2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5.2</v>
      </c>
      <c r="F46" s="24">
        <f ca="1">IF($A46="","",COUNTIFS('GECC 2026'!F$2:F$200,$A46))</f>
        <v>1</v>
      </c>
    </row>
    <row r="47" spans="1:6" x14ac:dyDescent="0.25">
      <c r="A47" t="str">
        <f ca="1"/>
        <v>Rogério Ribeiro</v>
      </c>
      <c r="B47" s="26">
        <f ca="1">IF($A47="","",SUMIFS('GECC 2026'!H$2:H$200,'GECC 2026'!F$2:F$200,$A47))</f>
        <v>48</v>
      </c>
      <c r="C47" s="26">
        <f ca="1">IF($A47="","",SUMIFS('GECC 2026'!I$2:I$200,'GECC 2026'!F$2:F$200,$A47))</f>
        <v>7.1999999999999993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55.2</v>
      </c>
      <c r="F47" s="24">
        <f ca="1">IF($A47="","",COUNTIFS('GECC 2026'!F$2:F$200,$A47))</f>
        <v>3</v>
      </c>
    </row>
    <row r="48" spans="1:6" x14ac:dyDescent="0.25">
      <c r="A48" t="str">
        <f ca="1"/>
        <v>Rômulo Miranda Alvim</v>
      </c>
      <c r="B48" s="26">
        <f ca="1">IF($A48="","",SUMIFS('GECC 2026'!H$2:H$200,'GECC 2026'!F$2:F$200,$A48))</f>
        <v>24</v>
      </c>
      <c r="C48" s="26">
        <f ca="1">IF($A48="","",SUMIFS('GECC 2026'!I$2:I$200,'GECC 2026'!F$2:F$200,$A48))</f>
        <v>3.6</v>
      </c>
      <c r="D48" s="101">
        <f ca="1">IF($A48="","",SUMIFS('GECC 2026'!$AE$3:$AE$32,'GECC 2026'!$AD$3:$AD$32,$A48))</f>
        <v>16</v>
      </c>
      <c r="E48" s="93">
        <f ca="1">IF($A48="","",SUMIFS('GECC 2026'!J$2:J$200,'GECC 2026'!F$2:F$200,$A48)+SUMIFS('GECC 2026'!$AE$3:$AE$32,'GECC 2026'!$AD$3:$AD$32,$A48))</f>
        <v>43.6</v>
      </c>
      <c r="F48" s="24">
        <f ca="1">IF($A48="","",COUNTIFS('GECC 2026'!F$2:F$200,$A48))</f>
        <v>2</v>
      </c>
    </row>
    <row r="49" spans="1:6" x14ac:dyDescent="0.25">
      <c r="A49" t="str">
        <f ca="1"/>
        <v>Sara Cristina Lins Ramos</v>
      </c>
      <c r="B49" s="26">
        <f ca="1">IF($A49="","",SUMIFS('GECC 2026'!H$2:H$200,'GECC 2026'!F$2:F$200,$A49))</f>
        <v>8</v>
      </c>
      <c r="C49" s="26">
        <f ca="1">IF($A49="","",SUMIFS('GECC 2026'!I$2:I$200,'GECC 2026'!F$2:F$200,$A49))</f>
        <v>2.4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10.4</v>
      </c>
      <c r="F49" s="24">
        <f ca="1">IF($A49="","",COUNTIFS('GECC 2026'!F$2:F$200,$A49))</f>
        <v>1</v>
      </c>
    </row>
    <row r="50" spans="1:6" x14ac:dyDescent="0.25">
      <c r="A50" t="str">
        <f ca="1"/>
        <v>Servidores, colaboradores e estagiários do TCDF</v>
      </c>
      <c r="B50" s="26">
        <f ca="1">IF($A50="","",SUMIFS('GECC 2026'!H$2:H$200,'GECC 2026'!F$2:F$200,$A50))</f>
        <v>0</v>
      </c>
      <c r="C50" s="26">
        <f ca="1">IF($A50="","",SUMIFS('GECC 2026'!I$2:I$200,'GECC 2026'!F$2:F$200,$A50))</f>
        <v>0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0</v>
      </c>
      <c r="F50" s="24">
        <f ca="1">IF($A50="","",COUNTIFS('GECC 2026'!F$2:F$200,$A50))</f>
        <v>1</v>
      </c>
    </row>
    <row r="51" spans="1:6" x14ac:dyDescent="0.25">
      <c r="A51" t="str">
        <f ca="1"/>
        <v>Silvia Lima Damasceno Carvalho</v>
      </c>
      <c r="B51" s="26">
        <f ca="1">IF($A51="","",SUMIFS('GECC 2026'!H$2:H$200,'GECC 2026'!F$2:F$200,$A51))</f>
        <v>21</v>
      </c>
      <c r="C51" s="26">
        <f ca="1">IF($A51="","",SUMIFS('GECC 2026'!I$2:I$200,'GECC 2026'!F$2:F$200,$A51))</f>
        <v>6.3000000000000007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27.299999999999997</v>
      </c>
      <c r="F51" s="24">
        <f ca="1">IF($A51="","",COUNTIFS('GECC 2026'!F$2:F$200,$A51))</f>
        <v>6</v>
      </c>
    </row>
    <row r="52" spans="1:6" x14ac:dyDescent="0.25">
      <c r="A52" t="str">
        <f ca="1"/>
        <v>Tarsila Firmino Ely</v>
      </c>
      <c r="B52" s="26">
        <f ca="1">IF($A52="","",SUMIFS('GECC 2026'!H$2:H$200,'GECC 2026'!F$2:F$200,$A52))</f>
        <v>88</v>
      </c>
      <c r="C52" s="26">
        <f ca="1">IF($A52="","",SUMIFS('GECC 2026'!I$2:I$200,'GECC 2026'!F$2:F$200,$A52))</f>
        <v>83.6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171.6</v>
      </c>
      <c r="F52" s="24">
        <f ca="1">IF($A52="","",COUNTIFS('GECC 2026'!F$2:F$200,$A52))</f>
        <v>7</v>
      </c>
    </row>
    <row r="53" spans="1:6" x14ac:dyDescent="0.25">
      <c r="A53" t="str">
        <f ca="1"/>
        <v>Thiago Magalhães de Oliveira</v>
      </c>
      <c r="B53" s="26">
        <f ca="1">IF($A53="","",SUMIFS('GECC 2026'!H$2:H$200,'GECC 2026'!F$2:F$200,$A53))</f>
        <v>4</v>
      </c>
      <c r="C53" s="26">
        <f ca="1">IF($A53="","",SUMIFS('GECC 2026'!I$2:I$200,'GECC 2026'!F$2:F$200,$A53))</f>
        <v>1.2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5.2</v>
      </c>
      <c r="F53" s="24">
        <f ca="1">IF($A53="","",COUNTIFS('GECC 2026'!F$2:F$200,$A53))</f>
        <v>1</v>
      </c>
    </row>
    <row r="54" spans="1:6" x14ac:dyDescent="0.25">
      <c r="A54" t="str">
        <f ca="1"/>
        <v>Túllio Herbeth Teixeira Moraes</v>
      </c>
      <c r="B54" s="26">
        <f ca="1">IF($A54="","",SUMIFS('GECC 2026'!H$2:H$200,'GECC 2026'!F$2:F$200,$A54))</f>
        <v>9</v>
      </c>
      <c r="C54" s="26">
        <f ca="1">IF($A54="","",SUMIFS('GECC 2026'!I$2:I$200,'GECC 2026'!F$2:F$200,$A54))</f>
        <v>2.6999999999999997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11.7</v>
      </c>
      <c r="F54" s="24">
        <f ca="1">IF($A54="","",COUNTIFS('GECC 2026'!F$2:F$200,$A54))</f>
        <v>3</v>
      </c>
    </row>
    <row r="55" spans="1:6" x14ac:dyDescent="0.25">
      <c r="A55" t="str">
        <f ca="1"/>
        <v>Valéria Feitoza</v>
      </c>
      <c r="B55" s="26">
        <f ca="1">IF($A55="","",SUMIFS('GECC 2026'!H$2:H$200,'GECC 2026'!F$2:F$200,$A55))</f>
        <v>2</v>
      </c>
      <c r="C55" s="26">
        <f ca="1">IF($A55="","",SUMIFS('GECC 2026'!I$2:I$200,'GECC 2026'!F$2:F$200,$A55))</f>
        <v>0.6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2.6</v>
      </c>
      <c r="F55" s="24">
        <f ca="1">IF($A55="","",COUNTIFS('GECC 2026'!F$2:F$200,$A55))</f>
        <v>2</v>
      </c>
    </row>
    <row r="56" spans="1:6" x14ac:dyDescent="0.25">
      <c r="A56" t="str">
        <f ca="1"/>
        <v>Wibys Pereira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737</v>
      </c>
      <c r="C105" s="95">
        <f ca="1">SUM(C5:C100)</f>
        <v>341.43999999999994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2026-08-18T19:45:49Z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