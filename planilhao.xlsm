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89" documentId="13_ncr:1_{6A2CC3E2-FAFB-4D8F-B284-5E8FB5045DFE}" xr6:coauthVersionLast="47" xr6:coauthVersionMax="47" xr10:uidLastSave="{80F3A903-EC97-43FC-A645-2042C6CDF528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28" l="1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A5" i="23" l="1" a="1"/>
  <c r="E105" i="23"/>
  <c r="E38" i="23" l="1"/>
  <c r="F36" i="23"/>
  <c r="E8" i="23"/>
  <c r="B39" i="23"/>
  <c r="F25" i="23"/>
  <c r="F28" i="23"/>
  <c r="F20" i="23"/>
  <c r="D19" i="23"/>
  <c r="C44" i="23"/>
  <c r="F31" i="23"/>
  <c r="E18" i="23"/>
  <c r="C31" i="23"/>
  <c r="C26" i="23"/>
  <c r="F35" i="23"/>
  <c r="E39" i="23"/>
  <c r="D60" i="23"/>
  <c r="E7" i="23"/>
  <c r="F55" i="23"/>
  <c r="E29" i="23"/>
  <c r="D6" i="23"/>
  <c r="C11" i="23"/>
  <c r="F29" i="23"/>
  <c r="B20" i="23"/>
  <c r="C29" i="23"/>
  <c r="B38" i="23"/>
  <c r="D9" i="23"/>
  <c r="B46" i="23"/>
  <c r="F34" i="23"/>
  <c r="C17" i="23"/>
  <c r="B25" i="23"/>
  <c r="E53" i="23"/>
  <c r="D23" i="23"/>
  <c r="C46" i="23"/>
  <c r="C13" i="23"/>
  <c r="F58" i="23"/>
  <c r="D33" i="23"/>
  <c r="E12" i="23"/>
  <c r="F54" i="23"/>
  <c r="B49" i="23"/>
  <c r="F57" i="23"/>
  <c r="D36" i="23"/>
  <c r="B19" i="23"/>
  <c r="E32" i="23"/>
  <c r="B59" i="23"/>
  <c r="B34" i="23"/>
  <c r="C18" i="23"/>
  <c r="D34" i="23"/>
  <c r="C27" i="23"/>
  <c r="F7" i="23"/>
  <c r="D40" i="23"/>
  <c r="C20" i="23"/>
  <c r="D30" i="23"/>
  <c r="E24" i="23"/>
  <c r="B33" i="23"/>
  <c r="C52" i="23"/>
  <c r="F9" i="23"/>
  <c r="B45" i="23"/>
  <c r="C54" i="23"/>
  <c r="B41" i="23"/>
  <c r="E34" i="23"/>
  <c r="C51" i="23"/>
  <c r="B29" i="23"/>
  <c r="F46" i="23"/>
  <c r="C9" i="23"/>
  <c r="F38" i="23"/>
  <c r="B42" i="23"/>
  <c r="E54" i="23"/>
  <c r="F51" i="23"/>
  <c r="E56" i="23"/>
  <c r="B18" i="23"/>
  <c r="D56" i="23"/>
  <c r="E47" i="23"/>
  <c r="C49" i="23"/>
  <c r="D50" i="23"/>
  <c r="D17" i="23"/>
  <c r="E14" i="23"/>
  <c r="D57" i="23"/>
  <c r="D18" i="23"/>
  <c r="B43" i="23"/>
  <c r="F23" i="23"/>
  <c r="C23" i="23"/>
  <c r="F60" i="23"/>
  <c r="C53" i="23"/>
  <c r="D21" i="23"/>
  <c r="D12" i="23"/>
  <c r="C33" i="23"/>
  <c r="C21" i="23"/>
  <c r="B36" i="23"/>
  <c r="D26" i="23"/>
  <c r="F41" i="23"/>
  <c r="E42" i="23"/>
  <c r="E59" i="23"/>
  <c r="F6" i="23"/>
  <c r="E46" i="23"/>
  <c r="E57" i="23"/>
  <c r="C30" i="23"/>
  <c r="F26" i="23"/>
  <c r="E52" i="23"/>
  <c r="F50" i="23"/>
  <c r="D27" i="23"/>
  <c r="D20" i="23"/>
  <c r="C37" i="23"/>
  <c r="E50" i="23"/>
  <c r="B28" i="23"/>
  <c r="F56" i="23"/>
  <c r="E44" i="23"/>
  <c r="B58" i="23"/>
  <c r="F61" i="23"/>
  <c r="B26" i="23"/>
  <c r="C40" i="23"/>
  <c r="B24" i="23"/>
  <c r="B30" i="23"/>
  <c r="D41" i="23"/>
  <c r="B15" i="23"/>
  <c r="D28" i="23"/>
  <c r="D38" i="23"/>
  <c r="C38" i="23"/>
  <c r="F17" i="23"/>
  <c r="C25" i="23"/>
  <c r="D54" i="23"/>
  <c r="E36" i="23"/>
  <c r="F12" i="23"/>
  <c r="F32" i="23"/>
  <c r="E45" i="23"/>
  <c r="E41" i="23"/>
  <c r="B53" i="23"/>
  <c r="F22" i="23"/>
  <c r="E16" i="23"/>
  <c r="E49" i="23"/>
  <c r="D7" i="23"/>
  <c r="C24" i="23"/>
  <c r="B7" i="23"/>
  <c r="F15" i="23"/>
  <c r="C7" i="23"/>
  <c r="F43" i="23"/>
  <c r="B12" i="23"/>
  <c r="B11" i="23"/>
  <c r="E55" i="23"/>
  <c r="B31" i="23"/>
  <c r="C41" i="23"/>
  <c r="C45" i="23"/>
  <c r="C50" i="23"/>
  <c r="C42" i="23"/>
  <c r="C56" i="23"/>
  <c r="C47" i="23"/>
  <c r="E23" i="23"/>
  <c r="E48" i="23"/>
  <c r="D61" i="23"/>
  <c r="F40" i="23"/>
  <c r="D44" i="23"/>
  <c r="B6" i="23"/>
  <c r="F53" i="23"/>
  <c r="E26" i="23"/>
  <c r="F52" i="23"/>
  <c r="B51" i="23"/>
  <c r="C59" i="23"/>
  <c r="D48" i="23"/>
  <c r="F8" i="23"/>
  <c r="D35" i="23"/>
  <c r="C19" i="23"/>
  <c r="E11" i="23"/>
  <c r="E28" i="23"/>
  <c r="C8" i="23"/>
  <c r="F33" i="23"/>
  <c r="B23" i="23"/>
  <c r="B8" i="23"/>
  <c r="B61" i="23"/>
  <c r="F30" i="23"/>
  <c r="B44" i="23"/>
  <c r="F24" i="23"/>
  <c r="E30" i="23"/>
  <c r="E40" i="23"/>
  <c r="E20" i="23"/>
  <c r="F39" i="23"/>
  <c r="B40" i="23"/>
  <c r="D8" i="23"/>
  <c r="B27" i="23"/>
  <c r="E6" i="23"/>
  <c r="B52" i="23"/>
  <c r="D52" i="23"/>
  <c r="E15" i="23"/>
  <c r="E51" i="23"/>
  <c r="E33" i="23"/>
  <c r="F59" i="23"/>
  <c r="E10" i="23"/>
  <c r="E35" i="23"/>
  <c r="C57" i="23"/>
  <c r="C12" i="23"/>
  <c r="E61" i="23"/>
  <c r="D25" i="23"/>
  <c r="B48" i="23"/>
  <c r="B21" i="23"/>
  <c r="D15" i="23"/>
  <c r="B13" i="23"/>
  <c r="D31" i="23"/>
  <c r="B22" i="23"/>
  <c r="C14" i="23"/>
  <c r="D11" i="23"/>
  <c r="B35" i="23"/>
  <c r="C39" i="23"/>
  <c r="E21" i="23"/>
  <c r="C16" i="23"/>
  <c r="C34" i="23"/>
  <c r="C22" i="23"/>
  <c r="E27" i="23"/>
  <c r="B56" i="23"/>
  <c r="E58" i="23"/>
  <c r="B10" i="23"/>
  <c r="D47" i="23"/>
  <c r="E43" i="23"/>
  <c r="E13" i="23"/>
  <c r="E22" i="23"/>
  <c r="E60" i="23"/>
  <c r="F18" i="23"/>
  <c r="B54" i="23"/>
  <c r="F47" i="23"/>
  <c r="B47" i="23"/>
  <c r="D53" i="23"/>
  <c r="B57" i="23"/>
  <c r="F44" i="23"/>
  <c r="D39" i="23"/>
  <c r="D14" i="23"/>
  <c r="D32" i="23"/>
  <c r="C36" i="23"/>
  <c r="C15" i="23"/>
  <c r="D24" i="23"/>
  <c r="E25" i="23"/>
  <c r="C10" i="23"/>
  <c r="C32" i="23"/>
  <c r="B16" i="23"/>
  <c r="D42" i="23"/>
  <c r="E9" i="23"/>
  <c r="F14" i="23"/>
  <c r="F16" i="23"/>
  <c r="E19" i="23"/>
  <c r="C35" i="23"/>
  <c r="B14" i="23"/>
  <c r="F10" i="23"/>
  <c r="F49" i="23"/>
  <c r="D59" i="23"/>
  <c r="C48" i="23"/>
  <c r="D10" i="23"/>
  <c r="D51" i="23"/>
  <c r="C43" i="23"/>
  <c r="D43" i="23"/>
  <c r="C58" i="23"/>
  <c r="B55" i="23"/>
  <c r="F19" i="23"/>
  <c r="D37" i="23"/>
  <c r="B17" i="23"/>
  <c r="D58" i="23"/>
  <c r="B9" i="23"/>
  <c r="B60" i="23"/>
  <c r="F13" i="23"/>
  <c r="C6" i="23"/>
  <c r="F45" i="23"/>
  <c r="E31" i="23"/>
  <c r="C60" i="23"/>
  <c r="B50" i="23"/>
  <c r="F21" i="23"/>
  <c r="C28" i="23"/>
  <c r="C61" i="23"/>
  <c r="D16" i="23"/>
  <c r="D13" i="23"/>
  <c r="F48" i="23"/>
  <c r="D49" i="23"/>
  <c r="F11" i="23"/>
  <c r="D45" i="23"/>
  <c r="D55" i="23"/>
  <c r="B37" i="23"/>
  <c r="F27" i="23"/>
  <c r="E37" i="23"/>
  <c r="E17" i="23"/>
  <c r="D22" i="23"/>
  <c r="D29" i="23"/>
  <c r="C55" i="23"/>
  <c r="B32" i="23"/>
  <c r="F42" i="23"/>
  <c r="D46" i="23"/>
  <c r="F37" i="23"/>
  <c r="F5" i="23"/>
  <c r="E5" i="23"/>
  <c r="D5" i="23"/>
  <c r="G5" i="23"/>
  <c r="C5" i="23"/>
  <c r="C105" i="23" s="1"/>
  <c r="B5" i="23"/>
  <c r="B105" i="23" s="1"/>
  <c r="F105" i="2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<sst xmlns="http://schemas.openxmlformats.org/spreadsheetml/2006/main" count="7398" uniqueCount="3253">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</sst>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0" totalsRowShown="0">
  <autoFilter ref="A3:E110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G715" activePane="bottomLeft" state="frozen"/>
      <selection pane="bottomLeft" activeCell="T726" sqref="T726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2696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/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/>
    </row>
    <row r="727" spans="1:20" ht="1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>
      <c r="A743" s="156" t="s">
        <v>3025</v>
      </c>
      <c r="B743" s="154">
        <v>2026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0"/>
  <sheetViews>
    <sheetView topLeftCell="A9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3054</v>
      </c>
      <c r="H1" s="168" t="s">
        <v>3055</v>
      </c>
    </row>
    <row r="2" spans="1:8">
      <c r="H2" s="167" t="s">
        <v>3056</v>
      </c>
    </row>
    <row r="3" spans="1:8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B110" t="s">
        <v>3114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3115</v>
      </c>
      <c r="C1" s="18" t="s">
        <v>3116</v>
      </c>
      <c r="D1" s="18" t="s">
        <v>4</v>
      </c>
      <c r="E1" s="18" t="s">
        <v>3117</v>
      </c>
      <c r="F1" s="18" t="s">
        <v>19</v>
      </c>
      <c r="G1" s="18" t="s">
        <v>3118</v>
      </c>
      <c r="H1" s="18" t="s">
        <v>3119</v>
      </c>
      <c r="I1" s="18" t="s">
        <v>3120</v>
      </c>
      <c r="J1" s="18" t="s">
        <v>3121</v>
      </c>
      <c r="L1" s="110" t="s">
        <v>3122</v>
      </c>
      <c r="M1" s="22">
        <v>2026</v>
      </c>
      <c r="U1" s="79" t="s">
        <v>3123</v>
      </c>
      <c r="V1" s="78"/>
      <c r="X1" s="77" t="s">
        <v>3124</v>
      </c>
      <c r="Y1" s="26"/>
      <c r="Z1" s="26"/>
      <c r="AA1" s="26"/>
      <c r="AC1" s="99" t="s">
        <v>3125</v>
      </c>
    </row>
    <row r="2" spans="1:31">
      <c r="A2" s="20" cm="1">
        <f t="array" aca="1" ref="A2:J14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3126</v>
      </c>
      <c r="M2" s="106" t="s">
        <v>2927</v>
      </c>
      <c r="X2" s="112" t="s">
        <v>3115</v>
      </c>
      <c r="Y2" s="112" t="s">
        <v>19</v>
      </c>
      <c r="Z2" s="112" t="s">
        <v>3127</v>
      </c>
      <c r="AA2" s="112" t="s">
        <v>3128</v>
      </c>
      <c r="AC2" s="113" t="s">
        <v>1</v>
      </c>
      <c r="AD2" s="113" t="s">
        <v>3129</v>
      </c>
      <c r="AE2" s="113" t="s">
        <v>3130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3131</v>
      </c>
      <c r="M3" s="111" t="s">
        <v>3132</v>
      </c>
      <c r="N3" s="111" t="s">
        <v>3133</v>
      </c>
      <c r="O3" s="111" t="s">
        <v>3134</v>
      </c>
      <c r="P3" s="111" t="s">
        <v>3135</v>
      </c>
      <c r="Q3" s="111" t="s">
        <v>3136</v>
      </c>
      <c r="R3" s="111" t="s">
        <v>3137</v>
      </c>
      <c r="S3" s="111" t="s">
        <v>3138</v>
      </c>
      <c r="T3" s="111" t="s">
        <v>3139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3140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3141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3142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2685</v>
      </c>
      <c r="Y49" t="s">
        <v>3104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2685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2685</v>
      </c>
      <c r="Y51" t="s">
        <v>3143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2685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2685</v>
      </c>
      <c r="Y53" t="s">
        <v>3111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2685</v>
      </c>
      <c r="Y54" t="s">
        <v>3109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3096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>
        <f ca="1"/>
        <v>0</v>
      </c>
      <c r="R58">
        <f ca="1"/>
        <v>1</v>
      </c>
      <c r="S58">
        <f ca="1"/>
        <v>122</v>
      </c>
      <c r="T58">
        <f ca="1"/>
        <v>121</v>
      </c>
      <c r="X58" t="s">
        <v>2748</v>
      </c>
      <c r="Y58" s="109" t="s">
        <v>3103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124</v>
      </c>
      <c r="T59">
        <f ca="1"/>
        <v>122</v>
      </c>
      <c r="X59" t="s">
        <v>2748</v>
      </c>
      <c r="Y59" t="s">
        <v>3102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125</v>
      </c>
      <c r="T60">
        <f ca="1"/>
        <v>124</v>
      </c>
      <c r="X60" t="s">
        <v>2748</v>
      </c>
      <c r="Y60" t="s">
        <v>3101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128</v>
      </c>
      <c r="T61">
        <f ca="1"/>
        <v>125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129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131</v>
      </c>
      <c r="T63">
        <f ca="1"/>
        <v>129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3093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133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A realizar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135</v>
      </c>
      <c r="T66">
        <f ca="1"/>
        <v>133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137</v>
      </c>
      <c r="T67">
        <f ca="1"/>
        <v>135</v>
      </c>
      <c r="X67" t="s">
        <v>2959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A realizar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140</v>
      </c>
      <c r="T68">
        <f ca="1"/>
        <v>137</v>
      </c>
      <c r="X68" t="s">
        <v>2959</v>
      </c>
      <c r="Y68" t="s">
        <v>3091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142</v>
      </c>
      <c r="T69">
        <f ca="1"/>
        <v>140</v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144</v>
      </c>
      <c r="T70">
        <f ca="1"/>
        <v>142</v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144</v>
      </c>
      <c r="X71" t="s">
        <v>2822</v>
      </c>
      <c r="Y71" s="17" t="s">
        <v>3075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3144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3144</v>
      </c>
      <c r="Y87" t="s">
        <v>3093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3144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2026-070</v>
      </c>
      <c r="C123" t="str">
        <f ca="1"/>
        <v>A realizar</v>
      </c>
      <c r="D123" t="str">
        <f ca="1"/>
        <v>UniTCDF: Obras Públicas</v>
      </c>
      <c r="E123">
        <f ca="1"/>
        <v>5</v>
      </c>
      <c r="F123" t="str">
        <f ca="1"/>
        <v>0</v>
      </c>
      <c r="G123">
        <f ca="1"/>
        <v>1</v>
      </c>
      <c r="H123">
        <f ca="1"/>
        <v>5</v>
      </c>
      <c r="I123">
        <f ca="1"/>
        <v>1.5</v>
      </c>
      <c r="J123">
        <f ca="1"/>
        <v>6.5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Fernanda Viana de Souza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2026-072</v>
      </c>
      <c r="C125" t="str">
        <f ca="1"/>
        <v>Realizado</v>
      </c>
      <c r="D125" t="str">
        <f ca="1"/>
        <v>UniTCDF: Gestão Pública e Responsabilidade Fiscal (CEUB)</v>
      </c>
      <c r="E125">
        <f ca="1"/>
        <v>3</v>
      </c>
      <c r="F125" t="str">
        <f ca="1"/>
        <v>Túllio Herbeth Teixeira Moraes</v>
      </c>
      <c r="G125">
        <f ca="1"/>
        <v>2</v>
      </c>
      <c r="H125">
        <f ca="1"/>
        <v>3</v>
      </c>
      <c r="I125">
        <f ca="1"/>
        <v>0.89999999999999991</v>
      </c>
      <c r="J125">
        <f ca="1"/>
        <v>3.9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2026-077</v>
      </c>
      <c r="C126" t="str">
        <f ca="1"/>
        <v>A realizar</v>
      </c>
      <c r="D126" t="str">
        <f ca="1"/>
        <v>Exibição de filme: Consciência Negra</v>
      </c>
      <c r="E126">
        <f ca="1"/>
        <v>0</v>
      </c>
      <c r="F126" t="str">
        <f ca="1"/>
        <v>0</v>
      </c>
      <c r="G126">
        <f ca="1"/>
        <v>1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Isac Mendes Caixeta de Pamplona Araújo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Valéria Feitoza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2026-079</v>
      </c>
      <c r="C129" t="str">
        <f ca="1"/>
        <v>Realizado</v>
      </c>
      <c r="D129" t="str">
        <f ca="1"/>
        <v>Café e Tertúlia: Gincana dos Neurotransmissores</v>
      </c>
      <c r="E129">
        <f ca="1"/>
        <v>2</v>
      </c>
      <c r="F129" t="str">
        <f ca="1"/>
        <v>Cinthia Thais de Carvalho Luz Thomazi</v>
      </c>
      <c r="G129">
        <f ca="1"/>
        <v>3</v>
      </c>
      <c r="H129">
        <f ca="1"/>
        <v>0</v>
      </c>
      <c r="I129">
        <f ca="1"/>
        <v>0</v>
      </c>
      <c r="J129">
        <f ca="1"/>
        <v>0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2026-081</v>
      </c>
      <c r="C130" t="str">
        <f ca="1"/>
        <v>Realizado</v>
      </c>
      <c r="D130" t="str">
        <f ca="1"/>
        <v>Contratações de TIC com base na jurisprudência do TCDF - SGDI</v>
      </c>
      <c r="E130">
        <f ca="1"/>
        <v>8</v>
      </c>
      <c r="F130" t="str">
        <f ca="1"/>
        <v>Felipe da Costa Malaquias</v>
      </c>
      <c r="G130">
        <f ca="1"/>
        <v>1</v>
      </c>
      <c r="H130">
        <f ca="1"/>
        <v>8</v>
      </c>
      <c r="I130">
        <f ca="1"/>
        <v>2.4</v>
      </c>
      <c r="J130">
        <f ca="1"/>
        <v>10.4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Luciana Alvim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2026-082</v>
      </c>
      <c r="C132" t="str">
        <f ca="1"/>
        <v>Realizado</v>
      </c>
      <c r="D132" t="str">
        <f ca="1"/>
        <v>Curso de formação para gestores e fiscais de contrato nas unidades hospitalares – Turma 4</v>
      </c>
      <c r="E132">
        <f ca="1"/>
        <v>12</v>
      </c>
      <c r="F132" t="str">
        <f ca="1"/>
        <v>Tarsila Firmino Ely</v>
      </c>
      <c r="G132">
        <f ca="1"/>
        <v>2</v>
      </c>
      <c r="H132">
        <f ca="1"/>
        <v>12</v>
      </c>
      <c r="I132">
        <f ca="1"/>
        <v>3.5999999999999996</v>
      </c>
      <c r="J132">
        <f ca="1"/>
        <v>15.6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2026-083</v>
      </c>
      <c r="C133" t="str">
        <f ca="1"/>
        <v>Realizado</v>
      </c>
      <c r="D133" t="str">
        <f ca="1"/>
        <v>Oficina básica de Power Automate</v>
      </c>
      <c r="E133">
        <f ca="1"/>
        <v>9</v>
      </c>
      <c r="F133" t="str">
        <f ca="1"/>
        <v>Josdeyvi Magalhães Russi</v>
      </c>
      <c r="G133">
        <f ca="1"/>
        <v>1</v>
      </c>
      <c r="H133">
        <f ca="1"/>
        <v>9</v>
      </c>
      <c r="I133">
        <f ca="1"/>
        <v>2.6999999999999997</v>
      </c>
      <c r="J133">
        <f ca="1"/>
        <v>11.7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2026-084</v>
      </c>
      <c r="C134" t="str">
        <f ca="1"/>
        <v>A realizar</v>
      </c>
      <c r="D134" t="str">
        <f ca="1"/>
        <v>Oficina EmentAI: o seu assistente de IA na elaboração de ementas jurisprudenciais</v>
      </c>
      <c r="E134">
        <f ca="1"/>
        <v>4</v>
      </c>
      <c r="F134" t="str">
        <f ca="1"/>
        <v>Caio Filipe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2026-085</v>
      </c>
      <c r="C136" t="str">
        <f ca="1"/>
        <v>A realizar</v>
      </c>
      <c r="D136" t="str">
        <f ca="1"/>
        <v xml:space="preserve">Introdução à Engenharia de Prompt – T5 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Arthur Wú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2026-086</v>
      </c>
      <c r="C138" t="str">
        <f ca="1"/>
        <v>A realizar</v>
      </c>
      <c r="D138" t="str">
        <f ca="1"/>
        <v>Introdução à Engenharia de Prompt – T6</v>
      </c>
      <c r="E138">
        <f ca="1"/>
        <v>8</v>
      </c>
      <c r="F138" t="str">
        <f ca="1"/>
        <v>Gustavo Takahashi</v>
      </c>
      <c r="G138">
        <f ca="1"/>
        <v>2</v>
      </c>
      <c r="H138">
        <f ca="1"/>
        <v>8</v>
      </c>
      <c r="I138">
        <f ca="1"/>
        <v>2.4</v>
      </c>
      <c r="J138">
        <f ca="1"/>
        <v>10.4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Isac Mendes Caixeta de Pamplona Araújo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Valéria Feitoza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2026-087</v>
      </c>
      <c r="C141" t="str">
        <f ca="1"/>
        <v>A realizar</v>
      </c>
      <c r="D141" t="str">
        <f ca="1"/>
        <v>Café e Tertúlia - Show de Talentos</v>
      </c>
      <c r="E141">
        <f ca="1"/>
        <v>2</v>
      </c>
      <c r="F141" t="str">
        <f ca="1"/>
        <v>Cinthia Thais de Carvalho Luz Thomazi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Indio Artiaga do Brasil Rabelo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2026-092</v>
      </c>
      <c r="C143" t="str">
        <f ca="1"/>
        <v>A realizar</v>
      </c>
      <c r="D143" t="str">
        <f ca="1"/>
        <v>MROSC para servidores do GDF</v>
      </c>
      <c r="E143">
        <f ca="1"/>
        <v>12</v>
      </c>
      <c r="F143" t="str">
        <f ca="1"/>
        <v>Leonardo de Melo</v>
      </c>
      <c r="G143">
        <f ca="1"/>
        <v>2</v>
      </c>
      <c r="H143">
        <f ca="1"/>
        <v>0</v>
      </c>
      <c r="I143">
        <f ca="1"/>
        <v>0</v>
      </c>
      <c r="J143">
        <f ca="1"/>
        <v>0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Marcelo Silva Santana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2026-093</v>
      </c>
      <c r="C145" t="str">
        <f ca="1"/>
        <v>A realizar</v>
      </c>
      <c r="D145" t="str">
        <f ca="1"/>
        <v>Controle Tecnológico de Pavimentos Asfálticos, Auditoria e Análise de Superfaturamento</v>
      </c>
      <c r="E145">
        <f ca="1"/>
        <v>12</v>
      </c>
      <c r="F145" t="str">
        <f ca="1"/>
        <v>Matheus Viana de Souza</v>
      </c>
      <c r="G145">
        <f ca="1"/>
        <v>2</v>
      </c>
      <c r="H145">
        <f ca="1"/>
        <v>0</v>
      </c>
      <c r="I145">
        <f ca="1"/>
        <v>0</v>
      </c>
      <c r="J145">
        <f ca="1"/>
        <v>0</v>
      </c>
      <c r="R145" t="str">
        <f ca="1"/>
        <v/>
      </c>
      <c r="S145" t="str">
        <f ca="1"/>
        <v/>
      </c>
    </row>
    <row r="146" spans="1:19">
      <c r="R146" t="str">
        <f ca="1"/>
        <v/>
      </c>
      <c r="S146" t="str">
        <f ca="1"/>
        <v/>
      </c>
    </row>
    <row r="147" spans="1:19">
      <c r="R147" t="str">
        <f ca="1"/>
        <v/>
      </c>
      <c r="S147" t="str">
        <f ca="1"/>
        <v/>
      </c>
    </row>
    <row r="148" spans="1:19">
      <c r="R148" t="str">
        <f ca="1"/>
        <v/>
      </c>
      <c r="S148" t="str">
        <f ca="1"/>
        <v/>
      </c>
    </row>
    <row r="149" spans="1:19">
      <c r="R149" t="str">
        <f ca="1"/>
        <v/>
      </c>
      <c r="S149" t="str">
        <f ca="1"/>
        <v/>
      </c>
    </row>
    <row r="150" spans="1:19">
      <c r="R150" t="str">
        <f ca="1"/>
        <v/>
      </c>
      <c r="S150" t="str">
        <f ca="1"/>
        <v/>
      </c>
    </row>
    <row r="151" spans="1:19">
      <c r="R151" t="str">
        <f ca="1"/>
        <v/>
      </c>
      <c r="S151" t="str">
        <f ca="1"/>
        <v/>
      </c>
    </row>
    <row r="152" spans="1:19">
      <c r="R152" t="str">
        <f ca="1"/>
        <v/>
      </c>
      <c r="S152" t="str">
        <f ca="1"/>
        <v/>
      </c>
    </row>
    <row r="153" spans="1:19">
      <c r="R153" t="str">
        <f ca="1"/>
        <v/>
      </c>
      <c r="S153" t="str">
        <f ca="1"/>
        <v/>
      </c>
    </row>
    <row r="154" spans="1:19">
      <c r="R154" t="str">
        <f ca="1"/>
        <v/>
      </c>
      <c r="S154" t="str">
        <f ca="1"/>
        <v/>
      </c>
    </row>
    <row r="155" spans="1:19"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3" t="s">
        <v>3145</v>
      </c>
      <c r="B1" s="213"/>
      <c r="C1" s="213"/>
      <c r="D1" s="213"/>
      <c r="E1" s="213"/>
      <c r="F1" s="213"/>
      <c r="G1" s="213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4" t="s">
        <v>3146</v>
      </c>
      <c r="B4" s="215"/>
      <c r="D4" s="216" t="s">
        <v>3147</v>
      </c>
      <c r="E4" s="217"/>
      <c r="G4" s="44" t="s">
        <v>3148</v>
      </c>
    </row>
    <row r="5" spans="1:7" ht="54.95" customHeight="1" thickBot="1">
      <c r="A5" s="34">
        <f>COUNTIF('Ações InCompany'!B:B,2026)</f>
        <v>93</v>
      </c>
      <c r="B5" s="35" t="s">
        <v>3149</v>
      </c>
      <c r="D5" s="42">
        <f>COUNTIFS('Ações InCompany'!B:B,2026,'Ações InCompany'!C:C,"Realizado")</f>
        <v>59</v>
      </c>
      <c r="E5" s="43" t="s">
        <v>3149</v>
      </c>
      <c r="G5" s="45">
        <f>COUNTIFS('Ações InCompany'!B:B,2026,'Ações InCompany'!C:C,"A realizar")</f>
        <v>25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2" t="s">
        <v>3150</v>
      </c>
      <c r="B8" s="212"/>
      <c r="D8" s="212" t="s">
        <v>3151</v>
      </c>
      <c r="E8" s="212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3152</v>
      </c>
      <c r="D10" s="27" t="s">
        <v>3153</v>
      </c>
      <c r="E10" s="27" t="s">
        <v>3154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3155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3156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3157</v>
      </c>
      <c r="E13" s="29">
        <f>SUMIFS('Ações InCompany'!Q:Q,'Ações InCompany'!B:B,2026,'Ações InCompany'!C:C,"Realizado")</f>
        <v>603</v>
      </c>
    </row>
    <row r="14" spans="1:7" ht="27.95" customHeight="1">
      <c r="A14" s="32" t="s">
        <v>3158</v>
      </c>
      <c r="B14" s="33">
        <f>SUM(B11:B13)</f>
        <v>59</v>
      </c>
      <c r="D14" s="32" t="s">
        <v>3159</v>
      </c>
      <c r="E14" s="33">
        <f>SUM(E11:E13)</f>
        <v>3116</v>
      </c>
    </row>
    <row r="30" spans="1:5" ht="17.25">
      <c r="A30" s="212" t="s">
        <v>3160</v>
      </c>
      <c r="B30" s="212"/>
      <c r="C30" s="212"/>
      <c r="D30" s="212"/>
      <c r="E30" s="212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3161</v>
      </c>
      <c r="C32" s="27" t="s">
        <v>3162</v>
      </c>
      <c r="D32" s="27" t="s">
        <v>3163</v>
      </c>
      <c r="E32" s="27" t="s">
        <v>3164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3165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3166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3158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3167</v>
      </c>
      <c r="B1" s="11" t="s">
        <v>3168</v>
      </c>
      <c r="C1" s="12" t="s">
        <v>3169</v>
      </c>
      <c r="D1" s="12" t="s">
        <v>3170</v>
      </c>
      <c r="E1" s="12" t="s">
        <v>3171</v>
      </c>
    </row>
    <row r="2" spans="1:5" ht="18" customHeight="1">
      <c r="A2" s="11" t="s">
        <v>3172</v>
      </c>
      <c r="B2" s="11" t="s">
        <v>3173</v>
      </c>
      <c r="C2" s="11" t="s">
        <v>1736</v>
      </c>
      <c r="D2" s="11" t="s">
        <v>3174</v>
      </c>
      <c r="E2" s="11" t="s">
        <v>3175</v>
      </c>
    </row>
    <row r="3" spans="1:5" ht="18" customHeight="1">
      <c r="A3" s="11" t="s">
        <v>3172</v>
      </c>
      <c r="B3" s="11" t="s">
        <v>3173</v>
      </c>
      <c r="C3" s="13" t="s">
        <v>25</v>
      </c>
      <c r="D3" s="11" t="s">
        <v>3176</v>
      </c>
      <c r="E3" s="11" t="s">
        <v>3177</v>
      </c>
    </row>
    <row r="4" spans="1:5" ht="18" customHeight="1">
      <c r="A4" s="11" t="s">
        <v>3172</v>
      </c>
      <c r="B4" s="11" t="s">
        <v>3173</v>
      </c>
      <c r="C4" s="11" t="s">
        <v>75</v>
      </c>
      <c r="D4" s="11" t="s">
        <v>3174</v>
      </c>
      <c r="E4" s="11" t="s">
        <v>3178</v>
      </c>
    </row>
    <row r="5" spans="1:5" ht="18" customHeight="1">
      <c r="A5" s="11" t="s">
        <v>3172</v>
      </c>
      <c r="B5" s="11" t="s">
        <v>3173</v>
      </c>
      <c r="C5" s="11" t="s">
        <v>79</v>
      </c>
      <c r="D5" s="11" t="s">
        <v>3179</v>
      </c>
      <c r="E5" s="11" t="s">
        <v>3180</v>
      </c>
    </row>
    <row r="6" spans="1:5" ht="18" customHeight="1">
      <c r="A6" s="11" t="s">
        <v>3172</v>
      </c>
      <c r="B6" s="11" t="s">
        <v>3173</v>
      </c>
      <c r="C6" s="11" t="s">
        <v>2717</v>
      </c>
      <c r="D6" s="11" t="s">
        <v>3181</v>
      </c>
      <c r="E6" s="11" t="s">
        <v>3182</v>
      </c>
    </row>
    <row r="7" spans="1:5" ht="18" customHeight="1">
      <c r="A7" s="11" t="s">
        <v>3172</v>
      </c>
      <c r="B7" s="11" t="s">
        <v>3183</v>
      </c>
      <c r="C7" s="11" t="s">
        <v>36</v>
      </c>
      <c r="D7" s="11" t="s">
        <v>3184</v>
      </c>
      <c r="E7" s="11" t="s">
        <v>3185</v>
      </c>
    </row>
    <row r="8" spans="1:5" ht="18" customHeight="1">
      <c r="A8" s="11" t="s">
        <v>3172</v>
      </c>
      <c r="B8" s="11" t="s">
        <v>3183</v>
      </c>
      <c r="C8" s="11" t="s">
        <v>42</v>
      </c>
      <c r="D8" s="11" t="s">
        <v>3186</v>
      </c>
      <c r="E8" s="11" t="s">
        <v>3187</v>
      </c>
    </row>
    <row r="9" spans="1:5" ht="18" customHeight="1">
      <c r="A9" s="11" t="s">
        <v>3172</v>
      </c>
      <c r="B9" s="11" t="s">
        <v>3188</v>
      </c>
      <c r="C9" s="11" t="s">
        <v>464</v>
      </c>
      <c r="D9" s="11" t="s">
        <v>3189</v>
      </c>
      <c r="E9" s="11" t="s">
        <v>3190</v>
      </c>
    </row>
    <row r="10" spans="1:5" ht="18" customHeight="1">
      <c r="A10" s="11" t="s">
        <v>3172</v>
      </c>
      <c r="B10" s="11" t="s">
        <v>3188</v>
      </c>
      <c r="C10" s="11" t="s">
        <v>206</v>
      </c>
      <c r="D10" s="11" t="s">
        <v>24</v>
      </c>
      <c r="E10" s="11" t="s">
        <v>3191</v>
      </c>
    </row>
    <row r="11" spans="1:5" ht="18" customHeight="1">
      <c r="A11" s="11" t="s">
        <v>3172</v>
      </c>
      <c r="B11" s="11" t="s">
        <v>3188</v>
      </c>
      <c r="C11" s="11" t="s">
        <v>371</v>
      </c>
      <c r="D11" s="11" t="s">
        <v>24</v>
      </c>
      <c r="E11" s="11" t="s">
        <v>3192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3193</v>
      </c>
      <c r="B1" s="5" t="s">
        <v>10</v>
      </c>
      <c r="C1" s="14" t="s">
        <v>3194</v>
      </c>
      <c r="D1" s="14" t="s">
        <v>3116</v>
      </c>
    </row>
    <row r="2" spans="1:4" ht="21" customHeight="1">
      <c r="A2" s="102" t="s">
        <v>24</v>
      </c>
      <c r="B2" s="102" t="s">
        <v>38</v>
      </c>
      <c r="C2" s="11" t="s">
        <v>3195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3196</v>
      </c>
      <c r="D3" s="11" t="s">
        <v>2696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3167</v>
      </c>
      <c r="B1" s="11" t="s">
        <v>3168</v>
      </c>
      <c r="C1" s="12" t="s">
        <v>3169</v>
      </c>
      <c r="D1" s="12" t="s">
        <v>3170</v>
      </c>
      <c r="E1" s="12" t="s">
        <v>3171</v>
      </c>
    </row>
    <row r="2" spans="1:5" ht="18" customHeight="1">
      <c r="A2" s="11" t="s">
        <v>3198</v>
      </c>
      <c r="B2" s="11" t="s">
        <v>3173</v>
      </c>
      <c r="C2" s="13" t="s">
        <v>25</v>
      </c>
      <c r="D2" s="11" t="s">
        <v>3174</v>
      </c>
      <c r="E2" s="16" t="s">
        <v>3199</v>
      </c>
    </row>
    <row r="3" spans="1:5" ht="18" customHeight="1">
      <c r="A3" s="11" t="s">
        <v>3198</v>
      </c>
      <c r="B3" s="11" t="s">
        <v>3173</v>
      </c>
      <c r="C3" s="11" t="s">
        <v>75</v>
      </c>
      <c r="D3" s="11" t="s">
        <v>3176</v>
      </c>
      <c r="E3" s="11" t="s">
        <v>3200</v>
      </c>
    </row>
    <row r="4" spans="1:5" ht="18" customHeight="1">
      <c r="A4" s="11" t="s">
        <v>3198</v>
      </c>
      <c r="B4" s="11" t="s">
        <v>3173</v>
      </c>
      <c r="C4" s="11" t="s">
        <v>79</v>
      </c>
      <c r="D4" s="11" t="s">
        <v>3179</v>
      </c>
      <c r="E4" s="11" t="s">
        <v>3201</v>
      </c>
    </row>
    <row r="5" spans="1:5" ht="27.75" customHeight="1">
      <c r="A5" s="11" t="s">
        <v>3198</v>
      </c>
      <c r="B5" s="11" t="s">
        <v>3173</v>
      </c>
      <c r="C5" s="11" t="s">
        <v>2693</v>
      </c>
      <c r="D5" s="16" t="s">
        <v>3202</v>
      </c>
      <c r="E5" s="11" t="s">
        <v>3203</v>
      </c>
    </row>
    <row r="6" spans="1:5" ht="18" customHeight="1">
      <c r="A6" s="11" t="s">
        <v>3198</v>
      </c>
      <c r="B6" s="11" t="s">
        <v>3173</v>
      </c>
      <c r="C6" s="11" t="s">
        <v>2717</v>
      </c>
      <c r="D6" s="11" t="s">
        <v>3181</v>
      </c>
      <c r="E6" s="11" t="s">
        <v>3182</v>
      </c>
    </row>
    <row r="7" spans="1:5" ht="18" customHeight="1">
      <c r="A7" s="11" t="s">
        <v>3198</v>
      </c>
      <c r="B7" s="11" t="s">
        <v>3183</v>
      </c>
      <c r="C7" s="11" t="s">
        <v>2699</v>
      </c>
      <c r="D7" s="11" t="s">
        <v>3204</v>
      </c>
      <c r="E7" s="11" t="s">
        <v>3205</v>
      </c>
    </row>
    <row r="8" spans="1:5" ht="18" customHeight="1">
      <c r="A8" s="11" t="s">
        <v>3198</v>
      </c>
      <c r="B8" s="11" t="s">
        <v>3183</v>
      </c>
      <c r="C8" s="11" t="s">
        <v>42</v>
      </c>
      <c r="D8" s="11" t="s">
        <v>3186</v>
      </c>
      <c r="E8" s="11" t="s">
        <v>3187</v>
      </c>
    </row>
    <row r="9" spans="1:5" ht="18" customHeight="1">
      <c r="A9" s="11" t="s">
        <v>3198</v>
      </c>
      <c r="B9" s="11" t="s">
        <v>3183</v>
      </c>
      <c r="C9" s="11" t="s">
        <v>2792</v>
      </c>
      <c r="D9" s="11" t="s">
        <v>3206</v>
      </c>
      <c r="E9" s="16" t="s">
        <v>3207</v>
      </c>
    </row>
    <row r="10" spans="1:5" ht="18" customHeight="1">
      <c r="A10" s="11" t="s">
        <v>3198</v>
      </c>
      <c r="B10" s="11" t="s">
        <v>3208</v>
      </c>
      <c r="C10" s="11" t="s">
        <v>3165</v>
      </c>
      <c r="D10" s="11" t="s">
        <v>3209</v>
      </c>
      <c r="E10" s="16" t="s">
        <v>3210</v>
      </c>
    </row>
    <row r="11" spans="1:5" ht="18" customHeight="1">
      <c r="A11" s="11" t="s">
        <v>3198</v>
      </c>
      <c r="B11" s="11" t="s">
        <v>3208</v>
      </c>
      <c r="C11" s="11" t="s">
        <v>206</v>
      </c>
      <c r="D11" s="11" t="s">
        <v>24</v>
      </c>
      <c r="E11" s="11" t="s">
        <v>3191</v>
      </c>
    </row>
    <row r="12" spans="1:5" ht="18" customHeight="1">
      <c r="A12" s="11" t="s">
        <v>3198</v>
      </c>
      <c r="B12" s="11" t="s">
        <v>3208</v>
      </c>
      <c r="C12" s="11" t="s">
        <v>371</v>
      </c>
      <c r="D12" s="11" t="s">
        <v>24</v>
      </c>
      <c r="E12" s="11" t="s">
        <v>3192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8" t="s">
        <v>3211</v>
      </c>
      <c r="B1" s="218"/>
      <c r="C1" s="218"/>
      <c r="D1" s="218"/>
      <c r="E1" s="218"/>
      <c r="F1" s="218"/>
      <c r="G1" s="218"/>
      <c r="H1" s="218"/>
    </row>
    <row r="2" spans="1:8">
      <c r="A2" s="48" t="s">
        <v>3212</v>
      </c>
    </row>
    <row r="4" spans="1:8" ht="21.95" customHeight="1">
      <c r="A4" s="219" t="s">
        <v>3213</v>
      </c>
      <c r="B4" s="220"/>
      <c r="D4" s="219" t="s">
        <v>3214</v>
      </c>
      <c r="E4" s="220"/>
      <c r="G4" s="219" t="s">
        <v>3215</v>
      </c>
      <c r="H4" s="220"/>
    </row>
    <row r="5" spans="1:8" ht="35.1" customHeight="1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/>
    <row r="7" spans="1:8" ht="24.95" customHeight="1" thickBot="1">
      <c r="A7" s="61" t="s">
        <v>3216</v>
      </c>
      <c r="B7" s="61" t="s">
        <v>3217</v>
      </c>
      <c r="C7" s="61" t="s">
        <v>1</v>
      </c>
      <c r="D7" s="61" t="s">
        <v>3218</v>
      </c>
      <c r="E7" s="61" t="s">
        <v>3219</v>
      </c>
      <c r="F7" s="61" t="s">
        <v>3116</v>
      </c>
      <c r="G7" s="61" t="s">
        <v>5</v>
      </c>
      <c r="H7" s="61" t="s">
        <v>3220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3221</v>
      </c>
      <c r="B1" s="225"/>
      <c r="C1" s="225"/>
      <c r="D1" s="225"/>
      <c r="E1" s="225"/>
      <c r="F1" s="225"/>
    </row>
    <row r="2" spans="1:7">
      <c r="A2" s="226" t="s">
        <v>3222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3119</v>
      </c>
      <c r="C4" s="24" t="s">
        <v>3120</v>
      </c>
      <c r="D4" s="24" t="s">
        <v>3223</v>
      </c>
      <c r="E4" s="24" t="s">
        <v>3121</v>
      </c>
      <c r="F4" s="24" t="s">
        <v>3224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21</v>
      </c>
      <c r="C5" s="25">
        <f ca="1">IF($A5="","",SUMIFS('GECC 2026'!I$2:I$200,'GECC 2026'!F$2:F$200,$A5))</f>
        <v>6.3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27.3</v>
      </c>
      <c r="F5" s="23">
        <f ca="1">IF($A5="","",COUNTIFS('GECC 2026'!F$2:F$200,$A5))</f>
        <v>6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39</v>
      </c>
      <c r="C15" s="25">
        <f ca="1">IF($A15="","",SUMIFS('GECC 2026'!I$2:I$200,'GECC 2026'!F$2:F$200,$A15))</f>
        <v>8.1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47.100000000000009</v>
      </c>
      <c r="F15" s="23">
        <f ca="1">IF($A15="","",COUNTIFS('GECC 2026'!F$2:F$200,$A15))</f>
        <v>9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41.2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45.2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>
      <c r="A33" t="str">
        <f ca="1"/>
        <v>Isac Mendes Caixeta de Pamplona Araújo</v>
      </c>
      <c r="B33" s="25">
        <f ca="1">IF($A33="","",SUMIFS('GECC 2026'!H$2:H$200,'GECC 2026'!F$2:F$200,$A33))</f>
        <v>2</v>
      </c>
      <c r="C33" s="25">
        <f ca="1">IF($A33="","",SUMIFS('GECC 2026'!I$2:I$200,'GECC 2026'!F$2:F$200,$A33))</f>
        <v>0.6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2.6</v>
      </c>
      <c r="F33" s="23">
        <f ca="1">IF($A33="","",COUNTIFS('GECC 2026'!F$2:F$200,$A33))</f>
        <v>3</v>
      </c>
    </row>
    <row r="34" spans="1:6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2</v>
      </c>
      <c r="C59" s="25">
        <f ca="1">IF($A59="","",SUMIFS('GECC 2026'!I$2:I$200,'GECC 2026'!F$2:F$200,$A59))</f>
        <v>0.6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2.6</v>
      </c>
      <c r="F59" s="23">
        <f ca="1">IF($A59="","",COUNTIFS('GECC 2026'!F$2:F$200,$A59))</f>
        <v>3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3159</v>
      </c>
      <c r="B105" s="94">
        <f ca="1">SUM(B5:B100)</f>
        <v>842</v>
      </c>
      <c r="C105" s="94">
        <f ca="1">SUM(C5:C100)</f>
        <v>380.94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3225</v>
      </c>
      <c r="B1" s="117" t="s">
        <v>3226</v>
      </c>
      <c r="C1" s="117" t="s">
        <v>3227</v>
      </c>
      <c r="D1" s="117" t="s">
        <v>3228</v>
      </c>
      <c r="E1" s="117" t="s">
        <v>3229</v>
      </c>
      <c r="F1" s="117" t="s">
        <v>3230</v>
      </c>
      <c r="G1" s="117" t="s">
        <v>10</v>
      </c>
      <c r="H1" s="117" t="s">
        <v>3231</v>
      </c>
      <c r="I1" s="117" t="s">
        <v>3232</v>
      </c>
      <c r="J1" s="117" t="s">
        <v>3233</v>
      </c>
      <c r="K1" s="117" t="s">
        <v>3234</v>
      </c>
      <c r="L1" s="117" t="s">
        <v>3235</v>
      </c>
      <c r="N1" s="117" t="s">
        <v>3236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3237</v>
      </c>
      <c r="L2" t="str">
        <f>IF(K2="","",IFERROR(INDEX(Tabela2[Curso],MATCH(K2,Tabela2[ID],0)),""))</f>
        <v/>
      </c>
      <c r="N2" s="117" t="s">
        <v>3115</v>
      </c>
      <c r="O2" s="117" t="s">
        <v>4</v>
      </c>
      <c r="P2" s="117" t="s">
        <v>3238</v>
      </c>
      <c r="Q2" s="117" t="s">
        <v>3239</v>
      </c>
      <c r="R2" s="117" t="s">
        <v>3240</v>
      </c>
      <c r="S2" s="117" t="s">
        <v>3241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3237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3237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3237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3237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3237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3237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3237</v>
      </c>
      <c r="L10" t="str">
        <f>IF(K10="","",IFERROR(INDEX(Tabela2[Curso],MATCH(K10,Tabela2[ID],0)),""))</f>
        <v/>
      </c>
      <c r="N10" s="111" t="s">
        <v>3242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3237</v>
      </c>
      <c r="L11" t="str">
        <f>IF(K11="","",IFERROR(INDEX(Tabela2[Curso],MATCH(K11,Tabela2[ID],0)),""))</f>
        <v/>
      </c>
      <c r="N11" s="210" t="s">
        <v>3243</v>
      </c>
      <c r="O11" s="210" t="s">
        <v>3244</v>
      </c>
      <c r="P11" s="210" t="s">
        <v>3245</v>
      </c>
      <c r="Q11" s="210" t="s">
        <v>3228</v>
      </c>
      <c r="R11" s="210" t="s">
        <v>3229</v>
      </c>
      <c r="S11" s="210" t="s">
        <v>3246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3237</v>
      </c>
      <c r="L12" t="str">
        <f>IF(K12="","",IFERROR(INDEX(Tabela2[Curso],MATCH(K12,Tabela2[ID],0)),""))</f>
        <v/>
      </c>
      <c r="N12" t="s">
        <v>3247</v>
      </c>
      <c r="O12" t="s">
        <v>2753</v>
      </c>
      <c r="P12" t="s">
        <v>3248</v>
      </c>
      <c r="Q12">
        <v>0</v>
      </c>
      <c r="R12">
        <v>0</v>
      </c>
      <c r="S12" t="s">
        <v>3249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3237</v>
      </c>
      <c r="L13" t="str">
        <f>IF(K13="","",IFERROR(INDEX(Tabela2[Curso],MATCH(K13,Tabela2[ID],0)),""))</f>
        <v/>
      </c>
      <c r="N13" t="s">
        <v>3250</v>
      </c>
      <c r="O13" t="s">
        <v>2685</v>
      </c>
      <c r="P13" t="s">
        <v>3251</v>
      </c>
      <c r="Q13">
        <v>0</v>
      </c>
      <c r="R13">
        <v>0</v>
      </c>
      <c r="S13" t="s">
        <v>3252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2026-09-17T17:57:14Z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