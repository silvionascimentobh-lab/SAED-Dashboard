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81" documentId="13_ncr:1_{6A2CC3E2-FAFB-4D8F-B284-5E8FB5045DFE}" xr6:coauthVersionLast="47" xr6:coauthVersionMax="47" xr10:uidLastSave="{C18A4BD6-948F-45FB-B6B5-4BDC06EEE57B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6" i="29" l="1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57" i="23" l="1"/>
  <c r="E57" i="23"/>
  <c r="F57" i="23"/>
  <c r="C57" i="23"/>
  <c r="B57" i="23"/>
  <c r="D56" i="23"/>
  <c r="F56" i="23"/>
  <c r="C56" i="23"/>
  <c r="E56" i="23"/>
  <c r="B56" i="23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l="1" a="1"/>
  <c r="A5" i="23" s="1" a="1"/>
  <c r="A2" i="20" l="1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<sst xmlns="http://schemas.openxmlformats.org/spreadsheetml/2006/main" count="7201" uniqueCount="3174">
  <si>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</si>
  <si>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</si>
  <si>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</si>
  <si>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</si>
  <si>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</si>
  <si>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</si>
  <si>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</si>
  <si>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</si>
  <si>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</si>
  <si>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</si>
  <si>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</si>
  <si>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</si>
  <si>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</si>
  <si>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</si>
  <si>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</si>
  <si>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</si>
  <si>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</si>
  <si>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</si>
  <si>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</si>
  <si>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</si>
  <si>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</si>
  <si>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</si>
  <si>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</si>
  <si>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</si>
  <si>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</si>
  <si>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</si>
  <si>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</si>
  <si>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</si>
  <si>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</si>
  <si>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</si>
  <si>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</si>
  <si>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</si>
  <si>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</si>
  <si>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</si>
  <si>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</si>
  <si>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</si>
  <si>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</si>
  <si>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</si>
  <si>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</si>
  <si>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</si>
  <si>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</si>
  <si>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</si>
  <si>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</si>
  <si>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</si>
  <si>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</si>
  <si>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</si>
  <si>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</si>
  <si>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</si>
  <si>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</si>
  <si>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</si>
  <si>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</si>
  <si>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</si>
  <si>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</si>
  <si>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</si>
  <si>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</si>
  <si>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</si>
  <si>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</si>
  <si>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</si>
  <si>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</si>
  <si>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</si>
  <si>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</si>
  <si>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</si>
  <si>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</si>
  <si>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</si>
  <si>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</si>
  <si>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</si>
  <si>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</si>
  <si>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</si>
  <si>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</si>
  <si>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</si>
  <si>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</si>
  <si>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</si>
  <si>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</si>
  <si>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</si>
  <si>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</si>
  <si>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</si>
  <si>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</si>
  <si>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</si>
  <si>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</si>
  <si>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</si>
  <si>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</si>
  <si>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</si>
  <si>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</si>
  <si>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</si>
  <si>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</si>
  <si>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</si>
  <si>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</si>
  <si>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</si>
  <si>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</si>
  <si>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</si>
  <si>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</si>
  <si>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</si>
  <si>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</si>
  <si>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</si>
  <si>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</si>
  <si>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</si>
  <si>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</si>
  <si>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</si>
  <si>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</si>
  <si>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</si>
  <si>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</si>
  <si>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</si>
  <si>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</si>
  <si>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</si>
  <si>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</si>
  <si>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</si>
  <si>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</si>
  <si>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</si>
  <si>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</si>
  <si>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</si>
  <si>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</si>
  <si>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</si>
  <si>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</si>
  <si>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</si>
  <si>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</si>
  <si>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</si>
  <si>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</si>
  <si>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</si>
  <si>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</si>
  <si>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</si>
  <si>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</si>
  <si>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</si>
  <si>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</si>
  <si>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</si>
  <si>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</si>
  <si>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</si>
  <si>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</si>
  <si>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</si>
  <si>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</si>
  <si>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</si>
  <si>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</si>
  <si>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</si>
  <si>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</si>
  <si>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</si>
  <si>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</si>
  <si>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</si>
  <si>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</si>
  <si>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</si>
  <si>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</si>
  <si>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</si>
  <si>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</si>
  <si>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</si>
  <si>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</si>
  <si>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</si>
  <si>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</si>
  <si>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</si>
  <si>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</si>
  <si>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</si>
  <si>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</si>
  <si>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</si>
  <si>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</si>
  <si>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</si>
  <si>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</si>
  <si>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</si>
  <si>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</si>
  <si>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</si>
  <si>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</si>
  <si>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</si>
  <si>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</si>
  <si>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</si>
  <si>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</si>
  <si>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</si>
  <si>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</si>
  <si>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</si>
  <si>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</si>
  <si>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</si>
  <si>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</si>
  <si>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</si>
  <si>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</si>
  <si>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</si>
  <si>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</si>
  <si>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</si>
  <si>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</si>
  <si>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</si>
  <si>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</si>
  <si>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</si>
  <si>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</si>
  <si>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</si>
  <si>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</si>
  <si>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</si>
  <si>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</si>
  <si>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</si>
  <si>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</si>
  <si>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</si>
  <si>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</si>
  <si>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</si>
  <si>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</si>
  <si>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</si>
  <si>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</si>
  <si>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</si>
  <si>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</si>
  <si>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</si>
  <si>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</si>
  <si>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</si>
  <si>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</si>
  <si>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</si>
  <si>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</si>
  <si>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</si>
  <si>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</si>
  <si>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</si>
  <si>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</si>
  <si>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</si>
  <si>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</si>
  <si>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</si>
  <si>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</si>
  <si>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</si>
  <si>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</si>
  <si>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</si>
  <si>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</si>
  <si>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</si>
  <si>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</si>
  <si>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</si>
  <si>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</si>
  <si>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</si>
  <si>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</si>
  <si>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</si>
  <si>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</si>
  <si>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</si>
  <si>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</si>
  <si>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</si>
  <si>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</si>
  <si>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</si>
  <si>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</si>
  <si>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</si>
  <si>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</si>
  <si>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</si>
  <si>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</si>
  <si>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</si>
  <si>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</si>
  <si>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</si>
  <si>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</si>
  <si>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</si>
  <si>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</si>
  <si>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</si>
  <si>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</si>
  <si>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</si>
  <si>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</si>
  <si>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</si>
  <si>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</si>
  <si>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</si>
  <si>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</si>
  <si>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</si>
  <si>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</si>
  <si>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</si>
  <si>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</si>
  <si>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</si>
  <si>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</si>
  <si>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</si>
  <si>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</si>
  <si>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</si>
  <si>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</si>
  <si>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</si>
  <si>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</si>
  <si>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</si>
  <si>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</si>
  <si>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</si>
  <si>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</si>
  <si>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</si>
  <si>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</si>
  <si>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</si>
  <si>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</si>
  <si>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</si>
  <si>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</si>
  <si>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</si>
  <si>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</si>
  <si>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</si>
  <si>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</si>
  <si>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</si>
  <si>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</si>
  <si>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</si>
  <si>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</si>
  <si>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</si>
  <si>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</si>
  <si>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</si>
  <si>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</si>
  <si>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</si>
  <si>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</si>
  <si>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</si>
  <si>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</si>
  <si>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</si>
  <si>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</si>
  <si>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</si>
  <si>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</si>
  <si>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</si>
  <si>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</si>
  <si>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</si>
  <si>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</si>
  <si>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</si>
  <si>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</si>
  <si>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</si>
  <si>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</si>
  <si>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</si>
  <si>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</si>
  <si>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</si>
  <si>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</si>
  <si>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</si>
  <si>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</si>
  <si>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</si>
  <si>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</si>
  <si>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</si>
  <si>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</si>
  <si>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</si>
  <si>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</si>
  <si>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</si>
  <si>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</si>
  <si>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</si>
  <si>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</si>
  <si>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</si>
  <si>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</si>
  <si>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</si>
  <si>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</si>
  <si>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</si>
  <si>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</si>
  <si>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</si>
  <si>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</si>
  <si>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</si>
  <si>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</si>
  <si>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</si>
  <si>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</si>
  <si>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</si>
  <si>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</si>
  <si>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</si>
  <si>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</si>
  <si>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</si>
  <si>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</si>
  <si>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</si>
  <si>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</si>
  <si>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</si>
  <si>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</si>
  <si>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</si>
  <si>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</si>
  <si>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</si>
  <si>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</si>
  <si>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</si>
  <si>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</si>
  <si>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</si>
  <si>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</si>
  <si>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</si>
  <si>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</si>
  <si>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</si>
  <si>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</si>
  <si>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</si>
  <si>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</si>
  <si>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</si>
  <si>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</si>
  <si>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</si>
  <si>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</si>
  <si>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</si>
  <si>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</si>
  <si>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</si>
  <si>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</si>
  <si>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</si>
  <si>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</si>
  <si>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</si>
  <si>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</si>
  <si>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</si>
  <si>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</si>
  <si>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</si>
  <si>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</si>
  <si>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</si>
  <si>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</si>
  <si>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</si>
  <si>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</si>
  <si>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</si>
  <si>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</si>
  <si>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</si>
  <si>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</si>
  <si>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</si>
  <si>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</si>
  <si>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</si>
  <si>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</si>
  <si>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</si>
  <si>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</si>
  <si>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</si>
  <si>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</si>
  <si>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</si>
  <si>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</si>
  <si>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</si>
  <si>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</si>
  <si>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</si>
  <si>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</si>
  <si>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</si>
  <si>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</si>
  <si>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</si>
  <si>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</si>
  <si>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</si>
  <si>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</si>
  <si>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</si>
  <si>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</si>
  <si>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</si>
  <si>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</si>
  <si>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</si>
  <si>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</si>
  <si>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</si>
  <si>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</si>
  <si>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</si>
  <si>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</si>
  <si>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</si>
  <si>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</si>
  <si>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</si>
  <si>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</si>
  <si>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</si>
  <si>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</si>
  <si>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</si>
  <si>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</si>
  <si>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</si>
  <si>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</si>
  <si>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</si>
  <si>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</si>
  <si>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</si>
  <si>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</si>
  <si>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</si>
  <si>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</si>
  <si>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</si>
  <si>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</si>
  <si>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</si>
  <si>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</si>
  <si>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</si>
  <si>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</si>
  <si>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</si>
  <si>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</si>
  <si>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</si>
  <si>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</si>
  <si>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</si>
  <si>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</si>
  <si>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</si>
  <si>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</si>
  <si>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</si>
  <si>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</si>
  <si>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</si>
  <si>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</si>
  <si>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</si>
  <si>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</si>
  <si>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</si>
  <si>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</si>
  <si>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</si>
  <si>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</si>
  <si>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</si>
  <si>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</si>
  <si>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</si>
  <si>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</si>
  <si>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</si>
  <si>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</si>
  <si>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</si>
  <si>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</si>
  <si>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</si>
  <si>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</si>
  <si>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</si>
  <si>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</si>
  <si>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</si>
  <si>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</si>
  <si>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</si>
  <si>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</si>
  <si>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</si>
  <si>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</si>
  <si>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</si>
  <si>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</si>
  <si>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</si>
  <si>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</si>
  <si>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</si>
  <si>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</si>
  <si>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</si>
  <si>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</si>
  <si>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</si>
  <si>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</si>
  <si>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</si>
  <si>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</si>
  <si>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</si>
  <si>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</si>
  <si>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</si>
  <si>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</si>
  <si>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</si>
  <si>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</si>
  <si>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</si>
  <si>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</si>
  <si>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</si>
  <si>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</si>
  <si>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</si>
  <si>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</si>
  <si>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</si>
  <si>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</si>
  <si>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</si>
  <si>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</si>
  <si>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</si>
  <si>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</si>
  <si>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</si>
  <si>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</si>
  <si>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</si>
  <si>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</si>
  <si>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</si>
  <si>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</si>
  <si>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</si>
  <si>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</si>
  <si>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</si>
  <si>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</si>
  <si>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</si>
  <si>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</si>
  <si>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</si>
  <si>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</si>
  <si>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</si>
  <si>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</si>
  <si>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</si>
  <si>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</si>
  <si>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</si>
  <si>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</si>
  <si>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</si>
  <si>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</si>
  <si>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</si>
  <si>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</si>
  <si>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</si>
  <si>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</si>
  <si>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</si>
  <si>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</si>
  <si>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</si>
  <si>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</si>
  <si>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</si>
  <si>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</si>
  <si>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</si>
  <si>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</si>
  <si>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</si>
  <si>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</si>
  <si>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</si>
  <si>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</si>
  <si>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</si>
  <si>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</si>
  <si>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</si>
  <si>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</si>
  <si>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</si>
  <si>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</si>
  <si>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</si>
  <si>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</si>
  <si>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</si>
  <si>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</si>
  <si>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</si>
  <si>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</si>
  <si>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</si>
  <si>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</si>
  <si>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</si>
  <si>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</si>
  <si>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</si>
  <si>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</si>
  <si>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</si>
  <si>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</si>
  <si>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</si>
  <si>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</si>
  <si>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</si>
  <si>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</si>
  <si>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</si>
  <si>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</si>
  <si>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</si>
  <si>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</si>
  <si>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</si>
  <si>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</si>
  <si>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</si>
  <si>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</si>
  <si>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</si>
  <si>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</si>
  <si>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</si>
  <si>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</si>
  <si>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</si>
  <si>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</si>
  <si>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</si>
  <si>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</si>
  <si>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</si>
  <si>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</si>
  <si>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</si>
  <si>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</si>
  <si>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</si>
  <si>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</si>
  <si>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</si>
  <si>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</si>
  <si>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</si>
  <si>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</si>
  <si>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</si>
  <si>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</si>
  <si>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</si>
  <si>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</si>
  <si>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</si>
  <si>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</si>
  <si>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</si>
  <si>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</si>
  <si>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</si>
  <si>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</si>
  <si>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</si>
  <si>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</si>
  <si>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</si>
  <si>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</si>
  <si>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</si>
  <si>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</si>
  <si>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</si>
  <si>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</si>
  <si>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</si>
  <si>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</si>
  <si>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</si>
  <si>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</si>
  <si>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</si>
  <si>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</si>
  <si>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</si>
  <si>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</si>
  <si>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</si>
  <si>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</si>
  <si>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</si>
  <si>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</si>
  <si>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</si>
  <si>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</si>
  <si>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</si>
  <si>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</si>
  <si>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</si>
  <si>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</si>
  <si>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</si>
  <si>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</si>
  <si>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</si>
  <si>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</si>
  <si>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</si>
  <si>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</si>
  <si>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</si>
  <si>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</si>
  <si>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</si>
  <si>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</si>
  <si>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</si>
  <si>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</si>
  <si>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</si>
  <si>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</si>
  <si>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</si>
  <si>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</si>
  <si>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</si>
  <si>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</si>
  <si>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</si>
  <si>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</si>
  <si>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</si>
  <si>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</si>
  <si>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</si>
  <si>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</si>
  <si>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</si>
  <si>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</si>
  <si>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</si>
  <si>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</si>
  <si>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</si>
  <si>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</si>
  <si>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</si>
  <si>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</si>
  <si>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</si>
  <si>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</si>
  <si>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</si>
  <si>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</si>
  <si>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</si>
  <si>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</si>
  <si>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</si>
  <si>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</si>
  <si>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</si>
  <si>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</si>
  <si>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</si>
  <si>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</si>
  <si>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</si>
  <si>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</si>
  <si>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</si>
  <si>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</si>
  <si>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</si>
  <si>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</si>
  <si>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</si>
  <si>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</si>
  <si>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</si>
  <si>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</si>
  <si>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</si>
  <si>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</si>
  <si>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</si>
  <si>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</si>
  <si>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</si>
  <si>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</si>
  <si>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</si>
  <si>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</si>
  <si>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</si>
  <si>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</si>
  <si>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</si>
  <si>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</si>
  <si>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</si>
  <si>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</si>
  <si>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</si>
  <si>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</si>
  <si>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</si>
  <si>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</si>
  <si>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</si>
  <si>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</si>
  <si>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</si>
  <si>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</si>
  <si>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</si>
  <si>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</si>
  <si>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</si>
  <si>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</si>
  <si>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</si>
  <si>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</si>
  <si>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</si>
  <si>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</si>
  <si>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</si>
  <si>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</si>
  <si>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</si>
  <si>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</si>
  <si>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</si>
  <si>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</si>
  <si>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</si>
  <si>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</si>
  <si>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</si>
  <si>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</si>
  <si>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</si>
  <si>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</si>
  <si>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</si>
  <si>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</si>
  <si>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</si>
  <si>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</si>
  <si>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</si>
  <si>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</si>
  <si>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</si>
  <si>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</si>
  <si>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</si>
  <si>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</si>
  <si>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</si>
  <si>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</si>
  <si>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</si>
  <si>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</si>
  <si>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</si>
  <si>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</si>
  <si>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</si>
  <si>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</si>
  <si>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</si>
  <si>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</si>
  <si>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</si>
  <si>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</si>
  <si>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</si>
  <si>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</si>
  <si>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</si>
  <si>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</si>
  <si>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</si>
  <si>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</si>
  <si>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</si>
  <si>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</si>
  <si>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</si>
  <si>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</si>
  <si>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</si>
  <si>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</si>
  <si>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</si>
  <si>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</si>
  <si>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</si>
  <si>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</si>
  <si>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</si>
  <si>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</si>
  <si>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</si>
  <si>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</si>
  <si>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</si>
  <si>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</si>
  <si>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</si>
  <si>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</si>
  <si>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</si>
  <si>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</si>
  <si>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</si>
  <si>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</si>
  <si>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</si>
  <si>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</si>
  <si>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</si>
  <si>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</si>
  <si>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</si>
  <si>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</si>
  <si>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</si>
  <si>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</si>
  <si>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</si>
  <si>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</si>
  <si>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</si>
  <si>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</si>
  <si>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</si>
  <si>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</si>
  <si>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</si>
  <si>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</si>
  <si>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</si>
  <si>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</si>
  <si>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</si>
  <si>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</si>
  <si>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</si>
  <si>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</si>
  <si>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</si>
  <si>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</si>
  <si>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</si>
  <si>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</si>
  <si>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</si>
  <si>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</si>
  <si>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</si>
  <si>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</si>
  <si>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</si>
  <si>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</si>
  <si>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</si>
  <si>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</si>
  <si>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</si>
  <si>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</si>
  <si>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</si>
  <si>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</si>
  <si>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</si>
  <si>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</si>
  <si>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</si>
  <si>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</si>
  <si>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</si>
  <si>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</si>
  <si>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</si>
  <si>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</si>
  <si>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</si>
  <si>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</si>
  <si>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</si>
  <si>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</si>
  <si>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</si>
  <si>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</si>
  <si>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</si>
  <si>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</si>
  <si>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</si>
  <si>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</si>
  <si>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</si>
  <si>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</si>
  <si>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</si>
  <si>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</si>
  <si>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</si>
  <si>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</si>
  <si>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</si>
  <si>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</si>
  <si>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</si>
  <si>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</si>
  <si>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</si>
  <si>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</si>
  <si>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</si>
  <si>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</si>
  <si>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</si>
  <si>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</si>
  <si>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</si>
  <si>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</si>
  <si>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</si>
  <si>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</si>
  <si>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</si>
  <si>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</si>
  <si>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</si>
  <si>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</si>
  <si>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</si>
  <si>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</si>
  <si>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</si>
  <si>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</si>
  <si>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</si>
  <si>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</si>
  <si>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</si>
  <si>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</si>
  <si>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</si>
  <si>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</si>
  <si>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</si>
  <si>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</si>
  <si>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</si>
  <si>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</si>
  <si>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</si>
  <si>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</si>
  <si>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</si>
  <si>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</si>
  <si>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</si>
  <si>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</si>
  <si>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</si>
  <si>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</si>
  <si>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</si>
  <si>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</si>
  <si>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</si>
  <si>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</si>
  <si>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</si>
  <si>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</si>
  <si>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</si>
  <si>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</si>
  <si>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</si>
  <si>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</si>
  <si>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</si>
  <si>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</si>
  <si>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</si>
  <si>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</si>
  <si>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</si>
  <si>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</si>
  <si>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</si>
  <si>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</si>
  <si>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</si>
  <si>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</si>
  <si>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</si>
  <si>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</si>
  <si>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</si>
  <si>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</si>
  <si>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</si>
  <si>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</si>
  <si>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</si>
  <si>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</si>
  <si>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</si>
  <si>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</si>
  <si>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</si>
  <si>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</si>
  <si>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</si>
  <si>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</si>
  <si>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</si>
  <si>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</si>
  <si>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</si>
  <si>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</si>
  <si>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</si>
  <si>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</si>
  <si>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</si>
  <si>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</si>
  <si>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</si>
  <si>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</si>
  <si>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</si>
  <si>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</si>
  <si>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</si>
  <si>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</si>
  <si>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</si>
  <si>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</si>
  <si>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</si>
  <si>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</si>
  <si>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</si>
  <si>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</si>
  <si>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</si>
  <si>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</si>
  <si>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</si>
  <si>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</si>
  <si>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</si>
  <si>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</si>
  <si>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</si>
  <si>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</si>
  <si>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</si>
  <si>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</si>
  <si>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</si>
  <si>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</si>
  <si>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</si>
  <si>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</si>
  <si>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</si>
  <si>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</si>
  <si>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</si>
  <si>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</si>
  <si>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</si>
  <si>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</si>
  <si>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</si>
  <si>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</si>
  <si>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</si>
  <si>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</si>
  <si>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</si>
  <si>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</si>
  <si>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</si>
  <si>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</si>
  <si>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</si>
  <si>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</si>
  <si>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</si>
  <si>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</si>
  <si>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</si>
  <si>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</si>
  <si>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</si>
  <si>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</si>
  <si>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</si>
  <si>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</si>
  <si>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</si>
  <si>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</si>
  <si>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</si>
  <si>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</si>
  <si>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</si>
  <si>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</si>
  <si>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</si>
  <si>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</si>
  <si>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</si>
  <si>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</si>
  <si>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</si>
  <si>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</si>
  <si>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</si>
  <si>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</si>
  <si>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</si>
  <si>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</si>
  <si>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</si>
  <si>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</si>
  <si>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</si>
  <si>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</si>
  <si>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</si>
  <si>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</si>
  <si>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</si>
  <si>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</si>
  <si>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</si>
  <si>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</si>
  <si>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</si>
  <si>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</si>
  <si>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</si>
  <si>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</si>
  <si>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</si>
  <si>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</si>
  <si>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</si>
  <si>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</si>
  <si>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</si>
  <si>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</si>
  <si>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</si>
  <si>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</si>
  <si>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</si>
  <si>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</si>
  <si>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</si>
  <si>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</si>
  <si>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</si>
  <si>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</si>
  <si>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</si>
  <si>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</si>
  <si>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</si>
  <si>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</si>
  <si>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</si>
  <si>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</si>
  <si>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</si>
  <si>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</si>
  <si>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</si>
  <si>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</si>
  <si>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</si>
  <si>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</si>
  <si>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</si>
  <si>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</si>
  <si>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</si>
  <si>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</si>
  <si>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</si>
  <si>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</si>
  <si>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</si>
  <si>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</si>
  <si>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</si>
  <si>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</si>
  <si>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</si>
  <si>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</si>
  <si>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</si>
  <si>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</si>
  <si>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</si>
  <si>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</si>
  <si>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</si>
  <si>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</si>
  <si>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</si>
  <si>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</si>
  <si>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</si>
  <si>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</si>
  <si>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</si>
  <si>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</si>
  <si>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</si>
  <si>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</si>
  <si>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</si>
  <si>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</si>
  <si>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</si>
  <si>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</si>
  <si>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</si>
  <si>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</si>
  <si>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</si>
  <si>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</si>
  <si>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</si>
  <si>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</si>
  <si>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</si>
  <si>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</si>
  <si>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</si>
  <si>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</si>
  <si>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</si>
  <si>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</si>
  <si>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</si>
  <si>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</si>
  <si>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</si>
  <si>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</si>
  <si>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</si>
  <si>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</si>
  <si>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</si>
  <si>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</si>
  <si>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</si>
  <si>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</si>
  <si>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</si>
  <si>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</si>
  <si>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</si>
  <si>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</si>
  <si>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</si>
  <si>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</si>
  <si>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</si>
  <si>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</si>
  <si>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</si>
  <si>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</si>
  <si>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</si>
  <si>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</si>
  <si>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</si>
  <si>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</si>
  <si>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</si>
  <si>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</si>
  <si>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</si>
  <si>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</si>
  <si>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</si>
  <si>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</si>
  <si>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</si>
  <si>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</si>
  <si>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</si>
  <si>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</si>
  <si>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</si>
  <si>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</si>
  <si>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</si>
  <si>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</si>
  <si>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</si>
  <si>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</si>
  <si>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</si>
  <si>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</si>
  <si>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</si>
  <si>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</si>
  <si>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</si>
  <si>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</si>
  <si>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</si>
  <si>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</si>
  <si>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</si>
  <si>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</si>
  <si>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</si>
  <si>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</si>
  <si>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</si>
  <si>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</si>
  <si>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</si>
  <si>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</si>
  <si>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</si>
  <si>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</si>
  <si>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</si>
  <si>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</si>
  <si>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</si>
  <si>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</si>
  <si>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</si>
  <si>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</si>
  <si>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</si>
  <si>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</si>
  <si>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</si>
  <si>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</si>
  <si>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</si>
  <si>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</si>
  <si>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</si>
  <si>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</si>
  <si>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</si>
  <si>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</si>
  <si>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</si>
  <si>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</si>
  <si>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</si>
  <si>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</si>
  <si>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</si>
  <si>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</si>
  <si>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</si>
  <si>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</si>
  <si>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</si>
  <si>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</si>
  <si>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</si>
  <si>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</si>
  <si>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</si>
  <si>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</si>
  <si>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</si>
  <si>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</si>
  <si>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</si>
  <si>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</si>
  <si>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</si>
  <si>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</si>
  <si>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</si>
  <si>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</si>
  <si>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</si>
  <si>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</si>
  <si>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</si>
  <si>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</si>
  <si>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</si>
  <si>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</si>
  <si>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</si>
  <si>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</si>
  <si>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</si>
  <si>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</si>
  <si>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</si>
  <si>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</si>
  <si>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</si>
  <si>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</si>
  <si>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</si>
  <si>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</si>
  <si>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</si>
  <si>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</si>
  <si>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</si>
  <si>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</si>
  <si>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</si>
  <si>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</si>
  <si>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</si>
  <si>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</si>
  <si>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</si>
  <si>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</si>
  <si>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</si>
  <si>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</si>
  <si>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</si>
  <si>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</si>
  <si>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</si>
  <si>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</si>
  <si>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</si>
  <si>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</si>
  <si>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</si>
  <si>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</si>
  <si>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</si>
  <si>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</si>
  <si>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</si>
  <si>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</si>
  <si>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</si>
  <si>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</si>
  <si>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</si>
  <si>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</si>
  <si>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</si>
  <si>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</si>
  <si>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</si>
  <si>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</si>
  <si>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</si>
  <si>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</si>
  <si>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</si>
  <si>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</si>
  <si>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</si>
  <si>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</si>
  <si>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</si>
  <si>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</si>
  <si>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</si>
  <si>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</si>
  <si>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</si>
  <si>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</si>
  <si>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</si>
  <si>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</si>
  <si>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</si>
  <si>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</si>
  <si>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</si>
  <si>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</si>
  <si>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</si>
  <si>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</si>
  <si>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</si>
  <si>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</si>
  <si>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</si>
  <si>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</si>
  <si>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</si>
  <si>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</si>
  <si>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</si>
  <si>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</si>
  <si>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</si>
  <si>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</si>
  <si>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</si>
  <si>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</si>
  <si>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</si>
  <si>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</si>
  <si>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</si>
  <si>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</si>
  <si>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</si>
  <si>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</si>
  <si>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</si>
  <si>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</si>
  <si>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</si>
  <si>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</si>
  <si>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</si>
  <si>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</si>
  <si>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</si>
  <si>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</si>
  <si>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</si>
  <si>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</si>
  <si>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</si>
  <si>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</si>
  <si>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</si>
  <si>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</si>
  <si>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</si>
  <si>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</si>
  <si>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</si>
  <si>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</si>
  <si>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</si>
  <si>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</si>
  <si>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</si>
  <si>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</si>
  <si>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</si>
  <si>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</si>
  <si>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</si>
  <si>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</si>
  <si>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</si>
  <si>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</si>
  <si>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</si>
  <si>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</si>
  <si>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</si>
  <si>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</si>
  <si>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</si>
  <si>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</si>
  <si>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</si>
  <si>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</si>
  <si>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</si>
  <si>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</si>
  <si>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</si>
  <si>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</si>
  <si>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</si>
  <si>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</si>
  <si>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</si>
  <si>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</si>
  <si>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</si>
  <si>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</si>
  <si>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</si>
  <si>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</si>
  <si>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</si>
  <si>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</si>
  <si>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</si>
  <si>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</si>
  <si>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</si>
  <si>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</si>
  <si>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</si>
  <si>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</si>
  <si>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</si>
  <si>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</si>
  <si>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</si>
  <si>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</si>
  <si>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</si>
  <si>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</si>
  <si>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</si>
  <si>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</si>
  <si>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</si>
  <si>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</si>
  <si>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</si>
  <si>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</si>
  <si>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</si>
  <si>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</si>
  <si>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</si>
  <si>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</si>
  <si>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</si>
  <si>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</si>
  <si>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</si>
  <si>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</si>
  <si>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</si>
  <si>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</si>
  <si>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</si>
  <si>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</si>
  <si>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</si>
  <si>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</si>
  <si>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</si>
  <si>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</si>
  <si>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</si>
  <si>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</si>
  <si>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</si>
  <si>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</si>
  <si>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</si>
  <si>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</si>
  <si>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</si>
  <si>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</si>
  <si>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</si>
  <si>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</si>
  <si>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</si>
  <si>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</si>
  <si>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</si>
  <si>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</si>
  <si>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</si>
  <si>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</si>
  <si>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</si>
  <si>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</si>
  <si>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</si>
  <si>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</si>
  <si>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</si>
  <si>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</si>
  <si>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</si>
  <si>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</si>
  <si>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</si>
  <si>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</si>
  <si>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</si>
  <si>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</si>
  <si>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</si>
  <si>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</si>
  <si>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</si>
  <si>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</si>
  <si>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</si>
  <si>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</si>
  <si>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</si>
  <si>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</si>
  <si>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</si>
  <si>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</si>
  <si>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</si>
  <si>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</si>
  <si>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</si>
  <si>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</si>
  <si>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</si>
  <si>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</si>
  <si>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</si>
  <si>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</si>
  <si>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</si>
  <si>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</si>
  <si>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</si>
  <si>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</si>
  <si>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</si>
  <si>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</si>
  <si>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</si>
  <si>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</si>
  <si>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</si>
  <si>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</si>
  <si>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</si>
  <si>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</si>
  <si>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</si>
  <si>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</si>
  <si>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</si>
  <si>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</si>
  <si>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</si>
  <si>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</si>
  <si>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</si>
  <si>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</si>
  <si>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</si>
  <si>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</si>
  <si>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</si>
  <si>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</si>
  <si>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</si>
  <si>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</si>
  <si>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</si>
  <si>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</si>
  <si>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</si>
  <si>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</si>
  <si>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</si>
  <si>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</si>
  <si>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</si>
  <si>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</si>
  <si>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</si>
  <si>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</si>
  <si>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</si>
  <si>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</si>
  <si>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</si>
  <si>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</si>
  <si>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</si>
  <si>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</si>
  <si>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</si>
  <si>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</si>
  <si>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</si>
  <si>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</si>
  <si>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</si>
  <si>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</si>
  <si>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</si>
  <si>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</si>
  <si>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</si>
  <si>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</si>
  <si>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</si>
  <si>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</si>
  <si>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</si>
  <si>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</si>
  <si>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</si>
  <si>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</si>
  <si>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</si>
  <si>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</si>
  <si>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</si>
  <si>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</si>
  <si>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</si>
  <si>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</si>
  <si>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</si>
  <si>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</si>
  <si>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</si>
  <si>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</si>
  <si>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</si>
  <si>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</si>
  <si>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</si>
  <si>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</si>
  <si>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</si>
  <si>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</si>
  <si>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</si>
  <si>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</si>
  <si>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</si>
  <si>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</si>
  <si>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</si>
  <si>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</si>
  <si>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</si>
  <si>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</si>
  <si>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</si>
  <si>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</si>
  <si>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</si>
  <si>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</si>
  <si>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</si>
  <si>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</si>
  <si>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</si>
  <si>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</si>
  <si>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</si>
  <si>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</si>
  <si>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</si>
  <si>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</si>
  <si>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</si>
  <si>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</si>
  <si>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</si>
  <si>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</si>
  <si>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</si>
  <si>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</si>
  <si>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</si>
  <si>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</si>
  <si>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</si>
  <si>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</si>
  <si>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</si>
  <si>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</si>
  <si>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</si>
  <si>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</si>
  <si>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</si>
  <si>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</si>
  <si>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</si>
  <si>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</si>
  <si>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</si>
  <si>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</si>
  <si>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</si>
  <si>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</si>
  <si>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</si>
  <si>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</si>
  <si>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</si>
  <si>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</si>
  <si>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</si>
  <si>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</si>
  <si>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</si>
  <si>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</si>
  <si>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</si>
  <si>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</si>
  <si>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</si>
  <si>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</si>
  <si>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</si>
  <si>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</si>
  <si>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</si>
  <si>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</si>
  <si>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</si>
  <si>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</si>
  <si>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</si>
  <si>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</si>
  <si>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</si>
  <si>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</si>
  <si>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</si>
  <si>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</si>
  <si>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</si>
  <si>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</si>
  <si>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</si>
  <si>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</si>
  <si>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</si>
  <si>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</si>
  <si>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</si>
  <si>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</si>
  <si>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</si>
  <si>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</si>
  <si>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</si>
  <si>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</si>
  <si>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</si>
  <si>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</si>
  <si>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</si>
  <si>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</si>
  <si>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</si>
  <si>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</si>
  <si>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</si>
  <si>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</si>
  <si>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</si>
  <si>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</si>
  <si>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</si>
  <si>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</si>
  <si>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</si>
  <si>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</si>
  <si>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</si>
  <si>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</si>
  <si>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</si>
  <si>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</si>
  <si>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</si>
  <si>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</si>
  <si>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</si>
  <si>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</si>
  <si>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</si>
  <si>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</si>
  <si>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</si>
  <si>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</si>
  <si>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</si>
  <si>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</si>
  <si>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</si>
  <si>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</si>
  <si>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</si>
  <si>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</si>
  <si>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</si>
  <si>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</si>
  <si>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</si>
  <si>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</si>
  <si>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</si>
  <si>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</si>
  <si>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</si>
  <si>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</si>
  <si>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</si>
  <si>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</si>
  <si>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</si>
  <si>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</si>
  <si>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</si>
  <si>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</si>
  <si>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</si>
  <si>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</si>
  <si>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</si>
  <si>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</si>
  <si>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</si>
  <si>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</si>
  <si>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</si>
  <si>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</si>
  <si>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</si>
  <si>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</si>
  <si>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</si>
  <si>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</si>
  <si>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</si>
  <si>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</si>
  <si>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</si>
  <si>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</si>
  <si>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</si>
  <si>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</si>
  <si>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</si>
  <si>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</si>
  <si>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</si>
  <si>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</si>
  <si>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</si>
  <si>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</si>
  <si>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</si>
  <si>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</si>
  <si>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</si>
  <si>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</si>
  <si>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</si>
  <si>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</si>
  <si>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</si>
  <si>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</si>
  <si>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</si>
  <si>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</si>
  <si>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</si>
  <si>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</si>
  <si>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</si>
  <si>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</si>
  <si>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</si>
  <si>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</si>
  <si>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</si>
  <si>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</si>
  <si>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</si>
  <si>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</si>
  <si>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</si>
  <si>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</si>
  <si>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</si>
  <si>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</si>
  <si>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</si>
  <si>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</si>
  <si>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</si>
  <si>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</si>
  <si>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</si>
  <si>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</si>
  <si>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</si>
  <si>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</si>
  <si>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</si>
  <si>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</si>
  <si>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</si>
  <si>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</si>
  <si>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</si>
  <si>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</si>
  <si>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</si>
  <si>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</si>
  <si>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</si>
  <si>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</si>
  <si>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</si>
  <si>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</si>
  <si>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</si>
  <si>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</si>
  <si>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</si>
  <si>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</si>
  <si>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</si>
  <si>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</si>
  <si>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</si>
  <si>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</si>
  <si>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</si>
  <si>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</si>
  <si>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</si>
  <si>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</si>
  <si>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</si>
  <si>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</si>
  <si>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</si>
  <si>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</si>
  <si>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</si>
  <si>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</si>
  <si>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</si>
  <si>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</si>
  <si>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</si>
  <si>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</si>
  <si>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</si>
  <si>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</si>
  <si>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</si>
  <si>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</si>
  <si>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</si>
  <si>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</si>
  <si>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</si>
  <si>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</si>
  <si>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</si>
  <si>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</si>
  <si>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</si>
  <si>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</si>
  <si>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</si>
  <si>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</si>
  <si>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</si>
  <si>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</si>
  <si>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</si>
  <si>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</si>
  <si>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</si>
  <si>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</si>
  <si>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</si>
  <si>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</si>
  <si>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</si>
  <si>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</si>
  <si>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</si>
  <si>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</si>
  <si>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</si>
  <si>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</si>
  <si>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</si>
  <si>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</si>
  <si>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</si>
  <si>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</si>
  <si>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</si>
  <si>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</si>
  <si>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</si>
  <si>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</si>
  <si>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</si>
  <si>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</si>
  <si>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</si>
  <si>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</si>
  <si>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</si>
  <si>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</si>
  <si>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</si>
  <si>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</si>
  <si>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</si>
  <si>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</si>
  <si>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</si>
  <si>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</si>
  <si>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</si>
  <si>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</si>
  <si>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</si>
  <si>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</si>
  <si>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</si>
  <si>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</si>
  <si>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</si>
  <si>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</si>
  <si>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</si>
  <si>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</si>
  <si>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</si>
  <si>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</si>
  <si>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</si>
  <si>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</si>
  <si>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</si>
  <si>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</si>
  <si>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</si>
  <si>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</si>
  <si>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</si>
  <si>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</si>
  <si>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</si>
  <si>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</si>
  <si>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</si>
  <si>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</si>
  <si>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</si>
  <si>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</si>
  <si>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</si>
  <si>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</si>
  <si>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</si>
  <si>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</si>
  <si>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</si>
  <si>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</si>
  <si>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</si>
  <si>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</si>
  <si>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</si>
  <si>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</si>
  <si>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</si>
  <si>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</si>
  <si>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</si>
  <si>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</si>
  <si>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</si>
  <si>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</si>
  <si>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</si>
  <si>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</si>
  <si>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</si>
  <si>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</si>
  <si>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</si>
  <si>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</si>
  <si>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</si>
  <si>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</si>
  <si>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</si>
  <si>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</si>
  <si>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</si>
  <si>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</si>
  <si>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</si>
  <si>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</si>
  <si>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</si>
  <si>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</si>
  <si>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</si>
  <si>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</si>
  <si>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</si>
  <si>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</si>
  <si>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</si>
  <si>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</si>
  <si>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</si>
  <si>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</si>
  <si>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</si>
  <si>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</si>
  <si>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</si>
  <si>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</si>
  <si>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</si>
  <si>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</si>
  <si>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</si>
  <si>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</si>
  <si>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</si>
  <si>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</si>
  <si>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</si>
  <si>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</si>
  <si>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</si>
  <si>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</si>
  <si>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</si>
  <si>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</si>
  <si>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</si>
  <si>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</si>
  <si>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</si>
  <si>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</si>
  <si>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</si>
  <si>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</si>
  <si>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</si>
  <si>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</si>
  <si>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</si>
  <si>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</si>
  <si>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</si>
  <si>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</si>
  <si>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</si>
  <si>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</si>
  <si>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</si>
  <si>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</si>
  <si>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</si>
  <si>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</si>
  <si>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</si>
  <si>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</si>
  <si>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</si>
  <si>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</si>
  <si>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</si>
  <si>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</si>
  <si>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</si>
  <si>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</si>
  <si>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</si>
  <si>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</si>
  <si>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</si>
  <si>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</si>
  <si>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</si>
  <si>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</si>
  <si>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</si>
  <si>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</si>
  <si>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</si>
  <si>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</si>
  <si>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</si>
  <si>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</si>
  <si>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</si>
  <si>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</si>
  <si>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</si>
  <si>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</si>
  <si>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</si>
  <si>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</si>
  <si>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</si>
  <si>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</si>
  <si>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</si>
  <si>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</si>
  <si>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</si>
  <si>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</si>
  <si>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</si>
  <si>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</si>
  <si>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</si>
  <si>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</si>
  <si>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</si>
  <si>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</si>
  <si>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</si>
  <si>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</si>
  <si>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</si>
  <si>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</si>
  <si>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</si>
  <si>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</si>
  <si>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</si>
  <si>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</si>
  <si>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</si>
  <si>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</si>
  <si>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</si>
  <si>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</si>
  <si>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</si>
  <si>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</si>
  <si>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</si>
  <si>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</si>
  <si>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</si>
  <si>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</si>
  <si>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</si>
  <si>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</si>
  <si>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</si>
  <si>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</si>
  <si>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</si>
  <si>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</si>
  <si>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</si>
  <si>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</si>
  <si>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</si>
  <si>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</si>
  <si>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</si>
  <si>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</si>
  <si>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</si>
  <si>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</si>
  <si>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</si>
  <si>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</si>
  <si>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</si>
  <si>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</si>
  <si>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</si>
  <si>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</si>
  <si>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</si>
  <si>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</si>
  <si>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</si>
  <si>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</si>
  <si>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</si>
  <si>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</si>
  <si>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</si>
  <si>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</si>
  <si>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</si>
  <si>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</si>
  <si>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</si>
  <si>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</si>
  <si>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</si>
  <si>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</si>
  <si>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</si>
  <si>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</si>
  <si>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</si>
  <si>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</si>
  <si>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</si>
  <si>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</si>
  <si>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</si>
  <si>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</si>
  <si>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</si>
  <si>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</si>
  <si>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</si>
  <si>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</si>
  <si>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</si>
  <si>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</si>
  <si>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</si>
  <si>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</si>
  <si>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</si>
  <si>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</si>
  <si>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</si>
  <si>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</si>
  <si>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</si>
  <si>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</si>
  <si>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</si>
  <si>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</si>
  <si>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</si>
  <si>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</si>
  <si>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</si>
  <si>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</si>
  <si>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</si>
  <si>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</si>
  <si>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</si>
  <si>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</si>
  <si>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</si>
  <si>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</si>
  <si>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</si>
  <si>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</si>
  <si>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</si>
  <si>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</si>
  <si>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</si>
  <si>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</si>
  <si>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</si>
  <si>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</si>
  <si>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</si>
  <si>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</si>
  <si>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</si>
  <si>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</si>
  <si>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</si>
  <si>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</si>
  <si>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</si>
  <si>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</si>
  <si>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</si>
  <si>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</si>
  <si>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</si>
  <si>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</si>
  <si>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</si>
  <si>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</si>
  <si>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</si>
  <si>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</si>
  <si>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</si>
  <si>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</si>
  <si>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</si>
  <si>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</si>
  <si>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</si>
  <si>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</si>
  <si>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</si>
  <si>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</si>
  <si>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</si>
  <si>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</si>
  <si>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</si>
  <si>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</si>
  <si>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</si>
  <si>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</si>
  <si>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</si>
  <si>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</si>
  <si>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</si>
  <si>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</si>
  <si>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</si>
  <si>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</si>
  <si>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</si>
  <si>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</si>
  <si>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</si>
  <si>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</si>
  <si>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</si>
  <si>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</si>
  <si>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</si>
  <si>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</si>
  <si>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</si>
  <si>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</si>
  <si>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</si>
  <si>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</si>
  <si>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</si>
  <si>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</si>
  <si>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</si>
  <si>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</si>
  <si>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</si>
  <si>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</si>
  <si>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</si>
  <si>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</si>
  <si>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</si>
  <si>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</si>
  <si>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</si>
  <si>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</si>
  <si>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</si>
  <si>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</si>
  <si>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</si>
  <si>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</si>
  <si>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</si>
  <si>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</si>
  <si>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</si>
  <si>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</si>
  <si>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</si>
  <si>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</si>
  <si>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</si>
  <si>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</si>
  <si>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</si>
  <si>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</si>
  <si>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</si>
  <si>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</si>
  <si>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</si>
  <si>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</si>
  <si>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</si>
  <si>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</si>
  <si>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</si>
  <si>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</si>
  <si>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</si>
  <si>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</si>
  <si>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</si>
  <si>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</si>
  <si>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</si>
  <si>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</si>
  <si>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</si>
  <si>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</si>
  <si>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</si>
  <si>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</si>
  <si>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</si>
  <si>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</si>
  <si>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</si>
  <si>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</si>
  <si>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</si>
  <si>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</si>
  <si>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</si>
  <si>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</si>
  <si>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</si>
  <si>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</si>
  <si>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</si>
  <si>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</si>
  <si>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</si>
  <si>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</si>
  <si>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</si>
  <si>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</si>
  <si>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</si>
  <si>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</si>
  <si>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</si>
  <si>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</si>
  <si>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</si>
  <si>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</si>
  <si>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</si>
  <si>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</si>
  <si>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</si>
  <si>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</si>
  <si>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</si>
  <si>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</si>
  <si>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</si>
  <si>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</si>
  <si>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</si>
  <si>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</si>
  <si>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</si>
  <si>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</si>
  <si>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</si>
  <si>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</si>
  <si>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</si>
  <si>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</si>
  <si>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</si>
  <si>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</si>
  <si>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</si>
  <si>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</si>
  <si>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</si>
  <si>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</si>
  <si>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</si>
  <si>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</si>
  <si>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</si>
  <si>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</si>
  <si>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</si>
  <si>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</si>
  <si>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</si>
  <si>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</si>
  <si>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</si>
  <si>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</si>
  <si>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</si>
  <si>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</si>
  <si>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</si>
  <si>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</si>
  <si>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</si>
  <si>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</si>
  <si>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</si>
  <si>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</si>
  <si>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</si>
  <si>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</si>
  <si>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</si>
  <si>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</si>
  <si>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</si>
  <si>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</si>
  <si>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</si>
  <si>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</si>
  <si>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</si>
  <si>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</si>
  <si>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</si>
  <si>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</si>
  <si>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</si>
  <si>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</si>
  <si>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</si>
  <si>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</si>
  <si>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</si>
  <si>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</si>
  <si>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</si>
  <si>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</si>
  <si>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</si>
  <si>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</si>
  <si>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</si>
  <si>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</si>
  <si>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</si>
  <si>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</si>
  <si>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</si>
  <si>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</si>
  <si>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</si>
  <si>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</si>
  <si>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</si>
  <si>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</si>
  <si>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</si>
  <si>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</si>
  <si>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</si>
  <si>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</si>
  <si>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</si>
  <si>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</si>
  <si>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</si>
  <si>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</si>
  <si>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</si>
  <si>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</si>
  <si>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</si>
  <si>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</si>
  <si>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</si>
  <si>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</si>
  <si>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</si>
  <si>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</si>
  <si>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</si>
  <si>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</si>
  <si>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</si>
  <si>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</si>
  <si>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</si>
  <si>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</si>
  <si>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</si>
  <si>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</si>
  <si>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</si>
  <si>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</si>
  <si>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</si>
  <si>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</si>
  <si>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</si>
  <si>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</si>
  <si>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</si>
  <si>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</si>
  <si>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</si>
  <si>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</si>
  <si>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</si>
  <si>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</si>
  <si>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</si>
  <si>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</si>
  <si>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</si>
  <si>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</si>
  <si>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</si>
  <si>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</si>
  <si>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</si>
  <si>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</si>
  <si>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</si>
  <si>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</si>
  <si>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</si>
  <si>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</si>
  <si>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</si>
  <si>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</si>
  <si>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</si>
  <si>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</si>
  <si>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</si>
  <si>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</si>
  <si>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</si>
  <si>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</si>
  <si>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</si>
  <si>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</si>
  <si>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</si>
  <si>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</si>
  <si>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</si>
  <si>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</si>
  <si>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</si>
  <si>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</si>
  <si>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</si>
  <si>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</si>
  <si>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</si>
  <si>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</si>
  <si>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</si>
  <si>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</si>
  <si>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</si>
  <si>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</si>
  <si>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</si>
  <si>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</si>
  <si>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</si>
  <si>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</si>
  <si>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</si>
  <si>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</si>
  <si>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</si>
  <si>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</si>
  <si>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</si>
  <si>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</si>
  <si>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</si>
  <si>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</si>
  <si>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</si>
  <si>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</si>
  <si>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</si>
  <si>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</si>
  <si>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</si>
  <si>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</si>
  <si>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</si>
  <si>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</si>
  <si>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</si>
  <si>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</si>
  <si>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</si>
  <si>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</si>
  <si>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</si>
  <si>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</si>
  <si>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</si>
  <si>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</si>
  <si>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</si>
  <si>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</si>
  <si>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</si>
  <si>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</si>
  <si>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</si>
  <si>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</si>
  <si>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</si>
  <si>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</si>
  <si>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</si>
  <si>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</si>
  <si>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</si>
  <si>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</si>
  <si>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</si>
  <si>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</si>
  <si>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</si>
  <si>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</si>
  <si>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</si>
  <si>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</si>
  <si>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</si>
  <si>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</si>
  <si>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</si>
  <si>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</si>
  <si>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</si>
  <si>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</si>
  <si>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</si>
  <si>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</si>
  <si>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</si>
  <si>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</si>
  <si>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</si>
  <si>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</si>
  <si>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</si>
  <si>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</si>
  <si>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</si>
  <si>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</si>
  <si>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</si>
  <si>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</si>
  <si>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</si>
  <si>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</si>
  <si>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</si>
  <si>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</si>
  <si>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</si>
  <si>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</si>
  <si>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</si>
  <si>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</si>
  <si>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</si>
  <si>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</si>
  <si>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</si>
  <si>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</si>
  <si>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</si>
  <si>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</si>
  <si>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</si>
  <si>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</si>
  <si>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</si>
  <si>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</si>
  <si>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</si>
  <si>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</si>
  <si>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</si>
  <si>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</si>
  <si>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</si>
  <si>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</si>
  <si>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</si>
  <si>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</si>
  <si>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</si>
  <si>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</si>
  <si>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</si>
  <si>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</si>
  <si>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</si>
  <si>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</si>
  <si>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</si>
  <si>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</si>
  <si>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</si>
  <si>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</si>
  <si>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</si>
  <si>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</si>
  <si>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</si>
  <si>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</si>
  <si>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</si>
  <si>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</si>
  <si>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</si>
  <si>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</si>
  <si>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</si>
  <si>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</si>
  <si>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</si>
  <si>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</si>
  <si>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</si>
  <si>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</si>
  <si>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</si>
  <si>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</si>
  <si>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</si>
  <si>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</si>
  <si>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</si>
  <si>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</si>
  <si>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</si>
  <si>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</si>
  <si>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</si>
  <si>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</si>
  <si>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</si>
  <si>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</si>
  <si>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</si>
  <si>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</si>
  <si>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</si>
  <si>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</si>
  <si>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</si>
  <si>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</si>
  <si>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</si>
  <si>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</si>
  <si>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</si>
  <si>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</si>
  <si>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</si>
  <si>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</si>
  <si>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</si>
  <si>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</si>
  <si>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</si>
  <si>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</si>
  <si>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</si>
  <si>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</si>
  <si>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</si>
  <si>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</si>
  <si>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</si>
  <si>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</si>
  <si>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</si>
  <si>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</si>
  <si>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</si>
  <si>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</si>
  <si>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</si>
  <si>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</si>
  <si>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</si>
  <si>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</si>
  <si>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</si>
  <si>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</si>
  <si>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</si>
  <si>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</si>
  <si>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</si>
  <si>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</si>
  <si>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</si>
  <si>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</si>
  <si>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</si>
  <si>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</si>
  <si>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</si>
  <si>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</si>
  <si>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</si>
  <si>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</si>
  <si>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</si>
  <si>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</si>
  <si>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</si>
  <si>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</si>
  <si>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</si>
  <si>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</si>
  <si>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</si>
  <si>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</si>
  <si>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</si>
  <si>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</si>
  <si>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</si>
  <si>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</si>
  <si>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</si>
  <si>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</si>
  <si>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</si>
  <si>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</si>
  <si>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</si>
  <si>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</si>
  <si>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</si>
  <si>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</si>
  <si>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</si>
  <si>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</si>
  <si>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</si>
  <si>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</si>
  <si>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</si>
  <si>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</si>
  <si>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</si>
  <si>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</si>
  <si>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</si>
  <si>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</si>
  <si>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</si>
  <si>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</si>
  <si>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</si>
  <si>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</si>
  <si>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</si>
  <si>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</si>
  <si>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</si>
  <si>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</si>
  <si>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</si>
  <si>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</si>
  <si>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</si>
  <si>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</si>
  <si>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</si>
  <si>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</si>
  <si>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</si>
  <si>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</si>
  <si>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</si>
  <si>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</si>
  <si>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</si>
  <si>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</si>
  <si>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</si>
  <si>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</si>
  <si>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</si>
  <si>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</si>
  <si>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</si>
  <si>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</si>
  <si>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</si>
  <si>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</si>
  <si>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</si>
  <si>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</si>
  <si>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</si>
  <si>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</si>
  <si>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</si>
  <si>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</si>
  <si>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</si>
  <si>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</si>
  <si>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</si>
  <si>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</si>
  <si>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</si>
  <si>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</si>
  <si>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</si>
  <si>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</si>
  <si>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</si>
  <si>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</si>
  <si>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</si>
  <si>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</si>
  <si>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</si>
  <si>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</si>
  <si>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</si>
  <si>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</si>
  <si>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</si>
  <si>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</si>
  <si>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</si>
  <si>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</si>
  <si>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</si>
  <si>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</si>
  <si>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</si>
  <si>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</si>
  <si>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</si>
  <si>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</si>
  <si>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</si>
  <si>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</si>
  <si>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</si>
  <si>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</si>
  <si>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</si>
  <si>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</si>
  <si>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</si>
  <si>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</si>
  <si>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</si>
  <si>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</si>
  <si>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</si>
  <si>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</si>
  <si>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</si>
  <si>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</si>
  <si>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</si>
  <si>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</si>
  <si>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</si>
  <si>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</si>
  <si>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</si>
  <si>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</si>
  <si>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</si>
  <si>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</si>
  <si>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</si>
  <si>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</si>
  <si>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</si>
  <si>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</si>
  <si>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</si>
  <si>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</si>
  <si>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</si>
  <si>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</si>
  <si>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</si>
  <si>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</si>
  <si>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</si>
  <si>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</si>
  <si>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</si>
  <si>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</si>
  <si>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</si>
  <si>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</si>
  <si>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</si>
  <si>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</si>
  <si>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</si>
  <si>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</si>
  <si>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</si>
  <si>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</si>
  <si>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</si>
  <si>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</si>
  <si>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</si>
  <si>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</si>
  <si>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</si>
  <si>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</si>
  <si>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</si>
  <si>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</si>
  <si>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</si>
  <si>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</si>
  <si>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</si>
  <si>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</si>
  <si>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</si>
  <si>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</si>
  <si>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</si>
  <si>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</si>
  <si>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</si>
  <si>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</si>
  <si>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</si>
  <si>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</si>
  <si>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</si>
  <si>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</si>
  <si>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</si>
  <si>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</si>
  <si>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</si>
  <si>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</si>
  <si>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</si>
  <si>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</si>
  <si>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</si>
  <si>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</si>
  <si>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</si>
  <si>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</si>
  <si>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</si>
  <si>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</si>
  <si>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</si>
  <si>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</si>
  <si>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</si>
  <si>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</si>
  <si>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</si>
  <si>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</si>
  <si>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</si>
  <si>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</si>
  <si>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</si>
  <si>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</si>
  <si>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</si>
  <si>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</si>
  <si>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</si>
  <si>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</si>
  <si>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</si>
  <si>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</si>
  <si>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</si>
  <si>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</si>
  <si>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</si>
  <si>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</si>
  <si>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</si>
  <si>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</si>
  <si>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</si>
  <si>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</si>
  <si>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</si>
  <si>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</si>
  <si>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</si>
  <si>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</si>
  <si>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</si>
  <si>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</si>
  <si>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</si>
  <si>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</si>
  <si>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</si>
  <si>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</si>
  <si>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</si>
  <si>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</si>
  <si>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</si>
  <si>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</si>
  <si>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</si>
  <si>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</si>
  <si>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</si>
  <si>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</si>
  <si>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</si>
  <si>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</si>
  <si>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</si>
  <si>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</si>
  <si>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</si>
  <si>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</si>
  <si>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</si>
  <si>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</si>
  <si>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</si>
  <si>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</si>
  <si>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</si>
  <si>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</si>
  <si>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</si>
  <si>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</si>
  <si>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</si>
  <si>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</si>
  <si>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</si>
  <si>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</si>
  <si>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</si>
  <si>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</si>
  <si>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</si>
  <si>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</si>
  <si>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</si>
  <si>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</si>
  <si>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</si>
  <si>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</si>
  <si>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</si>
  <si>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</si>
  <si>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</si>
  <si>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</si>
  <si>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</si>
  <si>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</si>
  <si>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</si>
  <si>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</si>
  <si>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</si>
  <si>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</si>
  <si>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</si>
  <si>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</si>
  <si>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</si>
  <si>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</si>
  <si>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</si>
  <si>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</si>
  <si>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</si>
  <si>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</si>
  <si>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</si>
  <si>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</si>
  <si>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</si>
  <si>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</si>
  <si>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</si>
  <si>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</si>
  <si>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</si>
  <si>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</si>
  <si>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</si>
  <si>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</si>
  <si>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</si>
  <si>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</si>
  <si>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</si>
  <si>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</si>
  <si>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</si>
  <si>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</si>
  <si>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</si>
  <si>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</si>
  <si>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</si>
  <si>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</si>
  <si>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</si>
  <si>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</si>
  <si>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</si>
  <si>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</si>
  <si>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</si>
  <si>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</si>
  <si>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</si>
  <si>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</si>
  <si>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</si>
  <si>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</si>
  <si>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</si>
  <si>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</si>
  <si>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</si>
  <si>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</si>
  <si>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</si>
  <si>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</si>
  <si>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</si>
  <si>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</si>
  <si>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</si>
  <si>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</si>
  <si>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</si>
  <si>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</si>
  <si>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</si>
  <si>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</si>
  <si>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</si>
  <si>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</si>
  <si>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</si>
  <si>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</si>
  <si>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</si>
  <si>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</si>
  <si>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</si>
  <si>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</si>
  <si>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</si>
  <si>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</si>
  <si>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</si>
  <si>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</si>
  <si>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</si>
  <si>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</si>
  <si>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</si>
  <si>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</si>
  <si>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</si>
  <si>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</si>
  <si>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</si>
  <si>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</si>
  <si>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</si>
  <si>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</si>
  <si>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</si>
  <si>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</si>
  <si>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</si>
  <si>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</si>
  <si>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</si>
  <si>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</si>
  <si>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</si>
  <si>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</si>
  <si>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</si>
  <si>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</si>
  <si>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</si>
  <si>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</si>
  <si>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</si>
  <si>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</si>
  <si>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</si>
  <si>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</si>
  <si>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</si>
  <si>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</si>
  <si>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</si>
  <si>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</si>
  <si>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</si>
  <si>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</si>
  <si>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</si>
  <si>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</si>
  <si>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</si>
  <si>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</si>
  <si>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</si>
  <si>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</si>
  <si>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</si>
  <si>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</si>
  <si>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</si>
  <si>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</si>
  <si>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</si>
  <si>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</si>
  <si>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</si>
  <si>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</si>
  <si>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</si>
  <si>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</si>
  <si>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</si>
  <si>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</si>
  <si>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</si>
  <si>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</si>
  <si>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</si>
  <si>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</si>
  <si>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</si>
  <si>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</si>
  <si>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</si>
  <si>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</si>
  <si>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</si>
  <si>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</si>
  <si>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</si>
  <si>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</si>
  <si>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</si>
  <si>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</si>
  <si>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</si>
  <si>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</si>
  <si>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</si>
  <si>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</si>
  <si>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</si>
  <si>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</si>
  <si>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</si>
  <si>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</si>
  <si>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</si>
  <si>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</si>
  <si>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</si>
  <si>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</si>
  <si>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</si>
  <si>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</si>
  <si>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</si>
  <si>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</si>
  <si>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</si>
  <si>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</si>
  <si>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</si>
  <si>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</si>
  <si>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</si>
  <si>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</si>
  <si>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</si>
  <si>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</si>
  <si>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</si>
  <si>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</si>
  <si>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</si>
  <si>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</si>
  <si>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</si>
  <si>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</si>
  <si>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</si>
  <si>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</si>
  <si>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</si>
  <si>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</si>
  <si>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</si>
  <si>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</si>
  <si>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</si>
  <si>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</si>
  <si>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</si>
  <si>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</si>
  <si>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</si>
  <si>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</si>
  <si>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</si>
  <si>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</si>
  <si>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</si>
  <si>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</si>
  <si>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</si>
  <si>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</si>
  <si>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</si>
  <si>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</si>
  <si>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</si>
  <si>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</si>
  <si>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</si>
  <si>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</si>
  <si>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</si>
  <si>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</si>
  <si>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</si>
  <si>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</si>
  <si>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</si>
  <si>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</si>
  <si>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</si>
  <si>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</si>
  <si>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</si>
  <si>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</si>
  <si>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</si>
  <si>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</si>
  <si>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</si>
  <si>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</si>
  <si>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</si>
  <si>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</si>
  <si>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</si>
  <si>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</si>
  <si>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</si>
  <si>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</si>
  <si>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</si>
  <si>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</si>
  <si>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</si>
  <si>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</si>
  <si>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</si>
  <si>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</si>
  <si>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</si>
  <si>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</si>
  <si>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</si>
  <si>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</si>
  <si>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</si>
  <si>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</si>
  <si>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</si>
  <si>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</si>
  <si>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</si>
  <si>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</si>
  <si>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</si>
  <si>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</si>
  <si>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</si>
  <si>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</si>
  <si>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</si>
  <si>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</si>
  <si>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</si>
  <si>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</si>
  <si>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</si>
  <si>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</si>
  <si>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</si>
  <si>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</si>
  <si>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</si>
  <si>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</si>
  <si>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</si>
  <si>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</si>
  <si>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</si>
  <si>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</si>
  <si>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</si>
  <si>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</si>
  <si>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</si>
  <si>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</si>
  <si>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</si>
  <si>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</si>
  <si>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</si>
  <si>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</si>
  <si>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</si>
  <si>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</si>
  <si>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</si>
  <si>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</si>
  <si>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</si>
  <si>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</si>
  <si>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</si>
  <si>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</si>
  <si>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</si>
  <si>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</si>
  <si>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</si>
  <si>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</si>
  <si>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</si>
  <si>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</si>
  <si>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</si>
  <si>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</si>
  <si>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</si>
  <si>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</si>
  <si>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</si>
  <si>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</si>
  <si>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</si>
  <si>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</si>
  <si>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</si>
  <si>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</si>
  <si>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</si>
  <si>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</si>
  <si>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</si>
  <si>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</si>
  <si>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</si>
  <si>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</si>
  <si>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</si>
  <si>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</si>
  <si>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</si>
  <si>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</si>
  <si>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</si>
  <si>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</si>
  <si>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</si>
  <si>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</si>
  <si>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</si>
  <si>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</si>
  <si>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</si>
  <si>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</si>
  <si>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</si>
  <si>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</si>
  <si>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</si>
  <si>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</si>
  <si>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</si>
  <si>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</si>
  <si>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</si>
  <si>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</si>
  <si>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</si>
  <si>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</si>
  <si>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</si>
  <si>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</si>
  <si>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</si>
  <si>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</si>
  <si>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</si>
  <si>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</si>
  <si>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</si>
  <si>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</si>
  <si>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</si>
  <si>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</si>
  <si>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</si>
  <si>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</si>
  <si>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</si>
  <si>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</si>
  <si>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</si>
  <si>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</si>
  <si>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</si>
  <si>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</si>
  <si>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</si>
  <si>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</si>
  <si>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</si>
  <si>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</si>
  <si>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</si>
  <si>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</si>
  <si>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</si>
  <si>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</si>
  <si>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</si>
  <si>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</si>
  <si>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</si>
  <si>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</si>
  <si>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</si>
  <si>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</si>
  <si>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</si>
  <si>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</si>
  <si>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</si>
  <si>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</si>
  <si>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</si>
  <si>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</si>
  <si>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</si>
  <si>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</si>
  <si>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</si>
  <si>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</si>
  <si>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</si>
  <si>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</si>
  <si>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</si>
  <si>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</si>
  <si>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</si>
  <si>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</si>
  <si>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</si>
  <si>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</si>
  <si>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</si>
  <si>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</si>
  <si>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</si>
  <si>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</si>
  <si>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</si>
  <si>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</si>
  <si>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</si>
  <si>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</si>
  <si>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</si>
  <si>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</si>
  <si>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</si>
  <si>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</si>
  <si>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</si>
  <si>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</si>
  <si>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</si>
  <si>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</si>
  <si>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</si>
  <si>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</si>
  <si>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</si>
  <si>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</si>
  <si>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</si>
  <si>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</si>
  <si>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</si>
  <si>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</si>
  <si>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</si>
  <si>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</si>
  <si>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</si>
  <si>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</si>
  <si>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</si>
  <si>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</si>
  <si>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</si>
  <si>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</si>
  <si>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</si>
  <si>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</si>
  <si>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</si>
  <si>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</si>
  <si>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</si>
  <si>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</si>
  <si>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</si>
  <si>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</si>
  <si>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</si>
  <si>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</si>
  <si>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</si>
  <si>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</si>
  <si>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</si>
  <si>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</si>
  <si>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</si>
  <si>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</si>
  <si>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</si>
  <si>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</si>
  <si>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</si>
  <si>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</si>
  <si>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</si>
  <si>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</si>
  <si>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</si>
  <si>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</si>
  <si>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</si>
  <si>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</si>
  <si>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</si>
  <si>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</si>
  <si>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</si>
  <si>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</si>
  <si>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</si>
  <si>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</si>
  <si>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</si>
  <si>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</si>
  <si>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</si>
  <si>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</si>
  <si>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</si>
  <si>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</si>
  <si>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</si>
  <si>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</si>
  <si>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</si>
  <si>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</si>
  <si>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</si>
  <si>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</si>
  <si>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</si>
  <si>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</si>
  <si>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</si>
  <si>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</si>
  <si>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</si>
  <si>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</si>
  <si>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</si>
  <si>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</si>
  <si>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</si>
  <si>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</si>
  <si>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</si>
  <si>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</si>
  <si>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</si>
  <si>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</si>
  <si>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</si>
  <si>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</si>
  <si>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</si>
  <si>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</si>
  <si>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</si>
  <si>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</si>
  <si>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</si>
  <si>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</si>
  <si>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</si>
  <si>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</si>
  <si>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</si>
  <si>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</si>
  <si>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</si>
  <si>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</si>
  <si>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</si>
  <si>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</si>
  <si>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</si>
  <si>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</si>
  <si>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</si>
  <si>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</si>
  <si>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</si>
  <si>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</si>
  <si>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</si>
  <si>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</si>
  <si>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</si>
  <si>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</si>
  <si>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</si>
  <si>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</si>
  <si>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</si>
  <si>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</si>
  <si>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</si>
  <si>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</si>
  <si>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</si>
  <si>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</si>
  <si>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</si>
  <si>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</si>
  <si>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</si>
  <si>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</si>
  <si>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</si>
  <si>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</si>
  <si>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</si>
  <si>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</si>
  <si>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</si>
  <si>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</si>
  <si>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</si>
  <si>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</si>
  <si>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</si>
  <si>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</si>
  <si>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</si>
  <si>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</si>
  <si>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</si>
  <si>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</si>
  <si>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</si>
  <si>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</si>
  <si>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</si>
  <si>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</si>
  <si>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</si>
  <si>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</si>
  <si>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</si>
  <si>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</si>
  <si>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</si>
  <si>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</si>
  <si>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</si>
  <si>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</si>
  <si>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</si>
  <si>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</si>
  <si>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</si>
  <si>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</si>
  <si>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</si>
  <si>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</si>
  <si>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</si>
  <si>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</si>
  <si>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</si>
  <si>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</si>
  <si>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</si>
  <si>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</si>
  <si>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</si>
  <si>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</si>
  <si>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</si>
  <si>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</si>
  <si>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</si>
  <si>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</si>
  <si>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</si>
  <si>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</si>
  <si>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</si>
  <si>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</si>
  <si>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</si>
  <si>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</si>
  <si>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</si>
  <si>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</si>
  <si>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</si>
  <si>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</si>
  <si>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</si>
  <si>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</si>
  <si>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</si>
  <si>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</si>
  <si>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</si>
  <si>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</si>
  <si>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</si>
  <si>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</si>
  <si>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</si>
  <si>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</si>
  <si>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</si>
  <si>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</si>
  <si>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</si>
  <si>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</si>
  <si>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</si>
  <si>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</si>
  <si>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</si>
  <si>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</si>
  <si>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</si>
  <si>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</si>
  <si>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</si>
  <si>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</si>
  <si>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</si>
  <si>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</si>
  <si>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</si>
  <si>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</si>
  <si>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</si>
  <si>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</si>
  <si>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</si>
  <si>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</si>
  <si>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</si>
  <si>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</si>
  <si>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</si>
  <si>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</si>
  <si>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</si>
  <si>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 (Fernanda e Túlio)</t>
  </si>
  <si>
    <t>UniTCDF: Gestão Pública (Passou)</t>
  </si>
  <si>
    <t>UniTCDF: Engenharia civil (Seinfra)</t>
  </si>
  <si>
    <t>UniTCDF: Engenharia civil (Adriana)</t>
  </si>
  <si>
    <t>UniTCDF: Gestão Pública (Novos)</t>
  </si>
  <si>
    <t>UniTCDF: Direito (Novos)</t>
  </si>
  <si>
    <t>Visita dos Filhos ao trabalho</t>
  </si>
  <si>
    <t>UniTCDF: Visita da FGV</t>
  </si>
  <si>
    <t>Exibição de filme: Consciência Negra</t>
  </si>
  <si>
    <t>Hackaton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</si>
</sst>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6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8" fillId="0" borderId="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" fontId="31" fillId="0" borderId="1" xfId="0" applyNumberFormat="1" applyFont="1" applyFill="1" applyBorder="1" applyAlignment="1">
      <alignment horizontal="center" vertical="center"/>
    </xf>
    <xf numFmtId="170" fontId="31" fillId="0" borderId="1" xfId="0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Fill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164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170" fontId="31" fillId="0" borderId="2" xfId="0" applyNumberFormat="1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4" fontId="31" fillId="0" borderId="2" xfId="0" applyNumberFormat="1" applyFont="1" applyFill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94"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alignment horizontal="left"/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93"/>
      <tableStyleElement type="firstRowStripe" dxfId="92"/>
      <tableStyleElement type="secondRowStripe" dxfId="91"/>
    </tableStyle>
    <tableStyle name="Ações InCompany-style" pivot="0" count="3" xr9:uid="{00000000-0011-0000-FFFF-FFFF01000000}">
      <tableStyleElement type="headerRow" dxfId="90"/>
      <tableStyleElement type="firstRowStripe" dxfId="89"/>
      <tableStyleElement type="secondRowStripe" dxfId="88"/>
    </tableStyle>
    <tableStyle name="Coffee Break-style" pivot="0" count="3" xr9:uid="{00000000-0011-0000-FFFF-FFFF02000000}">
      <tableStyleElement type="headerRow" dxfId="87"/>
      <tableStyleElement type="firstRowStripe" dxfId="86"/>
      <tableStyleElement type="secondRowStripe" dxfId="85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67" dataDxfId="66" totalsRowDxfId="65" totalsRowBorderDxfId="64">
  <autoFilter ref="A1:T2007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E1:E2001"/>
  </sortState>
  <tableColumns count="20">
    <tableColumn id="1" xr3:uid="{022FA08A-515E-453B-85A4-E200B40364EE}" name="ID" dataDxfId="62" totalsRowDxfId="63"/>
    <tableColumn id="2" xr3:uid="{19532738-24D5-4BD5-BE04-C19DCC5894A1}" name="Ano" dataDxfId="60" totalsRowDxfId="61"/>
    <tableColumn id="3" xr3:uid="{8DE0B36A-F0DC-47A1-A74E-F4BE63A4FB1D}" name="Status Evento" dataDxfId="58" totalsRowDxfId="59"/>
    <tableColumn id="4" xr3:uid="{C1159FBD-CCD0-4CA2-BB8C-598E3AB5DDD8}" name="Processo" dataDxfId="56" totalsRowDxfId="57"/>
    <tableColumn id="5" xr3:uid="{A32670A4-BE4F-480D-8DE9-8FF18024C829}" name="Curso" dataDxfId="54" totalsRowDxfId="55"/>
    <tableColumn id="8" xr3:uid="{905DEA0A-D099-47EA-972D-1012D71C7792}" name="Público-Alvo" dataDxfId="52" totalsRowDxfId="53"/>
    <tableColumn id="9" xr3:uid="{7DC0A0BE-8030-47CA-AF56-2C13C9FF7AE5}" name="Programa" dataDxfId="50" totalsRowDxfId="51"/>
    <tableColumn id="11" xr3:uid="{2B799ACD-69E4-46A5-9A4F-F7E3D7A47CE9}" name="Data TXT" dataDxfId="48" totalsRowDxfId="49"/>
    <tableColumn id="12" xr3:uid="{62016C67-3729-4C41-B72D-09D6616B7474}" name="Início" dataDxfId="46" totalsRowDxfId="47"/>
    <tableColumn id="13" xr3:uid="{E4F20518-0042-40C0-B590-B7616F2843A5}" name="Término" dataDxfId="44" totalsRowDxfId="45"/>
    <tableColumn id="14" xr3:uid="{4D6C4412-CFEE-4506-830E-F79FD008371B}" name="Modalidade" dataDxfId="42" totalsRowDxfId="43"/>
    <tableColumn id="15" xr3:uid="{12EC931A-E71B-4AEB-B20B-0F9EA63D0C71}" name="Valor instrutoria" dataDxfId="40" totalsRowDxfId="41" dataCellStyle="Moeda"/>
    <tableColumn id="17" xr3:uid="{8FCDFADA-4FA3-41E0-86FF-E623116BAFEB}" name="Nota Av. Reação" dataDxfId="38" totalsRowDxfId="39"/>
    <tableColumn id="19" xr3:uid="{316EB379-BB97-4F60-9566-576B25A26B0E}" name="Qtd Vagas" dataDxfId="36" totalsRowDxfId="37"/>
    <tableColumn id="20" xr3:uid="{59A9FB16-6726-411C-88B5-8165DD520DA3}" name="P. Servidores" dataDxfId="34" totalsRowDxfId="35"/>
    <tableColumn id="21" xr3:uid="{0246E091-ADCD-4F62-8F95-84B21E8A7BE1}" name="P. Jurisdicionados" dataDxfId="32" totalsRowDxfId="33"/>
    <tableColumn id="22" xr3:uid="{1B6DBD6D-C072-4600-81C1-69D6F4422D7D}" name="P. Sociedade" dataDxfId="30" totalsRowDxfId="31"/>
    <tableColumn id="23" xr3:uid="{109F7E4E-776C-4249-88BE-FEC3A375D7D9}" name="Total Part." dataDxfId="28" totalsRowDxfId="29"/>
    <tableColumn id="24" xr3:uid="{C67AA4C6-834C-4EBB-839B-EF0CDD50F649}" name="C.H." dataDxfId="26" totalsRowDxfId="27"/>
    <tableColumn id="26" xr3:uid="{973608F6-3E97-493C-AC61-980F73C13CD6}" name="Instrutor" dataDxfId="24" totalsRowDxfId="2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8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="120" zoomScaleNormal="120" workbookViewId="0">
      <pane ySplit="1" topLeftCell="A718" activePane="bottomLeft" state="frozen"/>
      <selection pane="bottomLeft" activeCell="E2007" sqref="E2007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1.28515625" style="1" bestFit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15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32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15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34" t="s">
        <v>2745</v>
      </c>
      <c r="I675" s="236">
        <v>46120</v>
      </c>
      <c r="J675" s="236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35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33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30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>IF(B701="","",SUM(O701:Q701))</f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>IF(B702="","",SUM(O702:Q702))</f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>IF(B703="","",SUM(O703:Q703))</f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>IF(B704="","",SUM(O704:Q704))</f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>IF(B705="","",SUM(O705:Q705))</f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>IF(B706="","",SUM(O706:Q706))</f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>IF(B707="","",SUM(O707:Q707))</f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>IF(B708="","",SUM(O708:Q708))</f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>IF(B709="","",SUM(O709:Q709))</f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>IF(B710="","",SUM(O710:Q710))</f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>IF(B711="","",SUM(O711:Q711))</f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>IF(B715="","",SUM(O715:Q715))</f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>IF(B716="","",SUM(O716:Q716))</f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>IF(B717="","",SUM(O717:Q717))</f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>IF(B718="","",SUM(O718:Q718))</f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>IF(B719="","",SUM(O719:Q719))</f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23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/>
      <c r="D725" s="183"/>
      <c r="E725" s="180" t="s">
        <v>3165</v>
      </c>
      <c r="F725" s="185"/>
      <c r="G725" s="186"/>
      <c r="H725" s="191"/>
      <c r="I725" s="192"/>
      <c r="J725" s="192"/>
      <c r="K725" s="183"/>
      <c r="L725" s="187"/>
      <c r="M725" s="188"/>
      <c r="N725" s="189"/>
      <c r="O725" s="190"/>
      <c r="P725" s="190"/>
      <c r="Q725" s="190"/>
      <c r="R725" s="190"/>
      <c r="S725" s="183"/>
      <c r="T725" s="186"/>
    </row>
    <row r="726" spans="1:20" ht="15" x14ac:dyDescent="0.25">
      <c r="A726" s="191" t="s">
        <v>2965</v>
      </c>
      <c r="B726" s="183">
        <v>2026</v>
      </c>
      <c r="C726" s="183"/>
      <c r="D726" s="212"/>
      <c r="E726" s="180" t="s">
        <v>3166</v>
      </c>
      <c r="F726" s="185"/>
      <c r="G726" s="186"/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/>
      <c r="D727" s="183"/>
      <c r="E727" s="180" t="s">
        <v>3167</v>
      </c>
      <c r="F727" s="185"/>
      <c r="G727" s="186"/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/>
      <c r="D728" s="183"/>
      <c r="E728" s="180" t="s">
        <v>3164</v>
      </c>
      <c r="F728" s="185"/>
      <c r="G728" s="186"/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2968</v>
      </c>
      <c r="B729" s="183">
        <v>2026</v>
      </c>
      <c r="C729" s="183"/>
      <c r="D729" s="183"/>
      <c r="E729" s="180" t="s">
        <v>3168</v>
      </c>
      <c r="F729" s="185"/>
      <c r="G729" s="186"/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91"/>
      <c r="B730" s="183"/>
      <c r="C730" s="183"/>
      <c r="D730" s="183"/>
      <c r="E730" s="184"/>
      <c r="F730" s="185"/>
      <c r="G730" s="186"/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 t="str">
        <f t="shared" ref="R721:R749" si="12">IF(B730="","",SUM(O730:Q730))</f>
        <v/>
      </c>
      <c r="S730" s="183"/>
      <c r="T730" s="186"/>
    </row>
    <row r="731" spans="1:20" ht="15" hidden="1" x14ac:dyDescent="0.25">
      <c r="A731" s="191"/>
      <c r="B731" s="183"/>
      <c r="C731" s="183"/>
      <c r="D731" s="183"/>
      <c r="E731" s="184"/>
      <c r="F731" s="185"/>
      <c r="G731" s="186"/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 t="str">
        <f t="shared" si="12"/>
        <v/>
      </c>
      <c r="S731" s="183"/>
      <c r="T731" s="186"/>
    </row>
    <row r="732" spans="1:20" ht="15" hidden="1" x14ac:dyDescent="0.25">
      <c r="A732" s="191"/>
      <c r="B732" s="183"/>
      <c r="C732" s="183"/>
      <c r="D732" s="183"/>
      <c r="E732" s="184"/>
      <c r="F732" s="185"/>
      <c r="G732" s="186"/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 t="str">
        <f t="shared" si="12"/>
        <v/>
      </c>
      <c r="S732" s="183"/>
      <c r="T732" s="186"/>
    </row>
    <row r="733" spans="1:20" ht="15" hidden="1" x14ac:dyDescent="0.25">
      <c r="A733" s="191"/>
      <c r="B733" s="183"/>
      <c r="C733" s="183"/>
      <c r="D733" s="183"/>
      <c r="E733" s="184"/>
      <c r="F733" s="185"/>
      <c r="G733" s="186"/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 t="str">
        <f t="shared" si="12"/>
        <v/>
      </c>
      <c r="S733" s="183"/>
      <c r="T733" s="186"/>
    </row>
    <row r="734" spans="1:20" ht="15" hidden="1" x14ac:dyDescent="0.25">
      <c r="A734" s="191"/>
      <c r="B734" s="183"/>
      <c r="C734" s="183"/>
      <c r="D734" s="183"/>
      <c r="E734" s="184"/>
      <c r="F734" s="185"/>
      <c r="G734" s="186"/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 t="str">
        <f t="shared" si="12"/>
        <v/>
      </c>
      <c r="S734" s="183"/>
      <c r="T734" s="186"/>
    </row>
    <row r="735" spans="1:20" ht="15" hidden="1" x14ac:dyDescent="0.25">
      <c r="A735" s="191"/>
      <c r="B735" s="183"/>
      <c r="C735" s="183"/>
      <c r="D735" s="183"/>
      <c r="E735" s="184"/>
      <c r="F735" s="185"/>
      <c r="G735" s="186"/>
      <c r="H735" s="191"/>
      <c r="I735" s="192"/>
      <c r="J735" s="192"/>
      <c r="K735" s="183"/>
      <c r="L735" s="187"/>
      <c r="M735" s="188"/>
      <c r="N735" s="189"/>
      <c r="O735" s="190"/>
      <c r="P735" s="190"/>
      <c r="Q735" s="190"/>
      <c r="R735" s="190" t="str">
        <f t="shared" si="12"/>
        <v/>
      </c>
      <c r="S735" s="183"/>
      <c r="T735" s="186"/>
    </row>
    <row r="736" spans="1:20" ht="15" hidden="1" x14ac:dyDescent="0.25">
      <c r="A736" s="191"/>
      <c r="B736" s="183"/>
      <c r="C736" s="183"/>
      <c r="D736" s="183"/>
      <c r="E736" s="184"/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2"/>
        <v/>
      </c>
      <c r="S736" s="183"/>
      <c r="T736" s="186"/>
    </row>
    <row r="737" spans="1:20" ht="15" hidden="1" x14ac:dyDescent="0.25">
      <c r="A737" s="191"/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2"/>
        <v/>
      </c>
      <c r="S737" s="183"/>
      <c r="T737" s="186"/>
    </row>
    <row r="738" spans="1:20" ht="15" hidden="1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2"/>
        <v/>
      </c>
      <c r="S738" s="183"/>
      <c r="T738" s="186"/>
    </row>
    <row r="739" spans="1:20" ht="15" hidden="1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2"/>
        <v/>
      </c>
      <c r="S739" s="183"/>
      <c r="T739" s="186"/>
    </row>
    <row r="740" spans="1:20" ht="15" hidden="1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2"/>
        <v/>
      </c>
      <c r="S740" s="183"/>
      <c r="T740" s="186"/>
    </row>
    <row r="741" spans="1:20" ht="15" hidden="1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2"/>
        <v/>
      </c>
      <c r="S741" s="183"/>
      <c r="T741" s="186"/>
    </row>
    <row r="742" spans="1:20" ht="15" hidden="1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2"/>
        <v/>
      </c>
      <c r="S742" s="183"/>
      <c r="T742" s="186"/>
    </row>
    <row r="743" spans="1:20" ht="15" hidden="1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2"/>
        <v/>
      </c>
      <c r="S743" s="183"/>
      <c r="T743" s="186"/>
    </row>
    <row r="744" spans="1:20" ht="15" hidden="1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2"/>
        <v/>
      </c>
      <c r="S744" s="183"/>
      <c r="T744" s="186"/>
    </row>
    <row r="745" spans="1:20" ht="15" hidden="1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2"/>
        <v/>
      </c>
      <c r="S745" s="183"/>
      <c r="T745" s="186"/>
    </row>
    <row r="746" spans="1:20" ht="15" hidden="1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2"/>
        <v/>
      </c>
      <c r="S746" s="183"/>
      <c r="T746" s="186"/>
    </row>
    <row r="747" spans="1:20" ht="15" hidden="1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2"/>
        <v/>
      </c>
      <c r="S747" s="183"/>
      <c r="T747" s="186"/>
    </row>
    <row r="748" spans="1:20" ht="15" hidden="1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2"/>
        <v/>
      </c>
      <c r="S748" s="183"/>
      <c r="T748" s="186"/>
    </row>
    <row r="749" spans="1:20" ht="15" hidden="1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2"/>
        <v/>
      </c>
      <c r="S749" s="183"/>
      <c r="T749" s="186"/>
    </row>
    <row r="750" spans="1:20" ht="15" hidden="1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249"/>
      <c r="B2002" s="250"/>
      <c r="C2002" s="251"/>
      <c r="D2002" s="251"/>
      <c r="E2002" s="252" t="s">
        <v>3169</v>
      </c>
      <c r="F2002" s="253"/>
      <c r="G2002" s="254"/>
      <c r="H2002" s="255"/>
      <c r="I2002" s="256"/>
      <c r="J2002" s="256"/>
      <c r="K2002" s="257"/>
      <c r="L2002" s="258"/>
      <c r="M2002" s="259"/>
      <c r="N2002" s="260"/>
      <c r="O2002" s="249"/>
      <c r="P2002" s="249"/>
      <c r="Q2002" s="249"/>
      <c r="R2002" s="249"/>
      <c r="S2002" s="251"/>
      <c r="T2002" s="254"/>
    </row>
    <row r="2003" spans="1:20" ht="15" x14ac:dyDescent="0.25">
      <c r="A2003" s="249"/>
      <c r="B2003" s="250"/>
      <c r="C2003" s="251"/>
      <c r="D2003" s="251"/>
      <c r="E2003" s="252" t="s">
        <v>3171</v>
      </c>
      <c r="F2003" s="253"/>
      <c r="G2003" s="254"/>
      <c r="H2003" s="255"/>
      <c r="I2003" s="256"/>
      <c r="J2003" s="256"/>
      <c r="K2003" s="257"/>
      <c r="L2003" s="258"/>
      <c r="M2003" s="259"/>
      <c r="N2003" s="260"/>
      <c r="O2003" s="249"/>
      <c r="P2003" s="249"/>
      <c r="Q2003" s="249"/>
      <c r="R2003" s="249"/>
      <c r="S2003" s="251"/>
      <c r="T2003" s="254"/>
    </row>
    <row r="2004" spans="1:20" ht="22.5" customHeight="1" x14ac:dyDescent="0.25">
      <c r="A2004" s="238"/>
      <c r="B2004" s="239"/>
      <c r="C2004" s="240"/>
      <c r="D2004" s="240"/>
      <c r="E2004" s="237" t="s">
        <v>3170</v>
      </c>
      <c r="F2004" s="241"/>
      <c r="G2004" s="242"/>
      <c r="H2004" s="243"/>
      <c r="I2004" s="244"/>
      <c r="J2004" s="244"/>
      <c r="K2004" s="245"/>
      <c r="L2004" s="246"/>
      <c r="M2004" s="247"/>
      <c r="N2004" s="248"/>
      <c r="O2004" s="238"/>
      <c r="P2004" s="238"/>
      <c r="Q2004" s="238"/>
      <c r="R2004" s="238"/>
      <c r="S2004" s="240"/>
      <c r="T2004" s="242"/>
    </row>
    <row r="2005" spans="1:20" ht="22.5" customHeight="1" x14ac:dyDescent="0.25">
      <c r="A2005" s="249"/>
      <c r="B2005" s="250"/>
      <c r="C2005" s="251"/>
      <c r="D2005" s="251"/>
      <c r="E2005" s="252" t="s">
        <v>3172</v>
      </c>
      <c r="F2005" s="253"/>
      <c r="G2005" s="254"/>
      <c r="H2005" s="255"/>
      <c r="I2005" s="256"/>
      <c r="J2005" s="256"/>
      <c r="K2005" s="257"/>
      <c r="L2005" s="258"/>
      <c r="M2005" s="259"/>
      <c r="N2005" s="260"/>
      <c r="O2005" s="249"/>
      <c r="P2005" s="249"/>
      <c r="Q2005" s="249"/>
      <c r="R2005" s="249"/>
      <c r="S2005" s="251"/>
      <c r="T2005" s="254"/>
    </row>
    <row r="2006" spans="1:20" ht="22.5" customHeight="1" x14ac:dyDescent="0.25">
      <c r="A2006" s="238"/>
      <c r="B2006" s="239"/>
      <c r="C2006" s="240"/>
      <c r="D2006" s="240"/>
      <c r="E2006" s="237" t="s">
        <v>3173</v>
      </c>
      <c r="F2006" s="241"/>
      <c r="G2006" s="242"/>
      <c r="H2006" s="243"/>
      <c r="I2006" s="244"/>
      <c r="J2006" s="244"/>
      <c r="K2006" s="245"/>
      <c r="L2006" s="246"/>
      <c r="M2006" s="247"/>
      <c r="N2006" s="248"/>
      <c r="O2006" s="238"/>
      <c r="P2006" s="238"/>
      <c r="Q2006" s="238"/>
      <c r="R2006" s="238"/>
      <c r="S2006" s="240"/>
      <c r="T2006" s="242"/>
    </row>
    <row r="2007" spans="1:20" ht="22.5" customHeight="1" x14ac:dyDescent="0.25">
      <c r="A2007" s="249"/>
      <c r="B2007" s="250"/>
      <c r="C2007" s="251"/>
      <c r="D2007" s="251"/>
      <c r="E2007" s="252"/>
      <c r="F2007" s="253"/>
      <c r="G2007" s="254"/>
      <c r="H2007" s="255"/>
      <c r="I2007" s="256"/>
      <c r="J2007" s="256"/>
      <c r="K2007" s="257"/>
      <c r="L2007" s="258"/>
      <c r="M2007" s="259"/>
      <c r="N2007" s="260"/>
      <c r="O2007" s="249"/>
      <c r="P2007" s="249"/>
      <c r="Q2007" s="249"/>
      <c r="R2007" s="249"/>
      <c r="S2007" s="251"/>
      <c r="T2007" s="25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23" priority="3">
      <formula>TRIM(C2)="Realizado"</formula>
    </cfRule>
  </conditionalFormatting>
  <conditionalFormatting sqref="C2:C2007">
    <cfRule type="expression" dxfId="22" priority="4">
      <formula>TRIM(C2)="Cancelado"</formula>
    </cfRule>
  </conditionalFormatting>
  <conditionalFormatting sqref="C2:C2007">
    <cfRule type="expression" dxfId="21" priority="5">
      <formula>TRIM(C2)="Em andamento"</formula>
    </cfRule>
  </conditionalFormatting>
  <conditionalFormatting sqref="C2:C2007">
    <cfRule type="expression" dxfId="20" priority="6">
      <formula>TRIM(C2)="Adiado"</formula>
    </cfRule>
  </conditionalFormatting>
  <conditionalFormatting sqref="A2:A2007">
    <cfRule type="expression" dxfId="19" priority="7">
      <formula>AND($B2&lt;&gt;"",$A2="")</formula>
    </cfRule>
  </conditionalFormatting>
  <conditionalFormatting sqref="L2:M2007">
    <cfRule type="expression" dxfId="18" priority="8">
      <formula>L2=""</formula>
    </cfRule>
  </conditionalFormatting>
  <conditionalFormatting sqref="A2:T726 A727:C727 E727:T727 A728:T2001">
    <cfRule type="expression" dxfId="83" priority="9">
      <formula>MOD(ROW(),2)=0</formula>
    </cfRule>
  </conditionalFormatting>
  <conditionalFormatting sqref="A2:T726 A727:C727 E727:T727 A728:T2001">
    <cfRule type="expression" dxfId="82" priority="10">
      <formula>MOD(ROW(),2)=1</formula>
    </cfRule>
  </conditionalFormatting>
  <conditionalFormatting sqref="E2002:E2007">
    <cfRule type="expression" dxfId="75" priority="1">
      <formula>MOD(ROW(),2)=0</formula>
    </cfRule>
  </conditionalFormatting>
  <conditionalFormatting sqref="E2002:E2007">
    <cfRule type="expression" dxfId="74" priority="2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81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2026-044</v>
      </c>
      <c r="C2" s="21" t="str">
        <v>A realizar</v>
      </c>
      <c r="D2" s="18" t="str">
        <v>31º SEMAT</v>
      </c>
      <c r="E2" s="20">
        <v>8</v>
      </c>
      <c r="F2" s="18" t="str">
        <v>José Roberto Alcuri Júnior</v>
      </c>
      <c r="G2" s="20">
        <v>10</v>
      </c>
      <c r="H2" s="22">
        <v>1</v>
      </c>
      <c r="I2" s="22">
        <v>0.3</v>
      </c>
      <c r="J2" s="22"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2026-044</v>
      </c>
      <c r="C3" s="21" t="str">
        <v>A realizar</v>
      </c>
      <c r="D3" s="18" t="str">
        <v>31º SEMAT</v>
      </c>
      <c r="E3" s="20">
        <v>8</v>
      </c>
      <c r="F3" s="18" t="str">
        <v>Felipe Ramos Barbosa</v>
      </c>
      <c r="G3" s="20">
        <v>10</v>
      </c>
      <c r="H3" s="22">
        <v>1</v>
      </c>
      <c r="I3" s="22">
        <v>0.3</v>
      </c>
      <c r="J3" s="22"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2026-044</v>
      </c>
      <c r="C4" s="21" t="str">
        <v>A realizar</v>
      </c>
      <c r="D4" s="18" t="str">
        <v>31º SEMAT</v>
      </c>
      <c r="E4" s="20">
        <v>8</v>
      </c>
      <c r="F4" s="18" t="str">
        <v>Carolina Pereira de Oliveira</v>
      </c>
      <c r="G4" s="20">
        <v>10</v>
      </c>
      <c r="H4" s="22">
        <v>1</v>
      </c>
      <c r="I4" s="22">
        <v>0.3</v>
      </c>
      <c r="J4" s="22">
        <v>1.3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2026-044</v>
      </c>
      <c r="N4" t="str">
        <v>A realizar</v>
      </c>
      <c r="O4" t="str">
        <v>31º SEMAT</v>
      </c>
      <c r="P4">
        <v>8</v>
      </c>
      <c r="Q4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ref="R4:R200">IF(L4:L200="","",IF(ISERROR(FIND("; ",Q4:Q200)),1,(LEN(Q4:Q200)-LEN(SUBSTITUTE(Q4:Q200,"; ","")))/2+1))</f>
        <v>10</v>
      </c>
      <c r="S4" cm="1">
        <f t="array" ref="S4:S200">IF(R4:R200="","",_xlfn.SCAN(0,R4:R200,_xlfn.LAMBDA(_xlpm.a,_xlpm.b,IF(_xlpm.b="","",_xlpm.a+_xlpm.b))))</f>
        <v>10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2026-044</v>
      </c>
      <c r="C5" s="21" t="str">
        <v>A realizar</v>
      </c>
      <c r="D5" s="18" t="str">
        <v>31º SEMAT</v>
      </c>
      <c r="E5" s="20">
        <v>8</v>
      </c>
      <c r="F5" s="18" t="str">
        <v>Eustáquio Rabelo de Souza</v>
      </c>
      <c r="G5" s="20">
        <v>10</v>
      </c>
      <c r="H5" s="22">
        <v>1</v>
      </c>
      <c r="I5" s="22">
        <v>0.3</v>
      </c>
      <c r="J5" s="22">
        <v>1.3</v>
      </c>
      <c r="L5">
        <v>2026</v>
      </c>
      <c r="M5" t="str">
        <v>2026-054</v>
      </c>
      <c r="N5" t="str">
        <v>A realizar</v>
      </c>
      <c r="O5" t="str">
        <v>Café e Tertúlia: Encerramento da Semana da Saúde</v>
      </c>
      <c r="P5">
        <v>2</v>
      </c>
      <c r="Q5" t="str">
        <v>Cinthia Thais de Carvalho Luz Thomazi; Gabriel Heller; Isac Mendes Caixeta de Pamplona Araújo; Valéria Feitoza</v>
      </c>
      <c r="R5">
        <v>4</v>
      </c>
      <c r="S5">
        <v>14</v>
      </c>
      <c r="T5"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2026-044</v>
      </c>
      <c r="C6" s="21" t="str">
        <v>A realizar</v>
      </c>
      <c r="D6" s="18" t="str">
        <v>31º SEMAT</v>
      </c>
      <c r="E6" s="20">
        <v>8</v>
      </c>
      <c r="F6" s="18" t="str">
        <v>Alinne Patrícia de Andrade Carvalho</v>
      </c>
      <c r="G6" s="20">
        <v>10</v>
      </c>
      <c r="H6" s="22">
        <v>0</v>
      </c>
      <c r="I6" s="22">
        <v>0</v>
      </c>
      <c r="J6" s="22">
        <v>0</v>
      </c>
      <c r="L6">
        <v>2026</v>
      </c>
      <c r="M6" t="str">
        <v>2026-001</v>
      </c>
      <c r="N6" t="str">
        <v>Realizado</v>
      </c>
      <c r="O6" t="str">
        <v>Contratação de TIC</v>
      </c>
      <c r="P6">
        <v>8</v>
      </c>
      <c r="Q6" t="str">
        <v>Flávio José Fonseca de Souza</v>
      </c>
      <c r="R6">
        <v>1</v>
      </c>
      <c r="S6">
        <v>15</v>
      </c>
      <c r="T6"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2026-044</v>
      </c>
      <c r="C7" s="21" t="str">
        <v>A realizar</v>
      </c>
      <c r="D7" s="18" t="str">
        <v>31º SEMAT</v>
      </c>
      <c r="E7" s="20">
        <v>8</v>
      </c>
      <c r="F7" s="18" t="str">
        <v>Silvia Lima Damasceno Carvalho</v>
      </c>
      <c r="G7" s="20">
        <v>10</v>
      </c>
      <c r="H7" s="22">
        <v>1</v>
      </c>
      <c r="I7" s="22">
        <v>0.3</v>
      </c>
      <c r="J7" s="22">
        <v>1.3</v>
      </c>
      <c r="L7">
        <v>2026</v>
      </c>
      <c r="M7" t="str">
        <v>2026-066</v>
      </c>
      <c r="N7" t="str">
        <v>A realizar</v>
      </c>
      <c r="O7" t="str">
        <v>Contratações de TIC com base na jurisprudência do TCDF - EAD</v>
      </c>
      <c r="P7">
        <v>17.45</v>
      </c>
      <c r="Q7" t="str">
        <v>Flávio José Fonseca de Souza; Felipe da Costa Malaquias</v>
      </c>
      <c r="R7">
        <v>2</v>
      </c>
      <c r="S7">
        <v>17</v>
      </c>
      <c r="T7"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2026-044</v>
      </c>
      <c r="C8" s="21" t="str">
        <v>A realizar</v>
      </c>
      <c r="D8" s="18" t="str">
        <v>31º SEMAT</v>
      </c>
      <c r="E8" s="20">
        <v>8</v>
      </c>
      <c r="F8" s="18" t="str">
        <v>Marcelo Silva Santana</v>
      </c>
      <c r="G8" s="20">
        <v>10</v>
      </c>
      <c r="H8" s="22">
        <v>8</v>
      </c>
      <c r="I8" s="22">
        <v>0.24</v>
      </c>
      <c r="J8" s="22">
        <v>8.24</v>
      </c>
      <c r="L8">
        <v>2026</v>
      </c>
      <c r="M8" t="str">
        <v>2026-034</v>
      </c>
      <c r="N8" t="str">
        <v>Realizado</v>
      </c>
      <c r="O8" t="str">
        <v>Curso “Sisaudit na Prática”</v>
      </c>
      <c r="P8">
        <v>12</v>
      </c>
      <c r="Q8" t="str">
        <v>Davi Assunção Salvador Nery de Castro; David da Silva de Araújo; Hamilton de Jesus Lopes Neto</v>
      </c>
      <c r="R8">
        <v>3</v>
      </c>
      <c r="S8">
        <v>20</v>
      </c>
      <c r="T8"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2026-044</v>
      </c>
      <c r="C9" s="21" t="str">
        <v>A realizar</v>
      </c>
      <c r="D9" s="18" t="str">
        <v>31º SEMAT</v>
      </c>
      <c r="E9" s="20">
        <v>8</v>
      </c>
      <c r="F9" s="18" t="str">
        <v>Cinthia Thais de Carvalho Luz Thomazi</v>
      </c>
      <c r="G9" s="20">
        <v>10</v>
      </c>
      <c r="H9" s="22">
        <v>1</v>
      </c>
      <c r="I9" s="22">
        <v>0.3</v>
      </c>
      <c r="J9" s="22">
        <v>1.3</v>
      </c>
      <c r="L9">
        <v>2026</v>
      </c>
      <c r="M9" t="str">
        <v>2026-027</v>
      </c>
      <c r="N9" t="str">
        <v>Realizado</v>
      </c>
      <c r="O9" t="str">
        <v>Curso básico de e-TCDF</v>
      </c>
      <c r="P9">
        <v>16</v>
      </c>
      <c r="Q9" t="str">
        <v>Cássio Murilo Alves Costa Filho</v>
      </c>
      <c r="R9">
        <v>1</v>
      </c>
      <c r="S9">
        <v>21</v>
      </c>
      <c r="T9"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2026-044</v>
      </c>
      <c r="C10" s="21" t="str">
        <v>A realizar</v>
      </c>
      <c r="D10" s="18" t="str">
        <v>31º SEMAT</v>
      </c>
      <c r="E10" s="20">
        <v>8</v>
      </c>
      <c r="F10" s="18" t="str">
        <v>Igor Queiroz</v>
      </c>
      <c r="G10" s="20">
        <v>10</v>
      </c>
      <c r="H10" s="22">
        <v>1</v>
      </c>
      <c r="I10" s="22">
        <v>0.3</v>
      </c>
      <c r="J10" s="22">
        <v>1.3</v>
      </c>
      <c r="L10">
        <v>2026</v>
      </c>
      <c r="M10" t="str">
        <v>2026-019</v>
      </c>
      <c r="N10" t="str">
        <v>Realizado</v>
      </c>
      <c r="O10" t="str">
        <v>Curso de Ambientação para os novos Auditores de Controle Externo - Área Auditoria</v>
      </c>
      <c r="P10">
        <v>20</v>
      </c>
      <c r="Q10" t="str">
        <v>Diversos</v>
      </c>
      <c r="R10">
        <v>1</v>
      </c>
      <c r="S10">
        <v>22</v>
      </c>
      <c r="T10"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2026-044</v>
      </c>
      <c r="C11" s="21" t="str">
        <v>A realizar</v>
      </c>
      <c r="D11" s="18" t="str">
        <v>31º SEMAT</v>
      </c>
      <c r="E11" s="20">
        <v>8</v>
      </c>
      <c r="F11" s="18" t="str">
        <v>Guilherme Bride Fernandes</v>
      </c>
      <c r="G11" s="20">
        <v>10</v>
      </c>
      <c r="H11" s="22">
        <v>0</v>
      </c>
      <c r="I11" s="22">
        <v>0</v>
      </c>
      <c r="J11" s="22">
        <v>0</v>
      </c>
      <c r="L11">
        <v>2026</v>
      </c>
      <c r="M11" t="str">
        <v>2026-042</v>
      </c>
      <c r="N11" t="str">
        <v>Realizado</v>
      </c>
      <c r="O11" t="str">
        <v>Curso de Formação para Conselheiros de Saúde do DF</v>
      </c>
      <c r="P11">
        <v>20</v>
      </c>
      <c r="Q11" t="str">
        <v>Tarsila Firmino Ely</v>
      </c>
      <c r="R11">
        <v>1</v>
      </c>
      <c r="S11">
        <v>23</v>
      </c>
      <c r="T11"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2026-054</v>
      </c>
      <c r="C12" s="21" t="str">
        <v>A realizar</v>
      </c>
      <c r="D12" s="18" t="str">
        <v>Café e Tertúlia: Encerramento da Semana da Saúde</v>
      </c>
      <c r="E12" s="20">
        <v>2</v>
      </c>
      <c r="F12" s="18" t="str">
        <v>Cinthia Thais de Carvalho Luz Thomazi</v>
      </c>
      <c r="G12" s="20">
        <v>4</v>
      </c>
      <c r="H12" s="22">
        <v>0</v>
      </c>
      <c r="I12" s="22">
        <v>0</v>
      </c>
      <c r="J12" s="22">
        <v>0</v>
      </c>
      <c r="L12">
        <v>2026</v>
      </c>
      <c r="M12" t="str">
        <v>2026-032</v>
      </c>
      <c r="N12" t="str">
        <v>Realizado</v>
      </c>
      <c r="O12" t="str">
        <v>Curso de formação para gestores e fiscais de Contrato em equipamentos nas unidades hospitalares - T2</v>
      </c>
      <c r="P12">
        <v>12</v>
      </c>
      <c r="Q12" t="str">
        <v>Tarsila Firmino Ely; Luciana Alvim</v>
      </c>
      <c r="R12">
        <v>2</v>
      </c>
      <c r="S12">
        <v>25</v>
      </c>
      <c r="T12"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2026-054</v>
      </c>
      <c r="C13" s="21" t="str">
        <v>A realizar</v>
      </c>
      <c r="D13" s="18" t="str">
        <v>Café e Tertúlia: Encerramento da Semana da Saúde</v>
      </c>
      <c r="E13" s="20">
        <v>2</v>
      </c>
      <c r="F13" s="18" t="str">
        <v>Gabriel Heller</v>
      </c>
      <c r="G13" s="20">
        <v>4</v>
      </c>
      <c r="H13" s="22">
        <v>0</v>
      </c>
      <c r="I13" s="22">
        <v>0</v>
      </c>
      <c r="J13" s="22">
        <v>0</v>
      </c>
      <c r="L13">
        <v>2026</v>
      </c>
      <c r="M13" t="str">
        <v>2026-033</v>
      </c>
      <c r="N13" t="str">
        <v>Realizado</v>
      </c>
      <c r="O13" t="str">
        <v>Curso de formação para gestores e fiscais de Contrato em equipamentos nas unidades hospitalares - T3</v>
      </c>
      <c r="P13">
        <v>12</v>
      </c>
      <c r="Q13" t="str">
        <v>Tarsila Firmino Ely; Luciana Alvim</v>
      </c>
      <c r="R13">
        <v>2</v>
      </c>
      <c r="S13">
        <v>27</v>
      </c>
      <c r="T13"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2026-054</v>
      </c>
      <c r="C14" s="21" t="str">
        <v>A realizar</v>
      </c>
      <c r="D14" s="18" t="str">
        <v>Café e Tertúlia: Encerramento da Semana da Saúde</v>
      </c>
      <c r="E14" s="20">
        <v>2</v>
      </c>
      <c r="F14" s="18" t="str">
        <v>Isac Mendes Caixeta de Pamplona Araújo</v>
      </c>
      <c r="G14" s="20">
        <v>4</v>
      </c>
      <c r="H14" s="22">
        <v>0</v>
      </c>
      <c r="I14" s="22">
        <v>0</v>
      </c>
      <c r="J14" s="22">
        <v>0</v>
      </c>
      <c r="L14">
        <v>2026</v>
      </c>
      <c r="M14" t="str">
        <v>2026-057</v>
      </c>
      <c r="N14" t="str">
        <v>A realizar</v>
      </c>
      <c r="O14" t="str">
        <v>Curso de formação sobre "Programa de Descentralização Progressiva das Ações de Saúde - PDPAS</v>
      </c>
      <c r="P14">
        <v>20</v>
      </c>
      <c r="Q14" t="str">
        <v>Tarsila Firmino Ely; Sara Cristina Lins Ramos; Carina de Souza Mariuba Herthel; Elvis Aaron Teixeira dos Santos Lima</v>
      </c>
      <c r="R14">
        <v>4</v>
      </c>
      <c r="S14">
        <v>31</v>
      </c>
      <c r="T14"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2026-054</v>
      </c>
      <c r="C15" s="21" t="str">
        <v>A realizar</v>
      </c>
      <c r="D15" s="18" t="str">
        <v>Café e Tertúlia: Encerramento da Semana da Saúde</v>
      </c>
      <c r="E15" s="20">
        <v>2</v>
      </c>
      <c r="F15" s="18" t="str">
        <v>Valéria Feitoza</v>
      </c>
      <c r="G15" s="20">
        <v>4</v>
      </c>
      <c r="H15" s="22">
        <v>0</v>
      </c>
      <c r="I15" s="22">
        <v>0</v>
      </c>
      <c r="J15" s="22">
        <v>0</v>
      </c>
      <c r="L15">
        <v>2026</v>
      </c>
      <c r="M15" t="str">
        <v>2026-021</v>
      </c>
      <c r="N15" t="str">
        <v>Realizado</v>
      </c>
      <c r="O15" t="str">
        <v>Curso de Fundamentos básicos de controle externo no TCDF</v>
      </c>
      <c r="P15">
        <v>12</v>
      </c>
      <c r="Q15" t="str">
        <v>Cinthia Thais de Carvalho Luz Thomazi; Reinaldo Alencar; Rogério Ribeiro; Rômulo Miranda Alvim; Gabriel Heller</v>
      </c>
      <c r="R15">
        <v>5</v>
      </c>
      <c r="S15">
        <v>36</v>
      </c>
      <c r="T15"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2026-001</v>
      </c>
      <c r="C16" s="21" t="str">
        <v>Realizado</v>
      </c>
      <c r="D16" s="18" t="str">
        <v>Contratação de TIC</v>
      </c>
      <c r="E16" s="20">
        <v>8</v>
      </c>
      <c r="F16" s="18" t="str">
        <v>Flávio José Fonseca de Souza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2026-008</v>
      </c>
      <c r="N16" t="str">
        <v>Realizado</v>
      </c>
      <c r="O16" t="str">
        <v>Curso de Promoção Funcional 2026/2027</v>
      </c>
      <c r="P16">
        <v>20</v>
      </c>
      <c r="Q16" t="str">
        <v>Rômulo Miranda Alvim; Cinthia Thais de Carvalho Luz Thomazi</v>
      </c>
      <c r="R16">
        <v>2</v>
      </c>
      <c r="S16">
        <v>38</v>
      </c>
      <c r="T16"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2026-066</v>
      </c>
      <c r="C17" s="21" t="str">
        <v>A realizar</v>
      </c>
      <c r="D17" s="18" t="str">
        <v>Contratações de TIC com base na jurisprudência do TCDF - EAD</v>
      </c>
      <c r="E17" s="20">
        <v>17.45</v>
      </c>
      <c r="F17" s="18" t="str">
        <v>Flávio José Fonseca de Souza</v>
      </c>
      <c r="G17" s="20">
        <v>2</v>
      </c>
      <c r="H17" s="22">
        <v>0</v>
      </c>
      <c r="I17" s="22">
        <v>34.9</v>
      </c>
      <c r="J17" s="22">
        <v>34.9</v>
      </c>
      <c r="L17">
        <v>2026</v>
      </c>
      <c r="M17" t="str">
        <v>2026-006</v>
      </c>
      <c r="N17" t="str">
        <v>Realizado</v>
      </c>
      <c r="O17" t="str">
        <v>Curso para gestores e fiscais de contratos de serviços assistenciais complementares – SES/DF</v>
      </c>
      <c r="P17">
        <v>12</v>
      </c>
      <c r="Q17" t="str">
        <v>Adriana Magalhães; Luciana Alvim</v>
      </c>
      <c r="R17">
        <v>2</v>
      </c>
      <c r="S17">
        <v>40</v>
      </c>
      <c r="T17"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2026-066</v>
      </c>
      <c r="C18" s="21" t="str">
        <v>A realizar</v>
      </c>
      <c r="D18" s="18" t="str">
        <v>Contratações de TIC com base na jurisprudência do TCDF - EAD</v>
      </c>
      <c r="E18" s="20">
        <v>17.45</v>
      </c>
      <c r="F18" s="18" t="str">
        <v>Felipe da Costa Malaquias</v>
      </c>
      <c r="G18" s="20">
        <v>2</v>
      </c>
      <c r="H18" s="22">
        <v>0</v>
      </c>
      <c r="I18" s="22">
        <v>34.9</v>
      </c>
      <c r="J18" s="22">
        <v>34.9</v>
      </c>
      <c r="L18">
        <v>2026</v>
      </c>
      <c r="M18" t="str">
        <v>2026-013</v>
      </c>
      <c r="N18" t="str">
        <v>Realizado</v>
      </c>
      <c r="O18" t="str">
        <v>Curso para gestores e fiscais de contratos de serviços assistenciais complementares – SES/DF - T2</v>
      </c>
      <c r="P18">
        <v>12</v>
      </c>
      <c r="Q18" t="str">
        <v>Adriana Magalhães; Luciana Alvim</v>
      </c>
      <c r="R18">
        <v>2</v>
      </c>
      <c r="S18">
        <v>42</v>
      </c>
      <c r="T18"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2026-034</v>
      </c>
      <c r="C19" s="21" t="str">
        <v>Realizado</v>
      </c>
      <c r="D19" s="18" t="str">
        <v>Curso “Sisaudit na Prática”</v>
      </c>
      <c r="E19" s="20">
        <v>12</v>
      </c>
      <c r="F19" s="18" t="str">
        <v>Davi Assunção Salvador Nery de Castro</v>
      </c>
      <c r="G19" s="20">
        <v>3</v>
      </c>
      <c r="H19" s="22">
        <v>12</v>
      </c>
      <c r="I19" s="22">
        <v>1.2</v>
      </c>
      <c r="J19" s="22">
        <v>13.2</v>
      </c>
      <c r="L19">
        <v>2026</v>
      </c>
      <c r="M19" t="str">
        <v>2026-025</v>
      </c>
      <c r="N19" t="str">
        <v>A realizar</v>
      </c>
      <c r="O19" t="str">
        <v>Elaboração da Cartilha "Gestão e Fiscalização de Contratos em Saúde"</v>
      </c>
      <c r="P19">
        <v>65</v>
      </c>
      <c r="Q19" t="str">
        <v>Tarsila Firmino Ely; Luciana Alvim</v>
      </c>
      <c r="R19">
        <v>2</v>
      </c>
      <c r="S19">
        <v>44</v>
      </c>
      <c r="T19"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2026-034</v>
      </c>
      <c r="C20" s="21" t="str">
        <v>Realizado</v>
      </c>
      <c r="D20" s="18" t="str">
        <v>Curso “Sisaudit na Prática”</v>
      </c>
      <c r="E20" s="20">
        <v>12</v>
      </c>
      <c r="F20" s="18" t="str">
        <v>David da Silva de Araújo</v>
      </c>
      <c r="G20" s="20">
        <v>3</v>
      </c>
      <c r="H20" s="22">
        <v>12</v>
      </c>
      <c r="I20" s="22">
        <v>1.2</v>
      </c>
      <c r="J20" s="22">
        <v>13.2</v>
      </c>
      <c r="L20">
        <v>2026</v>
      </c>
      <c r="M20" t="str">
        <v>2026-050</v>
      </c>
      <c r="N20" t="str">
        <v>A realizar</v>
      </c>
      <c r="O20" t="str">
        <v>Encontro Técnico - SEMAT: Concursos públicos e registro de admissões</v>
      </c>
      <c r="P20">
        <v>4</v>
      </c>
      <c r="Q20" t="str">
        <v>Carlos Antônio</v>
      </c>
      <c r="R20">
        <v>1</v>
      </c>
      <c r="S20">
        <v>45</v>
      </c>
      <c r="T20"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2026-034</v>
      </c>
      <c r="C21" s="21" t="str">
        <v>Realizado</v>
      </c>
      <c r="D21" s="18" t="str">
        <v>Curso “Sisaudit na Prática”</v>
      </c>
      <c r="E21" s="20">
        <v>12</v>
      </c>
      <c r="F21" s="18" t="str">
        <v>Hamilton de Jesus Lopes Neto</v>
      </c>
      <c r="G21" s="20">
        <v>3</v>
      </c>
      <c r="H21" s="22">
        <v>12</v>
      </c>
      <c r="I21" s="22">
        <v>1.2</v>
      </c>
      <c r="J21" s="22">
        <v>13.2</v>
      </c>
      <c r="L21">
        <v>2026</v>
      </c>
      <c r="M21" t="str">
        <v>2026-052</v>
      </c>
      <c r="N21" t="str">
        <v>A realizar</v>
      </c>
      <c r="O21" t="str">
        <v>Encontro Técnico– SEMAT: Concessões e Fiscalização de Pessoal</v>
      </c>
      <c r="P21">
        <v>4</v>
      </c>
      <c r="Q21" t="str">
        <v>Jamile Medeiros Fon; José Roberto Alcuri Júnior</v>
      </c>
      <c r="R21">
        <v>2</v>
      </c>
      <c r="S21">
        <v>47</v>
      </c>
      <c r="T21"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2026-027</v>
      </c>
      <c r="C22" s="21" t="str">
        <v>Realizado</v>
      </c>
      <c r="D22" s="18" t="str">
        <v>Curso básico de e-TCDF</v>
      </c>
      <c r="E22" s="20">
        <v>16</v>
      </c>
      <c r="F22" s="18" t="str">
        <v>Cássio Murilo Alves Costa Filho</v>
      </c>
      <c r="G22" s="20">
        <v>1</v>
      </c>
      <c r="H22" s="22">
        <v>16</v>
      </c>
      <c r="I22" s="22">
        <v>4.8</v>
      </c>
      <c r="J22" s="22">
        <v>20.8</v>
      </c>
      <c r="L22">
        <v>2026</v>
      </c>
      <c r="M22" t="str">
        <v>2026-040</v>
      </c>
      <c r="N22" t="str">
        <v>Realizado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48</v>
      </c>
      <c r="T22"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2026-019</v>
      </c>
      <c r="C23" s="21" t="str">
        <v>Realizado</v>
      </c>
      <c r="D23" s="18" t="str">
        <v>Curso de Ambientação para os novos Auditores de Controle Externo - Área Auditoria</v>
      </c>
      <c r="E23" s="20">
        <v>20</v>
      </c>
      <c r="F23" s="18" t="str">
        <v>Diversos</v>
      </c>
      <c r="G23" s="20">
        <v>1</v>
      </c>
      <c r="H23" s="22">
        <v>0</v>
      </c>
      <c r="I23" s="22">
        <v>0</v>
      </c>
      <c r="J23" s="22">
        <v>0</v>
      </c>
      <c r="L23">
        <v>2026</v>
      </c>
      <c r="M23" t="str">
        <v>2026-031</v>
      </c>
      <c r="N23" t="str">
        <v>Realizado</v>
      </c>
      <c r="O23" t="str">
        <v>Fiscalizações Baseadas em Risco</v>
      </c>
      <c r="P23">
        <v>20</v>
      </c>
      <c r="Q23" t="str">
        <v>Reinaldo Alencar; Rogério Ribeiro</v>
      </c>
      <c r="R23">
        <v>2</v>
      </c>
      <c r="S23">
        <v>50</v>
      </c>
      <c r="T23"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2026-042</v>
      </c>
      <c r="C24" s="21" t="str">
        <v>Realizado</v>
      </c>
      <c r="D24" s="18" t="str">
        <v>Curso de Formação para Conselheiros de Saúde do DF</v>
      </c>
      <c r="E24" s="20">
        <v>20</v>
      </c>
      <c r="F24" s="18" t="str">
        <v>Tarsila Firmino Ely</v>
      </c>
      <c r="G24" s="20">
        <v>1</v>
      </c>
      <c r="H24" s="22">
        <v>20</v>
      </c>
      <c r="I24" s="22">
        <v>6</v>
      </c>
      <c r="J24" s="22">
        <v>26</v>
      </c>
      <c r="L24">
        <v>2026</v>
      </c>
      <c r="M24" t="str">
        <v>2026-005</v>
      </c>
      <c r="N24" t="str">
        <v>Realizado</v>
      </c>
      <c r="O24" t="str">
        <v>FIT1: Treinamento e Desenvolvimento (T&amp;D)</v>
      </c>
      <c r="P24">
        <v>16</v>
      </c>
      <c r="Q24" t="str">
        <v>Paulo José Góes Daltro</v>
      </c>
      <c r="R24">
        <v>1</v>
      </c>
      <c r="S24">
        <v>51</v>
      </c>
      <c r="T24"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2026-032</v>
      </c>
      <c r="C25" s="21" t="str">
        <v>Realizado</v>
      </c>
      <c r="D25" s="18" t="str">
        <v>Curso de formação para gestores e fiscais de Contrato em equipamentos nas unidades hospitalares - T2</v>
      </c>
      <c r="E25" s="20">
        <v>12</v>
      </c>
      <c r="F25" s="18" t="str">
        <v>Tarsila Firmino Ely</v>
      </c>
      <c r="G25" s="20">
        <v>2</v>
      </c>
      <c r="H25" s="22">
        <v>12</v>
      </c>
      <c r="I25" s="22">
        <v>1.7999999999999998</v>
      </c>
      <c r="J25" s="22">
        <v>13.8</v>
      </c>
      <c r="L25">
        <v>2026</v>
      </c>
      <c r="M25" t="str">
        <v>2026-004</v>
      </c>
      <c r="N25" t="str">
        <v>Realizado</v>
      </c>
      <c r="O25" t="str">
        <v>Gestão e Fiscalização de Contratos de Equipamentos Médico Hospitalares e Serviços de Manutenção</v>
      </c>
      <c r="P25">
        <v>12</v>
      </c>
      <c r="Q25" t="str">
        <v>Tarsila Firmino Ely; Luciana Alvim</v>
      </c>
      <c r="R25">
        <v>2</v>
      </c>
      <c r="S25">
        <v>53</v>
      </c>
      <c r="T25"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2026-032</v>
      </c>
      <c r="C26" s="21" t="str">
        <v>Realizado</v>
      </c>
      <c r="D26" s="18" t="str">
        <v>Curso de formação para gestores e fiscais de Contrato em equipamentos nas unidades hospitalares - T2</v>
      </c>
      <c r="E26" s="20">
        <v>12</v>
      </c>
      <c r="F26" s="18" t="str">
        <v>Luciana Alvim</v>
      </c>
      <c r="G26" s="20">
        <v>2</v>
      </c>
      <c r="H26" s="22">
        <v>12</v>
      </c>
      <c r="I26" s="22">
        <v>1.7999999999999998</v>
      </c>
      <c r="J26" s="22">
        <v>13.8</v>
      </c>
      <c r="L26">
        <v>2026</v>
      </c>
      <c r="M26" t="str">
        <v>2026-037</v>
      </c>
      <c r="N26" t="str">
        <v>Realizado</v>
      </c>
      <c r="O26" t="str">
        <v>Introdução à Engenharia de Prompt - SEE</v>
      </c>
      <c r="P26">
        <v>8</v>
      </c>
      <c r="Q26" t="str">
        <v>Arthur Wú; Gustavo Takahashi</v>
      </c>
      <c r="R26">
        <v>2</v>
      </c>
      <c r="S26">
        <v>55</v>
      </c>
      <c r="T26"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2026-033</v>
      </c>
      <c r="C27" s="21" t="str">
        <v>Realizado</v>
      </c>
      <c r="D27" s="18" t="str">
        <v>Curso de formação para gestores e fiscais de Contrato em equipamentos nas unidades hospitalares - T3</v>
      </c>
      <c r="E27" s="20">
        <v>12</v>
      </c>
      <c r="F27" s="18" t="str">
        <v>Tarsila Firmino Ely</v>
      </c>
      <c r="G27" s="20">
        <v>2</v>
      </c>
      <c r="H27" s="22">
        <v>12</v>
      </c>
      <c r="I27" s="22">
        <v>1.7999999999999998</v>
      </c>
      <c r="J27" s="22">
        <v>13.8</v>
      </c>
      <c r="L27">
        <v>2026</v>
      </c>
      <c r="M27" t="str">
        <v>2026-009</v>
      </c>
      <c r="N27" t="str">
        <v>Realizado</v>
      </c>
      <c r="O27" t="str">
        <v>Introdução à Engenharia de Prompt - t1</v>
      </c>
      <c r="P27">
        <v>8</v>
      </c>
      <c r="Q27" t="str">
        <v>Arthur Wú</v>
      </c>
      <c r="R27">
        <v>1</v>
      </c>
      <c r="S27">
        <v>56</v>
      </c>
      <c r="T27"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2026-033</v>
      </c>
      <c r="C28" s="21" t="str">
        <v>Realizado</v>
      </c>
      <c r="D28" s="18" t="str">
        <v>Curso de formação para gestores e fiscais de Contrato em equipamentos nas unidades hospitalares - T3</v>
      </c>
      <c r="E28" s="20">
        <v>12</v>
      </c>
      <c r="F28" s="18" t="str">
        <v>Luciana Alvim</v>
      </c>
      <c r="G28" s="20">
        <v>2</v>
      </c>
      <c r="H28" s="22">
        <v>12</v>
      </c>
      <c r="I28" s="22">
        <v>1.7999999999999998</v>
      </c>
      <c r="J28" s="22">
        <v>13.8</v>
      </c>
      <c r="L28">
        <v>2026</v>
      </c>
      <c r="M28" t="str">
        <v>2026-015</v>
      </c>
      <c r="N28" t="str">
        <v>Realizado</v>
      </c>
      <c r="O28" t="str">
        <v>Introdução à Engenharia de Prompt - t2</v>
      </c>
      <c r="P28">
        <v>8</v>
      </c>
      <c r="Q28" t="str">
        <v>Arthur Wú; Gustavo Takahashi</v>
      </c>
      <c r="R28">
        <v>2</v>
      </c>
      <c r="S28">
        <v>58</v>
      </c>
      <c r="T28"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2026-057</v>
      </c>
      <c r="C29" s="21" t="str">
        <v>A realizar</v>
      </c>
      <c r="D29" s="18" t="str">
        <v>Curso de formação sobre "Programa de Descentralização Progressiva das Ações de Saúde - PDPAS</v>
      </c>
      <c r="E29" s="20">
        <v>20</v>
      </c>
      <c r="F29" s="18" t="str">
        <v>Tarsila Firmino Ely</v>
      </c>
      <c r="G29" s="20">
        <v>4</v>
      </c>
      <c r="H29" s="22">
        <v>20</v>
      </c>
      <c r="I29" s="22">
        <v>3.6</v>
      </c>
      <c r="J29" s="22">
        <v>23.6</v>
      </c>
      <c r="L29">
        <v>2026</v>
      </c>
      <c r="M29" t="str">
        <v>2026-024</v>
      </c>
      <c r="N29" t="str">
        <v>Realizado</v>
      </c>
      <c r="O29" t="str">
        <v>Introdução à Engenharia de Prompt - T3</v>
      </c>
      <c r="P29">
        <v>8</v>
      </c>
      <c r="Q29" t="str">
        <v>Arthur Wú; Gustavo Takahashi</v>
      </c>
      <c r="R29">
        <v>2</v>
      </c>
      <c r="S29">
        <v>60</v>
      </c>
      <c r="T29"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2026-057</v>
      </c>
      <c r="C30" s="21" t="str">
        <v>A realizar</v>
      </c>
      <c r="D30" s="18" t="str">
        <v>Curso de formação sobre "Programa de Descentralização Progressiva das Ações de Saúde - PDPAS</v>
      </c>
      <c r="E30" s="20">
        <v>20</v>
      </c>
      <c r="F30" s="18" t="str">
        <v>Sara Cristina Lins Ramos</v>
      </c>
      <c r="G30" s="20">
        <v>4</v>
      </c>
      <c r="H30" s="22">
        <v>8</v>
      </c>
      <c r="I30" s="22">
        <v>2.4</v>
      </c>
      <c r="J30" s="22">
        <v>10.4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62</v>
      </c>
      <c r="T30"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2026-057</v>
      </c>
      <c r="C31" s="21" t="str">
        <v>A realizar</v>
      </c>
      <c r="D31" s="18" t="str">
        <v>Curso de formação sobre "Programa de Descentralização Progressiva das Ações de Saúde - PDPAS</v>
      </c>
      <c r="E31" s="20">
        <v>20</v>
      </c>
      <c r="F31" s="18" t="str">
        <v>Carina de Souza Mariuba Herthel</v>
      </c>
      <c r="G31" s="20">
        <v>4</v>
      </c>
      <c r="H31" s="22">
        <v>8</v>
      </c>
      <c r="I31" s="22">
        <v>2.4</v>
      </c>
      <c r="J31" s="22">
        <v>10.4</v>
      </c>
      <c r="L31">
        <v>2026</v>
      </c>
      <c r="M31" t="str">
        <v>2026-038</v>
      </c>
      <c r="N31" t="str">
        <v>A realizar</v>
      </c>
      <c r="O31" t="str">
        <v>Introdução ao processo de controle externo - EAD</v>
      </c>
      <c r="P31">
        <v>16</v>
      </c>
      <c r="Q31" t="str">
        <v>Gabriel Heller</v>
      </c>
      <c r="R31">
        <v>1</v>
      </c>
      <c r="S31">
        <v>63</v>
      </c>
      <c r="T31"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2026-057</v>
      </c>
      <c r="C32" s="21" t="str">
        <v>A realizar</v>
      </c>
      <c r="D32" s="18" t="str">
        <v>Curso de formação sobre "Programa de Descentralização Progressiva das Ações de Saúde - PDPAS</v>
      </c>
      <c r="E32" s="20">
        <v>20</v>
      </c>
      <c r="F32" s="18" t="str">
        <v>Elvis Aaron Teixeira dos Santos Lima</v>
      </c>
      <c r="G32" s="20">
        <v>4</v>
      </c>
      <c r="H32" s="22">
        <v>0</v>
      </c>
      <c r="I32" s="22">
        <v>0</v>
      </c>
      <c r="J32" s="22">
        <v>0</v>
      </c>
      <c r="L32">
        <v>2026</v>
      </c>
      <c r="M32" t="str">
        <v>2026-016</v>
      </c>
      <c r="N32" t="str">
        <v>Realizado</v>
      </c>
      <c r="O32" t="str">
        <v>Mentoria de introdução à Engenharia de Prompt</v>
      </c>
      <c r="P32">
        <v>2</v>
      </c>
      <c r="Q32" t="str">
        <v>Arthur Wú; Gustavo Takahashi</v>
      </c>
      <c r="R32">
        <v>2</v>
      </c>
      <c r="S32">
        <v>65</v>
      </c>
      <c r="T32"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Cinthia Thais de Carvalho Luz Thomazi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2026-017</v>
      </c>
      <c r="N33" t="str">
        <v>Realizado</v>
      </c>
      <c r="O33" t="str">
        <v>Mostra Fotográfica “Meu Olhar sobre Brasília”</v>
      </c>
      <c r="P33">
        <v>0</v>
      </c>
      <c r="Q33" t="str">
        <v>Servidores, colaboradores e estagiários do TCDF</v>
      </c>
      <c r="R33">
        <v>1</v>
      </c>
      <c r="S33">
        <v>66</v>
      </c>
      <c r="T33"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Reinaldo Alencar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68</v>
      </c>
      <c r="T34"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Rogério Ribeiro</v>
      </c>
      <c r="G35" s="20">
        <v>5</v>
      </c>
      <c r="H35" s="22">
        <v>4</v>
      </c>
      <c r="I35" s="22">
        <v>0.6</v>
      </c>
      <c r="J35" s="22">
        <v>4.5999999999999996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70</v>
      </c>
      <c r="T35"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2026-021</v>
      </c>
      <c r="C36" s="21" t="str">
        <v>Realizado</v>
      </c>
      <c r="D36" s="18" t="str">
        <v>Curso de Fundamentos básicos de controle externo no TCDF</v>
      </c>
      <c r="E36" s="20">
        <v>12</v>
      </c>
      <c r="F36" s="18" t="str">
        <v>Rômulo Miranda Alvim</v>
      </c>
      <c r="G36" s="20">
        <v>5</v>
      </c>
      <c r="H36" s="22">
        <v>4</v>
      </c>
      <c r="I36" s="22">
        <v>0.6</v>
      </c>
      <c r="J36" s="22">
        <v>4.5999999999999996</v>
      </c>
      <c r="L36">
        <v>2026</v>
      </c>
      <c r="M36" t="str">
        <v>2026-053</v>
      </c>
      <c r="N36" t="str">
        <v>A realizar</v>
      </c>
      <c r="O36" t="str">
        <v>Oficina Temática - SEMAT: Aditivos na Contratação Integrada de obras e serviços de engenharia</v>
      </c>
      <c r="P36">
        <v>4</v>
      </c>
      <c r="Q36" t="str">
        <v>Douglas Vieira Silva Filho; Silvia Lima Damasceno Carvalho</v>
      </c>
      <c r="R36">
        <v>2</v>
      </c>
      <c r="S36">
        <v>72</v>
      </c>
      <c r="T36"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2026-021</v>
      </c>
      <c r="C37" s="81" t="str">
        <v>Realizado</v>
      </c>
      <c r="D37" t="str">
        <v>Curso de Fundamentos básicos de controle externo no TCDF</v>
      </c>
      <c r="E37" s="81">
        <v>12</v>
      </c>
      <c r="F37" t="str">
        <v>Gabriel Heller</v>
      </c>
      <c r="G37" s="81">
        <v>5</v>
      </c>
      <c r="H37" s="81">
        <v>4</v>
      </c>
      <c r="I37" s="81">
        <v>1.2</v>
      </c>
      <c r="J37" s="81">
        <v>5.2</v>
      </c>
      <c r="L37">
        <v>2026</v>
      </c>
      <c r="M37" t="str">
        <v>2026-051</v>
      </c>
      <c r="N37" t="str">
        <v>A realizar</v>
      </c>
      <c r="O37" t="str">
        <v>Oficina Temática – SEMAT: Controle Tecnológico de obras e serviços de engenharia</v>
      </c>
      <c r="P37">
        <v>4</v>
      </c>
      <c r="Q37" t="str">
        <v>Silvia Lima Damasceno Carvalho; Marcelo Silva Santana</v>
      </c>
      <c r="R37">
        <v>2</v>
      </c>
      <c r="S37">
        <v>74</v>
      </c>
      <c r="T37"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2026-008</v>
      </c>
      <c r="C38" s="81" t="str">
        <v>Realizado</v>
      </c>
      <c r="D38" t="str">
        <v>Curso de Promoção Funcional 2026/2027</v>
      </c>
      <c r="E38" s="81">
        <v>20</v>
      </c>
      <c r="F38" t="str">
        <v>Rômulo Miranda Alvim</v>
      </c>
      <c r="G38" s="81">
        <v>2</v>
      </c>
      <c r="H38" s="81">
        <v>20</v>
      </c>
      <c r="I38" s="81">
        <v>3</v>
      </c>
      <c r="J38" s="81">
        <v>23</v>
      </c>
      <c r="L38">
        <v>2026</v>
      </c>
      <c r="M38" t="str">
        <v>2026-046</v>
      </c>
      <c r="N38" t="str">
        <v>A realizar</v>
      </c>
      <c r="O38" t="str">
        <v>Oficina Temática – SEMAT: Falhas recorrentes em contratações de TI</v>
      </c>
      <c r="P38">
        <v>8</v>
      </c>
      <c r="Q38" t="str">
        <v>Felipe da Costa Malaquias</v>
      </c>
      <c r="R38">
        <v>1</v>
      </c>
      <c r="S38">
        <v>75</v>
      </c>
      <c r="T38"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2026-008</v>
      </c>
      <c r="C39" s="81" t="str">
        <v>Realizado</v>
      </c>
      <c r="D39" t="str">
        <v>Curso de Promoção Funcional 2026/2027</v>
      </c>
      <c r="E39" s="81">
        <v>20</v>
      </c>
      <c r="F39" t="str">
        <v>Cinthia Thais de Carvalho Luz Thomazi</v>
      </c>
      <c r="G39" s="81">
        <v>2</v>
      </c>
      <c r="H39" s="81">
        <v>20</v>
      </c>
      <c r="I39" s="81">
        <v>3</v>
      </c>
      <c r="J39" s="81">
        <v>23</v>
      </c>
      <c r="L39">
        <v>2026</v>
      </c>
      <c r="M39" t="str">
        <v>2026-068</v>
      </c>
      <c r="N39" t="str">
        <v>A realizar</v>
      </c>
      <c r="O39" t="str">
        <v>Oficina Temática - SEMAT: Matriz de Riscos em contratos de obras e serviços de engenharia</v>
      </c>
      <c r="P39">
        <v>4</v>
      </c>
      <c r="Q39" t="str">
        <v>Silvia Lima Damasceno Carvalho; Renan Dias da Silva</v>
      </c>
      <c r="R39">
        <v>2</v>
      </c>
      <c r="S39">
        <v>77</v>
      </c>
      <c r="T39"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2026-006</v>
      </c>
      <c r="C40" s="81" t="str">
        <v>Realizado</v>
      </c>
      <c r="D40" t="str">
        <v>Curso para gestores e fiscais de contratos de serviços assistenciais complementares – SES/DF</v>
      </c>
      <c r="E40" s="81">
        <v>12</v>
      </c>
      <c r="F40" t="str">
        <v>Adriana Magalhães</v>
      </c>
      <c r="G40" s="81">
        <v>2</v>
      </c>
      <c r="H40" s="81">
        <v>12</v>
      </c>
      <c r="I40" s="81">
        <v>1.7999999999999998</v>
      </c>
      <c r="J40" s="81">
        <v>13.8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79</v>
      </c>
      <c r="T40"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2026-006</v>
      </c>
      <c r="C41" s="81" t="str">
        <v>Realizado</v>
      </c>
      <c r="D41" t="str">
        <v>Curso para gestores e fiscais de contratos de serviços assistenciais complementares – SES/DF</v>
      </c>
      <c r="E41" s="81">
        <v>12</v>
      </c>
      <c r="F41" t="str">
        <v>Luciana Alvim</v>
      </c>
      <c r="G41" s="81">
        <v>2</v>
      </c>
      <c r="H41" s="81">
        <v>12</v>
      </c>
      <c r="I41" s="81">
        <v>1.7999999999999998</v>
      </c>
      <c r="J41" s="81">
        <v>13.8</v>
      </c>
      <c r="L41">
        <v>2026</v>
      </c>
      <c r="M41" t="str">
        <v>2026-049</v>
      </c>
      <c r="N41" t="str">
        <v>A realizar</v>
      </c>
      <c r="O41" t="str">
        <v>Oficina Temática - SEMAT: Pesquisa de Preços em contratos de obras e serviços de engenharia</v>
      </c>
      <c r="P41">
        <v>4</v>
      </c>
      <c r="Q41" t="str">
        <v>Silvia Lima Damasceno Carvalho; Wibys Pereira</v>
      </c>
      <c r="R41">
        <v>2</v>
      </c>
      <c r="S41">
        <v>81</v>
      </c>
      <c r="T41"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2026-013</v>
      </c>
      <c r="C42" s="81" t="str">
        <v>Realizado</v>
      </c>
      <c r="D42" t="str">
        <v>Curso para gestores e fiscais de contratos de serviços assistenciais complementares – SES/DF - T2</v>
      </c>
      <c r="E42" s="81">
        <v>12</v>
      </c>
      <c r="F42" t="str">
        <v>Adriana Magalhães</v>
      </c>
      <c r="G42" s="81">
        <v>2</v>
      </c>
      <c r="H42" s="81">
        <v>12</v>
      </c>
      <c r="I42" s="81">
        <v>1.7999999999999998</v>
      </c>
      <c r="J42" s="81">
        <v>13.8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83</v>
      </c>
      <c r="T42"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2026-013</v>
      </c>
      <c r="C43" t="str">
        <v>Realizado</v>
      </c>
      <c r="D43" t="str">
        <v>Curso para gestores e fiscais de contratos de serviços assistenciais complementares – SES/DF - T2</v>
      </c>
      <c r="E43">
        <v>12</v>
      </c>
      <c r="F43" t="str">
        <v>Luciana Alvim</v>
      </c>
      <c r="G43">
        <v>2</v>
      </c>
      <c r="H43">
        <v>12</v>
      </c>
      <c r="I43">
        <v>1.7999999999999998</v>
      </c>
      <c r="J43">
        <v>13.8</v>
      </c>
      <c r="L43">
        <v>2026</v>
      </c>
      <c r="M43" t="str">
        <v>2026-043</v>
      </c>
      <c r="N43" t="str">
        <v>Realizado</v>
      </c>
      <c r="O43" t="str">
        <v>Painel MROSC</v>
      </c>
      <c r="P43">
        <v>4</v>
      </c>
      <c r="Q43" t="str">
        <v>Diversos</v>
      </c>
      <c r="R43">
        <v>1</v>
      </c>
      <c r="S43">
        <v>84</v>
      </c>
      <c r="T43"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2026-025</v>
      </c>
      <c r="C44" t="str">
        <v>A realizar</v>
      </c>
      <c r="D44" t="str">
        <v>Elaboração da Cartilha "Gestão e Fiscalização de Contratos em Saúde"</v>
      </c>
      <c r="E44">
        <v>65</v>
      </c>
      <c r="F44" t="str">
        <v>Tarsila Firmino Ely</v>
      </c>
      <c r="G44">
        <v>2</v>
      </c>
      <c r="H44">
        <v>0</v>
      </c>
      <c r="I44">
        <v>65</v>
      </c>
      <c r="J44">
        <v>65</v>
      </c>
      <c r="L44">
        <v>2026</v>
      </c>
      <c r="M44" t="str">
        <v>2026-007</v>
      </c>
      <c r="N44" t="str">
        <v>Realizado</v>
      </c>
      <c r="O44" t="str">
        <v>Planilhas de Terceirização de Mão de Obra, de acordo com a Lei nº 14.133/2021 - T1</v>
      </c>
      <c r="P44">
        <v>20</v>
      </c>
      <c r="Q44" t="str">
        <v>Leonardo José Alves Leal Neri</v>
      </c>
      <c r="R44">
        <v>1</v>
      </c>
      <c r="S44">
        <v>85</v>
      </c>
      <c r="T44"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Luciana Alvim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2026-010</v>
      </c>
      <c r="N45" t="str">
        <v>Realizado</v>
      </c>
      <c r="O45" t="str">
        <v>Planilhas de Terceirização de Mão de Obra, de acordo com a Lei nº 14.133/2021 - T2</v>
      </c>
      <c r="P45">
        <v>20</v>
      </c>
      <c r="Q45" t="str">
        <v>Leonardo José Alves Leal Neri</v>
      </c>
      <c r="R45">
        <v>1</v>
      </c>
      <c r="S45">
        <v>86</v>
      </c>
      <c r="T45"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2026-050</v>
      </c>
      <c r="C46" t="str">
        <v>A realizar</v>
      </c>
      <c r="D46" t="str">
        <v>Encontro Técnico - SEMAT: Concursos públicos e registro de admissões</v>
      </c>
      <c r="E46">
        <v>4</v>
      </c>
      <c r="F46" t="str">
        <v>Carlos Antônio</v>
      </c>
      <c r="G46">
        <v>1</v>
      </c>
      <c r="H46">
        <v>4</v>
      </c>
      <c r="I46">
        <v>1.2</v>
      </c>
      <c r="J46">
        <v>5.2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>
        <v>0</v>
      </c>
      <c r="R46">
        <v>1</v>
      </c>
      <c r="S46">
        <v>87</v>
      </c>
      <c r="T46"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2026-052</v>
      </c>
      <c r="C47" t="str">
        <v>A realizar</v>
      </c>
      <c r="D47" t="str">
        <v>Encontro Técnico– SEMAT: Concessões e Fiscalização de Pessoal</v>
      </c>
      <c r="E47">
        <v>4</v>
      </c>
      <c r="F47" t="str">
        <v>Jamile Medeiros Fon</v>
      </c>
      <c r="G47">
        <v>2</v>
      </c>
      <c r="H47">
        <v>4</v>
      </c>
      <c r="I47">
        <v>1.2</v>
      </c>
      <c r="J47">
        <v>5.2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>
        <v>0</v>
      </c>
      <c r="R47">
        <v>1</v>
      </c>
      <c r="S47">
        <v>88</v>
      </c>
      <c r="T47"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2026-052</v>
      </c>
      <c r="C48" t="str">
        <v>A realizar</v>
      </c>
      <c r="D48" t="str">
        <v>Encontro Técnico– SEMAT: Concessões e Fiscalização de Pessoal</v>
      </c>
      <c r="E48">
        <v>4</v>
      </c>
      <c r="F48" t="str">
        <v>José Roberto Alcuri Júnior</v>
      </c>
      <c r="G48">
        <v>2</v>
      </c>
      <c r="H48">
        <v>0</v>
      </c>
      <c r="I48">
        <v>0</v>
      </c>
      <c r="J48">
        <v>0</v>
      </c>
      <c r="L48">
        <v>2026</v>
      </c>
      <c r="M48" t="str">
        <v>2026-059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89</v>
      </c>
      <c r="T48"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2026-040</v>
      </c>
      <c r="C49" t="str">
        <v>Realizado</v>
      </c>
      <c r="D49" t="str">
        <v>Escola de Instrutores - Design Instrucional</v>
      </c>
      <c r="E49">
        <v>12</v>
      </c>
      <c r="F49" t="str">
        <v>Paulo José Góes Daltro</v>
      </c>
      <c r="G49">
        <v>1</v>
      </c>
      <c r="H49">
        <v>0</v>
      </c>
      <c r="I49">
        <v>0</v>
      </c>
      <c r="J49">
        <v>0</v>
      </c>
      <c r="L49">
        <v>2026</v>
      </c>
      <c r="M49" t="str">
        <v>2026-060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90</v>
      </c>
      <c r="T49"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2026-061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91</v>
      </c>
      <c r="T50"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2026-062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92</v>
      </c>
      <c r="T51"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2026-005</v>
      </c>
      <c r="C52" t="str">
        <v>Realizado</v>
      </c>
      <c r="D52" t="str">
        <v>FIT1: Treinamento e Desenvolvimento (T&amp;D)</v>
      </c>
      <c r="E52">
        <v>16</v>
      </c>
      <c r="F52" t="str">
        <v>Paulo José Góes Daltro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2026-002</v>
      </c>
      <c r="N52" t="str">
        <v>Realizado</v>
      </c>
      <c r="O52" t="str">
        <v>Tcendo o Futuro - Edição Especial Filhos</v>
      </c>
      <c r="P52">
        <v>4</v>
      </c>
      <c r="Q52" t="str">
        <v>Cinthia Thais de Carvalho Luz Thomazi; Adriana Cuoco Portugal; Fernanda Viana de Souza; Denise Duarte Guirra Kuhlmann; Priscila Nolasco de Oliveira</v>
      </c>
      <c r="R52">
        <v>5</v>
      </c>
      <c r="S52">
        <v>97</v>
      </c>
      <c r="T52"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2026-004</v>
      </c>
      <c r="C53" t="str">
        <v>Realizado</v>
      </c>
      <c r="D53" t="str">
        <v>Gestão e Fiscalização de Contratos de Equipamentos Médico Hospitalares e Serviços de Manutenção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2026-018</v>
      </c>
      <c r="N53" t="str">
        <v>Realizado</v>
      </c>
      <c r="O53" t="str">
        <v>Tcendo o Futuro 1</v>
      </c>
      <c r="P53">
        <v>4</v>
      </c>
      <c r="Q53" t="str">
        <v>Cinthia Thais de Carvalho Luz Thomazi; Adriana Cuoco Portugal; Fernanda Viana de Souza; Denise Duarte Guirra Kuhlmann;  Priscila Nolasco de Oliveira</v>
      </c>
      <c r="R53">
        <v>5</v>
      </c>
      <c r="S53">
        <v>102</v>
      </c>
      <c r="T53"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2026-004</v>
      </c>
      <c r="C54" t="str">
        <v>Realizado</v>
      </c>
      <c r="D54" t="str">
        <v>Gestão e Fiscalização de Contratos de Equipamentos Médico Hospitalares e Serviços de Manutenção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2026-023</v>
      </c>
      <c r="N54" t="str">
        <v>Realizado</v>
      </c>
      <c r="O54" t="str">
        <v>Tcendo o Futuro 2</v>
      </c>
      <c r="P54">
        <v>4</v>
      </c>
      <c r="Q54" t="str">
        <v>Cinthia Thais de Carvalho Luz Thomazi; Adriana Cuoco Portugal; Fernanda Viana de Souza; Denise Duarte Guirra Kuhlmann;  Priscila Nolasco de Oliveira</v>
      </c>
      <c r="R54">
        <v>5</v>
      </c>
      <c r="S54">
        <v>107</v>
      </c>
      <c r="T54"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Introdução à Engenharia de Prompt - SEE</v>
      </c>
      <c r="E55">
        <v>8</v>
      </c>
      <c r="F55" t="str">
        <v>Arthur Wú</v>
      </c>
      <c r="G55">
        <v>2</v>
      </c>
      <c r="H55">
        <v>8</v>
      </c>
      <c r="I55">
        <v>2.4</v>
      </c>
      <c r="J55">
        <v>10.4</v>
      </c>
      <c r="L55">
        <v>2026</v>
      </c>
      <c r="M55" t="str">
        <v>2026-022</v>
      </c>
      <c r="N55" t="str">
        <v>Realizado</v>
      </c>
      <c r="O55" t="str">
        <v>UniTCDF: Ciências Contábeis</v>
      </c>
      <c r="P55">
        <v>3</v>
      </c>
      <c r="Q55" t="str">
        <v>Fernanda Viana de Souza; Túllio Herbeth Teixeira Moraes</v>
      </c>
      <c r="R55">
        <v>2</v>
      </c>
      <c r="S55">
        <v>109</v>
      </c>
      <c r="T55"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Introdução à Engenharia de Prompt - SEE</v>
      </c>
      <c r="E56">
        <v>8</v>
      </c>
      <c r="F56" t="str">
        <v>Gustavo Takahashi</v>
      </c>
      <c r="G56">
        <v>2</v>
      </c>
      <c r="H56">
        <v>8</v>
      </c>
      <c r="I56">
        <v>0</v>
      </c>
      <c r="J56">
        <v>8</v>
      </c>
      <c r="L56">
        <v>2026</v>
      </c>
      <c r="M56" t="str">
        <v>2026-029</v>
      </c>
      <c r="N56" t="str">
        <v>Realizado</v>
      </c>
      <c r="O56" t="str">
        <v>UniTCDF: TCDF e a Fiscalização de Obras</v>
      </c>
      <c r="P56">
        <v>4</v>
      </c>
      <c r="Q56" t="str">
        <v>Adriana Cuoco Portugal</v>
      </c>
      <c r="R56">
        <v>1</v>
      </c>
      <c r="S56">
        <v>110</v>
      </c>
      <c r="T56"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2026-009</v>
      </c>
      <c r="C57" t="str">
        <v>Realizado</v>
      </c>
      <c r="D57" t="str">
        <v>Introdução à Engenharia de Prompt - t1</v>
      </c>
      <c r="E57">
        <v>8</v>
      </c>
      <c r="F57" t="str">
        <v>Arthur Wú</v>
      </c>
      <c r="G57">
        <v>1</v>
      </c>
      <c r="H57">
        <v>8</v>
      </c>
      <c r="I57">
        <v>2.4</v>
      </c>
      <c r="J57">
        <v>10.4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2026-015</v>
      </c>
      <c r="C58" t="str">
        <v>Realizado</v>
      </c>
      <c r="D58" t="str">
        <v>Introdução à Engenharia de Prompt - t2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2026-015</v>
      </c>
      <c r="C59" t="str">
        <v>Realizado</v>
      </c>
      <c r="D59" t="str">
        <v>Introdução à Engenharia de Prompt - t2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2026-024</v>
      </c>
      <c r="C60" t="str">
        <v>Realizado</v>
      </c>
      <c r="D60" t="str">
        <v>Introdução à Engenharia de Prompt - T3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2026-024</v>
      </c>
      <c r="C61" t="str">
        <v>Realizado</v>
      </c>
      <c r="D61" t="str">
        <v>Introdução à Engenharia de Prompt - T3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2026-036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2.4</v>
      </c>
      <c r="J62">
        <v>10.4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2026-036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0</v>
      </c>
      <c r="J63">
        <v>8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2026-038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2026-016</v>
      </c>
      <c r="C65" t="str">
        <v>Realizado</v>
      </c>
      <c r="D65" t="str">
        <v>Mentoria de introdução à Engenharia de Prompt</v>
      </c>
      <c r="E65">
        <v>2</v>
      </c>
      <c r="F65" t="str">
        <v>Arthur Wú</v>
      </c>
      <c r="G65">
        <v>2</v>
      </c>
      <c r="H65">
        <v>1</v>
      </c>
      <c r="I65">
        <v>0.6</v>
      </c>
      <c r="J65">
        <v>1.6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2026-016</v>
      </c>
      <c r="C66" t="str">
        <v>Realizado</v>
      </c>
      <c r="D66" t="str">
        <v>Mentoria de introdução à Engenharia de Prompt</v>
      </c>
      <c r="E66">
        <v>2</v>
      </c>
      <c r="F66" t="str">
        <v>Gustavo Takahashi</v>
      </c>
      <c r="G66">
        <v>2</v>
      </c>
      <c r="H66">
        <v>1</v>
      </c>
      <c r="I66">
        <v>0</v>
      </c>
      <c r="J66">
        <v>1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2026-017</v>
      </c>
      <c r="C67" t="str">
        <v>Realizado</v>
      </c>
      <c r="D67" t="str">
        <v>Mostra Fotográfica “Meu Olhar sobre Brasília”</v>
      </c>
      <c r="E67">
        <v>0</v>
      </c>
      <c r="F67" t="str">
        <v>Servidores, colaboradores e estagiários do TCDF</v>
      </c>
      <c r="G67">
        <v>1</v>
      </c>
      <c r="H67">
        <v>0</v>
      </c>
      <c r="I67">
        <v>0</v>
      </c>
      <c r="J67">
        <v>0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2026-039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Indio Artiaga do Brasil Rabelo</v>
      </c>
      <c r="G68">
        <v>2</v>
      </c>
      <c r="H68">
        <v>12</v>
      </c>
      <c r="I68">
        <v>3.6</v>
      </c>
      <c r="J68">
        <v>15.6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2026-039</v>
      </c>
      <c r="C69" t="str">
        <v>Realizado</v>
      </c>
      <c r="D69" t="str">
        <v>MROSC para os gestores das Organizações da Sociedade Civil – OSCs</v>
      </c>
      <c r="E69">
        <v>12</v>
      </c>
      <c r="F69" t="str">
        <v>Leonardo de Melo</v>
      </c>
      <c r="G69">
        <v>2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2026-041</v>
      </c>
      <c r="C70" t="str">
        <v>Realizado</v>
      </c>
      <c r="D70" t="str">
        <v>O novo olhar sobre as políticas públicas para o Controle Externo</v>
      </c>
      <c r="E70">
        <v>24</v>
      </c>
      <c r="F70" t="str">
        <v>Reinaldo Alencar</v>
      </c>
      <c r="G70">
        <v>2</v>
      </c>
      <c r="H70">
        <v>24</v>
      </c>
      <c r="I70">
        <v>3.5999999999999996</v>
      </c>
      <c r="J70">
        <v>27.6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2026-041</v>
      </c>
      <c r="C71" t="str">
        <v>Realizado</v>
      </c>
      <c r="D71" t="str">
        <v>O novo olhar sobre as políticas públicas para o Controle Externo</v>
      </c>
      <c r="E71">
        <v>24</v>
      </c>
      <c r="F71" t="str">
        <v>Rogério Ribeiro</v>
      </c>
      <c r="G71">
        <v>2</v>
      </c>
      <c r="H71">
        <v>24</v>
      </c>
      <c r="I71">
        <v>3.5999999999999996</v>
      </c>
      <c r="J71">
        <v>27.6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2026-053</v>
      </c>
      <c r="C72" t="str">
        <v>A realizar</v>
      </c>
      <c r="D72" t="str">
        <v>Oficina Temática - SEMAT: Aditivos na Contratação Integrada de obras e serviços de engenharia</v>
      </c>
      <c r="E72">
        <v>4</v>
      </c>
      <c r="F72" t="str">
        <v>Douglas Vieira Silva Filho</v>
      </c>
      <c r="G72">
        <v>2</v>
      </c>
      <c r="H72">
        <v>4</v>
      </c>
      <c r="I72">
        <v>1.2</v>
      </c>
      <c r="J72">
        <v>5.2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2026-053</v>
      </c>
      <c r="C73" t="str">
        <v>A realizar</v>
      </c>
      <c r="D73" t="str">
        <v>Oficina Temática - SEMAT: Aditivos na Contratação Integrada de obras e serviços de engenharia</v>
      </c>
      <c r="E73">
        <v>4</v>
      </c>
      <c r="F73" t="str">
        <v>Silvia Lima Damasceno Carvalho</v>
      </c>
      <c r="G73">
        <v>2</v>
      </c>
      <c r="H73">
        <v>4</v>
      </c>
      <c r="I73">
        <v>1.2</v>
      </c>
      <c r="J73">
        <v>5.2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2026-051</v>
      </c>
      <c r="C74" t="str">
        <v>A realizar</v>
      </c>
      <c r="D74" t="str">
        <v>Oficina Temática – SEMAT: Controle Tecnológico de obras e serviços de engenharia</v>
      </c>
      <c r="E74">
        <v>4</v>
      </c>
      <c r="F74" t="str">
        <v>Silvia Lima Damasceno Carvalho</v>
      </c>
      <c r="G74">
        <v>2</v>
      </c>
      <c r="H74">
        <v>4</v>
      </c>
      <c r="I74">
        <v>1.2</v>
      </c>
      <c r="J74">
        <v>5.2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2026-051</v>
      </c>
      <c r="C75" t="str">
        <v>A realizar</v>
      </c>
      <c r="D75" t="str">
        <v>Oficina Temática – SEMAT: Controle Tecnológico de obras e serviços de engenharia</v>
      </c>
      <c r="E75">
        <v>4</v>
      </c>
      <c r="F75" t="str">
        <v>Marcelo Silva Santana</v>
      </c>
      <c r="G75">
        <v>2</v>
      </c>
      <c r="H75">
        <v>4</v>
      </c>
      <c r="I75">
        <v>1.2</v>
      </c>
      <c r="J75">
        <v>5.2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2026-046</v>
      </c>
      <c r="C76" t="str">
        <v>A realizar</v>
      </c>
      <c r="D76" t="str">
        <v>Oficina Temática – SEMAT: Falhas recorrentes em contratações de TI</v>
      </c>
      <c r="E76">
        <v>8</v>
      </c>
      <c r="F76" t="str">
        <v>Felipe da Costa Malaquias</v>
      </c>
      <c r="G76">
        <v>1</v>
      </c>
      <c r="H76">
        <v>8</v>
      </c>
      <c r="I76">
        <v>2.4</v>
      </c>
      <c r="J76">
        <v>10.4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2026-068</v>
      </c>
      <c r="C77" t="str">
        <v>A realizar</v>
      </c>
      <c r="D77" t="str">
        <v>Oficina Temática - SEMAT: Matriz de Riscos em contratos de obras e serviços de engenharia</v>
      </c>
      <c r="E77">
        <v>4</v>
      </c>
      <c r="F77" t="str">
        <v>Silvia Lima Damasceno Carvalho</v>
      </c>
      <c r="G77">
        <v>2</v>
      </c>
      <c r="H77">
        <v>4</v>
      </c>
      <c r="I77">
        <v>1.2</v>
      </c>
      <c r="J77">
        <v>5.2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2026-068</v>
      </c>
      <c r="C78" t="str">
        <v>A realizar</v>
      </c>
      <c r="D78" t="str">
        <v>Oficina Temática - SEMAT: Matriz de Riscos em contratos de obras e serviços de engenharia</v>
      </c>
      <c r="E78">
        <v>4</v>
      </c>
      <c r="F78" t="str">
        <v>Renan Dias da Silva</v>
      </c>
      <c r="G78">
        <v>2</v>
      </c>
      <c r="H78">
        <v>4</v>
      </c>
      <c r="I78">
        <v>1.2</v>
      </c>
      <c r="J78">
        <v>5.2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2026-047</v>
      </c>
      <c r="C79" t="str">
        <v>A realizar</v>
      </c>
      <c r="D79" t="str">
        <v>Oficina Temática - SEMAT: MROSC para servidores do GDF</v>
      </c>
      <c r="E79">
        <v>4</v>
      </c>
      <c r="F79" t="str">
        <v>Indio Artiaga do Brasil Rabelo</v>
      </c>
      <c r="G79">
        <v>2</v>
      </c>
      <c r="H79">
        <v>4</v>
      </c>
      <c r="I79">
        <v>1.2</v>
      </c>
      <c r="J79">
        <v>5.2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2026-047</v>
      </c>
      <c r="C80" t="str">
        <v>A realizar</v>
      </c>
      <c r="D80" t="str">
        <v>Oficina Temática - SEMAT: MROSC para servidores do GDF</v>
      </c>
      <c r="E80">
        <v>4</v>
      </c>
      <c r="F80" t="str">
        <v>Leonardo de Melo</v>
      </c>
      <c r="G80">
        <v>2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2026-049</v>
      </c>
      <c r="C81" t="str">
        <v>A realizar</v>
      </c>
      <c r="D81" t="str">
        <v>Oficina Temática - SEMAT: Pesquisa de Preços em contratos de obras e serviços de engenharia</v>
      </c>
      <c r="E81">
        <v>4</v>
      </c>
      <c r="F81" t="str">
        <v>Silvia Lima Damasceno Carvalho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2026-049</v>
      </c>
      <c r="C82" t="str">
        <v>A realizar</v>
      </c>
      <c r="D82" t="str">
        <v>Oficina Temática - SEMAT: Pesquisa de Preços em contratos de obras e serviços de engenharia</v>
      </c>
      <c r="E82">
        <v>4</v>
      </c>
      <c r="F82" t="str">
        <v>Wibys Pereira</v>
      </c>
      <c r="G82">
        <v>2</v>
      </c>
      <c r="H82">
        <v>4</v>
      </c>
      <c r="I82">
        <v>1.2</v>
      </c>
      <c r="J82">
        <v>5.2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2026-043</v>
      </c>
      <c r="C85" t="str">
        <v>Realizado</v>
      </c>
      <c r="D85" t="str">
        <v>Painel MROSC</v>
      </c>
      <c r="E85">
        <v>4</v>
      </c>
      <c r="F85" t="str">
        <v>Diversos</v>
      </c>
      <c r="G85">
        <v>1</v>
      </c>
      <c r="H85">
        <v>0</v>
      </c>
      <c r="I85">
        <v>0</v>
      </c>
      <c r="J85">
        <v>0</v>
      </c>
      <c r="R85" t="str">
        <v/>
      </c>
      <c r="S85" t="str">
        <v/>
      </c>
    </row>
    <row r="86" spans="1:27" x14ac:dyDescent="0.25">
      <c r="A86">
        <v>2026</v>
      </c>
      <c r="B86" t="str">
        <v>2026-007</v>
      </c>
      <c r="C86" t="str">
        <v>Realizado</v>
      </c>
      <c r="D86" t="str">
        <v>Planilhas de Terceirização de Mão de Obra, de acordo com a Lei nº 14.133/2021 - T1</v>
      </c>
      <c r="E86">
        <v>20</v>
      </c>
      <c r="F86" t="str">
        <v>Leonardo José Alves Leal Neri</v>
      </c>
      <c r="G86">
        <v>1</v>
      </c>
      <c r="H86">
        <v>20</v>
      </c>
      <c r="I86">
        <v>6</v>
      </c>
      <c r="J86">
        <v>26</v>
      </c>
      <c r="R86" t="str">
        <v/>
      </c>
      <c r="S86" t="str">
        <v/>
      </c>
    </row>
    <row r="87" spans="1:27" x14ac:dyDescent="0.25">
      <c r="A87">
        <v>2026</v>
      </c>
      <c r="B87" t="str">
        <v>2026-010</v>
      </c>
      <c r="C87" t="str">
        <v>Realizado</v>
      </c>
      <c r="D87" t="str">
        <v>Planilhas de Terceirização de Mão de Obra, de acordo com a Lei nº 14.133/2021 - T2</v>
      </c>
      <c r="E87">
        <v>20</v>
      </c>
      <c r="F87" t="str">
        <v>Leonardo José Alves Leal Neri</v>
      </c>
      <c r="G87">
        <v>1</v>
      </c>
      <c r="H87">
        <v>20</v>
      </c>
      <c r="I87">
        <v>6</v>
      </c>
      <c r="J87">
        <v>26</v>
      </c>
      <c r="R87" t="str">
        <v/>
      </c>
      <c r="S87" t="str">
        <v/>
      </c>
    </row>
    <row r="88" spans="1:27" x14ac:dyDescent="0.25">
      <c r="A88">
        <v>2026</v>
      </c>
      <c r="B88" t="str">
        <v>2026-055</v>
      </c>
      <c r="C88" t="str">
        <v>A realizar</v>
      </c>
      <c r="D88" t="str">
        <v>TCendo o Futuro</v>
      </c>
      <c r="E88">
        <v>4</v>
      </c>
      <c r="F88" t="str">
        <v>0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2026-056</v>
      </c>
      <c r="C89" t="str">
        <v>A realizar</v>
      </c>
      <c r="D89" t="str">
        <v>TCendo o Futuro</v>
      </c>
      <c r="E89">
        <v>4</v>
      </c>
      <c r="F89" t="str">
        <v>0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2026-059</v>
      </c>
      <c r="C90" t="str">
        <v>A realizar</v>
      </c>
      <c r="D90" t="str">
        <v>TCendo o Futuro</v>
      </c>
      <c r="E90">
        <v>4</v>
      </c>
      <c r="F90" t="str">
        <v>0</v>
      </c>
      <c r="G90">
        <v>1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2026-060</v>
      </c>
      <c r="C91" t="str">
        <v>A realizar</v>
      </c>
      <c r="D91" t="str">
        <v>TCendo o Futuro</v>
      </c>
      <c r="E91">
        <v>4</v>
      </c>
      <c r="F91" t="str">
        <v>0</v>
      </c>
      <c r="G91">
        <v>1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2026-061</v>
      </c>
      <c r="C92" t="str">
        <v>A realizar</v>
      </c>
      <c r="D92" t="str">
        <v>TCendo o Futuro</v>
      </c>
      <c r="E92">
        <v>4</v>
      </c>
      <c r="F92" t="str">
        <v>0</v>
      </c>
      <c r="G92">
        <v>1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2026-062</v>
      </c>
      <c r="C93" t="str">
        <v>A realizar</v>
      </c>
      <c r="D93" t="str">
        <v>TCendo o Futuro</v>
      </c>
      <c r="E93">
        <v>4</v>
      </c>
      <c r="F93" t="str">
        <v>0</v>
      </c>
      <c r="G93">
        <v>1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2026-002</v>
      </c>
      <c r="C94" t="str">
        <v>Realizado</v>
      </c>
      <c r="D94" t="str">
        <v>Tcendo o Futuro - Edição Especial Filhos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2026-002</v>
      </c>
      <c r="C95" t="str">
        <v>Realizado</v>
      </c>
      <c r="D95" t="str">
        <v>Tcendo o Futuro - Edição Especial Filhos</v>
      </c>
      <c r="E95">
        <v>4</v>
      </c>
      <c r="F95" t="str">
        <v>Adriana Cuoco Portugal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2026-002</v>
      </c>
      <c r="C96" t="str">
        <v>Realizado</v>
      </c>
      <c r="D96" t="str">
        <v>Tcendo o Futuro - Edição Especial Filhos</v>
      </c>
      <c r="E96">
        <v>4</v>
      </c>
      <c r="F96" t="str">
        <v>Fernanda Viana de Souza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2026-002</v>
      </c>
      <c r="C97" t="str">
        <v>Realizado</v>
      </c>
      <c r="D97" t="str">
        <v>Tcendo o Futuro - Edição Especial Filhos</v>
      </c>
      <c r="E97">
        <v>4</v>
      </c>
      <c r="F97" t="str">
        <v>Denise Duarte Guirra Kuhlmann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2026-002</v>
      </c>
      <c r="C98" t="str">
        <v>Realizado</v>
      </c>
      <c r="D98" t="str">
        <v>Tcendo o Futuro - Edição Especial Filhos</v>
      </c>
      <c r="E98">
        <v>4</v>
      </c>
      <c r="F98" t="str">
        <v>Priscila Nolasco de Oliveira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2026-018</v>
      </c>
      <c r="C99" t="str">
        <v>Realizado</v>
      </c>
      <c r="D99" t="str">
        <v>Tcendo o Futuro 1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2026-018</v>
      </c>
      <c r="C100" t="str">
        <v>Realizado</v>
      </c>
      <c r="D100" t="str">
        <v>Tcendo o Futuro 1</v>
      </c>
      <c r="E100">
        <v>4</v>
      </c>
      <c r="F100" t="str">
        <v>Adriana Cuoco Portugal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2026-018</v>
      </c>
      <c r="C101" t="str">
        <v>Realizado</v>
      </c>
      <c r="D101" t="str">
        <v>Tcendo o Futuro 1</v>
      </c>
      <c r="E101">
        <v>4</v>
      </c>
      <c r="F101" t="str">
        <v>Fernanda Viana de Souza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2026-018</v>
      </c>
      <c r="C102" t="str">
        <v>Realizado</v>
      </c>
      <c r="D102" t="str">
        <v>Tcendo o Futuro 1</v>
      </c>
      <c r="E102">
        <v>4</v>
      </c>
      <c r="F102" t="str">
        <v>Denise Duarte Guirra Kuhlmann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2026-018</v>
      </c>
      <c r="C103" t="str">
        <v>Realizado</v>
      </c>
      <c r="D103" t="str">
        <v>Tcendo o Futuro 1</v>
      </c>
      <c r="E103">
        <v>4</v>
      </c>
      <c r="F103" t="str">
        <v>Priscila Nolasco de Oliveira</v>
      </c>
      <c r="G103">
        <v>5</v>
      </c>
      <c r="H103">
        <v>4</v>
      </c>
      <c r="I103">
        <v>1.2</v>
      </c>
      <c r="J103">
        <v>5.2</v>
      </c>
      <c r="R103" t="str">
        <v/>
      </c>
      <c r="S103" t="str">
        <v/>
      </c>
    </row>
    <row r="104" spans="1:19" x14ac:dyDescent="0.25">
      <c r="A104">
        <v>2026</v>
      </c>
      <c r="B104" t="str">
        <v>2026-023</v>
      </c>
      <c r="C104" t="str">
        <v>Realizado</v>
      </c>
      <c r="D104" t="str">
        <v>Tcendo o Futuro 2</v>
      </c>
      <c r="E104">
        <v>4</v>
      </c>
      <c r="F104" t="str">
        <v>Cinthia Thais de Carvalho Luz Thomazi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2026-023</v>
      </c>
      <c r="C105" t="str">
        <v>Realizado</v>
      </c>
      <c r="D105" t="str">
        <v>Tcendo o Futuro 2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2026-023</v>
      </c>
      <c r="C106" t="str">
        <v>Realizado</v>
      </c>
      <c r="D106" t="str">
        <v>Tcendo o Futuro 2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2026-023</v>
      </c>
      <c r="C107" t="str">
        <v>Realizado</v>
      </c>
      <c r="D107" t="str">
        <v>Tcendo o Futuro 2</v>
      </c>
      <c r="E107">
        <v>4</v>
      </c>
      <c r="F107" t="str">
        <v>Denise Duarte Guirra Kuhlmann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2026-023</v>
      </c>
      <c r="C108" t="str">
        <v>Realizado</v>
      </c>
      <c r="D108" t="str">
        <v>Tcendo o Futuro 2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2026-022</v>
      </c>
      <c r="C109" t="str">
        <v>Realizado</v>
      </c>
      <c r="D109" t="str">
        <v>UniTCDF: Ciências Contábeis</v>
      </c>
      <c r="E109">
        <v>3</v>
      </c>
      <c r="F109" t="str">
        <v>Fernanda Viana de Souza</v>
      </c>
      <c r="G109">
        <v>2</v>
      </c>
      <c r="H109">
        <v>3</v>
      </c>
      <c r="I109">
        <v>0.9</v>
      </c>
      <c r="J109">
        <v>3.9</v>
      </c>
      <c r="R109" t="str">
        <v/>
      </c>
      <c r="S109" t="str">
        <v/>
      </c>
    </row>
    <row r="110" spans="1:19" x14ac:dyDescent="0.25">
      <c r="A110">
        <v>2026</v>
      </c>
      <c r="B110" t="str">
        <v>2026-022</v>
      </c>
      <c r="C110" t="str">
        <v>Realizado</v>
      </c>
      <c r="D110" t="str">
        <v>UniTCDF: Ciências Contábeis</v>
      </c>
      <c r="E110">
        <v>3</v>
      </c>
      <c r="F110" t="str">
        <v>Túllio Herbeth Teixeira Moraes</v>
      </c>
      <c r="G110">
        <v>2</v>
      </c>
      <c r="H110">
        <v>3</v>
      </c>
      <c r="I110">
        <v>0.9</v>
      </c>
      <c r="J110">
        <v>3.9</v>
      </c>
      <c r="R110" t="str">
        <v/>
      </c>
      <c r="S110" t="str">
        <v/>
      </c>
    </row>
    <row r="111" spans="1:19" x14ac:dyDescent="0.25">
      <c r="A111">
        <v>2026</v>
      </c>
      <c r="B111" t="str">
        <v>2026-029</v>
      </c>
      <c r="C111" t="str">
        <v>Realizado</v>
      </c>
      <c r="D111" t="str">
        <v>UniTCDF: TCDF e a Fiscalização de Obras</v>
      </c>
      <c r="E111">
        <v>4</v>
      </c>
      <c r="F111" t="str">
        <v>Adriana Cuoco Portugal</v>
      </c>
      <c r="G111">
        <v>1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3056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19" t="s">
        <v>3057</v>
      </c>
      <c r="B4" s="220"/>
      <c r="D4" s="221" t="s">
        <v>3058</v>
      </c>
      <c r="E4" s="222"/>
      <c r="G4" s="45" t="s">
        <v>3059</v>
      </c>
    </row>
    <row r="5" spans="1:7" ht="54.95" customHeight="1" thickBot="1" x14ac:dyDescent="0.75">
      <c r="A5" s="35">
        <f>COUNTIF('Ações InCompany'!B:B,2026)</f>
        <v>73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16" t="s">
        <v>3061</v>
      </c>
      <c r="B8" s="216"/>
      <c r="D8" s="216" t="s">
        <v>3062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16" t="s">
        <v>3071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3122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9" t="s">
        <v>3123</v>
      </c>
    </row>
    <row r="4" spans="1:8" ht="21.95" customHeight="1" x14ac:dyDescent="0.25">
      <c r="A4" s="224" t="s">
        <v>3124</v>
      </c>
      <c r="B4" s="225"/>
      <c r="D4" s="224" t="s">
        <v>3125</v>
      </c>
      <c r="E4" s="225"/>
      <c r="G4" s="224" t="s">
        <v>3126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8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3132</v>
      </c>
      <c r="B1" s="229"/>
      <c r="C1" s="229"/>
      <c r="D1" s="229"/>
      <c r="E1" s="229"/>
      <c r="F1" s="229"/>
    </row>
    <row r="2" spans="1:7" x14ac:dyDescent="0.25">
      <c r="A2" s="230" t="s">
        <v>3133</v>
      </c>
      <c r="B2" s="230"/>
      <c r="C2" s="230"/>
      <c r="D2" s="230"/>
      <c r="E2" s="230"/>
      <c r="F2" s="230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44.500000000000007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80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156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79" priority="1">
      <formula>$J2="CORRIGIR"</formula>
    </cfRule>
  </conditionalFormatting>
  <conditionalFormatting sqref="A2:L65">
    <cfRule type="expression" dxfId="78" priority="2">
      <formula>$J2="REVISAR"</formula>
    </cfRule>
  </conditionalFormatting>
  <conditionalFormatting sqref="A2:L65">
    <cfRule type="expression" dxfId="77" priority="3">
      <formula>$J2="OK"</formula>
    </cfRule>
  </conditionalFormatting>
  <conditionalFormatting sqref="I2:I65">
    <cfRule type="containsText" dxfId="76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2026-08-04T21:06:25Z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