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90" documentId="13_ncr:1_{6A2CC3E2-FAFB-4D8F-B284-5E8FB5045DFE}" xr6:coauthVersionLast="47" xr6:coauthVersionMax="47" xr10:uidLastSave="{78E0D952-02A0-4C32-8066-3D96918D2E77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E105" i="23" l="1"/>
  <c r="A2" i="20"/>
  <c r="F6" i="23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D4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F34" i="23"/>
  <c r="E40" i="23"/>
  <c r="F23" i="23"/>
  <c r="D32" i="23"/>
  <c r="D38" i="23"/>
  <c r="B55" i="23"/>
  <c r="D28" i="23"/>
  <c r="D34" i="23"/>
  <c r="E35" i="23"/>
  <c r="E7" i="23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2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C40" i="23"/>
  <c r="F27" i="23"/>
  <c r="F36" i="23"/>
  <c r="D49" i="23"/>
  <c r="D24" i="23"/>
  <c r="C15" i="23"/>
  <c r="B14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A5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<sst xmlns="http://schemas.openxmlformats.org/spreadsheetml/2006/main" count="7250" uniqueCount="3186">
  <si>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</si>
  <si>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</si>
  <si>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</si>
  <si>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</si>
  <si>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</si>
  <si>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</si>
  <si>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</si>
  <si>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</si>
  <si>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</si>
  <si>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</si>
  <si>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</si>
  <si>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</si>
  <si>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</si>
  <si>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</si>
  <si>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</si>
  <si>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</si>
  <si>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</si>
  <si>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</si>
  <si>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</si>
  <si>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</si>
  <si>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</si>
  <si>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</si>
  <si>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</si>
  <si>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</si>
  <si>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</si>
  <si>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</si>
  <si>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</si>
  <si>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</si>
  <si>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</si>
  <si>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</si>
  <si>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</si>
  <si>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</si>
  <si>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</si>
  <si>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</si>
  <si>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</si>
  <si>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</si>
  <si>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</si>
  <si>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</si>
  <si>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</si>
  <si>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</si>
  <si>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</si>
  <si>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</si>
  <si>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</si>
  <si>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</si>
  <si>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</si>
  <si>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</si>
  <si>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</si>
  <si>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</si>
  <si>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</si>
  <si>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</si>
  <si>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</si>
  <si>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</si>
  <si>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</si>
  <si>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</si>
  <si>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</si>
  <si>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</si>
  <si>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</si>
  <si>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</si>
  <si>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</si>
  <si>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</si>
  <si>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</si>
  <si>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</si>
  <si>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</si>
  <si>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</si>
  <si>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</si>
  <si>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</si>
  <si>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</si>
  <si>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</si>
  <si>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</si>
  <si>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</si>
  <si>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</si>
  <si>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</si>
  <si>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</si>
  <si>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</si>
  <si>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</si>
  <si>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</si>
  <si>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</si>
  <si>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</si>
  <si>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</si>
  <si>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</si>
  <si>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</si>
  <si>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</si>
  <si>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</si>
  <si>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</si>
  <si>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</si>
  <si>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</si>
  <si>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</si>
  <si>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</si>
  <si>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</si>
  <si>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</si>
  <si>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</si>
  <si>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</si>
  <si>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</si>
  <si>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</si>
  <si>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</si>
  <si>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</si>
  <si>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</si>
  <si>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</si>
  <si>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</si>
  <si>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</si>
  <si>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</si>
  <si>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</si>
  <si>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</si>
  <si>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</si>
  <si>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</si>
  <si>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</si>
  <si>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</si>
  <si>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</si>
  <si>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</si>
  <si>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</si>
  <si>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</si>
  <si>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</si>
  <si>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</si>
  <si>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</si>
  <si>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</si>
  <si>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</si>
  <si>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</si>
  <si>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</si>
  <si>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</si>
  <si>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</si>
  <si>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</si>
  <si>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</si>
  <si>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</si>
  <si>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</si>
  <si>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</si>
  <si>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</si>
  <si>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</si>
  <si>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</si>
  <si>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</si>
  <si>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</si>
  <si>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</si>
  <si>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</si>
  <si>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</si>
  <si>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</si>
  <si>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</si>
  <si>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</si>
  <si>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</si>
  <si>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</si>
  <si>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</si>
  <si>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</si>
  <si>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</si>
  <si>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</si>
  <si>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</si>
  <si>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</si>
  <si>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</si>
  <si>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</si>
  <si>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</si>
  <si>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</si>
  <si>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</si>
  <si>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</si>
  <si>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</si>
  <si>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</si>
  <si>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</si>
  <si>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</si>
  <si>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</si>
  <si>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</si>
  <si>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</si>
  <si>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</si>
  <si>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</si>
  <si>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</si>
  <si>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</si>
  <si>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</si>
  <si>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</si>
  <si>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</si>
  <si>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</si>
  <si>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</si>
  <si>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</si>
  <si>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</si>
  <si>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</si>
  <si>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</si>
  <si>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</si>
  <si>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</si>
  <si>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</si>
  <si>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</si>
  <si>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</si>
  <si>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</si>
  <si>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</si>
  <si>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</si>
  <si>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</si>
  <si>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</si>
  <si>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</si>
  <si>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</si>
  <si>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</si>
  <si>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</si>
  <si>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</si>
  <si>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</si>
  <si>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</si>
  <si>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</si>
  <si>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</si>
  <si>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</si>
  <si>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</si>
  <si>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</si>
  <si>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</si>
  <si>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</si>
  <si>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</si>
  <si>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</si>
  <si>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</si>
  <si>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</si>
  <si>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</si>
  <si>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</si>
  <si>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</si>
  <si>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</si>
  <si>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</si>
  <si>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</si>
  <si>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</si>
  <si>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</si>
  <si>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</si>
  <si>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</si>
  <si>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</si>
  <si>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</si>
  <si>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</si>
  <si>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</si>
  <si>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</si>
  <si>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</si>
  <si>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</si>
  <si>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</si>
  <si>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</si>
  <si>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</si>
  <si>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</si>
  <si>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</si>
  <si>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</si>
  <si>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</si>
  <si>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</si>
  <si>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</si>
  <si>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</si>
  <si>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</si>
  <si>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</si>
  <si>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</si>
  <si>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</si>
  <si>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</si>
  <si>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</si>
  <si>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</si>
  <si>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</si>
  <si>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</si>
  <si>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</si>
  <si>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</si>
  <si>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</si>
  <si>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</si>
  <si>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</si>
  <si>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</si>
  <si>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</si>
  <si>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</si>
  <si>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</si>
  <si>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</si>
  <si>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</si>
  <si>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</si>
  <si>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</si>
  <si>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</si>
  <si>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</si>
  <si>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</si>
  <si>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</si>
  <si>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</si>
  <si>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</si>
  <si>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</si>
  <si>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</si>
  <si>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</si>
  <si>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</si>
  <si>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</si>
  <si>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</si>
  <si>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</si>
  <si>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</si>
  <si>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</si>
  <si>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</si>
  <si>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</si>
  <si>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</si>
  <si>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</si>
  <si>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</si>
  <si>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</si>
  <si>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</si>
  <si>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</si>
  <si>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</si>
  <si>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</si>
  <si>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</si>
  <si>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</si>
  <si>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</si>
  <si>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</si>
  <si>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</si>
  <si>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</si>
  <si>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</si>
  <si>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</si>
  <si>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</si>
  <si>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</si>
  <si>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</si>
  <si>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</si>
  <si>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</si>
  <si>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</si>
  <si>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</si>
  <si>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</si>
  <si>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</si>
  <si>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</si>
  <si>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</si>
  <si>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</si>
  <si>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</si>
  <si>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</si>
  <si>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</si>
  <si>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</si>
  <si>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</si>
  <si>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</si>
  <si>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</si>
  <si>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</si>
  <si>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</si>
  <si>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</si>
  <si>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</si>
  <si>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</si>
  <si>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</si>
  <si>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</si>
  <si>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</si>
  <si>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</si>
  <si>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</si>
  <si>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</si>
  <si>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</si>
  <si>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</si>
  <si>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</si>
  <si>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</si>
  <si>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</si>
  <si>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</si>
  <si>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</si>
  <si>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</si>
  <si>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</si>
  <si>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</si>
  <si>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</si>
  <si>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</si>
  <si>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</si>
  <si>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</si>
  <si>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</si>
  <si>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</si>
  <si>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</si>
  <si>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</si>
  <si>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</si>
  <si>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</si>
  <si>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</si>
  <si>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</si>
  <si>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</si>
  <si>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</si>
  <si>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</si>
  <si>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</si>
  <si>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</si>
  <si>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</si>
  <si>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</si>
  <si>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</si>
  <si>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</si>
  <si>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</si>
  <si>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</si>
  <si>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</si>
  <si>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</si>
  <si>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</si>
  <si>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</si>
  <si>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</si>
  <si>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</si>
  <si>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</si>
  <si>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</si>
  <si>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</si>
  <si>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</si>
  <si>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</si>
  <si>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</si>
  <si>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</si>
  <si>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</si>
  <si>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</si>
  <si>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</si>
  <si>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</si>
  <si>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</si>
  <si>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</si>
  <si>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</si>
  <si>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</si>
  <si>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</si>
  <si>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</si>
  <si>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</si>
  <si>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</si>
  <si>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</si>
  <si>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</si>
  <si>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</si>
  <si>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</si>
  <si>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</si>
  <si>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</si>
  <si>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</si>
  <si>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</si>
  <si>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</si>
  <si>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</si>
  <si>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</si>
  <si>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</si>
  <si>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</si>
  <si>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</si>
  <si>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</si>
  <si>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</si>
  <si>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</si>
  <si>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</si>
  <si>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</si>
  <si>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</si>
  <si>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</si>
  <si>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</si>
  <si>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</si>
  <si>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</si>
  <si>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</si>
  <si>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</si>
  <si>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</si>
  <si>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</si>
  <si>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</si>
  <si>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</si>
  <si>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</si>
  <si>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</si>
  <si>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</si>
  <si>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</si>
  <si>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</si>
  <si>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</si>
  <si>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</si>
  <si>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</si>
  <si>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</si>
  <si>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</si>
  <si>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</si>
  <si>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</si>
  <si>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</si>
  <si>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</si>
  <si>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</si>
  <si>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</si>
  <si>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</si>
  <si>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</si>
  <si>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</si>
  <si>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</si>
  <si>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</si>
  <si>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</si>
  <si>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</si>
  <si>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</si>
  <si>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</si>
  <si>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</si>
  <si>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</si>
  <si>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</si>
  <si>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</si>
  <si>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</si>
  <si>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</si>
  <si>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</si>
  <si>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</si>
  <si>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</si>
  <si>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</si>
  <si>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</si>
  <si>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</si>
  <si>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</si>
  <si>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</si>
  <si>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</si>
  <si>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</si>
  <si>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</si>
  <si>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</si>
  <si>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</si>
  <si>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</si>
  <si>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</si>
  <si>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</si>
  <si>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</si>
  <si>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</si>
  <si>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</si>
  <si>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</si>
  <si>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</si>
  <si>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</si>
  <si>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</si>
  <si>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</si>
  <si>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</si>
  <si>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</si>
  <si>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</si>
  <si>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</si>
  <si>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</si>
  <si>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</si>
  <si>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</si>
  <si>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</si>
  <si>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</si>
  <si>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</si>
  <si>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</si>
  <si>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</si>
  <si>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</si>
  <si>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</si>
  <si>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</si>
  <si>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</si>
  <si>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</si>
  <si>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</si>
  <si>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</si>
  <si>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</si>
  <si>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</si>
  <si>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</si>
  <si>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</si>
  <si>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</si>
  <si>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</si>
  <si>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</si>
  <si>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</si>
  <si>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</si>
  <si>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</si>
  <si>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</si>
  <si>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</si>
  <si>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</si>
  <si>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</si>
  <si>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</si>
  <si>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</si>
  <si>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</si>
  <si>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</si>
  <si>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</si>
  <si>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</si>
  <si>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</si>
  <si>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</si>
  <si>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</si>
  <si>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</si>
  <si>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</si>
  <si>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</si>
  <si>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</si>
  <si>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</si>
  <si>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</si>
  <si>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</si>
  <si>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</si>
  <si>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</si>
  <si>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</si>
  <si>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</si>
  <si>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</si>
  <si>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</si>
  <si>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</si>
  <si>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</si>
  <si>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</si>
  <si>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</si>
  <si>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</si>
  <si>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</si>
  <si>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</si>
  <si>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</si>
  <si>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</si>
  <si>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</si>
  <si>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</si>
  <si>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</si>
  <si>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</si>
  <si>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</si>
  <si>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</si>
  <si>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</si>
  <si>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</si>
  <si>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</si>
  <si>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</si>
  <si>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</si>
  <si>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</si>
  <si>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</si>
  <si>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</si>
  <si>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</si>
  <si>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</si>
  <si>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</si>
  <si>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</si>
  <si>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</si>
  <si>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</si>
  <si>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</si>
  <si>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</si>
  <si>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</si>
  <si>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</si>
  <si>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</si>
  <si>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</si>
  <si>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</si>
  <si>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</si>
  <si>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</si>
  <si>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</si>
  <si>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</si>
  <si>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</si>
  <si>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</si>
  <si>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</si>
  <si>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</si>
  <si>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</si>
  <si>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</si>
  <si>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</si>
  <si>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</si>
  <si>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</si>
  <si>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</si>
  <si>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</si>
  <si>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</si>
  <si>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</si>
  <si>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</si>
  <si>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</si>
  <si>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</si>
  <si>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</si>
  <si>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</si>
  <si>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</si>
  <si>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</si>
  <si>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</si>
  <si>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</si>
  <si>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</si>
  <si>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</si>
  <si>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</si>
  <si>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</si>
  <si>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</si>
  <si>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</si>
  <si>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</si>
  <si>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</si>
  <si>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</si>
  <si>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</si>
  <si>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</si>
  <si>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</si>
  <si>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</si>
  <si>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</si>
  <si>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</si>
  <si>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</si>
  <si>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</si>
  <si>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</si>
  <si>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</si>
  <si>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</si>
  <si>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</si>
  <si>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</si>
  <si>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</si>
  <si>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</si>
  <si>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</si>
  <si>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</si>
  <si>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</si>
  <si>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</si>
  <si>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</si>
  <si>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</si>
  <si>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</si>
  <si>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</si>
  <si>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</si>
  <si>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</si>
  <si>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</si>
  <si>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</si>
  <si>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</si>
  <si>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</si>
  <si>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</si>
  <si>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</si>
  <si>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</si>
  <si>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</si>
  <si>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</si>
  <si>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</si>
  <si>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</si>
  <si>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</si>
  <si>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</si>
  <si>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</si>
  <si>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</si>
  <si>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</si>
  <si>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</si>
  <si>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</si>
  <si>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</si>
  <si>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</si>
  <si>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</si>
  <si>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</si>
  <si>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</si>
  <si>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</si>
  <si>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</si>
  <si>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</si>
  <si>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</si>
  <si>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</si>
  <si>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</si>
  <si>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</si>
  <si>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</si>
  <si>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</si>
  <si>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</si>
  <si>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</si>
  <si>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</si>
  <si>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</si>
  <si>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</si>
  <si>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</si>
  <si>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</si>
  <si>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</si>
  <si>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</si>
  <si>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</si>
  <si>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</si>
  <si>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</si>
  <si>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</si>
  <si>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</si>
  <si>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</si>
  <si>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</si>
  <si>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</si>
  <si>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</si>
  <si>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</si>
  <si>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</si>
  <si>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</si>
  <si>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</si>
  <si>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</si>
  <si>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</si>
  <si>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</si>
  <si>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</si>
  <si>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</si>
  <si>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</si>
  <si>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</si>
  <si>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</si>
  <si>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</si>
  <si>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</si>
  <si>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</si>
  <si>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</si>
  <si>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</si>
  <si>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</si>
  <si>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</si>
  <si>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</si>
  <si>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</si>
  <si>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</si>
  <si>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</si>
  <si>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</si>
  <si>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</si>
  <si>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</si>
  <si>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</si>
  <si>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</si>
  <si>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</si>
  <si>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</si>
  <si>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</si>
  <si>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</si>
  <si>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</si>
  <si>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</si>
  <si>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</si>
  <si>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</si>
  <si>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</si>
  <si>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</si>
  <si>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</si>
  <si>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</si>
  <si>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</si>
  <si>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</si>
  <si>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</si>
  <si>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</si>
  <si>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</si>
  <si>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</si>
  <si>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</si>
  <si>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</si>
  <si>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</si>
  <si>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</si>
  <si>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</si>
  <si>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</si>
  <si>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</si>
  <si>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</si>
  <si>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</si>
  <si>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</si>
  <si>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</si>
  <si>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</si>
  <si>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</si>
  <si>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</si>
  <si>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</si>
  <si>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</si>
  <si>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</si>
  <si>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</si>
  <si>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</si>
  <si>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</si>
  <si>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</si>
  <si>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</si>
  <si>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</si>
  <si>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</si>
  <si>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</si>
  <si>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</si>
  <si>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</si>
  <si>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</si>
  <si>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</si>
  <si>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</si>
  <si>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</si>
  <si>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</si>
  <si>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</si>
  <si>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</si>
  <si>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</si>
  <si>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</si>
  <si>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</si>
  <si>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</si>
  <si>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</si>
  <si>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</si>
  <si>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</si>
  <si>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</si>
  <si>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</si>
  <si>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</si>
  <si>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</si>
  <si>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</si>
  <si>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</si>
  <si>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</si>
  <si>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</si>
  <si>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</si>
  <si>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</si>
  <si>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</si>
  <si>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</si>
  <si>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</si>
  <si>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</si>
  <si>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</si>
  <si>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</si>
  <si>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</si>
  <si>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</si>
  <si>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</si>
  <si>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</si>
  <si>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</si>
  <si>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</si>
  <si>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</si>
  <si>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</si>
  <si>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</si>
  <si>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</si>
  <si>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</si>
  <si>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</si>
  <si>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</si>
  <si>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</si>
  <si>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</si>
  <si>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</si>
  <si>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</si>
  <si>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</si>
  <si>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</si>
  <si>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</si>
  <si>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</si>
  <si>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</si>
  <si>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</si>
  <si>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</si>
  <si>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</si>
  <si>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</si>
  <si>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</si>
  <si>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</si>
  <si>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</si>
  <si>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</si>
  <si>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</si>
  <si>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</si>
  <si>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</si>
  <si>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</si>
  <si>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</si>
  <si>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</si>
  <si>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</si>
  <si>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</si>
  <si>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</si>
  <si>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</si>
  <si>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</si>
  <si>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</si>
  <si>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</si>
  <si>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</si>
  <si>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</si>
  <si>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</si>
  <si>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</si>
  <si>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</si>
  <si>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</si>
  <si>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</si>
  <si>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</si>
  <si>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</si>
  <si>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</si>
  <si>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</si>
  <si>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</si>
  <si>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</si>
  <si>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</si>
  <si>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</si>
  <si>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</si>
  <si>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</si>
  <si>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</si>
  <si>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</si>
  <si>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</si>
  <si>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</si>
  <si>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</si>
  <si>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</si>
  <si>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</si>
  <si>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</si>
  <si>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</si>
  <si>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</si>
  <si>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</si>
  <si>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</si>
  <si>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</si>
  <si>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</si>
  <si>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</si>
  <si>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</si>
  <si>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</si>
  <si>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</si>
  <si>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</si>
  <si>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</si>
  <si>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</si>
  <si>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</si>
  <si>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</si>
  <si>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</si>
  <si>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</si>
  <si>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</si>
  <si>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</si>
  <si>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</si>
  <si>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</si>
  <si>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</si>
  <si>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</si>
  <si>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</si>
  <si>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</si>
  <si>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</si>
  <si>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</si>
  <si>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</si>
  <si>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</si>
  <si>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</si>
  <si>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</si>
  <si>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</si>
  <si>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</si>
  <si>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</si>
  <si>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</si>
  <si>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</si>
  <si>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</si>
  <si>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</si>
  <si>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</si>
  <si>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</si>
  <si>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</si>
  <si>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</si>
  <si>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</si>
  <si>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</si>
  <si>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</si>
  <si>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</si>
  <si>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</si>
  <si>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</si>
  <si>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</si>
  <si>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</si>
  <si>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</si>
  <si>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</si>
  <si>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</si>
  <si>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</si>
  <si>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</si>
  <si>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</si>
  <si>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</si>
  <si>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</si>
  <si>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</si>
  <si>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</si>
  <si>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</si>
  <si>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</si>
  <si>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</si>
  <si>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</si>
  <si>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</si>
  <si>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</si>
  <si>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</si>
  <si>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</si>
  <si>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</si>
  <si>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</si>
  <si>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</si>
  <si>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</si>
  <si>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</si>
  <si>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</si>
  <si>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</si>
  <si>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</si>
  <si>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</si>
  <si>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</si>
  <si>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</si>
  <si>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</si>
  <si>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</si>
  <si>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</si>
  <si>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</si>
  <si>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</si>
  <si>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</si>
  <si>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</si>
  <si>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</si>
  <si>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</si>
  <si>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</si>
  <si>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</si>
  <si>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</si>
  <si>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</si>
  <si>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</si>
  <si>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</si>
  <si>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</si>
  <si>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</si>
  <si>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</si>
  <si>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</si>
  <si>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</si>
  <si>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</si>
  <si>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</si>
  <si>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</si>
  <si>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</si>
  <si>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</si>
  <si>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</si>
  <si>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</si>
  <si>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</si>
  <si>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</si>
  <si>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</si>
  <si>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</si>
  <si>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</si>
  <si>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</si>
  <si>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</si>
  <si>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</si>
  <si>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</si>
  <si>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</si>
  <si>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</si>
  <si>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</si>
  <si>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</si>
  <si>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</si>
  <si>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</si>
  <si>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</si>
  <si>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</si>
  <si>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</si>
  <si>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</si>
  <si>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</si>
  <si>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</si>
  <si>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</si>
  <si>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</si>
  <si>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</si>
  <si>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</si>
  <si>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</si>
  <si>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</si>
  <si>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</si>
  <si>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</si>
  <si>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</si>
  <si>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</si>
  <si>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</si>
  <si>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</si>
  <si>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</si>
  <si>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</si>
  <si>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</si>
  <si>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</si>
  <si>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</si>
  <si>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</si>
  <si>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</si>
  <si>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</si>
  <si>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</si>
  <si>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</si>
  <si>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</si>
  <si>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</si>
  <si>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</si>
  <si>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</si>
  <si>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</si>
  <si>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</si>
  <si>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</si>
  <si>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</si>
  <si>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</si>
  <si>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</si>
  <si>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</si>
  <si>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</si>
  <si>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</si>
  <si>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</si>
  <si>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</si>
  <si>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</si>
  <si>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</si>
  <si>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</si>
  <si>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</si>
  <si>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</si>
  <si>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</si>
  <si>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</si>
  <si>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</si>
  <si>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</si>
  <si>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</si>
  <si>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</si>
  <si>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</si>
  <si>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</si>
  <si>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</si>
  <si>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</si>
  <si>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</si>
  <si>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</si>
  <si>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</si>
  <si>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</si>
  <si>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</si>
  <si>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</si>
  <si>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</si>
  <si>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</si>
  <si>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</si>
  <si>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</si>
  <si>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</si>
  <si>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</si>
  <si>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</si>
  <si>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</si>
  <si>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</si>
  <si>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</si>
  <si>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</si>
  <si>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</si>
  <si>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</si>
  <si>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</si>
  <si>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</si>
  <si>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</si>
  <si>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</si>
  <si>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</si>
  <si>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</si>
  <si>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</si>
  <si>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</si>
  <si>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</si>
  <si>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</si>
  <si>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</si>
  <si>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</si>
  <si>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</si>
  <si>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</si>
  <si>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</si>
  <si>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</si>
  <si>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</si>
  <si>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</si>
  <si>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</si>
  <si>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</si>
  <si>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</si>
  <si>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</si>
  <si>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</si>
  <si>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</si>
  <si>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</si>
  <si>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</si>
  <si>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</si>
  <si>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</si>
  <si>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</si>
  <si>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</si>
  <si>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</si>
  <si>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</si>
  <si>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</si>
  <si>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</si>
  <si>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</si>
  <si>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</si>
  <si>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</si>
  <si>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</si>
  <si>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</si>
  <si>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</si>
  <si>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</si>
  <si>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</si>
  <si>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</si>
  <si>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</si>
  <si>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</si>
  <si>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</si>
  <si>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</si>
  <si>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</si>
  <si>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</si>
  <si>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</si>
  <si>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</si>
  <si>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</si>
  <si>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</si>
  <si>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</si>
  <si>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</si>
  <si>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</si>
  <si>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</si>
  <si>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</si>
  <si>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</si>
  <si>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</si>
  <si>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</si>
  <si>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</si>
  <si>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</si>
  <si>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</si>
  <si>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</si>
  <si>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</si>
  <si>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</si>
  <si>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</si>
  <si>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</si>
  <si>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</si>
  <si>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</si>
  <si>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</si>
  <si>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</si>
  <si>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</si>
  <si>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</si>
  <si>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</si>
  <si>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</si>
  <si>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</si>
  <si>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</si>
  <si>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</si>
  <si>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</si>
  <si>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</si>
  <si>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</si>
  <si>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</si>
  <si>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</si>
  <si>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</si>
  <si>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</si>
  <si>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</si>
  <si>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</si>
  <si>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</si>
  <si>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</si>
  <si>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</si>
  <si>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</si>
  <si>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</si>
  <si>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</si>
  <si>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</si>
  <si>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</si>
  <si>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</si>
  <si>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</si>
  <si>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</si>
  <si>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</si>
  <si>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</si>
  <si>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</si>
  <si>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</si>
  <si>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</si>
  <si>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</si>
  <si>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</si>
  <si>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</si>
  <si>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</si>
  <si>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</si>
  <si>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</si>
  <si>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</si>
  <si>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</si>
  <si>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</si>
  <si>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</si>
  <si>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</si>
  <si>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</si>
  <si>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</si>
  <si>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</si>
  <si>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</si>
  <si>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</si>
  <si>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</si>
  <si>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</si>
  <si>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</si>
  <si>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</si>
  <si>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</si>
  <si>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</si>
  <si>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</si>
  <si>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</si>
  <si>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</si>
  <si>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</si>
  <si>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</si>
  <si>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</si>
  <si>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</si>
  <si>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</si>
  <si>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</si>
  <si>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</si>
  <si>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</si>
  <si>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</si>
  <si>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</si>
  <si>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</si>
  <si>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</si>
  <si>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</si>
  <si>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</si>
  <si>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</si>
  <si>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</si>
  <si>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</si>
  <si>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</si>
  <si>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</si>
  <si>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</si>
  <si>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</si>
  <si>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</si>
  <si>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</si>
  <si>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</si>
  <si>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</si>
  <si>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</si>
  <si>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</si>
  <si>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</si>
  <si>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</si>
  <si>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</si>
  <si>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</si>
  <si>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</si>
  <si>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</si>
  <si>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</si>
  <si>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</si>
  <si>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</si>
  <si>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</si>
  <si>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</si>
  <si>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</si>
  <si>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</si>
  <si>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</si>
  <si>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</si>
  <si>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</si>
  <si>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</si>
  <si>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</si>
  <si>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</si>
  <si>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</si>
  <si>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</si>
  <si>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</si>
  <si>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</si>
  <si>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</si>
  <si>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</si>
  <si>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</si>
  <si>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</si>
  <si>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</si>
  <si>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</si>
  <si>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</si>
  <si>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</si>
  <si>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</si>
  <si>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</si>
  <si>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</si>
  <si>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</si>
  <si>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</si>
  <si>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</si>
  <si>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</si>
  <si>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</si>
  <si>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</si>
  <si>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</si>
  <si>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</si>
  <si>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</si>
  <si>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</si>
  <si>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</si>
  <si>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</si>
  <si>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</si>
  <si>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</si>
  <si>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</si>
  <si>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</si>
  <si>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</si>
  <si>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</si>
  <si>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</si>
  <si>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</si>
  <si>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</si>
  <si>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</si>
  <si>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</si>
  <si>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</si>
  <si>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</si>
  <si>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</si>
  <si>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</si>
  <si>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</si>
  <si>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</si>
  <si>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</si>
  <si>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</si>
  <si>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</si>
  <si>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</si>
  <si>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</si>
  <si>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</si>
  <si>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</si>
  <si>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</si>
  <si>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</si>
  <si>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</si>
  <si>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</si>
  <si>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</si>
  <si>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</si>
  <si>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</si>
  <si>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</si>
  <si>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</si>
  <si>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</si>
  <si>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</si>
  <si>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</si>
  <si>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</si>
  <si>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</si>
  <si>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</si>
  <si>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</si>
  <si>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</si>
  <si>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</si>
  <si>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</si>
  <si>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</si>
  <si>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</si>
  <si>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</si>
  <si>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</si>
  <si>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</si>
  <si>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</si>
  <si>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</si>
  <si>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</si>
  <si>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</si>
  <si>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</si>
  <si>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</si>
  <si>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</si>
  <si>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</si>
  <si>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</si>
  <si>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</si>
  <si>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</si>
  <si>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</si>
  <si>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</si>
  <si>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</si>
  <si>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</si>
  <si>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</si>
  <si>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</si>
  <si>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</si>
  <si>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</si>
  <si>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</si>
  <si>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</si>
  <si>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</si>
  <si>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</si>
  <si>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</si>
  <si>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</si>
  <si>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</si>
  <si>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</si>
  <si>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</si>
  <si>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</si>
  <si>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</si>
  <si>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</si>
  <si>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</si>
  <si>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</si>
  <si>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</si>
  <si>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</si>
  <si>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</si>
  <si>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</si>
  <si>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</si>
  <si>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</si>
  <si>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</si>
  <si>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</si>
  <si>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</si>
  <si>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</si>
  <si>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</si>
  <si>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</si>
  <si>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</si>
  <si>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</si>
  <si>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</si>
  <si>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</si>
  <si>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</si>
  <si>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</si>
  <si>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</si>
  <si>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</si>
  <si>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</si>
  <si>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</si>
  <si>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</si>
  <si>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</si>
  <si>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</si>
  <si>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</si>
  <si>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</si>
  <si>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</si>
  <si>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</si>
  <si>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</si>
  <si>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</si>
  <si>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</si>
  <si>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</si>
  <si>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</si>
  <si>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</si>
  <si>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</si>
  <si>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</si>
  <si>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</si>
  <si>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</si>
  <si>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</si>
  <si>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</si>
  <si>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</si>
  <si>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</si>
  <si>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</si>
  <si>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</si>
  <si>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</si>
  <si>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</si>
  <si>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</si>
  <si>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</si>
  <si>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</si>
  <si>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</si>
  <si>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</si>
  <si>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</si>
  <si>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</si>
  <si>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</si>
  <si>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</si>
  <si>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</si>
  <si>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</si>
  <si>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</si>
  <si>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</si>
  <si>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</si>
  <si>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</si>
  <si>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</si>
  <si>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</si>
  <si>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</si>
  <si>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</si>
  <si>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</si>
  <si>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</si>
  <si>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</si>
  <si>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</si>
  <si>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</si>
  <si>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</si>
  <si>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</si>
  <si>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</si>
  <si>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</si>
  <si>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</si>
  <si>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</si>
  <si>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</si>
  <si>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</si>
  <si>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</si>
  <si>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</si>
  <si>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</si>
  <si>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</si>
  <si>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</si>
  <si>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</si>
  <si>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</si>
  <si>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</si>
  <si>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</si>
  <si>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</si>
  <si>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</si>
  <si>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</si>
  <si>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</si>
  <si>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</si>
  <si>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</si>
  <si>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</si>
  <si>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</si>
  <si>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</si>
  <si>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</si>
  <si>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</si>
  <si>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</si>
  <si>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</si>
  <si>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</si>
  <si>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</si>
  <si>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</si>
  <si>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</si>
  <si>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</si>
  <si>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</si>
  <si>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</si>
  <si>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</si>
  <si>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</si>
  <si>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</si>
  <si>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</si>
  <si>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</si>
  <si>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</si>
  <si>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</si>
  <si>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</si>
  <si>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</si>
  <si>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</si>
  <si>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</si>
  <si>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</si>
  <si>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</si>
  <si>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</si>
  <si>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</si>
  <si>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</si>
  <si>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</si>
  <si>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</si>
  <si>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</si>
  <si>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</si>
  <si>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</si>
  <si>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</si>
  <si>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</si>
  <si>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</si>
  <si>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</si>
  <si>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</si>
  <si>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</si>
  <si>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</si>
  <si>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</si>
  <si>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</si>
  <si>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</si>
  <si>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</si>
  <si>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</si>
  <si>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</si>
  <si>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</si>
  <si>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</si>
  <si>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</si>
  <si>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</si>
  <si>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</si>
  <si>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</si>
  <si>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</si>
  <si>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</si>
  <si>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</si>
  <si>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</si>
  <si>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</si>
  <si>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</si>
  <si>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</si>
  <si>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</si>
  <si>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</si>
  <si>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</si>
  <si>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</si>
  <si>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</si>
  <si>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</si>
  <si>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</si>
  <si>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</si>
  <si>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</si>
  <si>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</si>
  <si>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</si>
  <si>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</si>
  <si>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</si>
  <si>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</si>
  <si>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</si>
  <si>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</si>
  <si>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</si>
  <si>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</si>
  <si>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</si>
  <si>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</si>
  <si>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</si>
  <si>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</si>
  <si>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</si>
  <si>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</si>
  <si>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</si>
  <si>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</si>
  <si>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</si>
  <si>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</si>
  <si>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</si>
  <si>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</si>
  <si>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</si>
  <si>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</si>
  <si>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</si>
  <si>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</si>
  <si>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</si>
  <si>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</si>
  <si>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</si>
  <si>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</si>
  <si>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</si>
  <si>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</si>
  <si>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</si>
  <si>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</si>
  <si>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</si>
  <si>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</si>
  <si>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</si>
  <si>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</si>
  <si>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</si>
  <si>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</si>
  <si>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</si>
  <si>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</si>
  <si>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</si>
  <si>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</si>
  <si>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</si>
  <si>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</si>
  <si>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</si>
  <si>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</si>
  <si>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</si>
  <si>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</si>
  <si>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</si>
  <si>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</si>
  <si>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</si>
  <si>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</si>
  <si>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</si>
  <si>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</si>
  <si>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</si>
  <si>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</si>
  <si>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</si>
  <si>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</si>
  <si>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</si>
  <si>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</si>
  <si>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</si>
  <si>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</si>
  <si>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</si>
  <si>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</si>
  <si>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</si>
  <si>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</si>
  <si>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</si>
  <si>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</si>
  <si>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</si>
  <si>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</si>
  <si>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</si>
  <si>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</si>
  <si>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</si>
  <si>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</si>
  <si>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</si>
  <si>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</si>
  <si>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</si>
  <si>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</si>
  <si>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</si>
  <si>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</si>
  <si>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</si>
  <si>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</si>
  <si>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</si>
  <si>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</si>
  <si>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</si>
  <si>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</si>
  <si>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</si>
  <si>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</si>
  <si>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</si>
  <si>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</si>
  <si>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</si>
  <si>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</si>
  <si>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</si>
  <si>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</si>
  <si>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</si>
  <si>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</si>
  <si>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</si>
  <si>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</si>
  <si>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</si>
  <si>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</si>
  <si>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</si>
  <si>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</si>
  <si>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</si>
  <si>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</si>
  <si>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</si>
  <si>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</si>
  <si>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</si>
  <si>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</si>
  <si>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</si>
  <si>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</si>
  <si>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</si>
  <si>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</si>
  <si>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</si>
  <si>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</si>
  <si>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</si>
  <si>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</si>
  <si>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</si>
  <si>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</si>
  <si>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</si>
  <si>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</si>
  <si>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</si>
  <si>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</si>
  <si>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</si>
  <si>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</si>
  <si>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</si>
  <si>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</si>
  <si>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</si>
  <si>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</si>
  <si>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</si>
  <si>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</si>
  <si>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</si>
  <si>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</si>
  <si>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</si>
  <si>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</si>
  <si>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</si>
  <si>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</si>
  <si>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</si>
  <si>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</si>
  <si>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</si>
  <si>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</si>
  <si>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</si>
  <si>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</si>
  <si>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</si>
  <si>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</si>
  <si>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</si>
  <si>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</si>
  <si>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</si>
  <si>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</si>
  <si>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</si>
  <si>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</si>
  <si>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</si>
  <si>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</si>
  <si>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</si>
  <si>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</si>
  <si>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</si>
  <si>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</si>
  <si>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</si>
  <si>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</si>
  <si>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</si>
  <si>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</si>
  <si>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</si>
  <si>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</si>
  <si>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</si>
  <si>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</si>
  <si>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</si>
  <si>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</si>
  <si>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</si>
  <si>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</si>
  <si>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</si>
  <si>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</si>
  <si>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</si>
  <si>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</si>
  <si>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</si>
  <si>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</si>
  <si>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</si>
  <si>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</si>
  <si>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</si>
  <si>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</si>
  <si>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</si>
  <si>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</si>
  <si>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</si>
  <si>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</si>
  <si>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</si>
  <si>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</si>
  <si>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</si>
  <si>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</si>
  <si>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</si>
  <si>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</si>
  <si>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</si>
  <si>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</si>
  <si>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</si>
  <si>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</si>
  <si>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</si>
  <si>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</si>
  <si>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</si>
  <si>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</si>
  <si>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</si>
  <si>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</si>
  <si>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</si>
  <si>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</si>
  <si>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</si>
  <si>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</si>
  <si>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</si>
  <si>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</si>
  <si>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</si>
  <si>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</si>
  <si>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</si>
  <si>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</si>
  <si>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</si>
  <si>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</si>
  <si>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</si>
  <si>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</si>
  <si>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</si>
  <si>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</si>
  <si>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</si>
  <si>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</si>
  <si>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</si>
  <si>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</si>
  <si>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</si>
  <si>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</si>
  <si>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</si>
  <si>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</si>
  <si>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</si>
  <si>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</si>
  <si>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</si>
  <si>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</si>
  <si>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</si>
  <si>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</si>
  <si>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</si>
  <si>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</si>
  <si>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</si>
  <si>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</si>
  <si>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</si>
  <si>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</si>
  <si>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</si>
  <si>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</si>
  <si>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</si>
  <si>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</si>
  <si>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</si>
  <si>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</si>
  <si>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</si>
  <si>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</si>
  <si>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</si>
  <si>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</si>
  <si>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</si>
  <si>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</si>
  <si>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</si>
  <si>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</si>
  <si>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</si>
  <si>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</si>
  <si>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</si>
  <si>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</si>
  <si>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</si>
  <si>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</si>
  <si>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</si>
  <si>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</si>
  <si>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</si>
  <si>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</si>
  <si>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</si>
  <si>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</si>
  <si>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</si>
  <si>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</si>
  <si>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</si>
  <si>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</si>
  <si>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</si>
  <si>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</si>
  <si>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</si>
  <si>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</si>
  <si>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</si>
  <si>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</si>
  <si>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</si>
  <si>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</si>
  <si>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</si>
  <si>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</si>
  <si>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</si>
  <si>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</si>
  <si>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</si>
  <si>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</si>
  <si>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</si>
  <si>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</si>
  <si>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</si>
  <si>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</si>
  <si>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</si>
  <si>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</si>
  <si>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</si>
  <si>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</si>
  <si>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</si>
  <si>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</si>
  <si>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</si>
  <si>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</si>
  <si>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</si>
  <si>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</si>
  <si>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</si>
  <si>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</si>
  <si>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</si>
  <si>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</si>
  <si>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</si>
  <si>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</si>
  <si>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</si>
  <si>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</si>
  <si>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</si>
  <si>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</si>
  <si>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</si>
  <si>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</si>
  <si>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</si>
  <si>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</si>
  <si>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</si>
  <si>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</si>
  <si>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</si>
  <si>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</si>
  <si>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</si>
  <si>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</si>
  <si>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</si>
  <si>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</si>
  <si>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</si>
  <si>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</si>
  <si>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</si>
  <si>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</si>
  <si>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</si>
  <si>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</si>
  <si>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</si>
  <si>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</si>
  <si>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</si>
  <si>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</si>
  <si>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</si>
  <si>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</si>
  <si>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</si>
  <si>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</si>
  <si>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</si>
  <si>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</si>
  <si>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</si>
  <si>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</si>
  <si>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</si>
  <si>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</si>
  <si>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</si>
  <si>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</si>
  <si>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</si>
  <si>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</si>
  <si>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</si>
  <si>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</si>
  <si>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</si>
  <si>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</si>
  <si>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</si>
  <si>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</si>
  <si>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</si>
  <si>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</si>
  <si>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</si>
  <si>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</si>
  <si>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</si>
  <si>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</si>
  <si>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</si>
  <si>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</si>
  <si>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</si>
  <si>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</si>
  <si>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</si>
  <si>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</si>
  <si>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</si>
  <si>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</si>
  <si>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</si>
  <si>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</si>
  <si>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</si>
  <si>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</si>
  <si>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</si>
  <si>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</si>
  <si>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</si>
  <si>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</si>
  <si>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</si>
  <si>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</si>
  <si>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</si>
  <si>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</si>
  <si>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</si>
  <si>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</si>
  <si>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</si>
  <si>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</si>
  <si>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</si>
  <si>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</si>
  <si>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</si>
  <si>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</si>
  <si>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</si>
  <si>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</si>
  <si>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</si>
  <si>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</si>
  <si>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</si>
  <si>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</si>
  <si>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</si>
  <si>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</si>
  <si>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</si>
  <si>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</si>
  <si>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</si>
  <si>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</si>
  <si>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</si>
  <si>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</si>
  <si>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</si>
  <si>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</si>
  <si>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</si>
  <si>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</si>
  <si>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</si>
  <si>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</si>
  <si>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</si>
  <si>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</si>
  <si>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</si>
  <si>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</si>
  <si>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</si>
  <si>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</si>
  <si>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</si>
  <si>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</si>
  <si>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</si>
  <si>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</si>
  <si>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</si>
  <si>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</si>
  <si>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</si>
  <si>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</si>
  <si>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</si>
  <si>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</si>
  <si>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</si>
  <si>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</si>
  <si>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</si>
  <si>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</si>
  <si>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</si>
  <si>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</si>
  <si>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</si>
  <si>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</si>
  <si>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</si>
  <si>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</si>
  <si>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</si>
  <si>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</si>
  <si>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</si>
  <si>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</si>
  <si>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</si>
  <si>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</si>
  <si>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</si>
  <si>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</si>
  <si>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</si>
  <si>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</si>
  <si>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</si>
  <si>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</si>
  <si>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</si>
  <si>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</si>
  <si>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</si>
  <si>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</si>
  <si>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</si>
  <si>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</si>
  <si>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</si>
  <si>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</si>
  <si>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</si>
  <si>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</si>
  <si>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</si>
  <si>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</si>
  <si>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</si>
  <si>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</si>
  <si>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</si>
  <si>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</si>
  <si>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</si>
  <si>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</si>
  <si>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</si>
  <si>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</si>
  <si>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</si>
  <si>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</si>
  <si>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</si>
  <si>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</si>
  <si>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</si>
  <si>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</si>
  <si>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</si>
  <si>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</si>
  <si>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</si>
  <si>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</si>
  <si>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</si>
  <si>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</si>
  <si>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</si>
  <si>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</si>
  <si>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</si>
  <si>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</si>
  <si>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</si>
  <si>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</si>
  <si>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</si>
  <si>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</si>
  <si>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</si>
  <si>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</si>
  <si>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</si>
  <si>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</si>
  <si>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</si>
  <si>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</si>
  <si>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</si>
  <si>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</si>
  <si>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</si>
  <si>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</si>
  <si>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</si>
  <si>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</si>
  <si>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</si>
  <si>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</si>
  <si>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</si>
  <si>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</si>
  <si>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</si>
  <si>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</si>
  <si>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</si>
  <si>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</si>
  <si>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</si>
  <si>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</si>
  <si>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</si>
  <si>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</si>
  <si>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</si>
  <si>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</si>
  <si>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</si>
  <si>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</si>
  <si>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</si>
  <si>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</si>
  <si>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</si>
  <si>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</si>
  <si>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</si>
  <si>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</si>
  <si>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</si>
  <si>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</si>
  <si>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</si>
  <si>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</si>
  <si>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</si>
  <si>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</si>
  <si>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</si>
  <si>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</si>
  <si>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</si>
  <si>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</si>
  <si>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</si>
  <si>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</si>
  <si>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</si>
  <si>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</si>
  <si>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</si>
  <si>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</si>
  <si>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</si>
  <si>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</si>
  <si>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</si>
  <si>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</si>
  <si>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</si>
  <si>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</si>
  <si>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</si>
  <si>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</si>
  <si>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</si>
  <si>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</si>
  <si>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</si>
  <si>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</si>
  <si>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</si>
  <si>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</si>
  <si>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</si>
  <si>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</si>
  <si>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</si>
  <si>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</si>
  <si>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</si>
  <si>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</si>
  <si>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</si>
  <si>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</si>
  <si>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</si>
  <si>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</si>
  <si>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</si>
  <si>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</si>
  <si>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</si>
  <si>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</si>
  <si>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</si>
  <si>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</si>
  <si>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</si>
  <si>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</si>
  <si>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</si>
  <si>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</si>
  <si>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</si>
  <si>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</si>
  <si>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</si>
  <si>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</si>
  <si>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</si>
  <si>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</si>
  <si>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</si>
  <si>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</si>
  <si>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</si>
  <si>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</si>
  <si>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</si>
  <si>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</si>
  <si>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</si>
  <si>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</si>
  <si>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</si>
  <si>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</si>
  <si>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</si>
  <si>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</si>
  <si>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</si>
  <si>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</si>
  <si>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</si>
  <si>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</si>
  <si>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</si>
  <si>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</si>
  <si>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</si>
  <si>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</si>
  <si>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</si>
  <si>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</si>
  <si>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</si>
  <si>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</si>
  <si>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</si>
  <si>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</si>
  <si>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</si>
  <si>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</si>
  <si>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</si>
  <si>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</si>
  <si>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</si>
  <si>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</si>
  <si>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</si>
  <si>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</si>
  <si>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</si>
  <si>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</si>
  <si>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</si>
  <si>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</si>
  <si>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</si>
  <si>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</si>
  <si>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</si>
  <si>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</si>
  <si>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</si>
  <si>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</si>
  <si>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</si>
  <si>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</si>
  <si>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</si>
  <si>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</si>
  <si>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</si>
  <si>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</si>
  <si>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</si>
  <si>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</si>
  <si>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</si>
  <si>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</si>
  <si>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</si>
  <si>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</si>
  <si>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</si>
  <si>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</si>
  <si>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</si>
  <si>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</si>
  <si>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</si>
  <si>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</si>
  <si>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</si>
  <si>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</si>
  <si>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</si>
  <si>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</si>
  <si>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</si>
  <si>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</si>
  <si>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</si>
  <si>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</si>
  <si>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</si>
  <si>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</si>
  <si>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</si>
  <si>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</si>
  <si>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</si>
  <si>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</si>
  <si>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</si>
  <si>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</si>
  <si>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</si>
  <si>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</si>
  <si>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</si>
  <si>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</si>
  <si>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</si>
  <si>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</si>
  <si>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</si>
  <si>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</si>
  <si>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</si>
  <si>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</si>
  <si>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</si>
  <si>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</si>
  <si>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</si>
  <si>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</si>
  <si>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</si>
  <si>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</si>
  <si>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</si>
  <si>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</si>
  <si>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</si>
  <si>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</si>
  <si>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</si>
  <si>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</si>
  <si>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</si>
  <si>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</si>
  <si>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</si>
  <si>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</si>
  <si>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</si>
  <si>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</si>
  <si>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</si>
  <si>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</si>
  <si>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</si>
  <si>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</si>
  <si>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</si>
  <si>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</si>
  <si>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</si>
  <si>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</si>
  <si>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</si>
  <si>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</si>
  <si>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</si>
  <si>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</si>
  <si>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</si>
  <si>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</si>
  <si>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</si>
  <si>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</si>
  <si>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</si>
  <si>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</si>
  <si>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</si>
  <si>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</si>
  <si>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</si>
  <si>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</si>
  <si>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</si>
  <si>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</si>
  <si>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</si>
  <si>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</si>
  <si>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</si>
  <si>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</si>
  <si>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</si>
  <si>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</si>
  <si>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</si>
  <si>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</si>
  <si>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</si>
  <si>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</si>
  <si>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</si>
  <si>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</si>
  <si>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</si>
  <si>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</si>
  <si>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</si>
  <si>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</si>
  <si>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</si>
  <si>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</si>
  <si>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</si>
  <si>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</si>
  <si>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</si>
  <si>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</si>
  <si>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</si>
  <si>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</si>
  <si>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</si>
  <si>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</si>
  <si>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</si>
  <si>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</si>
  <si>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</si>
  <si>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</si>
  <si>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</si>
  <si>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</si>
  <si>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</si>
  <si>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</si>
  <si>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</si>
  <si>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</si>
  <si>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</si>
  <si>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</si>
  <si>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</si>
  <si>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</si>
  <si>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</si>
  <si>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</si>
  <si>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</si>
  <si>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</si>
  <si>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</si>
  <si>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</si>
  <si>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</si>
  <si>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</si>
  <si>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</si>
  <si>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</si>
  <si>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</si>
  <si>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</si>
  <si>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</si>
  <si>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</si>
  <si>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</si>
  <si>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</si>
  <si>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</si>
  <si>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</si>
  <si>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</si>
  <si>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</si>
  <si>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</si>
  <si>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</si>
  <si>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</si>
  <si>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</si>
  <si>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</si>
  <si>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</si>
  <si>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</si>
  <si>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</si>
  <si>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</si>
  <si>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</si>
  <si>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</si>
  <si>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</si>
  <si>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</si>
  <si>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</si>
  <si>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</si>
  <si>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</si>
  <si>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</si>
  <si>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</si>
  <si>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</si>
  <si>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</si>
  <si>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</si>
  <si>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</si>
  <si>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</si>
  <si>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</si>
  <si>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</si>
  <si>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</si>
  <si>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</si>
  <si>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</si>
  <si>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</si>
  <si>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</si>
  <si>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</si>
  <si>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</si>
  <si>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</si>
  <si>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</si>
  <si>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</si>
  <si>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</si>
  <si>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</si>
  <si>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</si>
  <si>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</si>
  <si>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</si>
  <si>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</si>
  <si>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</si>
  <si>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</si>
  <si>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</si>
  <si>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</si>
  <si>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</si>
  <si>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</si>
  <si>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</si>
  <si>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</si>
  <si>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</si>
  <si>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</si>
  <si>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</si>
  <si>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</si>
  <si>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</si>
  <si>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</si>
  <si>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</si>
  <si>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</si>
  <si>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</si>
  <si>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</si>
  <si>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</si>
  <si>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</si>
  <si>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</si>
  <si>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</si>
  <si>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</si>
  <si>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</si>
  <si>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</si>
  <si>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</si>
  <si>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</si>
  <si>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</si>
  <si>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</si>
  <si>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</si>
  <si>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</si>
  <si>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</si>
  <si>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</si>
  <si>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</si>
  <si>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</si>
  <si>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</si>
  <si>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</si>
  <si>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</si>
  <si>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</si>
  <si>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</si>
  <si>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</si>
  <si>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</si>
  <si>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</si>
  <si>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</si>
  <si>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</si>
  <si>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</si>
  <si>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</si>
  <si>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</si>
  <si>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</si>
  <si>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</si>
  <si>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</si>
  <si>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</si>
  <si>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</si>
  <si>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</si>
  <si>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</si>
  <si>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</si>
  <si>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</si>
  <si>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</si>
  <si>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</si>
  <si>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</si>
  <si>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</si>
  <si>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</si>
  <si>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</si>
  <si>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</si>
  <si>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</si>
  <si>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</si>
  <si>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</si>
  <si>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</si>
  <si>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</si>
  <si>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</si>
  <si>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</si>
  <si>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</si>
  <si>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</si>
  <si>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</si>
  <si>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</si>
  <si>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</si>
  <si>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</si>
  <si>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</si>
  <si>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</si>
  <si>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</si>
  <si>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</si>
  <si>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</si>
  <si>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</si>
  <si>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</si>
  <si>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</si>
  <si>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</si>
  <si>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</si>
  <si>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</si>
  <si>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</si>
  <si>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</si>
  <si>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</si>
  <si>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</si>
  <si>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</si>
  <si>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</si>
  <si>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</si>
  <si>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</si>
  <si>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</si>
  <si>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</si>
  <si>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</si>
  <si>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</si>
  <si>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</si>
  <si>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</si>
  <si>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</si>
  <si>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</si>
  <si>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</si>
  <si>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</si>
  <si>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</si>
  <si>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</si>
  <si>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</si>
  <si>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</si>
  <si>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</si>
  <si>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</si>
  <si>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</si>
  <si>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</si>
  <si>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</si>
  <si>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</si>
  <si>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</si>
  <si>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</si>
  <si>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</si>
  <si>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</si>
  <si>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</si>
  <si>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</si>
  <si>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</si>
  <si>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</si>
  <si>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</si>
  <si>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</si>
  <si>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</si>
  <si>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</si>
  <si>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</si>
  <si>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</si>
  <si>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</si>
  <si>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</si>
  <si>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</si>
  <si>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</si>
  <si>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</si>
  <si>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</si>
  <si>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</si>
  <si>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</si>
  <si>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</si>
  <si>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</si>
  <si>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</si>
  <si>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</si>
  <si>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</si>
  <si>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</si>
  <si>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</si>
  <si>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</si>
  <si>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</si>
  <si>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</si>
  <si>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</si>
  <si>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</si>
  <si>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</si>
  <si>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</si>
  <si>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</si>
  <si>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</si>
  <si>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</si>
  <si>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</si>
  <si>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</si>
  <si>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</si>
  <si>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</si>
  <si>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</si>
  <si>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</si>
  <si>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</si>
  <si>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</si>
  <si>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</si>
  <si>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</si>
  <si>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</si>
  <si>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</si>
  <si>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</si>
  <si>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</si>
  <si>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</si>
  <si>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</si>
  <si>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</si>
  <si>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</si>
  <si>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</si>
  <si>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</si>
  <si>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</si>
  <si>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</si>
  <si>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</si>
  <si>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</si>
  <si>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</si>
  <si>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</si>
  <si>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</si>
  <si>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</si>
  <si>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</si>
  <si>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</si>
  <si>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</si>
  <si>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</si>
  <si>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</si>
  <si>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</si>
  <si>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</si>
  <si>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</si>
  <si>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</si>
  <si>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</si>
  <si>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</si>
  <si>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</si>
  <si>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</si>
  <si>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</si>
  <si>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</si>
  <si>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</si>
  <si>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</si>
  <si>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</si>
  <si>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</si>
  <si>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</si>
  <si>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</si>
  <si>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</si>
  <si>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</si>
  <si>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</si>
  <si>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</si>
  <si>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</si>
  <si>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</si>
  <si>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</si>
  <si>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</si>
  <si>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</si>
  <si>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</si>
  <si>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</si>
  <si>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</si>
  <si>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</si>
  <si>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</si>
  <si>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</si>
  <si>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</si>
  <si>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</si>
  <si>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</si>
  <si>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</si>
  <si>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</si>
  <si>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</si>
  <si>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</si>
  <si>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</si>
  <si>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</si>
  <si>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</si>
  <si>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</si>
  <si>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</si>
  <si>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</si>
  <si>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</si>
  <si>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</si>
  <si>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</si>
  <si>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</si>
  <si>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</si>
  <si>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</si>
  <si>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</si>
  <si>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</si>
  <si>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</si>
  <si>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</si>
  <si>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</si>
  <si>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</si>
  <si>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</si>
  <si>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</si>
  <si>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</si>
  <si>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</si>
  <si>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</si>
  <si>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</si>
  <si>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</si>
  <si>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</si>
  <si>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</si>
  <si>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</si>
  <si>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</si>
  <si>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</si>
  <si>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</si>
  <si>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</si>
  <si>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</si>
  <si>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</si>
  <si>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</si>
  <si>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</si>
  <si>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</si>
  <si>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</si>
  <si>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</si>
  <si>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</si>
  <si>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</si>
  <si>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</si>
  <si>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</si>
  <si>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</si>
  <si>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</si>
  <si>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</si>
  <si>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</si>
  <si>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</si>
  <si>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</si>
  <si>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</si>
  <si>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</si>
  <si>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</si>
  <si>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</si>
  <si>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</si>
  <si>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</si>
  <si>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</si>
  <si>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</si>
  <si>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</si>
  <si>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</si>
  <si>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</si>
  <si>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</si>
  <si>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</si>
  <si>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</si>
  <si>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</si>
  <si>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</si>
  <si>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</si>
  <si>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</si>
  <si>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</si>
  <si>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</si>
  <si>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</si>
  <si>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</si>
  <si>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</si>
  <si>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</si>
  <si>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</si>
  <si>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</si>
  <si>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</si>
  <si>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</si>
  <si>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</si>
  <si>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</si>
  <si>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</si>
  <si>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</si>
  <si>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</si>
  <si>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</si>
  <si>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</si>
  <si>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</si>
  <si>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</si>
  <si>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</si>
  <si>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</si>
  <si>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</si>
  <si>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</si>
  <si>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</si>
  <si>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</si>
  <si>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</si>
  <si>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</si>
  <si>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</si>
  <si>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</si>
  <si>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</si>
  <si>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</si>
  <si>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</si>
  <si>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</si>
  <si>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</si>
  <si>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</si>
  <si>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</si>
  <si>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</si>
  <si>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</si>
  <si>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</si>
  <si>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</si>
  <si>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</si>
  <si>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</si>
  <si>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</si>
  <si>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</si>
  <si>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</si>
  <si>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</si>
  <si>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</si>
  <si>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</si>
  <si>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</si>
  <si>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</si>
  <si>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</si>
  <si>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</si>
  <si>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</si>
  <si>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</si>
  <si>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</si>
  <si>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</si>
  <si>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</si>
  <si>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</si>
  <si>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</si>
  <si>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</si>
  <si>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</si>
  <si>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</si>
  <si>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</si>
  <si>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</si>
  <si>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</si>
  <si>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</si>
  <si>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</si>
  <si>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</si>
  <si>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</si>
  <si>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</si>
  <si>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</si>
  <si>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</si>
  <si>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</si>
  <si>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</si>
  <si>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</si>
  <si>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</si>
  <si>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</si>
  <si>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</si>
  <si>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</si>
  <si>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</si>
  <si>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</si>
  <si>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</si>
  <si>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</si>
  <si>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</si>
  <si>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</si>
  <si>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</si>
  <si>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</si>
  <si>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</si>
  <si>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</si>
  <si>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</si>
  <si>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</si>
  <si>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</si>
  <si>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</si>
  <si>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</si>
  <si>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</si>
  <si>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</si>
  <si>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</si>
  <si>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</si>
  <si>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</si>
  <si>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</si>
  <si>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</si>
  <si>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</si>
  <si>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</si>
  <si>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</si>
  <si>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</si>
  <si>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</si>
  <si>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</si>
  <si>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</si>
  <si>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</si>
  <si>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</si>
  <si>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</si>
  <si>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</si>
  <si>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</si>
  <si>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</si>
  <si>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</si>
  <si>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</si>
  <si>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</si>
  <si>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</si>
  <si>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</si>
  <si>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</si>
  <si>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</si>
  <si>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</si>
  <si>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</si>
  <si>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</si>
  <si>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</si>
  <si>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A realizar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</si>
  <si>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</si>
  <si>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</si>
  <si>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</si>
  <si>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</si>
  <si>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</si>
  <si>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</si>
  <si>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</si>
  <si>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</si>
  <si>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</si>
  <si>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</si>
  <si>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</si>
  <si>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</si>
  <si>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</si>
  <si>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</si>
  <si>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</si>
  <si>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</si>
  <si>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</si>
  <si>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</si>
  <si>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</si>
  <si>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</si>
  <si>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</si>
  <si>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</si>
  <si>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</si>
  <si>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</si>
  <si>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</si>
  <si>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</si>
  <si>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</si>
  <si>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</si>
  <si>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</si>
  <si>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</si>
  <si>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</si>
  <si>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</si>
  <si>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</si>
  <si>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</si>
  <si>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</si>
  <si>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</si>
  <si>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</si>
  <si>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</si>
  <si>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</si>
  <si>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</si>
  <si>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</si>
  <si>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</si>
  <si>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</si>
  <si>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</si>
  <si>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</si>
  <si>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</si>
  <si>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</si>
  <si>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</si>
  <si>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</si>
  <si>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</si>
  <si>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</si>
  <si>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</si>
  <si>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</si>
  <si>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</si>
  <si>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</si>
  <si>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</si>
  <si>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</si>
  <si>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</si>
  <si>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</si>
  <si>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</si>
  <si>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</si>
  <si>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</si>
  <si>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</si>
  <si>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</si>
  <si>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</si>
  <si>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</si>
  <si>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</si>
  <si>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</si>
  <si>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</si>
  <si>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</si>
  <si>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</si>
  <si>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</si>
  <si>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</si>
  <si>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</si>
  <si>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</si>
  <si>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</si>
  <si>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</si>
  <si>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</si>
  <si>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</si>
  <si>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</si>
  <si>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</si>
  <si>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</si>
  <si>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</si>
  <si>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</si>
  <si>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</si>
  <si>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</si>
  <si>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</si>
  <si>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</si>
  <si>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</si>
  <si>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</si>
  <si>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</si>
  <si>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</si>
  <si>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</si>
  <si>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</si>
  <si>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</si>
  <si>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</si>
  <si>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</si>
  <si>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</si>
  <si>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</si>
  <si>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</si>
  <si>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</si>
  <si>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</si>
  <si>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</si>
  <si>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</si>
  <si>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</si>
  <si>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</si>
  <si>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</si>
  <si>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</si>
  <si>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</si>
  <si>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</si>
  <si>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</si>
  <si>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</si>
  <si>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</si>
  <si>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</si>
  <si>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</si>
  <si>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</si>
  <si>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</si>
  <si>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</si>
  <si>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</si>
  <si>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</si>
  <si>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</si>
  <si>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</si>
  <si>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</si>
  <si>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</si>
  <si>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</si>
  <si>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</si>
  <si>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</si>
  <si>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</si>
  <si>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</si>
  <si>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</si>
  <si>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</si>
  <si>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</si>
  <si>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</si>
  <si>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</si>
  <si>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</si>
  <si>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</si>
  <si>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</si>
  <si>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</si>
  <si>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</si>
  <si>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</si>
  <si>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</si>
  <si>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</si>
  <si>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</si>
  <si>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</si>
  <si>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</si>
  <si>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</si>
  <si>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</si>
  <si>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</si>
  <si>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</si>
  <si>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</si>
  <si>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</si>
  <si>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</si>
  <si>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</si>
  <si>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</si>
  <si>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</si>
  <si>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</si>
  <si>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</si>
  <si>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</si>
  <si>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</si>
  <si>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</si>
  <si>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</si>
  <si>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</si>
  <si>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</si>
  <si>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</si>
  <si>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</si>
  <si>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</si>
  <si>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</si>
  <si>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</si>
  <si>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</si>
  <si>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</si>
  <si>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</si>
  <si>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</si>
  <si>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</si>
  <si>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</si>
  <si>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</si>
  <si>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</si>
  <si>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</si>
  <si>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</si>
  <si>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</si>
  <si>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</si>
  <si>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</si>
  <si>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</si>
  <si>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</si>
  <si>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</si>
  <si>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</si>
  <si>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</si>
  <si>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</si>
  <si>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</si>
  <si>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</si>
  <si>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</si>
  <si>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</si>
  <si>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</si>
  <si>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</si>
  <si>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</si>
  <si>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</si>
  <si>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</si>
  <si>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</si>
  <si>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</si>
  <si>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</si>
  <si>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</si>
  <si>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</si>
  <si>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</si>
  <si>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</si>
  <si>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</si>
  <si>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</si>
  <si>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</si>
  <si>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</si>
  <si>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</si>
  <si>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</si>
  <si>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</si>
  <si>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</si>
  <si>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</si>
  <si>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</si>
  <si>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</si>
  <si>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</si>
  <si>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</si>
  <si>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</si>
  <si>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</si>
  <si>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</si>
  <si>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</si>
  <si>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</si>
  <si>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</si>
  <si>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</si>
  <si>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</si>
  <si>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</si>
  <si>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</si>
  <si>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</si>
  <si>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</si>
  <si>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</si>
  <si>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</si>
  <si>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</si>
  <si>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</si>
  <si>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</si>
  <si>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</si>
  <si>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</si>
  <si>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</si>
  <si>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</si>
  <si>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</si>
  <si>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</si>
  <si>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</si>
  <si>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</si>
  <si>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</si>
  <si>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</si>
  <si>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</si>
  <si>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</si>
  <si>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</si>
  <si>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</si>
  <si>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</si>
  <si>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</si>
  <si>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</si>
  <si>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</si>
  <si>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</si>
  <si>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</si>
  <si>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</si>
  <si>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</si>
  <si>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</si>
  <si>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</si>
  <si>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</si>
  <si>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</si>
  <si>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</si>
  <si>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</si>
  <si>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</si>
  <si>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</si>
  <si>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</si>
  <si>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</si>
  <si>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</si>
  <si>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</si>
  <si>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</si>
  <si>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</si>
  <si>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</si>
  <si>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</si>
  <si>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</si>
  <si>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</si>
  <si>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</si>
  <si>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</si>
  <si>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</si>
  <si>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</si>
  <si>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</si>
  <si>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</si>
  <si>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</si>
  <si>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</si>
  <si>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</si>
  <si>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</si>
  <si>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</si>
  <si>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</si>
  <si>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</si>
  <si>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</si>
  <si>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</si>
  <si>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</si>
  <si>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</si>
  <si>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</si>
  <si>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</si>
  <si>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</si>
  <si>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</si>
  <si>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</si>
  <si>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</si>
  <si>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</si>
  <si>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</si>
  <si>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</si>
  <si>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</si>
  <si>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</si>
  <si>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</si>
  <si>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</si>
  <si>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</si>
  <si>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</si>
  <si>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</si>
  <si>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</si>
  <si>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</si>
  <si>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</si>
  <si>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</si>
  <si>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</si>
  <si>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</si>
  <si>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</si>
  <si>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</si>
  <si>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</si>
  <si>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</si>
  <si>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</si>
  <si>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</si>
  <si>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</si>
  <si>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</si>
  <si>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</si>
  <si>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</si>
  <si>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</si>
  <si>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</si>
  <si>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</si>
  <si>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</si>
  <si>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</si>
  <si>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</si>
  <si>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</si>
  <si>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</si>
  <si>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</si>
  <si>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</si>
  <si>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</si>
  <si>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</si>
  <si>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</si>
  <si>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</si>
  <si>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</si>
  <si>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</si>
  <si>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</si>
  <si>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</si>
  <si>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</si>
  <si>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</si>
  <si>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</si>
  <si>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</si>
  <si>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</si>
  <si>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</si>
  <si>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</si>
  <si>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</si>
  <si>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</si>
  <si>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</si>
  <si>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</si>
  <si>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</si>
  <si>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</si>
  <si>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</si>
  <si>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</si>
  <si>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</si>
  <si>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</si>
  <si>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</si>
  <si>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</si>
  <si>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</si>
  <si>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</si>
  <si>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</si>
  <si>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</si>
  <si>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</si>
  <si>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</si>
  <si>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</si>
  <si>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</si>
  <si>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</si>
  <si>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</si>
  <si>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</si>
  <si>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</si>
  <si>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</si>
  <si>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</si>
  <si>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</si>
  <si>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</si>
  <si>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</si>
  <si>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</si>
  <si>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</si>
  <si>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</si>
  <si>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</si>
  <si>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</si>
  <si>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</si>
  <si>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</si>
  <si>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</si>
  <si>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</si>
  <si>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</si>
  <si>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</si>
  <si>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</si>
  <si>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</si>
  <si>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</si>
  <si>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</si>
  <si>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</si>
  <si>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</si>
  <si>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</si>
  <si>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</si>
  <si>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</si>
  <si>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</si>
  <si>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</si>
  <si>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</si>
  <si>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</si>
  <si>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</si>
  <si>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</si>
  <si>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</si>
  <si>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</si>
  <si>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</si>
  <si>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</si>
  <si>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</si>
  <si>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</si>
  <si>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</si>
  <si>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</si>
  <si>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</si>
  <si>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</si>
  <si>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</si>
  <si>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</si>
  <si>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</si>
  <si>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</si>
  <si>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</si>
  <si>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</si>
  <si>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</si>
  <si>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</si>
  <si>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</si>
  <si>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</si>
  <si>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</si>
  <si>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</si>
  <si>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</si>
  <si>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</si>
  <si>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</si>
  <si>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</si>
  <si>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</si>
  <si>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</si>
  <si>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</si>
  <si>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</si>
  <si>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</si>
  <si>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</si>
  <si>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</si>
  <si>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</si>
  <si>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</si>
  <si>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</si>
  <si>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</si>
  <si>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</si>
  <si>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</si>
  <si>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</si>
  <si>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</si>
  <si>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</si>
  <si>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</si>
  <si>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</si>
  <si>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</si>
  <si>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</si>
  <si>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</si>
  <si>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</si>
  <si>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</si>
  <si>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</si>
  <si>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</si>
  <si>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</si>
  <si>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</si>
  <si>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</si>
  <si>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</si>
  <si>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</si>
  <si>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</si>
  <si>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</si>
  <si>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</si>
  <si>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</si>
  <si>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</si>
  <si>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</si>
  <si>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</si>
  <si>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</si>
  <si>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</si>
  <si>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</si>
  <si>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</si>
  <si>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</si>
  <si>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</si>
  <si>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</si>
  <si>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</si>
  <si>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</si>
  <si>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</si>
  <si>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</si>
  <si>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</si>
  <si>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</si>
  <si>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</si>
  <si>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</si>
  <si>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</si>
  <si>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</si>
  <si>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</si>
  <si>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</si>
  <si>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</si>
  <si>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</si>
  <si>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</si>
  <si>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</si>
  <si>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</si>
  <si>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</si>
  <si>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</si>
  <si>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</si>
  <si>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</si>
  <si>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</si>
  <si>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</si>
  <si>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</si>
  <si>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</si>
  <si>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02/09/2026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</si>
</sst>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2" dataDxfId="51" totalsRowDxfId="50" totalsRowBorderDxfId="49">
  <autoFilter ref="A1:T2007" xr:uid="{D1BD5F14-CD6F-4B62-85D2-128A9D3B5FF1}">
    <filterColumn colId="1">
      <filters blank="1">
        <filter val="2026"/>
      </filters>
    </filterColumn>
  </autoFilter>
  <tableColumns count="20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7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708" activePane="bottomLeft" state="frozen"/>
      <selection pane="bottomLeft" activeCell="G728" sqref="A728:XFD728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2687</v>
      </c>
      <c r="D657" s="183" t="s">
        <v>2688</v>
      </c>
      <c r="E657" s="184" t="s">
        <v>2689</v>
      </c>
      <c r="F657" s="185" t="s">
        <v>69</v>
      </c>
      <c r="G657" s="186" t="s">
        <v>79</v>
      </c>
      <c r="H657" s="191" t="s">
        <v>2690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2691</v>
      </c>
    </row>
    <row r="658" spans="1:20" ht="15" x14ac:dyDescent="0.25">
      <c r="A658" s="191" t="s">
        <v>2692</v>
      </c>
      <c r="B658" s="127">
        <v>2026</v>
      </c>
      <c r="C658" s="127" t="s">
        <v>22</v>
      </c>
      <c r="D658" s="173" t="s">
        <v>2693</v>
      </c>
      <c r="E658" s="162" t="s">
        <v>2694</v>
      </c>
      <c r="F658" s="129" t="s">
        <v>69</v>
      </c>
      <c r="G658" s="174" t="s">
        <v>2695</v>
      </c>
      <c r="H658" s="175" t="s">
        <v>2696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2697</v>
      </c>
      <c r="B659" s="127">
        <v>2026</v>
      </c>
      <c r="C659" s="183" t="s">
        <v>2687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2687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2687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2687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2695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2695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2687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2695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2695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2687</v>
      </c>
      <c r="D677" s="193" t="s">
        <v>2779</v>
      </c>
      <c r="E677" s="184" t="s">
        <v>2780</v>
      </c>
      <c r="F677" s="185" t="s">
        <v>69</v>
      </c>
      <c r="G677" s="194" t="s">
        <v>2695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2687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2687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2695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2687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2687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2687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2687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2687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2687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 x14ac:dyDescent="0.25">
      <c r="A705" s="191" t="s">
        <v>2894</v>
      </c>
      <c r="B705" s="152">
        <v>2026</v>
      </c>
      <c r="C705" s="183" t="s">
        <v>2687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2687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x14ac:dyDescent="0.25">
      <c r="A707" s="191" t="s">
        <v>2902</v>
      </c>
      <c r="B707" s="152">
        <v>2026</v>
      </c>
      <c r="C707" s="183" t="s">
        <v>2687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2906</v>
      </c>
      <c r="B708" s="152">
        <v>2026</v>
      </c>
      <c r="C708" s="183" t="s">
        <v>2687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 x14ac:dyDescent="0.25">
      <c r="A709" s="191" t="s">
        <v>2910</v>
      </c>
      <c r="B709" s="152">
        <v>2026</v>
      </c>
      <c r="C709" s="183" t="s">
        <v>2687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 x14ac:dyDescent="0.2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2919</v>
      </c>
      <c r="B711" s="152">
        <v>2026</v>
      </c>
      <c r="C711" s="183" t="s">
        <v>2687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 x14ac:dyDescent="0.2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2930</v>
      </c>
      <c r="B714" s="152">
        <v>2026</v>
      </c>
      <c r="C714" s="183" t="s">
        <v>2687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2934</v>
      </c>
      <c r="B715" s="152">
        <v>2026</v>
      </c>
      <c r="C715" s="183" t="s">
        <v>2687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2936</v>
      </c>
      <c r="B716" s="152">
        <v>2026</v>
      </c>
      <c r="C716" s="183" t="s">
        <v>2687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2938</v>
      </c>
      <c r="B717" s="152">
        <v>2026</v>
      </c>
      <c r="C717" s="183" t="s">
        <v>2687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2940</v>
      </c>
      <c r="B718" s="152">
        <v>2026</v>
      </c>
      <c r="C718" s="183" t="s">
        <v>2687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2942</v>
      </c>
      <c r="B719" s="152">
        <v>2026</v>
      </c>
      <c r="C719" s="183" t="s">
        <v>2687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 x14ac:dyDescent="0.25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15" x14ac:dyDescent="0.25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15" x14ac:dyDescent="0.25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 x14ac:dyDescent="0.2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2967</v>
      </c>
      <c r="B726" s="183">
        <v>2026</v>
      </c>
      <c r="C726" s="183" t="s">
        <v>2687</v>
      </c>
      <c r="D726" s="183" t="s">
        <v>2957</v>
      </c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2969</v>
      </c>
      <c r="B727" s="183">
        <v>2026</v>
      </c>
      <c r="C727" s="183" t="s">
        <v>2687</v>
      </c>
      <c r="D727" s="183" t="s">
        <v>2957</v>
      </c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2971</v>
      </c>
      <c r="B728" s="183">
        <v>2026</v>
      </c>
      <c r="C728" s="183" t="s">
        <v>2687</v>
      </c>
      <c r="D728" s="183" t="s">
        <v>2957</v>
      </c>
      <c r="E728" s="180" t="s">
        <v>2972</v>
      </c>
      <c r="F728" s="185"/>
      <c r="G728" s="186" t="s">
        <v>2719</v>
      </c>
      <c r="H728" s="191" t="s">
        <v>3185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2687</v>
      </c>
      <c r="D729" s="183" t="s">
        <v>2957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2687</v>
      </c>
      <c r="D730" s="183" t="s">
        <v>2957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2687</v>
      </c>
      <c r="D731" s="183" t="s">
        <v>2957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2687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2687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2687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2687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1" priority="9">
      <formula>MOD(ROW(),2)=0</formula>
    </cfRule>
  </conditionalFormatting>
  <conditionalFormatting sqref="A2002:A2006 E2007 A2:T2001">
    <cfRule type="expression" dxfId="0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2990</v>
      </c>
      <c r="H1" s="213" t="s">
        <v>2991</v>
      </c>
    </row>
    <row r="2" spans="1:8" x14ac:dyDescent="0.25">
      <c r="H2" s="212" t="s">
        <v>2992</v>
      </c>
    </row>
    <row r="3" spans="1:8" x14ac:dyDescent="0.25">
      <c r="A3" t="s">
        <v>0</v>
      </c>
      <c r="B3" t="s">
        <v>19</v>
      </c>
      <c r="C3" t="s">
        <v>2993</v>
      </c>
      <c r="D3" t="s">
        <v>2994</v>
      </c>
      <c r="E3" t="s">
        <v>2995</v>
      </c>
      <c r="H3" s="212" t="s">
        <v>2996</v>
      </c>
    </row>
    <row r="4" spans="1:8" x14ac:dyDescent="0.25">
      <c r="A4">
        <v>1</v>
      </c>
      <c r="B4" t="s">
        <v>2997</v>
      </c>
      <c r="D4" t="s">
        <v>2998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2999</v>
      </c>
    </row>
    <row r="5" spans="1:8" x14ac:dyDescent="0.25">
      <c r="A5">
        <v>2</v>
      </c>
      <c r="B5" t="s">
        <v>2507</v>
      </c>
      <c r="D5" t="s">
        <v>2998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3000</v>
      </c>
    </row>
    <row r="6" spans="1:8" x14ac:dyDescent="0.25">
      <c r="A6">
        <v>3</v>
      </c>
      <c r="B6" t="s">
        <v>1030</v>
      </c>
      <c r="D6" t="s">
        <v>2998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3001</v>
      </c>
      <c r="D7" t="s">
        <v>2998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3002</v>
      </c>
    </row>
    <row r="8" spans="1:8" x14ac:dyDescent="0.25">
      <c r="A8">
        <v>5</v>
      </c>
      <c r="B8" t="s">
        <v>3003</v>
      </c>
      <c r="D8" t="s">
        <v>2998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2998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2998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2998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2998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2998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2998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2998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2998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2998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2998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2998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2998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2998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2998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3004</v>
      </c>
      <c r="D23" t="s">
        <v>2998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2998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3005</v>
      </c>
      <c r="D25" t="s">
        <v>2998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3006</v>
      </c>
      <c r="D26" t="s">
        <v>2998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2998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2998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3007</v>
      </c>
      <c r="D29" t="s">
        <v>2998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2998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2998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2998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3008</v>
      </c>
      <c r="D33" t="s">
        <v>2998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3009</v>
      </c>
      <c r="D34" t="s">
        <v>2998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2998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2998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2998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3010</v>
      </c>
      <c r="D38" t="s">
        <v>2998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2998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3011</v>
      </c>
      <c r="D40" t="s">
        <v>2998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2998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3012</v>
      </c>
      <c r="D42" t="s">
        <v>2998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2998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2998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3013</v>
      </c>
      <c r="D45" t="s">
        <v>2998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2998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2998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2998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2998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3014</v>
      </c>
      <c r="D50" t="s">
        <v>2998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2998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3015</v>
      </c>
      <c r="D52" t="s">
        <v>2998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2998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2998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3016</v>
      </c>
      <c r="D55" t="s">
        <v>2998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2998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2998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2998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3017</v>
      </c>
      <c r="D59" t="s">
        <v>2998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2998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2998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2998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3018</v>
      </c>
      <c r="D63" t="s">
        <v>2998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3019</v>
      </c>
      <c r="D64" t="s">
        <v>2998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3020</v>
      </c>
      <c r="D65" t="s">
        <v>2998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3021</v>
      </c>
      <c r="D66" t="s">
        <v>2998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2998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2998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3022</v>
      </c>
      <c r="D69" t="s">
        <v>2998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3023</v>
      </c>
      <c r="D70" t="s">
        <v>2998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2998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3024</v>
      </c>
      <c r="D72" t="s">
        <v>2998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2998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2998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2998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3025</v>
      </c>
      <c r="D76" t="s">
        <v>2998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2998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2998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2998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2998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3026</v>
      </c>
      <c r="D81" t="s">
        <v>2998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3027</v>
      </c>
      <c r="D82" t="s">
        <v>2998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3028</v>
      </c>
      <c r="D83" t="s">
        <v>2998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3029</v>
      </c>
      <c r="D84" t="s">
        <v>2998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2998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3030</v>
      </c>
      <c r="D86" t="s">
        <v>2998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2998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3031</v>
      </c>
      <c r="D88" t="s">
        <v>2998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3032</v>
      </c>
      <c r="D89" t="s">
        <v>2998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3033</v>
      </c>
      <c r="D90" t="s">
        <v>2998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3034</v>
      </c>
      <c r="D91" t="s">
        <v>2998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3035</v>
      </c>
      <c r="D92" t="s">
        <v>2998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3036</v>
      </c>
      <c r="D93" t="s">
        <v>2998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3037</v>
      </c>
      <c r="D94" t="s">
        <v>2998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3038</v>
      </c>
      <c r="D95" t="s">
        <v>2998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3039</v>
      </c>
      <c r="D96" t="s">
        <v>2998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2922</v>
      </c>
      <c r="D97" t="s">
        <v>2998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3040</v>
      </c>
      <c r="D98" t="s">
        <v>2998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2914</v>
      </c>
      <c r="D99" t="s">
        <v>2998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3041</v>
      </c>
      <c r="D100" t="s">
        <v>2998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3042</v>
      </c>
      <c r="D101" t="s">
        <v>2998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3043</v>
      </c>
      <c r="D102" t="s">
        <v>2998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3044</v>
      </c>
      <c r="D103" t="s">
        <v>2998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2893</v>
      </c>
      <c r="D104" t="s">
        <v>2998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3045</v>
      </c>
      <c r="D105" t="s">
        <v>2998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3046</v>
      </c>
      <c r="D106" t="s">
        <v>2998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3047</v>
      </c>
      <c r="D107" t="s">
        <v>2998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2998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2998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8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3048</v>
      </c>
      <c r="C1" s="19" t="s">
        <v>3049</v>
      </c>
      <c r="D1" s="19" t="s">
        <v>4</v>
      </c>
      <c r="E1" s="19" t="s">
        <v>3050</v>
      </c>
      <c r="F1" s="19" t="s">
        <v>19</v>
      </c>
      <c r="G1" s="19" t="s">
        <v>3051</v>
      </c>
      <c r="H1" s="19" t="s">
        <v>3052</v>
      </c>
      <c r="I1" s="19" t="s">
        <v>3053</v>
      </c>
      <c r="J1" s="19" t="s">
        <v>3054</v>
      </c>
      <c r="L1" s="112" t="s">
        <v>3055</v>
      </c>
      <c r="M1" s="23">
        <v>2026</v>
      </c>
      <c r="U1" s="80" t="s">
        <v>3056</v>
      </c>
      <c r="V1" s="79"/>
      <c r="X1" s="78" t="s">
        <v>3057</v>
      </c>
      <c r="Y1" s="27"/>
      <c r="Z1" s="27"/>
      <c r="AA1" s="27"/>
      <c r="AC1" s="100" t="s">
        <v>3058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A realizar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3059</v>
      </c>
      <c r="M2" s="107" t="s">
        <v>2930</v>
      </c>
      <c r="X2" s="114" t="s">
        <v>3048</v>
      </c>
      <c r="Y2" s="114" t="s">
        <v>19</v>
      </c>
      <c r="Z2" s="114" t="s">
        <v>3060</v>
      </c>
      <c r="AA2" s="114" t="s">
        <v>3061</v>
      </c>
      <c r="AC2" s="115" t="s">
        <v>1</v>
      </c>
      <c r="AD2" s="115" t="s">
        <v>3062</v>
      </c>
      <c r="AE2" s="115" t="s">
        <v>3063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A realizar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3064</v>
      </c>
      <c r="M3" s="113" t="s">
        <v>3065</v>
      </c>
      <c r="N3" s="113" t="s">
        <v>3066</v>
      </c>
      <c r="O3" s="113" t="s">
        <v>3067</v>
      </c>
      <c r="P3" s="113" t="s">
        <v>3068</v>
      </c>
      <c r="Q3" s="113" t="s">
        <v>3069</v>
      </c>
      <c r="R3" s="113" t="s">
        <v>3070</v>
      </c>
      <c r="S3" s="113" t="s">
        <v>3071</v>
      </c>
      <c r="T3" s="113" t="s">
        <v>3072</v>
      </c>
      <c r="X3" t="s">
        <v>2837</v>
      </c>
      <c r="Y3" t="s">
        <v>3011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A realizar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A realizar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0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A realizar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3073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A realizar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3011</v>
      </c>
      <c r="Z6">
        <v>1</v>
      </c>
      <c r="AA6">
        <v>0</v>
      </c>
      <c r="AC6" s="97">
        <v>2026</v>
      </c>
      <c r="AD6" s="18" t="s">
        <v>3074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A realizar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A realizar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A realizar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A realizar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A realizar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3005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3023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3005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3023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A realizar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3005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3023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3011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3011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3046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3042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3024</v>
      </c>
      <c r="Z33">
        <v>4</v>
      </c>
      <c r="AA33">
        <v>0.6</v>
      </c>
      <c r="AC33" s="99"/>
      <c r="AD33" s="116" t="s">
        <v>3075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3025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A realizar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A realizar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A realizar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3016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3033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3032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A realizar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3044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3041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3043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3040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3076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3047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3045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3032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114</v>
      </c>
      <c r="T58">
        <f ca="1"/>
        <v>112</v>
      </c>
      <c r="X58" t="s">
        <v>2750</v>
      </c>
      <c r="Y58" s="110" t="s">
        <v>3039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117</v>
      </c>
      <c r="T59">
        <f ca="1"/>
        <v>114</v>
      </c>
      <c r="X59" t="s">
        <v>2750</v>
      </c>
      <c r="Y59" t="s">
        <v>3038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T60">
        <f ca="1"/>
        <v>117</v>
      </c>
      <c r="X60" t="s">
        <v>2750</v>
      </c>
      <c r="Y60" t="s">
        <v>3037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3029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 x14ac:dyDescent="0.25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 x14ac:dyDescent="0.25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3027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3011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3016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2026-046</v>
      </c>
      <c r="C76" t="str">
        <f ca="1"/>
        <v>A realizar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3030</v>
      </c>
      <c r="AA77">
        <v>1.2</v>
      </c>
    </row>
    <row r="78" spans="1:27" x14ac:dyDescent="0.25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A realizar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3034</v>
      </c>
      <c r="AA79">
        <v>1.2</v>
      </c>
    </row>
    <row r="80" spans="1:27" x14ac:dyDescent="0.25">
      <c r="A80">
        <f ca="1"/>
        <v>2026</v>
      </c>
      <c r="B80" t="str">
        <f ca="1"/>
        <v>2026-047</v>
      </c>
      <c r="C80" t="str">
        <f ca="1"/>
        <v>A realizar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3031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3035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A realizar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2026-048</v>
      </c>
      <c r="C84" t="str">
        <f ca="1"/>
        <v>A realizar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Fernanda Viana de Souza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2026-072</v>
      </c>
      <c r="C115" t="str">
        <f ca="1"/>
        <v>A realizar</v>
      </c>
      <c r="D115" t="str">
        <f ca="1"/>
        <v>UniTCDF: Gestão Pública (Fernanda e Túlio)</v>
      </c>
      <c r="E115">
        <f ca="1"/>
        <v>3</v>
      </c>
      <c r="F115" t="str">
        <f ca="1"/>
        <v>Túllio Herbeth Teixeira Moraes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Isac Mendes Caixeta de Pamplona Araújo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Valéria Feitoza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2026-079</v>
      </c>
      <c r="C118" t="str">
        <f ca="1"/>
        <v>Realizado</v>
      </c>
      <c r="D118" t="str">
        <f ca="1"/>
        <v>Café e Tertúlia: Gincana dos Neurotransmissores</v>
      </c>
      <c r="E118">
        <f ca="1"/>
        <v>2</v>
      </c>
      <c r="F118" t="str">
        <f ca="1"/>
        <v>Cinthia Thais de Carvalho Luz Thomazi</v>
      </c>
      <c r="G118">
        <f ca="1"/>
        <v>3</v>
      </c>
      <c r="H118">
        <f ca="1"/>
        <v>2</v>
      </c>
      <c r="I118">
        <f ca="1"/>
        <v>0.6</v>
      </c>
      <c r="J118">
        <f ca="1"/>
        <v>2.6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3077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3078</v>
      </c>
      <c r="B4" s="230"/>
      <c r="D4" s="231" t="s">
        <v>3079</v>
      </c>
      <c r="E4" s="232"/>
      <c r="G4" s="45" t="s">
        <v>3080</v>
      </c>
    </row>
    <row r="5" spans="1:7" ht="54.95" customHeight="1" thickBot="1" x14ac:dyDescent="0.75">
      <c r="A5" s="35">
        <f>COUNTIF('Ações InCompany'!B:B,2026)</f>
        <v>80</v>
      </c>
      <c r="B5" s="36" t="s">
        <v>3081</v>
      </c>
      <c r="D5" s="43">
        <f>COUNTIFS('Ações InCompany'!B:B,2026,'Ações InCompany'!C:C,"Realizado")</f>
        <v>40</v>
      </c>
      <c r="E5" s="44" t="s">
        <v>3081</v>
      </c>
      <c r="G5" s="46">
        <f>COUNTIFS('Ações InCompany'!B:B,2026,'Ações InCompany'!C:C,"A realizar")</f>
        <v>37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3082</v>
      </c>
      <c r="B8" s="226"/>
      <c r="D8" s="226" t="s">
        <v>3083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3084</v>
      </c>
      <c r="D10" s="28" t="s">
        <v>3085</v>
      </c>
      <c r="E10" s="28" t="s">
        <v>3086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3087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3088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3089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3090</v>
      </c>
      <c r="B14" s="34">
        <f>SUM(B11:B13)</f>
        <v>38</v>
      </c>
      <c r="D14" s="33" t="s">
        <v>3091</v>
      </c>
      <c r="E14" s="34">
        <f>SUM(E11:E13)</f>
        <v>1848</v>
      </c>
    </row>
    <row r="30" spans="1:5" ht="17.25" x14ac:dyDescent="0.3">
      <c r="A30" s="226" t="s">
        <v>3092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3093</v>
      </c>
      <c r="C32" s="28" t="s">
        <v>3094</v>
      </c>
      <c r="D32" s="28" t="s">
        <v>3095</v>
      </c>
      <c r="E32" s="28" t="s">
        <v>3096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0.27272727272727271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6.4935064935064929E-2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7.792207792207792E-2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2.5974025974025976E-2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7.792207792207792E-2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0.2857142857142857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5.1948051948051951E-2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2.5974025974025976E-2</v>
      </c>
    </row>
    <row r="41" spans="1:5" ht="24" customHeight="1" x14ac:dyDescent="0.25">
      <c r="A41" s="74" t="s">
        <v>2695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9.0909090909090912E-2</v>
      </c>
    </row>
    <row r="42" spans="1:5" ht="24" customHeight="1" x14ac:dyDescent="0.25">
      <c r="A42" s="75" t="s">
        <v>3097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2.5974025974025976E-2</v>
      </c>
    </row>
    <row r="44" spans="1:5" ht="24" customHeight="1" x14ac:dyDescent="0.25">
      <c r="A44" s="67" t="s">
        <v>3098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3090</v>
      </c>
      <c r="B45" s="41">
        <f>SUM(B33:B44)</f>
        <v>40</v>
      </c>
      <c r="C45" s="41">
        <f>SUM(C33:C44)</f>
        <v>37</v>
      </c>
      <c r="D45" s="41">
        <f>SUM(D33:D44)</f>
        <v>77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3099</v>
      </c>
      <c r="B1" s="12" t="s">
        <v>3100</v>
      </c>
      <c r="C1" s="13" t="s">
        <v>3101</v>
      </c>
      <c r="D1" s="13" t="s">
        <v>3102</v>
      </c>
      <c r="E1" s="13" t="s">
        <v>3103</v>
      </c>
    </row>
    <row r="2" spans="1:5" ht="18" customHeight="1" x14ac:dyDescent="0.25">
      <c r="A2" s="12" t="s">
        <v>3104</v>
      </c>
      <c r="B2" s="12" t="s">
        <v>3105</v>
      </c>
      <c r="C2" s="12" t="s">
        <v>1736</v>
      </c>
      <c r="D2" s="12" t="s">
        <v>3106</v>
      </c>
      <c r="E2" s="12" t="s">
        <v>3107</v>
      </c>
    </row>
    <row r="3" spans="1:5" ht="18" customHeight="1" x14ac:dyDescent="0.25">
      <c r="A3" s="12" t="s">
        <v>3104</v>
      </c>
      <c r="B3" s="12" t="s">
        <v>3105</v>
      </c>
      <c r="C3" s="14" t="s">
        <v>25</v>
      </c>
      <c r="D3" s="12" t="s">
        <v>3108</v>
      </c>
      <c r="E3" s="12" t="s">
        <v>3109</v>
      </c>
    </row>
    <row r="4" spans="1:5" ht="18" customHeight="1" x14ac:dyDescent="0.25">
      <c r="A4" s="12" t="s">
        <v>3104</v>
      </c>
      <c r="B4" s="12" t="s">
        <v>3105</v>
      </c>
      <c r="C4" s="12" t="s">
        <v>75</v>
      </c>
      <c r="D4" s="12" t="s">
        <v>3106</v>
      </c>
      <c r="E4" s="12" t="s">
        <v>3110</v>
      </c>
    </row>
    <row r="5" spans="1:5" ht="18" customHeight="1" x14ac:dyDescent="0.25">
      <c r="A5" s="12" t="s">
        <v>3104</v>
      </c>
      <c r="B5" s="12" t="s">
        <v>3105</v>
      </c>
      <c r="C5" s="12" t="s">
        <v>79</v>
      </c>
      <c r="D5" s="12" t="s">
        <v>3111</v>
      </c>
      <c r="E5" s="12" t="s">
        <v>3112</v>
      </c>
    </row>
    <row r="6" spans="1:5" ht="18" customHeight="1" x14ac:dyDescent="0.25">
      <c r="A6" s="12" t="s">
        <v>3104</v>
      </c>
      <c r="B6" s="12" t="s">
        <v>3105</v>
      </c>
      <c r="C6" s="12" t="s">
        <v>2719</v>
      </c>
      <c r="D6" s="12" t="s">
        <v>3113</v>
      </c>
      <c r="E6" s="12" t="s">
        <v>3114</v>
      </c>
    </row>
    <row r="7" spans="1:5" ht="18" customHeight="1" x14ac:dyDescent="0.25">
      <c r="A7" s="12" t="s">
        <v>3104</v>
      </c>
      <c r="B7" s="12" t="s">
        <v>3115</v>
      </c>
      <c r="C7" s="12" t="s">
        <v>36</v>
      </c>
      <c r="D7" s="12" t="s">
        <v>3116</v>
      </c>
      <c r="E7" s="12" t="s">
        <v>3117</v>
      </c>
    </row>
    <row r="8" spans="1:5" ht="18" customHeight="1" x14ac:dyDescent="0.25">
      <c r="A8" s="12" t="s">
        <v>3104</v>
      </c>
      <c r="B8" s="12" t="s">
        <v>3115</v>
      </c>
      <c r="C8" s="12" t="s">
        <v>42</v>
      </c>
      <c r="D8" s="12" t="s">
        <v>3118</v>
      </c>
      <c r="E8" s="12" t="s">
        <v>3119</v>
      </c>
    </row>
    <row r="9" spans="1:5" ht="18" customHeight="1" x14ac:dyDescent="0.25">
      <c r="A9" s="12" t="s">
        <v>3104</v>
      </c>
      <c r="B9" s="12" t="s">
        <v>3120</v>
      </c>
      <c r="C9" s="12" t="s">
        <v>464</v>
      </c>
      <c r="D9" s="12" t="s">
        <v>3121</v>
      </c>
      <c r="E9" s="12" t="s">
        <v>3122</v>
      </c>
    </row>
    <row r="10" spans="1:5" ht="18" customHeight="1" x14ac:dyDescent="0.25">
      <c r="A10" s="12" t="s">
        <v>3104</v>
      </c>
      <c r="B10" s="12" t="s">
        <v>3120</v>
      </c>
      <c r="C10" s="12" t="s">
        <v>206</v>
      </c>
      <c r="D10" s="12" t="s">
        <v>24</v>
      </c>
      <c r="E10" s="12" t="s">
        <v>3123</v>
      </c>
    </row>
    <row r="11" spans="1:5" ht="18" customHeight="1" x14ac:dyDescent="0.25">
      <c r="A11" s="12" t="s">
        <v>3104</v>
      </c>
      <c r="B11" s="12" t="s">
        <v>3120</v>
      </c>
      <c r="C11" s="12" t="s">
        <v>371</v>
      </c>
      <c r="D11" s="12" t="s">
        <v>24</v>
      </c>
      <c r="E11" s="12" t="s">
        <v>3124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3125</v>
      </c>
      <c r="B1" s="5" t="s">
        <v>10</v>
      </c>
      <c r="C1" s="15" t="s">
        <v>3126</v>
      </c>
      <c r="D1" s="15" t="s">
        <v>3049</v>
      </c>
    </row>
    <row r="2" spans="1:4" ht="21" customHeight="1" x14ac:dyDescent="0.25">
      <c r="A2" s="103" t="s">
        <v>24</v>
      </c>
      <c r="B2" s="103" t="s">
        <v>38</v>
      </c>
      <c r="C2" s="12" t="s">
        <v>3127</v>
      </c>
      <c r="D2" s="12" t="s">
        <v>2687</v>
      </c>
    </row>
    <row r="3" spans="1:4" ht="21" customHeight="1" x14ac:dyDescent="0.25">
      <c r="A3" s="12" t="s">
        <v>69</v>
      </c>
      <c r="B3" s="103" t="s">
        <v>27</v>
      </c>
      <c r="C3" s="12" t="s">
        <v>3128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3129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3099</v>
      </c>
      <c r="B1" s="12" t="s">
        <v>3100</v>
      </c>
      <c r="C1" s="13" t="s">
        <v>3101</v>
      </c>
      <c r="D1" s="13" t="s">
        <v>3102</v>
      </c>
      <c r="E1" s="13" t="s">
        <v>3103</v>
      </c>
    </row>
    <row r="2" spans="1:5" ht="18" customHeight="1" x14ac:dyDescent="0.25">
      <c r="A2" s="12" t="s">
        <v>3130</v>
      </c>
      <c r="B2" s="12" t="s">
        <v>3105</v>
      </c>
      <c r="C2" s="14" t="s">
        <v>25</v>
      </c>
      <c r="D2" s="12" t="s">
        <v>3106</v>
      </c>
      <c r="E2" s="17" t="s">
        <v>3131</v>
      </c>
    </row>
    <row r="3" spans="1:5" ht="18" customHeight="1" x14ac:dyDescent="0.25">
      <c r="A3" s="12" t="s">
        <v>3130</v>
      </c>
      <c r="B3" s="12" t="s">
        <v>3105</v>
      </c>
      <c r="C3" s="12" t="s">
        <v>75</v>
      </c>
      <c r="D3" s="12" t="s">
        <v>3108</v>
      </c>
      <c r="E3" s="12" t="s">
        <v>3132</v>
      </c>
    </row>
    <row r="4" spans="1:5" ht="18" customHeight="1" x14ac:dyDescent="0.25">
      <c r="A4" s="12" t="s">
        <v>3130</v>
      </c>
      <c r="B4" s="12" t="s">
        <v>3105</v>
      </c>
      <c r="C4" s="12" t="s">
        <v>79</v>
      </c>
      <c r="D4" s="12" t="s">
        <v>3111</v>
      </c>
      <c r="E4" s="12" t="s">
        <v>3133</v>
      </c>
    </row>
    <row r="5" spans="1:5" ht="27.75" customHeight="1" x14ac:dyDescent="0.25">
      <c r="A5" s="12" t="s">
        <v>3130</v>
      </c>
      <c r="B5" s="12" t="s">
        <v>3105</v>
      </c>
      <c r="C5" s="12" t="s">
        <v>2695</v>
      </c>
      <c r="D5" s="17" t="s">
        <v>3134</v>
      </c>
      <c r="E5" s="12" t="s">
        <v>3135</v>
      </c>
    </row>
    <row r="6" spans="1:5" ht="18" customHeight="1" x14ac:dyDescent="0.25">
      <c r="A6" s="12" t="s">
        <v>3130</v>
      </c>
      <c r="B6" s="12" t="s">
        <v>3105</v>
      </c>
      <c r="C6" s="12" t="s">
        <v>2719</v>
      </c>
      <c r="D6" s="12" t="s">
        <v>3113</v>
      </c>
      <c r="E6" s="12" t="s">
        <v>3114</v>
      </c>
    </row>
    <row r="7" spans="1:5" ht="18" customHeight="1" x14ac:dyDescent="0.25">
      <c r="A7" s="12" t="s">
        <v>3130</v>
      </c>
      <c r="B7" s="12" t="s">
        <v>3115</v>
      </c>
      <c r="C7" s="12" t="s">
        <v>2700</v>
      </c>
      <c r="D7" s="12" t="s">
        <v>3136</v>
      </c>
      <c r="E7" s="12" t="s">
        <v>3137</v>
      </c>
    </row>
    <row r="8" spans="1:5" ht="18" customHeight="1" x14ac:dyDescent="0.25">
      <c r="A8" s="12" t="s">
        <v>3130</v>
      </c>
      <c r="B8" s="12" t="s">
        <v>3115</v>
      </c>
      <c r="C8" s="12" t="s">
        <v>42</v>
      </c>
      <c r="D8" s="12" t="s">
        <v>3118</v>
      </c>
      <c r="E8" s="12" t="s">
        <v>3119</v>
      </c>
    </row>
    <row r="9" spans="1:5" ht="18" customHeight="1" x14ac:dyDescent="0.25">
      <c r="A9" s="12" t="s">
        <v>3130</v>
      </c>
      <c r="B9" s="12" t="s">
        <v>3115</v>
      </c>
      <c r="C9" s="12" t="s">
        <v>2794</v>
      </c>
      <c r="D9" s="12" t="s">
        <v>3138</v>
      </c>
      <c r="E9" s="17" t="s">
        <v>3139</v>
      </c>
    </row>
    <row r="10" spans="1:5" ht="18" customHeight="1" x14ac:dyDescent="0.25">
      <c r="A10" s="12" t="s">
        <v>3130</v>
      </c>
      <c r="B10" s="12" t="s">
        <v>3140</v>
      </c>
      <c r="C10" s="12" t="s">
        <v>3097</v>
      </c>
      <c r="D10" s="12" t="s">
        <v>3141</v>
      </c>
      <c r="E10" s="17" t="s">
        <v>3142</v>
      </c>
    </row>
    <row r="11" spans="1:5" ht="18" customHeight="1" x14ac:dyDescent="0.25">
      <c r="A11" s="12" t="s">
        <v>3130</v>
      </c>
      <c r="B11" s="12" t="s">
        <v>3140</v>
      </c>
      <c r="C11" s="12" t="s">
        <v>206</v>
      </c>
      <c r="D11" s="12" t="s">
        <v>24</v>
      </c>
      <c r="E11" s="12" t="s">
        <v>3123</v>
      </c>
    </row>
    <row r="12" spans="1:5" ht="18" customHeight="1" x14ac:dyDescent="0.25">
      <c r="A12" s="12" t="s">
        <v>3130</v>
      </c>
      <c r="B12" s="12" t="s">
        <v>3140</v>
      </c>
      <c r="C12" s="12" t="s">
        <v>371</v>
      </c>
      <c r="D12" s="12" t="s">
        <v>24</v>
      </c>
      <c r="E12" s="12" t="s">
        <v>3124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3143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3144</v>
      </c>
    </row>
    <row r="4" spans="1:8" ht="21.95" customHeight="1" x14ac:dyDescent="0.25">
      <c r="A4" s="234" t="s">
        <v>3145</v>
      </c>
      <c r="B4" s="235"/>
      <c r="D4" s="234" t="s">
        <v>3146</v>
      </c>
      <c r="E4" s="235"/>
      <c r="G4" s="234" t="s">
        <v>3147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3148</v>
      </c>
      <c r="B7" s="62" t="s">
        <v>3149</v>
      </c>
      <c r="C7" s="62" t="s">
        <v>1</v>
      </c>
      <c r="D7" s="62" t="s">
        <v>3150</v>
      </c>
      <c r="E7" s="62" t="s">
        <v>3151</v>
      </c>
      <c r="F7" s="62" t="s">
        <v>3049</v>
      </c>
      <c r="G7" s="62" t="s">
        <v>5</v>
      </c>
      <c r="H7" s="62" t="s">
        <v>3152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6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3153</v>
      </c>
      <c r="B1" s="239"/>
      <c r="C1" s="239"/>
      <c r="D1" s="239"/>
      <c r="E1" s="239"/>
      <c r="F1" s="239"/>
    </row>
    <row r="2" spans="1:7" x14ac:dyDescent="0.25">
      <c r="A2" s="240" t="s">
        <v>3154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3052</v>
      </c>
      <c r="C4" s="25" t="s">
        <v>3053</v>
      </c>
      <c r="D4" s="25" t="s">
        <v>3155</v>
      </c>
      <c r="E4" s="25" t="s">
        <v>3054</v>
      </c>
      <c r="F4" s="25" t="s">
        <v>3156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3091</v>
      </c>
      <c r="B105" s="95">
        <f ca="1">SUM(B5:B100)</f>
        <v>697</v>
      </c>
      <c r="C105" s="95">
        <f ca="1">SUM(C5:C100)</f>
        <v>379.93999999999994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3157</v>
      </c>
      <c r="B1" s="123" t="s">
        <v>3158</v>
      </c>
      <c r="C1" s="123" t="s">
        <v>3159</v>
      </c>
      <c r="D1" s="123" t="s">
        <v>3160</v>
      </c>
      <c r="E1" s="123" t="s">
        <v>3161</v>
      </c>
      <c r="F1" s="123" t="s">
        <v>3162</v>
      </c>
      <c r="G1" s="123" t="s">
        <v>10</v>
      </c>
      <c r="H1" s="123" t="s">
        <v>3163</v>
      </c>
      <c r="I1" s="123" t="s">
        <v>3164</v>
      </c>
      <c r="J1" s="123" t="s">
        <v>3165</v>
      </c>
      <c r="K1" s="123" t="s">
        <v>3166</v>
      </c>
      <c r="L1" s="123" t="s">
        <v>3167</v>
      </c>
      <c r="N1" s="124" t="s">
        <v>3168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3169</v>
      </c>
      <c r="L2" t="str">
        <f>IF(K2="","",IFERROR(INDEX(Tabela2[Curso],MATCH(K2,Tabela2[ID],0)),""))</f>
        <v/>
      </c>
      <c r="N2" s="123" t="s">
        <v>3048</v>
      </c>
      <c r="O2" s="123" t="s">
        <v>4</v>
      </c>
      <c r="P2" s="123" t="s">
        <v>3170</v>
      </c>
      <c r="Q2" s="123" t="s">
        <v>3171</v>
      </c>
      <c r="R2" s="123" t="s">
        <v>3172</v>
      </c>
      <c r="S2" s="123" t="s">
        <v>3173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3169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3169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3169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3169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3169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3169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3169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3169</v>
      </c>
      <c r="L10" t="str">
        <f>IF(K10="","",IFERROR(INDEX(Tabela2[Curso],MATCH(K10,Tabela2[ID],0)),""))</f>
        <v/>
      </c>
      <c r="N10" s="122" t="s">
        <v>3174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3169</v>
      </c>
      <c r="L11" t="str">
        <f>IF(K11="","",IFERROR(INDEX(Tabela2[Curso],MATCH(K11,Tabela2[ID],0)),""))</f>
        <v/>
      </c>
      <c r="N11" s="125" t="s">
        <v>3175</v>
      </c>
      <c r="O11" s="125" t="s">
        <v>3176</v>
      </c>
      <c r="P11" s="125" t="s">
        <v>3177</v>
      </c>
      <c r="Q11" s="125" t="s">
        <v>3160</v>
      </c>
      <c r="R11" s="125" t="s">
        <v>3161</v>
      </c>
      <c r="S11" s="125" t="s">
        <v>3178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3169</v>
      </c>
      <c r="L12" t="str">
        <f>IF(K12="","",IFERROR(INDEX(Tabela2[Curso],MATCH(K12,Tabela2[ID],0)),""))</f>
        <v/>
      </c>
      <c r="N12" t="s">
        <v>3179</v>
      </c>
      <c r="O12" t="s">
        <v>2755</v>
      </c>
      <c r="P12" t="s">
        <v>3180</v>
      </c>
      <c r="Q12">
        <v>0</v>
      </c>
      <c r="R12">
        <v>0</v>
      </c>
      <c r="S12" t="s">
        <v>3181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3169</v>
      </c>
      <c r="L13" t="str">
        <f>IF(K13="","",IFERROR(INDEX(Tabela2[Curso],MATCH(K13,Tabela2[ID],0)),""))</f>
        <v/>
      </c>
      <c r="N13" t="s">
        <v>3182</v>
      </c>
      <c r="O13" t="s">
        <v>2686</v>
      </c>
      <c r="P13" t="s">
        <v>3183</v>
      </c>
      <c r="Q13">
        <v>0</v>
      </c>
      <c r="R13">
        <v>0</v>
      </c>
      <c r="S13" t="s">
        <v>3184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3169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3169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3169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3169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3169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3169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3169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3169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3169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3169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3169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3169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3169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3169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3169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3169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3169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3169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3169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3169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3169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3169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3169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3169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3169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3169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3169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3169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3169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3169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3169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3169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3169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3169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3169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3169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3169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3169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3169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3169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3169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3169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3169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3169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3169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3169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3169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3169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3169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3169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3169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3169</v>
      </c>
      <c r="L65" t="str">
        <f>IF(K65="","",IFERROR(INDEX(Tabela2[Curso],MATCH(K65,Tabela2[ID],0)),""))</f>
        <v/>
      </c>
    </row>
  </sheetData>
  <conditionalFormatting sqref="A2:L65">
    <cfRule type="expression" dxfId="5" priority="1">
      <formula>$J2="CORRIGIR"</formula>
    </cfRule>
  </conditionalFormatting>
  <conditionalFormatting sqref="A2:L65">
    <cfRule type="expression" dxfId="4" priority="2">
      <formula>$J2="REVISAR"</formula>
    </cfRule>
  </conditionalFormatting>
  <conditionalFormatting sqref="A2:L65">
    <cfRule type="expression" dxfId="3" priority="3">
      <formula>$J2="OK"</formula>
    </cfRule>
  </conditionalFormatting>
  <conditionalFormatting sqref="I2:I65">
    <cfRule type="containsText" dxfId="2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www.w3.org/XML/1998/namespace"/>
    <ds:schemaRef ds:uri="http://schemas.microsoft.com/office/2006/documentManagement/types"/>
    <ds:schemaRef ds:uri="http://purl.org/dc/elements/1.1/"/>
    <ds:schemaRef ds:uri="http://purl.org/dc/terms/"/>
    <ds:schemaRef ds:uri="91ce1707-6d34-452b-b217-9734c03e6729"/>
    <ds:schemaRef ds:uri="http://schemas.microsoft.com/office/infopath/2007/PartnerControls"/>
    <ds:schemaRef ds:uri="http://schemas.openxmlformats.org/package/2006/metadata/core-properties"/>
    <ds:schemaRef ds:uri="fe686eaa-0658-4f15-b230-9e46c4d089fd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Karina Pereira Torres</cp:lastModifiedBy>
  <cp:revision/>
  <dcterms:created xsi:type="dcterms:W3CDTF">2024-04-02T18:43:15Z</dcterms:created>
  <dcterms:modified xsi:type="dcterms:W3CDTF">2026-08-05T18:39:01Z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