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8" documentId="13_ncr:1_{6A2CC3E2-FAFB-4D8F-B284-5E8FB5045DFE}" xr6:coauthVersionLast="47" xr6:coauthVersionMax="47" xr10:uidLastSave="{F64CE067-5ABA-4977-A04F-5526DA45A22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l="1" a="1"/>
  <c r="T4" i="20" s="1"/>
  <c r="A2" i="20" l="1" a="1"/>
  <c r="A5" i="23" l="1" a="1"/>
  <c r="E105" i="23"/>
  <c r="A2" i="20"/>
  <c r="D45" i="23" l="1"/>
  <c r="C39" i="23"/>
  <c r="D44" i="23"/>
  <c r="B33" i="23"/>
  <c r="B37" i="23"/>
  <c r="B10" i="23"/>
  <c r="E34" i="23"/>
  <c r="D31" i="23"/>
  <c r="E15" i="23"/>
  <c r="E13" i="23"/>
  <c r="C18" i="23"/>
  <c r="E22" i="23"/>
  <c r="B36" i="23"/>
  <c r="F38" i="23"/>
  <c r="D26" i="23"/>
  <c r="D22" i="23"/>
  <c r="D38" i="23"/>
  <c r="B25" i="23"/>
  <c r="E25" i="23"/>
  <c r="D52" i="23"/>
  <c r="F16" i="23"/>
  <c r="D21" i="23"/>
  <c r="F11" i="23"/>
  <c r="C46" i="23"/>
  <c r="F35" i="23"/>
  <c r="E6" i="23"/>
  <c r="F30" i="23"/>
  <c r="C13" i="23"/>
  <c r="C24" i="23"/>
  <c r="D10" i="23"/>
  <c r="E43" i="23"/>
  <c r="D28" i="23"/>
  <c r="B16" i="23"/>
  <c r="B13" i="23"/>
  <c r="C54" i="23"/>
  <c r="F29" i="23"/>
  <c r="E28" i="23"/>
  <c r="D18" i="23"/>
  <c r="D55" i="23"/>
  <c r="C30" i="23"/>
  <c r="E32" i="23"/>
  <c r="E48" i="23"/>
  <c r="B24" i="23"/>
  <c r="C40" i="23"/>
  <c r="B47" i="23"/>
  <c r="E52" i="23"/>
  <c r="D35" i="23"/>
  <c r="F37" i="23"/>
  <c r="D34" i="23"/>
  <c r="B11" i="23"/>
  <c r="F41" i="23"/>
  <c r="C8" i="23"/>
  <c r="E33" i="23"/>
  <c r="F24" i="23"/>
  <c r="C52" i="23"/>
  <c r="B50" i="23"/>
  <c r="D7" i="23"/>
  <c r="C50" i="23"/>
  <c r="C21" i="23"/>
  <c r="F51" i="23"/>
  <c r="C44" i="23"/>
  <c r="D40" i="23"/>
  <c r="F39" i="23"/>
  <c r="F28" i="23"/>
  <c r="C16" i="23"/>
  <c r="B27" i="23"/>
  <c r="E24" i="23"/>
  <c r="F25" i="23"/>
  <c r="E7" i="23"/>
  <c r="B45" i="23"/>
  <c r="B51" i="23"/>
  <c r="B46" i="23"/>
  <c r="B31" i="23"/>
  <c r="D23" i="23"/>
  <c r="C55" i="23"/>
  <c r="F44" i="23"/>
  <c r="F27" i="23"/>
  <c r="C41" i="23"/>
  <c r="E39" i="23"/>
  <c r="F40" i="23"/>
  <c r="F10" i="23"/>
  <c r="B30" i="23"/>
  <c r="C27" i="23"/>
  <c r="F7" i="23"/>
  <c r="D16" i="23"/>
  <c r="B38" i="23"/>
  <c r="D47" i="23"/>
  <c r="B32" i="23"/>
  <c r="F36" i="23"/>
  <c r="E18" i="23"/>
  <c r="C49" i="23"/>
  <c r="C47" i="23"/>
  <c r="B26" i="23"/>
  <c r="B14" i="23"/>
  <c r="F55" i="23"/>
  <c r="D12" i="23"/>
  <c r="E19" i="23"/>
  <c r="B49" i="23"/>
  <c r="D11" i="23"/>
  <c r="D42" i="23"/>
  <c r="B35" i="23"/>
  <c r="F6" i="23"/>
  <c r="F45" i="23"/>
  <c r="C29" i="23"/>
  <c r="F21" i="23"/>
  <c r="D6" i="23"/>
  <c r="D9" i="23"/>
  <c r="B12" i="23"/>
  <c r="F52" i="23"/>
  <c r="C28" i="23"/>
  <c r="C45" i="23"/>
  <c r="B40" i="23"/>
  <c r="E21" i="23"/>
  <c r="F34" i="23"/>
  <c r="C48" i="23"/>
  <c r="D43" i="23"/>
  <c r="E45" i="23"/>
  <c r="C20" i="23"/>
  <c r="C23" i="23"/>
  <c r="B52" i="23"/>
  <c r="E41" i="23"/>
  <c r="E20" i="23"/>
  <c r="B19" i="23"/>
  <c r="B48" i="23"/>
  <c r="E10" i="23"/>
  <c r="E36" i="23"/>
  <c r="F8" i="23"/>
  <c r="D13" i="23"/>
  <c r="F20" i="23"/>
  <c r="F17" i="23"/>
  <c r="B23" i="23"/>
  <c r="B39" i="23"/>
  <c r="D49" i="23"/>
  <c r="E30" i="23"/>
  <c r="B29" i="23"/>
  <c r="D46" i="23"/>
  <c r="B8" i="23"/>
  <c r="B9" i="23"/>
  <c r="C31" i="23"/>
  <c r="C14" i="23"/>
  <c r="F14" i="23"/>
  <c r="D27" i="23"/>
  <c r="D30" i="23"/>
  <c r="F54" i="23"/>
  <c r="E12" i="23"/>
  <c r="C35" i="23"/>
  <c r="F22" i="23"/>
  <c r="C34" i="23"/>
  <c r="C19" i="23"/>
  <c r="C7" i="23"/>
  <c r="E16" i="23"/>
  <c r="C12" i="23"/>
  <c r="C11" i="23"/>
  <c r="E42" i="23"/>
  <c r="E26" i="23"/>
  <c r="B21" i="23"/>
  <c r="E31" i="23"/>
  <c r="E50" i="23"/>
  <c r="E9" i="23"/>
  <c r="E29" i="23"/>
  <c r="D41" i="23"/>
  <c r="B44" i="23"/>
  <c r="C22" i="23"/>
  <c r="D24" i="23"/>
  <c r="E27" i="23"/>
  <c r="C51" i="23"/>
  <c r="C9" i="23"/>
  <c r="D19" i="23"/>
  <c r="B28" i="23"/>
  <c r="F43" i="23"/>
  <c r="C26" i="23"/>
  <c r="B54" i="23"/>
  <c r="E49" i="23"/>
  <c r="E54" i="23"/>
  <c r="B17" i="23"/>
  <c r="B34" i="23"/>
  <c r="D29" i="23"/>
  <c r="B18" i="23"/>
  <c r="E11" i="23"/>
  <c r="F9" i="23"/>
  <c r="F12" i="23"/>
  <c r="F50" i="23"/>
  <c r="E40" i="23"/>
  <c r="F49" i="23"/>
  <c r="F42" i="23"/>
  <c r="E55" i="23"/>
  <c r="E8" i="23"/>
  <c r="C42" i="23"/>
  <c r="D20" i="23"/>
  <c r="C15" i="23"/>
  <c r="C25" i="23"/>
  <c r="C10" i="23"/>
  <c r="D36" i="23"/>
  <c r="D8" i="23"/>
  <c r="B42" i="23"/>
  <c r="D15" i="23"/>
  <c r="C6" i="23"/>
  <c r="C37" i="23"/>
  <c r="D53" i="23"/>
  <c r="D32" i="23"/>
  <c r="D50" i="23"/>
  <c r="F15" i="23"/>
  <c r="E47" i="23"/>
  <c r="E46" i="23"/>
  <c r="D14" i="23"/>
  <c r="C43" i="23"/>
  <c r="B22" i="23"/>
  <c r="E53" i="23"/>
  <c r="C32" i="23"/>
  <c r="F33" i="23"/>
  <c r="C17" i="23"/>
  <c r="B7" i="23"/>
  <c r="D51" i="23"/>
  <c r="D37" i="23"/>
  <c r="E38" i="23"/>
  <c r="F13" i="23"/>
  <c r="F23" i="23"/>
  <c r="F18" i="23"/>
  <c r="E14" i="23"/>
  <c r="E17" i="23"/>
  <c r="C53" i="23"/>
  <c r="D48" i="23"/>
  <c r="F46" i="23"/>
  <c r="C33" i="23"/>
  <c r="D17" i="23"/>
  <c r="F32" i="23"/>
  <c r="F53" i="23"/>
  <c r="E37" i="23"/>
  <c r="D25" i="23"/>
  <c r="C36" i="23"/>
  <c r="B20" i="23"/>
  <c r="B55" i="23"/>
  <c r="C38" i="23"/>
  <c r="F48" i="23"/>
  <c r="E35" i="23"/>
  <c r="E44" i="23"/>
  <c r="E51" i="23"/>
  <c r="D39" i="23"/>
  <c r="F31" i="23"/>
  <c r="B41" i="23"/>
  <c r="F26" i="23"/>
  <c r="B15" i="23"/>
  <c r="F19" i="23"/>
  <c r="B53" i="23"/>
  <c r="B6" i="23"/>
  <c r="B43" i="23"/>
  <c r="D54" i="23"/>
  <c r="F47" i="23"/>
  <c r="E23" i="23"/>
  <c r="D33" i="23"/>
  <c r="A5" i="23"/>
  <c r="D5" i="23" l="1"/>
  <c r="C5" i="23"/>
  <c r="C105" i="23" s="1"/>
  <c r="E5" i="23"/>
  <c r="B5" i="23"/>
  <c r="B105" i="23" s="1"/>
  <c r="F5" i="23"/>
  <c r="F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<sst xmlns="http://schemas.openxmlformats.org/spreadsheetml/2006/main" count="7259" uniqueCount="3189">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</sst>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3" fontId="48" fillId="0" borderId="1" xfId="0" quotePrefix="1" applyNumberFormat="1" applyFont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19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13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8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4">
      <filters>
        <filter val="Curso de formação para gestores e fiscais de Contrato em equipamentos nas unidades hospitalares - T2"/>
        <filter val="Curso de formação para gestores e fiscais de Contrato em equipamentos nas unidades hospitalares - T3"/>
        <filter val="Gestão e Fiscalização de Contratos de Equipamentos Médico Hospitalares e Serviços de Manutenção"/>
        <filter val="Regularidade nos Processo de Aquisição / Manutenção de Equipamentos médico-hospitalares – Termos de Referência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B1" zoomScaleNormal="100" workbookViewId="0">
      <pane ySplit="1" topLeftCell="A93" activePane="bottomLeft" state="frozen"/>
      <selection pane="bottomLeft" activeCell="C679" sqref="C679"/>
    </sheetView>
  </sheetViews>
  <sheetFormatPr defaultColWidth="9.140625" defaultRowHeight="22.5" customHeight="1" x14ac:dyDescent="0.25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2892</v>
      </c>
    </row>
    <row r="663" spans="1:20" ht="30" hidden="1" x14ac:dyDescent="0.25">
      <c r="A663" s="191" t="s">
        <v>2715</v>
      </c>
      <c r="B663" s="127">
        <v>2026</v>
      </c>
      <c r="C663" s="164" t="s">
        <v>2697</v>
      </c>
      <c r="D663" s="127" t="s">
        <v>2716</v>
      </c>
      <c r="E663" s="162" t="s">
        <v>2717</v>
      </c>
      <c r="F663" s="129" t="s">
        <v>88</v>
      </c>
      <c r="G663" s="130" t="s">
        <v>2718</v>
      </c>
      <c r="H663" s="131" t="s">
        <v>2719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2720</v>
      </c>
    </row>
    <row r="664" spans="1:20" ht="15" hidden="1" x14ac:dyDescent="0.25">
      <c r="A664" s="191" t="s">
        <v>2721</v>
      </c>
      <c r="B664" s="127">
        <v>2026</v>
      </c>
      <c r="C664" s="183" t="s">
        <v>22</v>
      </c>
      <c r="D664" s="183" t="s">
        <v>2722</v>
      </c>
      <c r="E664" s="184" t="s">
        <v>2723</v>
      </c>
      <c r="F664" s="185" t="s">
        <v>24</v>
      </c>
      <c r="G664" s="186" t="s">
        <v>25</v>
      </c>
      <c r="H664" s="191" t="s">
        <v>2724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2725</v>
      </c>
    </row>
    <row r="665" spans="1:20" ht="15" hidden="1" x14ac:dyDescent="0.25">
      <c r="A665" s="137" t="s">
        <v>2726</v>
      </c>
      <c r="B665" s="127">
        <v>2026</v>
      </c>
      <c r="C665" s="183" t="s">
        <v>22</v>
      </c>
      <c r="D665" s="183" t="s">
        <v>2727</v>
      </c>
      <c r="E665" s="184" t="s">
        <v>2676</v>
      </c>
      <c r="F665" s="185" t="s">
        <v>24</v>
      </c>
      <c r="G665" s="186" t="s">
        <v>42</v>
      </c>
      <c r="H665" s="191" t="s">
        <v>2728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2729</v>
      </c>
      <c r="B666" s="127">
        <v>2026</v>
      </c>
      <c r="C666" s="183" t="s">
        <v>22</v>
      </c>
      <c r="D666" s="183" t="s">
        <v>2730</v>
      </c>
      <c r="E666" s="184" t="s">
        <v>2731</v>
      </c>
      <c r="F666" s="185" t="s">
        <v>24</v>
      </c>
      <c r="G666" s="186" t="s">
        <v>371</v>
      </c>
      <c r="H666" s="191" t="s">
        <v>2732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2733</v>
      </c>
      <c r="B667" s="127">
        <v>2026</v>
      </c>
      <c r="C667" s="127" t="s">
        <v>22</v>
      </c>
      <c r="D667" s="173" t="s">
        <v>2734</v>
      </c>
      <c r="E667" s="180" t="s">
        <v>2735</v>
      </c>
      <c r="F667" s="129" t="s">
        <v>88</v>
      </c>
      <c r="G667" s="130" t="s">
        <v>2718</v>
      </c>
      <c r="H667" s="175" t="s">
        <v>2736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2737</v>
      </c>
      <c r="B668" s="127">
        <v>2026</v>
      </c>
      <c r="C668" s="215" t="s">
        <v>22</v>
      </c>
      <c r="D668" s="183" t="s">
        <v>2738</v>
      </c>
      <c r="E668" s="184" t="s">
        <v>2739</v>
      </c>
      <c r="F668" s="185" t="s">
        <v>88</v>
      </c>
      <c r="G668" s="186" t="s">
        <v>2718</v>
      </c>
      <c r="H668" s="191" t="s">
        <v>2740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2741</v>
      </c>
      <c r="B669" s="127">
        <v>2026</v>
      </c>
      <c r="C669" s="127" t="s">
        <v>22</v>
      </c>
      <c r="D669" s="173" t="s">
        <v>2742</v>
      </c>
      <c r="E669" s="180" t="s">
        <v>2743</v>
      </c>
      <c r="F669" s="129" t="s">
        <v>69</v>
      </c>
      <c r="G669" s="174" t="s">
        <v>2694</v>
      </c>
      <c r="H669" s="175" t="s">
        <v>2744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2745</v>
      </c>
    </row>
    <row r="670" spans="1:20" ht="30" x14ac:dyDescent="0.25">
      <c r="A670" s="191" t="s">
        <v>2746</v>
      </c>
      <c r="B670" s="127">
        <v>2026</v>
      </c>
      <c r="C670" s="127" t="s">
        <v>22</v>
      </c>
      <c r="D670" s="173" t="s">
        <v>2742</v>
      </c>
      <c r="E670" s="208" t="s">
        <v>2747</v>
      </c>
      <c r="F670" s="129" t="s">
        <v>69</v>
      </c>
      <c r="G670" s="174" t="s">
        <v>2694</v>
      </c>
      <c r="H670" s="175" t="s">
        <v>2748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2745</v>
      </c>
    </row>
    <row r="671" spans="1:20" ht="15" hidden="1" x14ac:dyDescent="0.25">
      <c r="A671" s="191" t="s">
        <v>2749</v>
      </c>
      <c r="B671" s="127">
        <v>2026</v>
      </c>
      <c r="C671" s="183" t="s">
        <v>2697</v>
      </c>
      <c r="D671" s="183" t="s">
        <v>2750</v>
      </c>
      <c r="E671" s="184" t="s">
        <v>2751</v>
      </c>
      <c r="F671" s="185" t="s">
        <v>69</v>
      </c>
      <c r="G671" s="186" t="s">
        <v>79</v>
      </c>
      <c r="H671" s="209" t="s">
        <v>2752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2753</v>
      </c>
    </row>
    <row r="672" spans="1:20" ht="15" hidden="1" x14ac:dyDescent="0.25">
      <c r="A672" s="137" t="s">
        <v>2754</v>
      </c>
      <c r="B672" s="127">
        <v>2026</v>
      </c>
      <c r="C672" s="183" t="s">
        <v>22</v>
      </c>
      <c r="D672" s="183" t="s">
        <v>2755</v>
      </c>
      <c r="E672" s="184" t="s">
        <v>2756</v>
      </c>
      <c r="F672" s="185" t="s">
        <v>24</v>
      </c>
      <c r="G672" s="186" t="s">
        <v>25</v>
      </c>
      <c r="H672" s="191" t="s">
        <v>2757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2758</v>
      </c>
    </row>
    <row r="673" spans="1:20" ht="15" hidden="1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44" t="s">
        <v>371</v>
      </c>
      <c r="H673" s="155" t="s">
        <v>2762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2763</v>
      </c>
    </row>
    <row r="674" spans="1:20" ht="15" hidden="1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69</v>
      </c>
      <c r="G674" s="130" t="s">
        <v>2694</v>
      </c>
      <c r="H674" s="172" t="s">
        <v>2767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2768</v>
      </c>
    </row>
    <row r="675" spans="1:20" ht="15" hidden="1" x14ac:dyDescent="0.25">
      <c r="A675" s="137" t="s">
        <v>2769</v>
      </c>
      <c r="B675" s="127">
        <v>2026</v>
      </c>
      <c r="C675" s="127" t="s">
        <v>22</v>
      </c>
      <c r="D675" s="173" t="s">
        <v>2770</v>
      </c>
      <c r="E675" s="128" t="s">
        <v>2771</v>
      </c>
      <c r="F675" s="129" t="s">
        <v>69</v>
      </c>
      <c r="G675" s="174" t="s">
        <v>2694</v>
      </c>
      <c r="H675" s="217" t="s">
        <v>2772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2768</v>
      </c>
    </row>
    <row r="676" spans="1:20" ht="15" hidden="1" x14ac:dyDescent="0.25">
      <c r="A676" s="137" t="s">
        <v>2773</v>
      </c>
      <c r="B676" s="127">
        <v>2026</v>
      </c>
      <c r="C676" s="127" t="s">
        <v>22</v>
      </c>
      <c r="D676" s="127" t="s">
        <v>2774</v>
      </c>
      <c r="E676" s="128" t="s">
        <v>2775</v>
      </c>
      <c r="F676" s="129" t="s">
        <v>69</v>
      </c>
      <c r="G676" s="130" t="s">
        <v>79</v>
      </c>
      <c r="H676" s="127" t="s">
        <v>2776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2777</v>
      </c>
      <c r="B677" s="127">
        <v>2026</v>
      </c>
      <c r="C677" s="193" t="s">
        <v>2697</v>
      </c>
      <c r="D677" s="193" t="s">
        <v>2778</v>
      </c>
      <c r="E677" s="184" t="s">
        <v>2779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2745</v>
      </c>
    </row>
    <row r="678" spans="1:20" ht="15" hidden="1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 x14ac:dyDescent="0.25">
      <c r="A679" s="191" t="s">
        <v>2784</v>
      </c>
      <c r="B679" s="127">
        <v>2026</v>
      </c>
      <c r="C679" s="193" t="s">
        <v>2566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2788</v>
      </c>
    </row>
    <row r="680" spans="1:20" ht="15" hidden="1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hidden="1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hidden="1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hidden="1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hidden="1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hidden="1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2745</v>
      </c>
    </row>
    <row r="687" spans="1:20" ht="15" hidden="1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hidden="1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hidden="1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hidden="1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hidden="1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hidden="1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hidden="1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hidden="1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hidden="1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2718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hidden="1" x14ac:dyDescent="0.25">
      <c r="A702" s="191" t="s">
        <v>2880</v>
      </c>
      <c r="B702" s="152">
        <v>2026</v>
      </c>
      <c r="C702" s="183" t="s">
        <v>2697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2883</v>
      </c>
    </row>
    <row r="703" spans="1:20" ht="15" hidden="1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2887</v>
      </c>
    </row>
    <row r="704" spans="1:20" ht="15" hidden="1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2892</v>
      </c>
    </row>
    <row r="705" spans="1:21" ht="15" hidden="1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2718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41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2718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2718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2718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2718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2718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2718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2718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2718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2718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2718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2718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2718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2718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2718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2718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2718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2718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3185</v>
      </c>
      <c r="B737" s="183">
        <v>2026</v>
      </c>
      <c r="C737" s="183" t="s">
        <v>2697</v>
      </c>
      <c r="D737" s="183" t="s">
        <v>3186</v>
      </c>
      <c r="E737" s="180" t="s">
        <v>3187</v>
      </c>
      <c r="F737" s="185"/>
      <c r="G737" s="186" t="s">
        <v>79</v>
      </c>
      <c r="H737" s="191" t="s">
        <v>3188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2892</v>
      </c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2720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2795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2892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2866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2871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2929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2836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Em andamento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2721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2754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2754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2754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2754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2754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Em andamento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Em andamento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2784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2749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2749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2749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2892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 x14ac:dyDescent="0.75">
      <c r="A5" s="35">
        <f>COUNTIF('Ações InCompany'!B:B,2026)</f>
        <v>81</v>
      </c>
      <c r="B5" s="36" t="s">
        <v>3081</v>
      </c>
      <c r="D5" s="43">
        <f>COUNTIFS('Ações InCompany'!B:B,2026,'Ações InCompany'!C:C,"Realizado")</f>
        <v>46</v>
      </c>
      <c r="E5" s="44" t="s">
        <v>3081</v>
      </c>
      <c r="G5" s="46">
        <f>COUNTIFS('Ações InCompany'!B:B,2026,'Ações InCompany'!C:C,"A realizar")</f>
        <v>31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6" t="s">
        <v>3082</v>
      </c>
      <c r="B8" s="226"/>
      <c r="D8" s="226" t="s">
        <v>3083</v>
      </c>
      <c r="E8" s="226"/>
    </row>
    <row r="9" spans="1:7" ht="5.0999999999999996" customHeight="1" x14ac:dyDescent="0.25">
      <c r="A9" s="227"/>
      <c r="B9" s="227"/>
      <c r="D9" s="227"/>
      <c r="E9" s="227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19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44</v>
      </c>
      <c r="D14" s="33" t="s">
        <v>3091</v>
      </c>
      <c r="E14" s="34">
        <f>SUM(E11:E13)</f>
        <v>1848</v>
      </c>
    </row>
    <row r="30" spans="1:5" ht="17.25" x14ac:dyDescent="0.3">
      <c r="A30" s="226" t="s">
        <v>3092</v>
      </c>
      <c r="B30" s="226"/>
      <c r="C30" s="226"/>
      <c r="D30" s="226"/>
      <c r="E30" s="226"/>
    </row>
    <row r="31" spans="1:5" ht="5.0999999999999996" customHeight="1" x14ac:dyDescent="0.25">
      <c r="A31" s="227"/>
      <c r="B31" s="227"/>
      <c r="C31" s="227"/>
      <c r="D31" s="227"/>
      <c r="E31" s="227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13</v>
      </c>
      <c r="C33" s="47">
        <f>COUNTIFS('Ações InCompany'!B:B,2026,'Ações InCompany'!C:C,"A realizar",'Ações InCompany'!G:G,A33)</f>
        <v>8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2718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46</v>
      </c>
      <c r="C45" s="41">
        <f>SUM(C33:C44)</f>
        <v>31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2694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2793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 x14ac:dyDescent="0.25">
      <c r="A2" s="49" t="s">
        <v>3144</v>
      </c>
    </row>
    <row r="4" spans="1:8" ht="21.95" customHeight="1" x14ac:dyDescent="0.25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 x14ac:dyDescent="0.25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9" t="s">
        <v>3153</v>
      </c>
      <c r="B1" s="239"/>
      <c r="C1" s="239"/>
      <c r="D1" s="239"/>
      <c r="E1" s="239"/>
      <c r="F1" s="239"/>
    </row>
    <row r="2" spans="1:7" x14ac:dyDescent="0.25">
      <c r="A2" s="240" t="s">
        <v>3154</v>
      </c>
      <c r="B2" s="240"/>
      <c r="C2" s="240"/>
      <c r="D2" s="240"/>
      <c r="E2" s="240"/>
      <c r="F2" s="240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2754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openxmlformats.org/package/2006/metadata/core-properties"/>
    <ds:schemaRef ds:uri="http://schemas.microsoft.com/office/2006/documentManagement/types"/>
    <ds:schemaRef ds:uri="http://purl.org/dc/terms/"/>
    <ds:schemaRef ds:uri="91ce1707-6d34-452b-b217-9734c03e6729"/>
    <ds:schemaRef ds:uri="http://schemas.microsoft.com/office/2006/metadata/properties"/>
    <ds:schemaRef ds:uri="http://purl.org/dc/dcmitype/"/>
    <ds:schemaRef ds:uri="http://purl.org/dc/elements/1.1/"/>
    <ds:schemaRef ds:uri="fe686eaa-0658-4f15-b230-9e46c4d089fd"/>
    <ds:schemaRef ds:uri="http://schemas.microsoft.com/office/infopath/2007/PartnerControl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2026-08-14T16:58:27Z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