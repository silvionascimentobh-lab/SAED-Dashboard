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83" documentId="8_{454372C2-A99E-4E47-A759-72B38925853E}" xr6:coauthVersionLast="47" xr6:coauthVersionMax="47" xr10:uidLastSave="{6343D1BD-AC79-4284-8F76-72F2946A2ABB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1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E105" i="23" s="1"/>
  <c r="A2" i="20" l="1"/>
  <c r="A5" i="23" a="1"/>
  <c r="D47" i="23"/>
  <c r="E47" i="23"/>
  <c r="F47" i="23"/>
  <c r="C47" i="23"/>
  <c r="B47" i="23"/>
  <c r="D8" i="23" l="1"/>
  <c r="F29" i="23"/>
  <c r="B15" i="23"/>
  <c r="F15" i="23"/>
  <c r="B26" i="23"/>
  <c r="E37" i="23"/>
  <c r="D14" i="23"/>
  <c r="E35" i="23"/>
  <c r="F44" i="23"/>
  <c r="C13" i="23"/>
  <c r="E30" i="23"/>
  <c r="B24" i="23"/>
  <c r="B8" i="23"/>
  <c r="D11" i="23"/>
  <c r="B20" i="23"/>
  <c r="B35" i="23"/>
  <c r="D36" i="23"/>
  <c r="D23" i="23"/>
  <c r="B23" i="23"/>
  <c r="E18" i="23"/>
  <c r="C25" i="23"/>
  <c r="F22" i="23"/>
  <c r="B12" i="23"/>
  <c r="E17" i="23"/>
  <c r="D43" i="23"/>
  <c r="B27" i="23"/>
  <c r="D37" i="23"/>
  <c r="B16" i="23"/>
  <c r="D41" i="23"/>
  <c r="C17" i="23"/>
  <c r="B17" i="23"/>
  <c r="F31" i="23"/>
  <c r="B42" i="23"/>
  <c r="D15" i="23"/>
  <c r="E16" i="23"/>
  <c r="F21" i="23"/>
  <c r="D31" i="23"/>
  <c r="E26" i="23"/>
  <c r="B6" i="23"/>
  <c r="F9" i="23"/>
  <c r="D12" i="23"/>
  <c r="C23" i="23"/>
  <c r="C18" i="23"/>
  <c r="F36" i="23"/>
  <c r="F35" i="23"/>
  <c r="E21" i="23"/>
  <c r="D38" i="23"/>
  <c r="C9" i="23"/>
  <c r="C29" i="23"/>
  <c r="C31" i="23"/>
  <c r="C35" i="23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B45" i="23"/>
  <c r="F18" i="23"/>
  <c r="B22" i="23"/>
  <c r="C8" i="23"/>
  <c r="B34" i="23"/>
  <c r="B37" i="23"/>
  <c r="D13" i="23"/>
  <c r="B32" i="23"/>
  <c r="D20" i="23"/>
  <c r="E33" i="23"/>
  <c r="C45" i="23"/>
  <c r="F25" i="23"/>
  <c r="F14" i="23"/>
  <c r="B14" i="23"/>
  <c r="D30" i="23"/>
  <c r="C42" i="23"/>
  <c r="F27" i="23"/>
  <c r="D29" i="23"/>
  <c r="C26" i="23"/>
  <c r="D34" i="23"/>
  <c r="F45" i="23"/>
  <c r="B13" i="23"/>
  <c r="F6" i="23"/>
  <c r="D21" i="23"/>
  <c r="C11" i="23"/>
  <c r="E9" i="23"/>
  <c r="D42" i="23"/>
  <c r="B9" i="23"/>
  <c r="A5" i="23"/>
  <c r="F5" i="23" s="1"/>
  <c r="F24" i="23"/>
  <c r="B43" i="23"/>
  <c r="C21" i="23"/>
  <c r="E32" i="23"/>
  <c r="B30" i="23"/>
  <c r="C46" i="23"/>
  <c r="E19" i="23"/>
  <c r="E39" i="23"/>
  <c r="F16" i="23"/>
  <c r="F42" i="23"/>
  <c r="E14" i="23"/>
  <c r="B40" i="23"/>
  <c r="C15" i="23"/>
  <c r="F10" i="23"/>
  <c r="B10" i="23"/>
  <c r="D7" i="23"/>
  <c r="F46" i="23"/>
  <c r="E11" i="23"/>
  <c r="C34" i="23"/>
  <c r="D27" i="23"/>
  <c r="C33" i="23"/>
  <c r="F17" i="23"/>
  <c r="F28" i="23"/>
  <c r="F11" i="23"/>
  <c r="D33" i="23"/>
  <c r="F19" i="23"/>
  <c r="B7" i="23"/>
  <c r="E46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E42" i="23"/>
  <c r="D18" i="23"/>
  <c r="E23" i="23"/>
  <c r="E24" i="23"/>
  <c r="F40" i="23"/>
  <c r="D17" i="23"/>
  <c r="C6" i="23"/>
  <c r="F30" i="23"/>
  <c r="F37" i="23"/>
  <c r="F8" i="23"/>
  <c r="B28" i="23"/>
  <c r="E6" i="23"/>
  <c r="D16" i="23"/>
  <c r="C30" i="23"/>
  <c r="C38" i="23"/>
  <c r="B39" i="23"/>
  <c r="F33" i="23"/>
  <c r="C44" i="23"/>
  <c r="E29" i="23"/>
  <c r="E22" i="23"/>
  <c r="C12" i="23"/>
  <c r="D19" i="23"/>
  <c r="F13" i="23"/>
  <c r="D40" i="23"/>
  <c r="F34" i="23"/>
  <c r="C36" i="23"/>
  <c r="E45" i="23"/>
  <c r="B38" i="23"/>
  <c r="D45" i="23"/>
  <c r="E31" i="23"/>
  <c r="C32" i="23"/>
  <c r="B46" i="23"/>
  <c r="C43" i="23"/>
  <c r="E41" i="23"/>
  <c r="E43" i="23"/>
  <c r="D6" i="23"/>
  <c r="C20" i="23"/>
  <c r="D44" i="23"/>
  <c r="E25" i="23"/>
  <c r="D46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B25" i="23"/>
  <c r="F23" i="23"/>
  <c r="C27" i="23"/>
  <c r="E10" i="23"/>
  <c r="D32" i="23"/>
  <c r="E20" i="23"/>
  <c r="E34" i="23"/>
  <c r="E36" i="23"/>
  <c r="F39" i="23"/>
  <c r="C14" i="23"/>
  <c r="B41" i="23"/>
  <c r="C10" i="23"/>
  <c r="C41" i="23"/>
  <c r="F105" i="23" l="1"/>
  <c r="G5" i="23"/>
  <c r="C5" i="23"/>
  <c r="C105" i="23" s="1"/>
  <c r="E5" i="23"/>
  <c r="B5" i="23"/>
  <c r="B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<sst xmlns="http://schemas.openxmlformats.org/spreadsheetml/2006/main" count="6815" uniqueCount="3028">
  <si>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</si>
  <si>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</si>
  <si>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</si>
  <si>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</si>
  <si>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</si>
  <si>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</si>
  <si>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</si>
  <si>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</si>
  <si>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</si>
  <si>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</si>
  <si>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</si>
  <si>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</si>
  <si>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</si>
  <si>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</si>
  <si>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</si>
  <si>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</si>
  <si>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</si>
  <si>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</si>
  <si>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</si>
  <si>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</si>
  <si>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</si>
  <si>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</si>
  <si>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</si>
  <si>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</si>
  <si>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</si>
  <si>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</si>
  <si>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</si>
  <si>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</si>
  <si>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</si>
  <si>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</si>
  <si>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</si>
  <si>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</si>
  <si>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</si>
  <si>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</si>
  <si>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</si>
  <si>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</si>
  <si>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</si>
  <si>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</si>
  <si>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</si>
  <si>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</si>
  <si>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</si>
  <si>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</si>
  <si>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</si>
  <si>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</si>
  <si>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</si>
  <si>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</si>
  <si>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</si>
  <si>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</si>
  <si>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</si>
  <si>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</si>
  <si>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</si>
  <si>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</si>
  <si>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</si>
  <si>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</si>
  <si>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</si>
  <si>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</si>
  <si>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</si>
  <si>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</si>
  <si>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</si>
  <si>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</si>
  <si>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</si>
  <si>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</si>
  <si>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</si>
  <si>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</si>
  <si>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</si>
  <si>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</si>
  <si>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</si>
  <si>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</si>
  <si>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</si>
  <si>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</si>
  <si>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</si>
  <si>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</si>
  <si>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</si>
  <si>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</si>
  <si>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</si>
  <si>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</si>
  <si>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</si>
  <si>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</si>
  <si>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</si>
  <si>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</si>
  <si>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</si>
  <si>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</si>
  <si>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</si>
  <si>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</si>
  <si>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</si>
  <si>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</si>
  <si>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</si>
  <si>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</si>
  <si>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</si>
  <si>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</si>
  <si>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</si>
  <si>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</si>
  <si>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</si>
  <si>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</si>
  <si>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</si>
  <si>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</si>
  <si>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</si>
  <si>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</si>
  <si>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</si>
  <si>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</si>
  <si>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</si>
  <si>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</si>
  <si>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</si>
  <si>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</si>
  <si>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</si>
  <si>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</si>
  <si>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</si>
  <si>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</si>
  <si>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</si>
  <si>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</si>
  <si>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</si>
  <si>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</si>
  <si>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</si>
  <si>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</si>
  <si>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</si>
  <si>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</si>
  <si>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</si>
  <si>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</si>
  <si>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</si>
  <si>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</si>
  <si>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</si>
  <si>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</si>
  <si>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</si>
  <si>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</si>
  <si>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</si>
  <si>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</si>
  <si>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</si>
  <si>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</si>
  <si>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</si>
  <si>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</si>
  <si>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</si>
  <si>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</si>
  <si>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</si>
  <si>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</si>
  <si>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</si>
  <si>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</si>
  <si>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</si>
  <si>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</si>
  <si>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</si>
  <si>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</si>
  <si>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</si>
  <si>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</si>
  <si>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</si>
  <si>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</si>
  <si>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</si>
  <si>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</si>
  <si>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</si>
  <si>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</si>
  <si>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</si>
  <si>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</si>
  <si>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</si>
  <si>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</si>
  <si>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</si>
  <si>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</si>
  <si>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</si>
  <si>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</si>
  <si>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</si>
  <si>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</si>
  <si>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</si>
  <si>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</si>
  <si>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</si>
  <si>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</si>
  <si>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</si>
  <si>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</si>
  <si>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</si>
  <si>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</si>
  <si>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</si>
  <si>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</si>
  <si>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</si>
  <si>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</si>
  <si>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</si>
  <si>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</si>
  <si>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</si>
  <si>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</si>
  <si>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</si>
  <si>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</si>
  <si>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</si>
  <si>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</si>
  <si>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</si>
  <si>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</si>
  <si>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</si>
  <si>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</si>
  <si>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</si>
  <si>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</si>
  <si>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</si>
  <si>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</si>
  <si>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</si>
  <si>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</si>
  <si>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</si>
  <si>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</si>
  <si>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</si>
  <si>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</si>
  <si>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</si>
  <si>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</si>
  <si>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</si>
  <si>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</si>
  <si>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</si>
  <si>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</si>
  <si>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</si>
  <si>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</si>
  <si>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</si>
  <si>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</si>
  <si>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</si>
  <si>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</si>
  <si>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</si>
  <si>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</si>
  <si>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</si>
  <si>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</si>
  <si>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</si>
  <si>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</si>
  <si>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</si>
  <si>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</si>
  <si>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</si>
  <si>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</si>
  <si>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</si>
  <si>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</si>
  <si>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</si>
  <si>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</si>
  <si>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</si>
  <si>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</si>
  <si>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</si>
  <si>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</si>
  <si>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</si>
  <si>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</si>
  <si>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</si>
  <si>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</si>
  <si>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</si>
  <si>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</si>
  <si>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</si>
  <si>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</si>
  <si>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</si>
  <si>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</si>
  <si>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</si>
  <si>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</si>
  <si>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</si>
  <si>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</si>
  <si>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</si>
  <si>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</si>
  <si>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</si>
  <si>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</si>
  <si>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</si>
  <si>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</si>
  <si>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</si>
  <si>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</si>
  <si>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</si>
  <si>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</si>
  <si>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</si>
  <si>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</si>
  <si>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</si>
  <si>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</si>
  <si>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</si>
  <si>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</si>
  <si>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</si>
  <si>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</si>
  <si>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</si>
  <si>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</si>
  <si>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</si>
  <si>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</si>
  <si>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</si>
  <si>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</si>
  <si>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</si>
  <si>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</si>
  <si>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</si>
  <si>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</si>
  <si>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</si>
  <si>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</si>
  <si>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</si>
  <si>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</si>
  <si>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</si>
  <si>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</si>
  <si>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</si>
  <si>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</si>
  <si>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</si>
  <si>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</si>
  <si>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</si>
  <si>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</si>
  <si>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</si>
  <si>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</si>
  <si>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</si>
  <si>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</si>
  <si>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</si>
  <si>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</si>
  <si>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</si>
  <si>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</si>
  <si>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</si>
  <si>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</si>
  <si>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</si>
  <si>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</si>
  <si>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</si>
  <si>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</si>
  <si>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</si>
  <si>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</si>
  <si>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</si>
  <si>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</si>
  <si>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</si>
  <si>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</si>
  <si>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</si>
  <si>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</si>
  <si>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</si>
  <si>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</si>
  <si>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</si>
  <si>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</si>
  <si>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</si>
  <si>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</si>
  <si>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</si>
  <si>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</si>
  <si>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</si>
  <si>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</si>
  <si>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</si>
  <si>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</si>
  <si>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</si>
  <si>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</si>
  <si>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</si>
  <si>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</si>
  <si>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</si>
  <si>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</si>
  <si>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</si>
  <si>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</si>
  <si>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</si>
  <si>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</si>
  <si>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</si>
  <si>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</si>
  <si>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</si>
  <si>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</si>
  <si>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</si>
  <si>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</si>
  <si>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</si>
  <si>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</si>
  <si>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</si>
  <si>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</si>
  <si>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</si>
  <si>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</si>
  <si>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</si>
  <si>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</si>
  <si>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</si>
  <si>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</si>
  <si>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</si>
  <si>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</si>
  <si>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</si>
  <si>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</si>
  <si>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</si>
  <si>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</si>
  <si>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</si>
  <si>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</si>
  <si>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</si>
  <si>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</si>
  <si>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</si>
  <si>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</si>
  <si>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</si>
  <si>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</si>
  <si>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</si>
  <si>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</si>
  <si>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</si>
  <si>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</si>
  <si>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</si>
  <si>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</si>
  <si>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</si>
  <si>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</si>
  <si>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</si>
  <si>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</si>
  <si>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</si>
  <si>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</si>
  <si>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</si>
  <si>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</si>
  <si>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</si>
  <si>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</si>
  <si>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</si>
  <si>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</si>
  <si>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</si>
  <si>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</si>
  <si>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</si>
  <si>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</si>
  <si>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</si>
  <si>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</si>
  <si>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</si>
  <si>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</si>
  <si>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</si>
  <si>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</si>
  <si>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</si>
  <si>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</si>
  <si>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</si>
  <si>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</si>
  <si>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</si>
  <si>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</si>
  <si>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</si>
  <si>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</si>
  <si>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</si>
  <si>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</si>
  <si>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</si>
  <si>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</si>
  <si>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</si>
  <si>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</si>
  <si>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</si>
  <si>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</si>
  <si>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</si>
  <si>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</si>
  <si>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</si>
  <si>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</si>
  <si>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</si>
  <si>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</si>
  <si>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</si>
  <si>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</si>
  <si>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</si>
  <si>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</si>
  <si>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</si>
  <si>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</si>
  <si>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</si>
  <si>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</si>
  <si>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</si>
  <si>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</si>
  <si>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</si>
  <si>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</si>
  <si>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</si>
  <si>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</si>
  <si>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</si>
  <si>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</si>
  <si>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</si>
  <si>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</si>
  <si>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</si>
  <si>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</si>
  <si>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</si>
  <si>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</si>
  <si>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</si>
  <si>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</si>
  <si>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</si>
  <si>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</si>
  <si>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</si>
  <si>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</si>
  <si>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</si>
  <si>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</si>
  <si>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</si>
  <si>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</si>
  <si>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</si>
  <si>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</si>
  <si>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</si>
  <si>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</si>
  <si>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</si>
  <si>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</si>
  <si>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</si>
  <si>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</si>
  <si>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</si>
  <si>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</si>
  <si>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</si>
  <si>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</si>
  <si>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</si>
  <si>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</si>
  <si>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</si>
  <si>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</si>
  <si>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</si>
  <si>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</si>
  <si>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</si>
  <si>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</si>
  <si>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</si>
  <si>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</si>
  <si>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</si>
  <si>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</si>
  <si>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</si>
  <si>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</si>
  <si>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</si>
  <si>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</si>
  <si>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</si>
  <si>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</si>
  <si>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</si>
  <si>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</si>
  <si>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</si>
  <si>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</si>
  <si>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</si>
  <si>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</si>
  <si>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</si>
  <si>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</si>
  <si>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</si>
  <si>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</si>
  <si>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</si>
  <si>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</si>
  <si>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</si>
  <si>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</si>
  <si>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</si>
  <si>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</si>
  <si>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</si>
  <si>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</si>
  <si>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</si>
  <si>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</si>
  <si>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</si>
  <si>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</si>
  <si>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</si>
  <si>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</si>
  <si>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</si>
  <si>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</si>
  <si>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</si>
  <si>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</si>
  <si>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</si>
  <si>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</si>
  <si>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</si>
  <si>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</si>
  <si>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</si>
  <si>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</si>
  <si>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</si>
  <si>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</si>
  <si>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</si>
  <si>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</si>
  <si>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</si>
  <si>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</si>
  <si>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</si>
  <si>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</si>
  <si>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</si>
  <si>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</si>
  <si>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</si>
  <si>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</si>
  <si>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</si>
  <si>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</si>
  <si>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</si>
  <si>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</si>
  <si>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</si>
  <si>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</si>
  <si>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</si>
  <si>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</si>
  <si>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</si>
  <si>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</si>
  <si>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</si>
  <si>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</si>
  <si>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</si>
  <si>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</si>
  <si>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</si>
  <si>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</si>
  <si>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</si>
  <si>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</si>
  <si>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</si>
  <si>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</si>
  <si>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</si>
  <si>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</si>
  <si>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</si>
  <si>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</si>
  <si>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</si>
  <si>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</si>
  <si>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</si>
  <si>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</si>
  <si>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</si>
  <si>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</si>
  <si>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</si>
  <si>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</si>
  <si>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</si>
  <si>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</si>
  <si>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</si>
  <si>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</si>
  <si>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</si>
  <si>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</si>
  <si>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</si>
  <si>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</si>
  <si>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</si>
  <si>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</si>
  <si>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</si>
  <si>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</si>
  <si>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</si>
  <si>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</si>
  <si>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</si>
  <si>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</si>
  <si>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</si>
  <si>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</si>
  <si>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</si>
  <si>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</si>
  <si>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</si>
  <si>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</si>
  <si>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</si>
  <si>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</si>
  <si>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</si>
  <si>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</si>
  <si>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</si>
  <si>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</si>
  <si>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</si>
  <si>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</si>
  <si>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</si>
  <si>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</si>
  <si>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</si>
  <si>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</si>
  <si>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</si>
  <si>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</si>
  <si>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</si>
  <si>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</si>
  <si>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</si>
  <si>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</si>
  <si>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</si>
  <si>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</si>
  <si>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</si>
  <si>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</si>
  <si>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</si>
  <si>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</si>
  <si>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</si>
  <si>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</si>
  <si>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</si>
  <si>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</si>
  <si>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</si>
  <si>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</si>
  <si>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</si>
  <si>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</si>
  <si>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</si>
  <si>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</si>
  <si>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</si>
  <si>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</si>
  <si>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</si>
  <si>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</si>
  <si>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</si>
  <si>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</si>
  <si>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</si>
  <si>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</si>
  <si>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</si>
  <si>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</si>
  <si>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</si>
  <si>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</si>
  <si>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</si>
  <si>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</si>
  <si>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</si>
  <si>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</si>
  <si>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</si>
  <si>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</si>
  <si>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</si>
  <si>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</si>
  <si>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</si>
  <si>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</si>
  <si>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</si>
  <si>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</si>
  <si>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</si>
  <si>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</si>
  <si>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</si>
  <si>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</si>
  <si>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</si>
  <si>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</si>
  <si>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</si>
  <si>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</si>
  <si>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</si>
  <si>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</si>
  <si>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</si>
  <si>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</si>
  <si>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</si>
  <si>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</si>
  <si>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</si>
  <si>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</si>
  <si>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</si>
  <si>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</si>
  <si>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</si>
  <si>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</si>
  <si>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</si>
  <si>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</si>
  <si>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</si>
  <si>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</si>
  <si>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</si>
  <si>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</si>
  <si>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</si>
  <si>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</si>
  <si>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</si>
  <si>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</si>
  <si>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</si>
  <si>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</si>
  <si>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</si>
  <si>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</si>
  <si>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</si>
  <si>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</si>
  <si>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</si>
  <si>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</si>
  <si>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</si>
  <si>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</si>
  <si>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</si>
  <si>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</si>
  <si>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</si>
  <si>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</si>
  <si>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</si>
  <si>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</si>
  <si>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</si>
  <si>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</si>
  <si>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</si>
  <si>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</si>
  <si>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</si>
  <si>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</si>
  <si>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</si>
  <si>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</si>
  <si>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</si>
  <si>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</si>
  <si>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</si>
  <si>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</si>
  <si>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</si>
  <si>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</si>
  <si>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</si>
  <si>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</si>
  <si>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</si>
  <si>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</si>
  <si>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</si>
  <si>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</si>
  <si>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</si>
  <si>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</si>
  <si>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</si>
  <si>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</si>
  <si>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</si>
  <si>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</si>
  <si>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</si>
  <si>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</si>
  <si>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</si>
  <si>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</si>
  <si>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</si>
  <si>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</si>
  <si>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</si>
  <si>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</si>
  <si>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</si>
  <si>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</si>
  <si>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</si>
  <si>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</si>
  <si>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</si>
  <si>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</si>
  <si>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</si>
  <si>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</si>
  <si>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</si>
  <si>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</si>
  <si>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</si>
  <si>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</si>
  <si>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</si>
  <si>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</si>
  <si>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</si>
  <si>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</si>
  <si>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</si>
  <si>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</si>
  <si>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</si>
  <si>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</si>
  <si>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</si>
  <si>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</si>
  <si>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</si>
  <si>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</si>
  <si>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</si>
  <si>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</si>
  <si>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</si>
  <si>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</si>
  <si>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</si>
  <si>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</si>
  <si>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</si>
  <si>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</si>
  <si>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</si>
  <si>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</si>
  <si>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</si>
  <si>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</si>
  <si>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</si>
  <si>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</si>
  <si>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</si>
  <si>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</si>
  <si>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</si>
  <si>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</si>
  <si>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</si>
  <si>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</si>
  <si>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</si>
  <si>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</si>
  <si>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</si>
  <si>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</si>
  <si>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</si>
  <si>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</si>
  <si>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</si>
  <si>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</si>
  <si>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</si>
  <si>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</si>
  <si>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</si>
  <si>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</si>
  <si>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</si>
  <si>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</si>
  <si>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</si>
  <si>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</si>
  <si>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</si>
  <si>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</si>
  <si>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</si>
  <si>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</si>
  <si>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</si>
  <si>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</si>
  <si>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</si>
  <si>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</si>
  <si>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</si>
  <si>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</si>
  <si>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</si>
  <si>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</si>
  <si>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</si>
  <si>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</si>
  <si>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</si>
  <si>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</si>
  <si>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</si>
  <si>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</si>
  <si>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</si>
  <si>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</si>
  <si>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</si>
  <si>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</si>
  <si>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</si>
  <si>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</si>
  <si>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</si>
  <si>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</si>
  <si>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</si>
  <si>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</si>
  <si>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</si>
  <si>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</si>
  <si>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</si>
  <si>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</si>
  <si>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</si>
  <si>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</si>
  <si>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</si>
  <si>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</si>
  <si>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</si>
  <si>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</si>
  <si>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</si>
  <si>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</si>
  <si>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</si>
  <si>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</si>
  <si>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</si>
  <si>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</si>
  <si>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</si>
  <si>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</si>
  <si>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</si>
  <si>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</si>
  <si>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</si>
  <si>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</si>
  <si>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</si>
  <si>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</si>
  <si>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</si>
  <si>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</si>
  <si>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</si>
  <si>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</si>
  <si>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</si>
  <si>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</si>
  <si>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</si>
  <si>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</si>
  <si>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</si>
  <si>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</si>
  <si>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</si>
  <si>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</si>
  <si>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</si>
  <si>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</si>
  <si>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</si>
  <si>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</si>
  <si>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</si>
  <si>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</si>
  <si>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</si>
  <si>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</si>
  <si>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</si>
  <si>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</si>
  <si>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</si>
  <si>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</si>
  <si>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</si>
  <si>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</si>
  <si>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</si>
  <si>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</si>
  <si>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</si>
  <si>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</si>
  <si>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</si>
  <si>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</si>
  <si>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</si>
  <si>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</si>
  <si>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</si>
  <si>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</si>
  <si>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</si>
  <si>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</si>
  <si>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</si>
  <si>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</si>
  <si>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</si>
  <si>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</si>
  <si>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</si>
  <si>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</si>
  <si>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</si>
  <si>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</si>
  <si>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</si>
  <si>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</si>
  <si>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</si>
  <si>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</si>
  <si>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</si>
  <si>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</si>
  <si>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</si>
  <si>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</si>
  <si>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</si>
  <si>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</si>
  <si>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</si>
  <si>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</si>
  <si>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</si>
  <si>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</si>
  <si>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</si>
  <si>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</si>
  <si>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</si>
  <si>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</si>
  <si>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</si>
  <si>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</si>
  <si>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</si>
  <si>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</si>
  <si>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</si>
  <si>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</si>
  <si>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</si>
  <si>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</si>
  <si>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</si>
  <si>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</si>
  <si>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</si>
  <si>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</si>
  <si>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</si>
  <si>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</si>
  <si>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</si>
  <si>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</si>
  <si>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</si>
  <si>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</si>
  <si>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</si>
  <si>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</si>
  <si>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</si>
  <si>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</si>
  <si>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</si>
  <si>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</si>
  <si>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</si>
  <si>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</si>
  <si>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</si>
  <si>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</si>
  <si>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</si>
  <si>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</si>
  <si>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</si>
  <si>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</si>
  <si>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</si>
  <si>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</si>
  <si>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</si>
  <si>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</si>
  <si>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</si>
  <si>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</si>
  <si>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</si>
  <si>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</si>
  <si>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</si>
  <si>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</si>
  <si>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</si>
  <si>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</si>
  <si>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</si>
  <si>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</si>
  <si>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</si>
  <si>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</si>
  <si>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</si>
  <si>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</si>
  <si>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</si>
  <si>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</si>
  <si>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</si>
  <si>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</si>
  <si>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</si>
  <si>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</si>
  <si>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</si>
  <si>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</si>
  <si>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</si>
  <si>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</si>
  <si>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</si>
  <si>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</si>
  <si>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</si>
  <si>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</si>
  <si>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</si>
  <si>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</si>
  <si>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</si>
  <si>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</si>
  <si>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</si>
  <si>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</si>
  <si>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</si>
  <si>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</si>
  <si>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</si>
  <si>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</si>
  <si>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</si>
  <si>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</si>
  <si>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</si>
  <si>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</si>
  <si>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</si>
  <si>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</si>
  <si>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</si>
  <si>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</si>
  <si>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</si>
  <si>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</si>
  <si>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</si>
  <si>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</si>
  <si>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</si>
  <si>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</si>
  <si>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</si>
  <si>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</si>
  <si>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</si>
  <si>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</si>
  <si>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</si>
  <si>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</si>
  <si>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</si>
  <si>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</si>
  <si>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</si>
  <si>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</si>
  <si>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</si>
  <si>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</si>
  <si>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</si>
  <si>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</si>
  <si>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</si>
  <si>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</si>
  <si>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</si>
  <si>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</si>
  <si>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</si>
  <si>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</si>
  <si>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</si>
  <si>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</si>
  <si>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</si>
  <si>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</si>
  <si>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</si>
  <si>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</si>
  <si>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</si>
  <si>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</si>
  <si>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</si>
  <si>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</si>
  <si>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</si>
  <si>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</si>
  <si>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</si>
  <si>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</si>
  <si>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</si>
  <si>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</si>
  <si>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</si>
  <si>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</si>
  <si>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</si>
  <si>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</si>
  <si>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</si>
  <si>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</si>
  <si>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</si>
  <si>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</si>
  <si>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</si>
  <si>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</si>
  <si>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</si>
  <si>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</si>
  <si>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</si>
  <si>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</si>
  <si>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</si>
  <si>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</si>
  <si>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</si>
  <si>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</si>
  <si>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</si>
  <si>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</si>
  <si>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</si>
  <si>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</si>
  <si>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</si>
  <si>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</si>
  <si>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</si>
  <si>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</si>
  <si>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</si>
  <si>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</si>
  <si>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</si>
  <si>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</si>
  <si>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</si>
  <si>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</si>
  <si>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</si>
  <si>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</si>
  <si>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</si>
  <si>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</si>
  <si>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</si>
  <si>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</si>
  <si>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</si>
  <si>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</si>
  <si>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</si>
  <si>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</si>
  <si>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</si>
  <si>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</si>
  <si>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</si>
  <si>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</si>
  <si>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</si>
  <si>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</si>
  <si>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</si>
  <si>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</si>
  <si>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</si>
  <si>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</si>
  <si>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</si>
  <si>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</si>
  <si>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</si>
  <si>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</si>
  <si>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</si>
  <si>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</si>
  <si>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</si>
  <si>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</si>
  <si>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</si>
  <si>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</si>
  <si>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</si>
  <si>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</si>
  <si>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</si>
  <si>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</si>
  <si>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</si>
  <si>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</si>
  <si>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</si>
  <si>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</si>
  <si>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</si>
  <si>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</si>
  <si>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</si>
  <si>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</si>
  <si>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</si>
  <si>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</si>
  <si>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</si>
  <si>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</si>
  <si>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</si>
  <si>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</si>
  <si>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</si>
  <si>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</si>
  <si>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</si>
  <si>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</si>
  <si>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</si>
  <si>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</si>
  <si>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</si>
  <si>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</si>
  <si>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</si>
  <si>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</si>
  <si>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</si>
  <si>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</si>
  <si>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</si>
  <si>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</si>
  <si>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</si>
  <si>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</si>
  <si>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</si>
  <si>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</si>
  <si>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</si>
  <si>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</si>
  <si>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</si>
  <si>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</si>
  <si>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</si>
  <si>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</si>
  <si>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</si>
  <si>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</si>
  <si>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</si>
  <si>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</si>
  <si>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</si>
  <si>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</si>
  <si>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</si>
  <si>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</si>
  <si>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</si>
  <si>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</si>
  <si>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</si>
  <si>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</si>
  <si>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</si>
  <si>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</si>
  <si>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</si>
  <si>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</si>
  <si>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</si>
  <si>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</si>
  <si>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</si>
  <si>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</si>
  <si>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</si>
  <si>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</si>
  <si>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</si>
  <si>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</si>
  <si>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</si>
  <si>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</si>
  <si>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</si>
  <si>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</si>
  <si>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</si>
  <si>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</si>
  <si>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</si>
  <si>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</si>
  <si>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</si>
  <si>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</si>
  <si>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</si>
  <si>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</si>
  <si>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</si>
  <si>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</si>
  <si>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</si>
  <si>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</si>
  <si>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</si>
  <si>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</si>
  <si>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</si>
  <si>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</si>
  <si>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</si>
  <si>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</si>
  <si>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</si>
  <si>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</si>
  <si>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</si>
  <si>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</si>
  <si>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</si>
  <si>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</si>
  <si>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</si>
  <si>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</si>
  <si>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</si>
  <si>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</si>
  <si>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</si>
  <si>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</si>
  <si>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</si>
  <si>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</si>
  <si>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</si>
  <si>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</si>
  <si>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</si>
  <si>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</si>
  <si>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</si>
  <si>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</si>
  <si>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</si>
  <si>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</si>
  <si>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</si>
  <si>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</si>
  <si>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</si>
  <si>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</si>
  <si>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</si>
  <si>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</si>
  <si>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</si>
  <si>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</si>
  <si>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</si>
  <si>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</si>
  <si>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</si>
  <si>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</si>
  <si>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</si>
  <si>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</si>
  <si>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</si>
  <si>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</si>
  <si>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</si>
  <si>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</si>
  <si>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</si>
  <si>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</si>
  <si>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</si>
  <si>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</si>
  <si>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</si>
  <si>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</si>
  <si>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</si>
  <si>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</si>
  <si>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</si>
  <si>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</si>
  <si>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</si>
  <si>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</si>
  <si>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</si>
  <si>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</si>
  <si>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</si>
  <si>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</si>
  <si>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</si>
  <si>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</si>
  <si>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</si>
  <si>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</si>
  <si>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</si>
  <si>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</si>
  <si>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</si>
  <si>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</si>
  <si>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</si>
  <si>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</si>
  <si>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</si>
  <si>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</si>
  <si>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</si>
  <si>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</si>
  <si>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</si>
  <si>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</si>
  <si>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</si>
  <si>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</si>
  <si>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</si>
  <si>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</si>
  <si>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</si>
  <si>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</si>
  <si>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</si>
  <si>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</si>
  <si>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</si>
  <si>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</si>
  <si>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</si>
  <si>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</si>
  <si>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</si>
  <si>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</si>
  <si>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</si>
  <si>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</si>
  <si>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</si>
  <si>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</si>
  <si>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</si>
  <si>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</si>
  <si>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</si>
  <si>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</si>
  <si>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</si>
  <si>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</si>
  <si>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</si>
  <si>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</si>
  <si>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</si>
  <si>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</si>
  <si>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</si>
  <si>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</si>
  <si>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</si>
  <si>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</si>
  <si>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</si>
  <si>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</si>
  <si>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</si>
  <si>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</si>
  <si>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</si>
  <si>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</si>
  <si>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</si>
  <si>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</si>
  <si>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</si>
  <si>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</si>
  <si>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</si>
  <si>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</si>
  <si>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</si>
  <si>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</si>
  <si>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</si>
  <si>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</si>
  <si>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</si>
  <si>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</si>
  <si>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</si>
  <si>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</si>
  <si>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</si>
  <si>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</si>
  <si>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</si>
  <si>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</si>
  <si>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</si>
  <si>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</si>
  <si>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</si>
  <si>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</si>
  <si>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</si>
  <si>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</si>
  <si>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</si>
  <si>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</si>
  <si>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</si>
  <si>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</si>
  <si>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</si>
  <si>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</si>
  <si>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</si>
  <si>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</si>
  <si>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</si>
  <si>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</si>
  <si>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</si>
  <si>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</si>
  <si>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</si>
  <si>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</si>
  <si>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</si>
  <si>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</si>
  <si>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</si>
  <si>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</si>
  <si>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</si>
  <si>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</si>
  <si>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</si>
  <si>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</si>
  <si>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</si>
  <si>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</si>
  <si>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</si>
  <si>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</si>
  <si>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</si>
  <si>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</si>
  <si>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</si>
  <si>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</si>
  <si>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</si>
  <si>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</si>
  <si>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</si>
  <si>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</si>
  <si>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</si>
  <si>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</si>
  <si>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</si>
  <si>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</si>
  <si>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</si>
  <si>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</si>
  <si>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</si>
  <si>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</si>
  <si>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</si>
  <si>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</si>
  <si>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</si>
  <si>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</si>
  <si>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</si>
  <si>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</si>
  <si>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</si>
  <si>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</si>
  <si>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</si>
  <si>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</si>
  <si>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</si>
  <si>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</si>
  <si>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</si>
  <si>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</si>
  <si>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</si>
  <si>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</si>
  <si>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</si>
  <si>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</si>
  <si>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</si>
  <si>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</si>
  <si>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</si>
  <si>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</si>
  <si>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</si>
  <si>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</si>
  <si>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</si>
  <si>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</si>
  <si>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</si>
  <si>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</si>
  <si>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</si>
  <si>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</si>
  <si>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</si>
  <si>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</si>
  <si>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</si>
  <si>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</si>
  <si>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</si>
  <si>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</si>
  <si>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</si>
  <si>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</si>
  <si>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</si>
  <si>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</si>
  <si>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</si>
  <si>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</si>
  <si>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</si>
  <si>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</si>
  <si>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</si>
  <si>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</si>
  <si>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</si>
  <si>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</si>
  <si>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</si>
  <si>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</si>
  <si>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</si>
  <si>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</si>
  <si>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</si>
  <si>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</si>
  <si>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</si>
  <si>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</si>
  <si>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</si>
  <si>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</si>
  <si>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</si>
  <si>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</si>
  <si>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</si>
  <si>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</si>
  <si>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</si>
  <si>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</si>
  <si>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</si>
  <si>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</si>
  <si>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</si>
  <si>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</si>
  <si>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</si>
  <si>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</si>
  <si>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</si>
  <si>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</si>
  <si>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</si>
  <si>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</si>
  <si>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</si>
  <si>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</si>
  <si>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</si>
  <si>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</si>
  <si>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</si>
  <si>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</si>
  <si>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</si>
  <si>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</si>
  <si>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</si>
  <si>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</si>
  <si>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</si>
  <si>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</si>
  <si>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</si>
  <si>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</si>
  <si>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</si>
  <si>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</si>
  <si>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</si>
  <si>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</si>
  <si>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</si>
  <si>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</si>
  <si>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</si>
  <si>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</si>
  <si>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</si>
  <si>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</si>
  <si>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</si>
  <si>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</si>
  <si>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</si>
  <si>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</si>
  <si>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</si>
  <si>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</si>
  <si>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</si>
  <si>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</si>
  <si>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</si>
  <si>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</si>
  <si>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</si>
  <si>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</si>
  <si>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</si>
  <si>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</si>
  <si>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</si>
  <si>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</si>
  <si>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</si>
  <si>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</si>
  <si>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</si>
  <si>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</si>
  <si>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</si>
  <si>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</si>
  <si>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</si>
  <si>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</si>
  <si>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</si>
  <si>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</si>
  <si>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</si>
  <si>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</si>
  <si>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</si>
  <si>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</si>
  <si>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</si>
  <si>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</si>
  <si>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</si>
  <si>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</si>
  <si>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</si>
  <si>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</si>
  <si>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</si>
  <si>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</si>
  <si>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</si>
  <si>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</si>
  <si>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</si>
  <si>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</si>
  <si>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</si>
  <si>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</si>
  <si>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</si>
  <si>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</si>
  <si>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</si>
  <si>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</si>
  <si>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</si>
  <si>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</si>
  <si>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</si>
  <si>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</si>
  <si>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</si>
  <si>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</si>
  <si>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</si>
  <si>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</si>
  <si>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</si>
  <si>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</si>
  <si>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</si>
  <si>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</si>
  <si>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</si>
  <si>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</si>
  <si>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</si>
  <si>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</si>
  <si>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</si>
  <si>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</si>
  <si>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</si>
  <si>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</si>
  <si>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</si>
  <si>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</si>
  <si>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</si>
  <si>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</si>
  <si>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</si>
  <si>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</si>
  <si>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</si>
  <si>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</si>
  <si>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</si>
  <si>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</si>
  <si>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</si>
  <si>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</si>
  <si>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</si>
  <si>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</si>
  <si>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</si>
  <si>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</si>
  <si>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</si>
  <si>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</si>
  <si>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</si>
  <si>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</si>
  <si>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</si>
  <si>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</si>
  <si>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</si>
  <si>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</si>
  <si>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</si>
  <si>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</si>
  <si>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</si>
  <si>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</si>
  <si>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</si>
  <si>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</si>
  <si>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</si>
  <si>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</si>
  <si>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</si>
  <si>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</si>
  <si>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</si>
  <si>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</si>
  <si>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</si>
  <si>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</si>
  <si>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</si>
  <si>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</si>
  <si>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</si>
  <si>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</si>
  <si>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</si>
  <si>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</si>
  <si>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</si>
  <si>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</si>
  <si>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</si>
  <si>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</si>
  <si>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</si>
  <si>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</si>
  <si>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</si>
  <si>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</si>
  <si>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</si>
  <si>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</si>
  <si>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</si>
  <si>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</si>
  <si>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</si>
  <si>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</si>
  <si>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</si>
  <si>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</si>
  <si>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</si>
  <si>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</si>
  <si>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</si>
  <si>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</si>
  <si>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</si>
  <si>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</si>
  <si>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</si>
  <si>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</si>
  <si>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</si>
  <si>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</si>
  <si>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</si>
  <si>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</si>
  <si>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</si>
  <si>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</si>
  <si>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</si>
  <si>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</si>
  <si>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</si>
  <si>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</si>
  <si>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</si>
  <si>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</si>
  <si>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</si>
  <si>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</si>
  <si>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</si>
  <si>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</si>
  <si>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</si>
  <si>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</si>
  <si>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</si>
  <si>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</si>
  <si>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</si>
  <si>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</si>
  <si>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</si>
  <si>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</si>
  <si>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</si>
  <si>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</si>
  <si>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</si>
  <si>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</si>
  <si>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</si>
  <si>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</si>
  <si>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</si>
  <si>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</si>
  <si>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</si>
  <si>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</si>
  <si>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</si>
  <si>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</si>
  <si>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</si>
  <si>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</si>
  <si>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</si>
  <si>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</si>
  <si>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</si>
  <si>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</si>
  <si>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</si>
  <si>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</si>
  <si>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</si>
  <si>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</si>
  <si>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</si>
  <si>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</si>
  <si>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</si>
  <si>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</si>
  <si>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</si>
  <si>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</si>
  <si>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</si>
  <si>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</si>
  <si>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</si>
  <si>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</si>
  <si>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</si>
  <si>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</si>
  <si>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</si>
  <si>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</si>
  <si>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</si>
  <si>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</si>
  <si>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</si>
  <si>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</si>
  <si>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</si>
  <si>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</si>
  <si>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</si>
  <si>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</si>
  <si>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</si>
  <si>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</si>
  <si>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</si>
  <si>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</si>
  <si>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</si>
  <si>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</si>
  <si>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</si>
  <si>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</si>
  <si>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</si>
  <si>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</si>
  <si>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</si>
  <si>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</si>
  <si>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</si>
  <si>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</si>
  <si>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</si>
  <si>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</si>
  <si>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</si>
  <si>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</si>
  <si>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</si>
  <si>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</si>
  <si>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</si>
  <si>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</si>
  <si>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</si>
  <si>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</si>
  <si>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</si>
  <si>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</si>
  <si>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</si>
  <si>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</si>
  <si>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</si>
  <si>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</si>
  <si>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</si>
  <si>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</si>
  <si>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</si>
  <si>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</si>
  <si>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</si>
  <si>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</si>
  <si>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</si>
  <si>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</si>
  <si>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</si>
  <si>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</si>
  <si>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</si>
  <si>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</si>
  <si>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</si>
  <si>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</si>
  <si>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</si>
  <si>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</si>
  <si>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</si>
  <si>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</si>
  <si>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</si>
  <si>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</si>
  <si>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</si>
  <si>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</si>
  <si>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</si>
  <si>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</si>
  <si>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</si>
  <si>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</si>
  <si>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</si>
  <si>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</si>
  <si>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</si>
  <si>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</si>
  <si>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</si>
  <si>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</si>
  <si>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</si>
  <si>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</si>
  <si>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</si>
  <si>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</si>
  <si>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</si>
  <si>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</si>
  <si>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</si>
  <si>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</si>
  <si>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</si>
  <si>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</si>
  <si>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</si>
  <si>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</si>
  <si>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</si>
  <si>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</si>
  <si>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</si>
  <si>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</si>
  <si>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</si>
  <si>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</si>
  <si>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</si>
  <si>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</si>
  <si>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</si>
  <si>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</si>
  <si>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</si>
  <si>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</si>
  <si>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</si>
  <si>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</si>
  <si>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</si>
  <si>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</si>
  <si>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</si>
  <si>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</si>
  <si>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</si>
  <si>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</si>
  <si>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</si>
  <si>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</si>
  <si>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</si>
  <si>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</si>
  <si>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</si>
  <si>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</si>
  <si>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</si>
  <si>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</si>
  <si>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</si>
  <si>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</si>
  <si>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</si>
  <si>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</si>
  <si>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</si>
  <si>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</si>
  <si>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</si>
  <si>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</si>
  <si>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</si>
  <si>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</si>
  <si>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</si>
  <si>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</si>
  <si>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</si>
  <si>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</si>
  <si>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</si>
  <si>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</si>
  <si>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</si>
  <si>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</si>
  <si>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</si>
  <si>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</si>
  <si>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</si>
  <si>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</si>
  <si>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</si>
  <si>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</si>
  <si>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</si>
  <si>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</si>
  <si>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</si>
  <si>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</si>
  <si>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</si>
  <si>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</si>
  <si>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</si>
  <si>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</si>
  <si>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</si>
  <si>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</si>
  <si>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</si>
  <si>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</si>
  <si>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</si>
  <si>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</si>
  <si>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</si>
  <si>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</si>
  <si>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</si>
  <si>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</si>
  <si>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</si>
  <si>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</si>
  <si>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</si>
  <si>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</si>
  <si>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</si>
  <si>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</si>
  <si>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</si>
  <si>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</si>
  <si>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</si>
  <si>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</si>
  <si>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</si>
  <si>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</si>
  <si>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</si>
  <si>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</si>
  <si>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</si>
  <si>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</si>
  <si>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</si>
  <si>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</si>
  <si>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</si>
  <si>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</si>
  <si>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</si>
  <si>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</si>
  <si>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</si>
  <si>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</si>
  <si>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</si>
  <si>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</si>
  <si>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</si>
  <si>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</si>
  <si>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</si>
  <si>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</si>
  <si>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</si>
  <si>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</si>
  <si>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</si>
  <si>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</si>
  <si>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</si>
  <si>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</si>
  <si>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</si>
  <si>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</si>
  <si>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</si>
  <si>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</si>
  <si>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</si>
  <si>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</si>
  <si>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</si>
  <si>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</si>
  <si>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</si>
  <si>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</si>
  <si>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</si>
  <si>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</si>
  <si>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</si>
  <si>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</si>
  <si>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</si>
  <si>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</si>
  <si>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</si>
  <si>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</si>
  <si>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</si>
  <si>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</si>
  <si>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</si>
  <si>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</si>
  <si>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</si>
  <si>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</si>
  <si>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</si>
  <si>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</si>
  <si>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</si>
  <si>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</si>
  <si>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</si>
  <si>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</si>
  <si>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</si>
  <si>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</si>
  <si>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</si>
  <si>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</si>
  <si>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</si>
  <si>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</si>
  <si>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</si>
  <si>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</si>
  <si>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</si>
  <si>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</si>
  <si>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</si>
  <si>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</si>
  <si>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</si>
  <si>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</si>
  <si>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</si>
  <si>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</si>
  <si>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</si>
  <si>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</si>
  <si>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</si>
  <si>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</si>
  <si>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</si>
  <si>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</si>
  <si>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</si>
  <si>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</si>
  <si>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</si>
  <si>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</si>
  <si>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</si>
  <si>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</si>
  <si>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</si>
  <si>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</si>
  <si>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</si>
  <si>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</si>
  <si>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</si>
  <si>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</si>
  <si>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</si>
  <si>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</si>
  <si>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</si>
  <si>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</si>
  <si>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</si>
  <si>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</si>
  <si>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</si>
  <si>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</si>
  <si>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</si>
  <si>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</si>
  <si>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</si>
  <si>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</si>
  <si>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</si>
  <si>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</si>
  <si>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</si>
  <si>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</si>
  <si>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</si>
  <si>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</si>
  <si>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</si>
  <si>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</si>
  <si>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</si>
  <si>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</si>
  <si>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</si>
  <si>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</si>
  <si>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</si>
  <si>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</si>
  <si>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</si>
  <si>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</si>
  <si>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</si>
  <si>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</si>
  <si>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</si>
  <si>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</si>
  <si>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</si>
  <si>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</si>
  <si>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</si>
  <si>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</si>
  <si>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</si>
  <si>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</si>
  <si>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</si>
  <si>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</si>
  <si>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</si>
  <si>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</si>
  <si>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</si>
  <si>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</si>
  <si>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</si>
  <si>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</si>
  <si>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</si>
  <si>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</si>
  <si>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</si>
  <si>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</si>
  <si>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</si>
  <si>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</si>
  <si>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</si>
  <si>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</si>
  <si>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</si>
  <si>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</si>
  <si>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</si>
  <si>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</si>
  <si>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</si>
  <si>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</si>
  <si>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</si>
  <si>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</si>
  <si>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</si>
  <si>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</si>
  <si>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</si>
  <si>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</si>
  <si>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</si>
  <si>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</si>
  <si>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</si>
  <si>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</si>
  <si>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</si>
  <si>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</si>
  <si>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</si>
  <si>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</si>
  <si>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</si>
  <si>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</si>
  <si>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</si>
  <si>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</si>
  <si>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</si>
  <si>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</si>
  <si>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</si>
  <si>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</si>
  <si>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</si>
  <si>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</si>
  <si>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</si>
  <si>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</si>
  <si>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</si>
  <si>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</si>
  <si>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</si>
  <si>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</si>
  <si>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</si>
  <si>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</si>
  <si>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</si>
  <si>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</si>
  <si>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</si>
  <si>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</si>
  <si>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</si>
  <si>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</si>
  <si>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</si>
  <si>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</si>
  <si>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</si>
  <si>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</si>
  <si>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</si>
  <si>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</si>
  <si>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</si>
  <si>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</si>
  <si>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</si>
  <si>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</si>
  <si>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</si>
  <si>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</si>
  <si>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</si>
  <si>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</si>
  <si>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</si>
  <si>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</si>
  <si>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</si>
  <si>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</si>
  <si>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</si>
  <si>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</si>
  <si>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</si>
  <si>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</si>
  <si>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</si>
  <si>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</si>
  <si>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</si>
  <si>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</si>
  <si>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</si>
  <si>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</si>
  <si>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</si>
  <si>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</si>
  <si>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</si>
  <si>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</si>
  <si>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</si>
  <si>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</si>
  <si>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</si>
  <si>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</si>
  <si>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</si>
  <si>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</si>
  <si>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</si>
  <si>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</si>
  <si>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</si>
  <si>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</si>
  <si>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</si>
  <si>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</si>
  <si>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</si>
  <si>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</si>
  <si>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</si>
  <si>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</si>
  <si>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</si>
  <si>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</si>
  <si>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</si>
  <si>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</si>
  <si>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</si>
  <si>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</si>
  <si>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</si>
  <si>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</si>
  <si>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</si>
  <si>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</si>
  <si>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</si>
  <si>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</si>
  <si>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</si>
  <si>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</si>
  <si>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</si>
  <si>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</si>
  <si>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</si>
  <si>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</si>
  <si>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</si>
  <si>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</si>
  <si>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</si>
  <si>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</si>
  <si>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</si>
  <si>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</si>
  <si>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</si>
  <si>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</si>
  <si>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</si>
  <si>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</si>
  <si>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</si>
  <si>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</si>
  <si>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</si>
  <si>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</si>
  <si>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</si>
  <si>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</si>
  <si>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</si>
  <si>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</si>
  <si>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</si>
  <si>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</si>
  <si>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</si>
  <si>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</si>
  <si>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</si>
  <si>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</si>
  <si>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</si>
  <si>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</si>
  <si>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</si>
  <si>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</si>
  <si>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</si>
  <si>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</si>
  <si>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</si>
  <si>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</si>
  <si>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</si>
  <si>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</si>
  <si>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</si>
  <si>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</si>
  <si>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</si>
  <si>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</si>
  <si>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</si>
  <si>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</si>
  <si>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</si>
  <si>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</si>
  <si>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</si>
  <si>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</si>
  <si>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</si>
  <si>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</si>
  <si>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</si>
  <si>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</si>
  <si>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</si>
  <si>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</si>
  <si>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</si>
  <si>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</si>
  <si>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</si>
  <si>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</si>
  <si>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</si>
  <si>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</si>
  <si>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</si>
  <si>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</si>
  <si>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</si>
  <si>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</si>
  <si>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</si>
  <si>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</si>
  <si>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</si>
  <si>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</si>
  <si>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</si>
  <si>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</si>
  <si>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</si>
  <si>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</si>
  <si>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</si>
  <si>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</si>
  <si>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</si>
  <si>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</si>
  <si>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</si>
  <si>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</si>
  <si>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</si>
  <si>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</si>
  <si>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</si>
  <si>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</si>
  <si>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</si>
  <si>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</si>
  <si>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</si>
  <si>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</si>
  <si>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</si>
  <si>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</si>
  <si>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</si>
  <si>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</si>
  <si>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</si>
  <si>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</si>
  <si>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</si>
  <si>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</si>
  <si>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</si>
  <si>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</si>
  <si>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</si>
  <si>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</si>
  <si>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</si>
  <si>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</si>
  <si>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</si>
  <si>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</si>
  <si>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</si>
  <si>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</si>
  <si>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</si>
  <si>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</si>
  <si>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</si>
  <si>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</si>
  <si>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</si>
  <si>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</si>
  <si>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</si>
  <si>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</si>
  <si>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</si>
  <si>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</si>
  <si>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</si>
  <si>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</si>
  <si>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</si>
  <si>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</si>
  <si>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</si>
  <si>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</si>
  <si>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</si>
  <si>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</si>
  <si>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</si>
  <si>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</si>
  <si>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</si>
  <si>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</si>
  <si>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</si>
  <si>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</si>
  <si>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</si>
  <si>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</si>
  <si>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</si>
  <si>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</si>
  <si>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</si>
  <si>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</si>
  <si>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</si>
  <si>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</si>
  <si>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</si>
  <si>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</si>
  <si>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</si>
  <si>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</si>
  <si>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</si>
  <si>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</si>
  <si>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</si>
  <si>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</si>
  <si>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</si>
  <si>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</si>
  <si>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</si>
  <si>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</si>
  <si>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</si>
  <si>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</si>
  <si>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</si>
  <si>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</si>
  <si>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</si>
  <si>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</si>
  <si>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</si>
  <si>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</si>
  <si>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</si>
  <si>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</si>
  <si>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</si>
  <si>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</si>
  <si>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</si>
  <si>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</si>
  <si>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</si>
  <si>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</si>
  <si>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</si>
  <si>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</si>
  <si>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</si>
  <si>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</si>
  <si>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</si>
  <si>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</si>
  <si>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</si>
  <si>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</si>
  <si>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</si>
  <si>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</si>
  <si>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</si>
  <si>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</si>
  <si>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</si>
  <si>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</si>
  <si>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</si>
  <si>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</si>
  <si>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</si>
  <si>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</si>
  <si>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</si>
  <si>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</si>
  <si>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</si>
  <si>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</si>
  <si>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</si>
  <si>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</si>
  <si>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</si>
  <si>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</si>
  <si>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</si>
  <si>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</si>
  <si>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</si>
  <si>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</si>
  <si>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</si>
  <si>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</si>
  <si>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</si>
  <si>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</si>
  <si>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</si>
  <si>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</si>
  <si>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</si>
  <si>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</si>
  <si>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</si>
  <si>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</si>
  <si>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</si>
  <si>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</si>
  <si>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</si>
  <si>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</si>
  <si>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</si>
  <si>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</si>
  <si>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</si>
  <si>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</si>
  <si>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</si>
  <si>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</si>
  <si>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</si>
  <si>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</si>
  <si>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</si>
  <si>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</si>
  <si>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</si>
  <si>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</si>
  <si>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</si>
  <si>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</si>
  <si>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</si>
  <si>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</si>
  <si>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</si>
  <si>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</si>
  <si>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</si>
  <si>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</si>
  <si>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</si>
  <si>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</si>
  <si>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</si>
  <si>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</si>
  <si>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</si>
  <si>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</si>
  <si>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</si>
  <si>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</si>
  <si>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</si>
  <si>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</si>
  <si>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</si>
  <si>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</si>
  <si>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</si>
  <si>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</si>
  <si>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</si>
  <si>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</si>
  <si>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</si>
  <si>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</si>
  <si>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</si>
  <si>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</si>
  <si>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</si>
  <si>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</si>
  <si>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</si>
  <si>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</si>
  <si>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</si>
  <si>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</si>
  <si>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</si>
  <si>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</si>
  <si>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</si>
  <si>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</si>
  <si>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</si>
  <si>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</si>
  <si>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</si>
  <si>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</si>
  <si>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</si>
  <si>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</si>
  <si>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</si>
  <si>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</si>
  <si>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</si>
  <si>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</si>
  <si>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</si>
  <si>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</si>
  <si>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</si>
  <si>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</si>
  <si>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</si>
  <si>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</si>
  <si>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</si>
  <si>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</si>
  <si>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</si>
  <si>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</si>
  <si>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</si>
  <si>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</si>
  <si>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</si>
  <si>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</si>
  <si>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</si>
  <si>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</si>
  <si>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</si>
  <si>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</si>
  <si>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</si>
  <si>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</si>
  <si>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</si>
  <si>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</si>
  <si>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</si>
  <si>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</si>
  <si>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</si>
  <si>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</si>
  <si>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</si>
  <si>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</si>
  <si>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</si>
  <si>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</si>
  <si>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</si>
  <si>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</si>
  <si>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</si>
  <si>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</si>
  <si>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</si>
  <si>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</si>
  <si>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</si>
  <si>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</si>
  <si>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</si>
  <si>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</si>
  <si>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</si>
  <si>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</si>
  <si>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</si>
  <si>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</si>
  <si>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</si>
  <si>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</si>
  <si>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</si>
  <si>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</si>
  <si>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</si>
  <si>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</si>
  <si>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</si>
  <si>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</si>
  <si>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</si>
  <si>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</si>
  <si>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</si>
  <si>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</si>
  <si>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</si>
  <si>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</si>
  <si>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</si>
  <si>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</si>
  <si>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</si>
  <si>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</si>
  <si>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</si>
  <si>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</si>
  <si>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</si>
  <si>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</si>
  <si>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</si>
  <si>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</si>
  <si>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</si>
  <si>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</si>
  <si>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</si>
  <si>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</si>
  <si>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</si>
  <si>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</si>
  <si>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</si>
  <si>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</si>
  <si>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</si>
  <si>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</si>
  <si>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</si>
  <si>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</si>
  <si>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</si>
  <si>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</si>
  <si>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</si>
  <si>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</si>
  <si>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</si>
  <si>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</si>
  <si>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</si>
  <si>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</si>
  <si>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</si>
  <si>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</si>
  <si>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</si>
  <si>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</si>
  <si>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</si>
  <si>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</si>
  <si>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</si>
  <si>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</si>
  <si>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</si>
  <si>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</si>
  <si>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</si>
  <si>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</si>
  <si>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</si>
  <si>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</si>
  <si>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</si>
  <si>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</si>
  <si>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</si>
  <si>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</si>
  <si>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</si>
  <si>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</si>
  <si>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</si>
  <si>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</si>
  <si>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</si>
  <si>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</si>
  <si>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</si>
  <si>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</si>
  <si>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</si>
  <si>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</si>
  <si>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</si>
  <si>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</si>
  <si>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</si>
  <si>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</si>
  <si>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</si>
  <si>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</si>
  <si>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</si>
  <si>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</si>
  <si>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</si>
  <si>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</si>
  <si>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</si>
  <si>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</si>
  <si>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</si>
  <si>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</si>
  <si>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</si>
  <si>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</si>
  <si>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</si>
  <si>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</si>
  <si>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</si>
  <si>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</si>
  <si>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</si>
  <si>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</si>
  <si>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</si>
  <si>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</si>
  <si>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</si>
  <si>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</si>
  <si>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</si>
  <si>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</si>
  <si>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</si>
  <si>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</si>
  <si>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</si>
  <si>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</si>
  <si>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</si>
  <si>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</si>
  <si>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</si>
  <si>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</si>
  <si>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</si>
  <si>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</si>
  <si>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</si>
  <si>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</si>
  <si>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</si>
  <si>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</si>
  <si>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</si>
  <si>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</si>
  <si>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</si>
  <si>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</si>
  <si>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</si>
  <si>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</si>
  <si>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</si>
  <si>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</si>
  <si>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</si>
  <si>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</si>
  <si>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</si>
  <si>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</si>
  <si>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</si>
  <si>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</si>
  <si>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</si>
  <si>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</si>
  <si>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</si>
  <si>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</si>
  <si>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</si>
  <si>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</si>
  <si>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</si>
  <si>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</si>
  <si>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</si>
  <si>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</si>
  <si>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</si>
  <si>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</si>
  <si>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</si>
  <si>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</si>
  <si>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</si>
  <si>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</si>
  <si>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</si>
  <si>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</si>
  <si>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</si>
  <si>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</si>
  <si>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</si>
  <si>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</si>
  <si>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</si>
  <si>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</si>
  <si>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</si>
  <si>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</si>
  <si>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</si>
  <si>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</si>
  <si>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</si>
  <si>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</si>
  <si>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</si>
  <si>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</si>
  <si>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</si>
  <si>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</si>
  <si>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</si>
  <si>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</si>
  <si>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</si>
  <si>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</si>
  <si>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</si>
  <si>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</si>
  <si>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</si>
  <si>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</si>
  <si>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</si>
  <si>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</si>
  <si>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</si>
  <si>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</si>
  <si>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</si>
  <si>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</si>
  <si>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</si>
  <si>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</si>
  <si>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</si>
  <si>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</si>
  <si>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</si>
  <si>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</si>
  <si>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</si>
  <si>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</si>
  <si>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</si>
  <si>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</si>
  <si>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</si>
  <si>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</si>
  <si>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</si>
  <si>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</si>
  <si>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</si>
  <si>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</si>
  <si>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</si>
  <si>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</si>
  <si>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</si>
  <si>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</si>
  <si>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</si>
  <si>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</si>
  <si>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</si>
  <si>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</si>
  <si>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</si>
  <si>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</si>
  <si>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</si>
  <si>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</si>
  <si>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</si>
  <si>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</si>
  <si>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</si>
  <si>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</si>
  <si>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</si>
  <si>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</si>
  <si>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</si>
  <si>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</si>
  <si>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</si>
  <si>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</si>
  <si>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</si>
  <si>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</si>
  <si>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</si>
  <si>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</si>
  <si>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</si>
  <si>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</si>
  <si>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</si>
  <si>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</si>
  <si>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</si>
  <si>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</si>
  <si>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</si>
  <si>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</si>
  <si>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</si>
  <si>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</si>
  <si>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</si>
  <si>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</si>
  <si>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</si>
  <si>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</si>
  <si>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</si>
  <si>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</si>
  <si>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</si>
  <si>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</si>
  <si>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</si>
  <si>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</si>
  <si>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</si>
  <si>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</si>
  <si>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</si>
  <si>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</si>
  <si>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</si>
  <si>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</si>
  <si>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</si>
  <si>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</si>
  <si>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</si>
  <si>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</si>
  <si>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</si>
  <si>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</si>
  <si>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</si>
  <si>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</si>
  <si>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</si>
  <si>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</si>
  <si>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</si>
  <si>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</si>
  <si>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</si>
  <si>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</si>
  <si>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</si>
  <si>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</si>
  <si>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</si>
  <si>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</si>
  <si>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</si>
  <si>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</si>
  <si>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</si>
  <si>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</si>
  <si>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</si>
  <si>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</si>
  <si>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</si>
  <si>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</si>
  <si>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</si>
  <si>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</si>
  <si>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</si>
  <si>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</si>
  <si>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</si>
  <si>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</si>
  <si>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</si>
  <si>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</si>
  <si>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</si>
  <si>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</si>
  <si>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</si>
  <si>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</si>
  <si>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</si>
  <si>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</si>
  <si>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</si>
  <si>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</si>
  <si>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</si>
  <si>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</si>
  <si>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</si>
  <si>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</si>
  <si>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</si>
  <si>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</si>
  <si>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</si>
  <si>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</si>
  <si>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</si>
  <si>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</si>
  <si>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</si>
  <si>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</si>
  <si>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</si>
  <si>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</si>
  <si>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</si>
  <si>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</si>
  <si>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</si>
  <si>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</si>
  <si>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</si>
  <si>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</si>
  <si>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</si>
  <si>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</si>
  <si>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</si>
  <si>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</si>
  <si>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</si>
  <si>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</si>
  <si>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</si>
  <si>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</si>
  <si>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</si>
  <si>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</si>
  <si>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</si>
  <si>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</si>
  <si>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</si>
  <si>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</si>
  <si>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</si>
  <si>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</si>
  <si>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</si>
  <si>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</si>
  <si>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</si>
  <si>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</si>
  <si>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</si>
  <si>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</si>
  <si>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</si>
  <si>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</si>
  <si>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</si>
  <si>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</si>
  <si>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</si>
  <si>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</si>
  <si>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</si>
  <si>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</si>
  <si>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</si>
  <si>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</si>
  <si>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</si>
  <si>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</si>
  <si>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</si>
  <si>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</si>
  <si>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</si>
  <si>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</si>
  <si>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</si>
  <si>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</si>
  <si>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</si>
  <si>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</si>
  <si>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</si>
  <si>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</si>
  <si>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</si>
  <si>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</si>
  <si>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</si>
  <si>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</si>
  <si>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</si>
  <si>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</si>
  <si>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</si>
  <si>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</si>
  <si>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</si>
  <si>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</si>
  <si>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</si>
  <si>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</si>
  <si>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</si>
  <si>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</si>
  <si>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</si>
  <si>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</si>
  <si>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</si>
  <si>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</si>
  <si>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</si>
  <si>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</si>
  <si>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</si>
  <si>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</si>
  <si>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</si>
  <si>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</si>
  <si>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</si>
  <si>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</si>
  <si>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</si>
  <si>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</si>
  <si>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</si>
  <si>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</si>
  <si>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</si>
  <si>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</si>
  <si>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</si>
  <si>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</si>
  <si>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</si>
  <si>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</si>
  <si>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</si>
  <si>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</si>
  <si>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</si>
  <si>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</si>
  <si>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</si>
  <si>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</si>
  <si>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</si>
  <si>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</si>
  <si>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</si>
  <si>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</si>
  <si>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</si>
  <si>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</si>
  <si>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</si>
  <si>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</si>
  <si>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</si>
  <si>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</si>
  <si>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</si>
  <si>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</si>
  <si>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</si>
  <si>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</si>
  <si>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</si>
  <si>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</si>
  <si>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</si>
  <si>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</si>
  <si>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</si>
  <si>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</si>
  <si>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Adiado</t>
  </si>
  <si>
    <t>Escola de Instrutores - Design Instrucional</t>
  </si>
  <si>
    <t>16 a 18/06/2026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</si>
  <si>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</si>
  <si>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</si>
  <si>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</si>
  <si>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</si>
  <si>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</si>
  <si>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A realizar</t>
  </si>
  <si>
    <t>4346/2026</t>
  </si>
  <si>
    <t>Maratona Temática - Mobilidade Urbana</t>
  </si>
  <si>
    <t>09 e 10/11/2026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</si>
  <si>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</si>
  <si>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</si>
  <si>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</si>
  <si>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</si>
  <si>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</si>
  <si>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</si>
  <si>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</si>
  <si>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</si>
  <si>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</si>
  <si>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</si>
  <si>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</si>
  <si>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</si>
  <si>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</si>
  <si>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</si>
  <si>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</si>
  <si>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</si>
  <si>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</si>
  <si>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</si>
  <si>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</si>
  <si>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</si>
  <si>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</si>
  <si>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</si>
  <si>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</si>
  <si>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</si>
  <si>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</si>
  <si>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</si>
  <si>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</si>
  <si>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</si>
  <si>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</si>
  <si>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</si>
  <si>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</si>
  <si>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</si>
  <si>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</si>
  <si>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</si>
  <si>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</si>
  <si>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</si>
  <si>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</si>
  <si>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</si>
  <si>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</si>
  <si>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</si>
  <si>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</si>
  <si>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</si>
  <si>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</si>
  <si>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</si>
  <si>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</si>
  <si>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</si>
  <si>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</si>
  <si>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</si>
  <si>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</si>
  <si>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</si>
  <si>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</si>
  <si>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</si>
  <si>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</si>
  <si>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</si>
  <si>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</si>
  <si>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</si>
  <si>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</si>
  <si>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</si>
  <si>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</si>
  <si>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</si>
  <si>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</si>
  <si>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</si>
  <si>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</si>
  <si>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</si>
  <si>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</si>
  <si>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</si>
  <si>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</si>
  <si>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</si>
  <si>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</si>
  <si>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21/08/2026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</si>
  <si>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</si>
  <si>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</si>
  <si>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</si>
  <si>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</si>
  <si>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</si>
  <si>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</si>
  <si>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</si>
  <si>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</si>
  <si>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</si>
  <si>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</si>
  <si>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</si>
  <si>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</si>
  <si>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</si>
  <si>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</si>
  <si>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</si>
  <si>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</si>
  <si>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</si>
  <si>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</si>
  <si>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</si>
  <si>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</si>
  <si>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</si>
  <si>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</si>
  <si>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</si>
  <si>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</si>
  <si>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</si>
  <si>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</si>
  <si>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</si>
  <si>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</si>
  <si>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</si>
  <si>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</si>
  <si>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</si>
  <si>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</si>
  <si>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</si>
  <si>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</si>
  <si>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</si>
  <si>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</si>
  <si>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</si>
  <si>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Gustavo Takahashi</t>
  </si>
  <si>
    <t>Mauri Siqueira Montessi</t>
  </si>
  <si>
    <t>2026-005</t>
  </si>
  <si>
    <t>2026-002</t>
  </si>
  <si>
    <t>Denise Duarte Guirra Kuhlmann</t>
  </si>
  <si>
    <t>Priscila Nolasco</t>
  </si>
  <si>
    <t>2026-020</t>
  </si>
  <si>
    <t>2026-018</t>
  </si>
  <si>
    <t>2026-015</t>
  </si>
  <si>
    <t>2026-032</t>
  </si>
  <si>
    <t>Leonardo de Melo</t>
  </si>
  <si>
    <t>2026-033</t>
  </si>
  <si>
    <t>2026-034</t>
  </si>
  <si>
    <t>2026-036</t>
  </si>
  <si>
    <t>2026-037</t>
  </si>
  <si>
    <t>Reinaldo Alencar</t>
  </si>
  <si>
    <t>Total:</t>
  </si>
  <si>
    <t>Rogério Ribeiro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</si>
  <si>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</si>
  <si>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</si>
  <si>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</si>
  <si>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</si>
  <si>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</si>
  <si>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</si>
  <si>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</si>
  <si>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</si>
  <si>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</si>
  <si>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</si>
  <si>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</si>
  <si>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</si>
  <si>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</si>
  <si>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</si>
  <si>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</si>
  <si>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</si>
  <si>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</si>
  <si>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</si>
  <si>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</si>
  <si>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</si>
  <si>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</si>
  <si>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</si>
  <si>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</si>
  <si>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</si>
  <si>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</si>
  <si>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</si>
  <si>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</si>
  <si>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</si>
  <si>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</si>
  <si>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</si>
  <si>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</si>
  <si>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</si>
  <si>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</si>
  <si>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</si>
  <si>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</si>
  <si>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</si>
  <si>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</si>
  <si>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</si>
  <si>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</si>
  <si>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</si>
  <si>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</si>
  <si>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</si>
  <si>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</si>
  <si>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</si>
  <si>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</si>
  <si>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</si>
  <si>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</si>
  <si>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</si>
  <si>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</si>
  <si>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</si>
  <si>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</si>
  <si>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</si>
  <si>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</si>
  <si>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</si>
  <si>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</si>
  <si>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</si>
  <si>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</si>
  <si>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</si>
  <si>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</si>
  <si>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</si>
  <si>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</si>
  <si>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</si>
  <si>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</si>
  <si>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</si>
  <si>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</si>
  <si>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</si>
  <si>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</si>
  <si>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</si>
  <si>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</si>
  <si>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</si>
  <si>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</si>
  <si>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</si>
  <si>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</si>
  <si>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</si>
  <si>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</si>
  <si>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</si>
  <si>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</si>
  <si>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</si>
  <si>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</si>
  <si>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</si>
  <si>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</si>
  <si>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</si>
  <si>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</si>
  <si>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</si>
  <si>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</si>
  <si>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</si>
  <si>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</si>
  <si>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</si>
  <si>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</si>
  <si>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</si>
  <si>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</si>
  <si>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</si>
  <si>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</si>
  <si>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07 a 09/07/2026</t>
  </si>
  <si>
    <t>Adriana Cuoco Portugal; Cinthia Thais de Carvalho Luz Thomazi; Fernanda Viana de Souza; Luiz Felipe Tenório de Lima Gondim; Priscila Nolasco de Oliveira</t>
  </si>
  <si>
    <t>Adriana Cuoco Portugal; Cinthia Thais de Carvalho Luz Thomazi; Fernanda Viana de Souza;  Luiz Felipe Tenório de Lima Gondim; Priscila Nolasco de Oliveira</t>
  </si>
  <si>
    <t>Cinthia Thais de Carvalho Luz Thomazi; Adriana Cuoco Portugal; Fernanda Viana de Souza; Denise Duarte Guirra Kuhlmann;  Priscila Nolasco de Oliveira</t>
  </si>
  <si>
    <t>Cinthia Thais de Carvalho Luz Thomazi; Adriana Cuoco Portugal; Fernanda Viana de Souza; Denise Duarte Guirra Kuhlmann; Priscila Nolasco de Oliveira</t>
  </si>
  <si>
    <t>Cadastro Mestre de Instrutores</t>
  </si>
  <si>
    <t>Tipo</t>
  </si>
  <si>
    <t>Ativo</t>
  </si>
  <si>
    <t>Abdiel Andrade</t>
  </si>
  <si>
    <t>Adriana Magalhães</t>
  </si>
  <si>
    <t>Adriana Salles</t>
  </si>
  <si>
    <t>Daniel Oliveira</t>
  </si>
  <si>
    <t>Diogo dos Santos</t>
  </si>
  <si>
    <t>Ellen Verri Lopes</t>
  </si>
  <si>
    <t>Fabrício Rodrigues</t>
  </si>
  <si>
    <t>Fernanda Cordeiro</t>
  </si>
  <si>
    <t>Gustavo Carvalho</t>
  </si>
  <si>
    <t>Hugo Póvoa</t>
  </si>
  <si>
    <t>Joabe Dutra</t>
  </si>
  <si>
    <t>Karine Caroline</t>
  </si>
  <si>
    <t>Kelly Cristina Domingos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</si>
  <si>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</si>
  <si>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</si>
  <si>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</si>
  <si>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</si>
  <si>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</si>
  <si>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</si>
  <si>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</si>
  <si>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Tatianne Hatem</t>
  </si>
  <si>
    <t>Túllio Herbeth</t>
  </si>
  <si>
    <t>Valéria Cristina</t>
  </si>
  <si>
    <t>Valéria Feitoza</t>
  </si>
  <si>
    <t>Wibys Pereira</t>
  </si>
  <si>
    <t>Sim</t>
  </si>
  <si>
    <t>COMO USAR</t>
  </si>
  <si>
    <t>1) Para adicionar um instrutor novo, digite o nome na coluna 'Instrutor' (uma linha por pessoa).</t>
  </si>
  <si>
    <t>2) A planilha bloqueia nomes repetidos automaticamente.</t>
  </si>
  <si>
    <t>3) Nos cursos (aba 'Ações InCompany', coluna Instrutor) o nome passa a ser escolhido nesta lista, nunca digitado.</t>
  </si>
  <si>
    <t>4) Nunca renomeie a tabela 'tblInstrutores' nem o nome definido 'ListaInstrutores'.</t>
  </si>
  <si>
    <t>SELEÇÃO DE VÁRIOS INSTRUTORES (macro)</t>
  </si>
  <si>
    <t>50000/2029</t>
  </si>
  <si>
    <t>teste 44444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</si>
</sst>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9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0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59"/>
      <tableStyleElement type="firstRowStripe" dxfId="58"/>
      <tableStyleElement type="secondRowStripe" dxfId="57"/>
    </tableStyle>
    <tableStyle name="Ações InCompany-style" pivot="0" count="3" xr9:uid="{00000000-0011-0000-FFFF-FFFF01000000}">
      <tableStyleElement type="headerRow" dxfId="56"/>
      <tableStyleElement type="firstRowStripe" dxfId="55"/>
      <tableStyleElement type="secondRowStripe" dxfId="54"/>
    </tableStyle>
    <tableStyle name="Coffee Break-style" pivot="0" count="3" xr9:uid="{00000000-0011-0000-FFFF-FFFF02000000}">
      <tableStyleElement type="headerRow" dxfId="53"/>
      <tableStyleElement type="firstRowStripe" dxfId="52"/>
      <tableStyleElement type="secondRowStripe" dxfId="5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11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502</c:v>
                </c:pt>
                <c:pt idx="1">
                  <c:v>561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5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4" activePane="bottomLeft" state="frozen"/>
      <selection pane="bottomLeft" activeCell="E714" sqref="E71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2990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2684</v>
      </c>
      <c r="E659" s="30" t="s">
        <v>2685</v>
      </c>
      <c r="F659" s="31" t="s">
        <v>23</v>
      </c>
      <c r="G659" s="21" t="s">
        <v>38</v>
      </c>
      <c r="H659" s="76" t="s">
        <v>2686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2687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2688</v>
      </c>
      <c r="E660" s="27" t="s">
        <v>2689</v>
      </c>
      <c r="F660" s="29" t="s">
        <v>62</v>
      </c>
      <c r="G660" s="20" t="s">
        <v>2690</v>
      </c>
      <c r="H660" s="36" t="s">
        <v>2691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2692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2693</v>
      </c>
      <c r="E661" s="30" t="s">
        <v>2694</v>
      </c>
      <c r="F661" s="31" t="s">
        <v>23</v>
      </c>
      <c r="G661" s="46" t="s">
        <v>2695</v>
      </c>
      <c r="H661" s="38" t="s">
        <v>2696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2697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2698</v>
      </c>
      <c r="E662" s="27" t="s">
        <v>2699</v>
      </c>
      <c r="F662" s="29" t="s">
        <v>62</v>
      </c>
      <c r="G662" s="20" t="s">
        <v>2690</v>
      </c>
      <c r="H662" s="165" t="s">
        <v>2700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2701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2702</v>
      </c>
      <c r="E663" s="30" t="s">
        <v>2703</v>
      </c>
      <c r="F663" s="31" t="s">
        <v>62</v>
      </c>
      <c r="G663" s="21" t="s">
        <v>72</v>
      </c>
      <c r="H663" s="38" t="s">
        <v>2704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2705</v>
      </c>
      <c r="E664" s="27" t="s">
        <v>2706</v>
      </c>
      <c r="F664" s="29" t="s">
        <v>23</v>
      </c>
      <c r="G664" s="54" t="s">
        <v>364</v>
      </c>
      <c r="H664" s="36" t="s">
        <v>2707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2708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2709</v>
      </c>
      <c r="E665" s="30" t="s">
        <v>2710</v>
      </c>
      <c r="F665" s="31" t="s">
        <v>23</v>
      </c>
      <c r="G665" s="46" t="s">
        <v>2711</v>
      </c>
      <c r="H665" s="38" t="s">
        <v>2712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2713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2702</v>
      </c>
      <c r="E666" s="27" t="s">
        <v>2714</v>
      </c>
      <c r="F666" s="29" t="s">
        <v>62</v>
      </c>
      <c r="G666" s="20" t="s">
        <v>72</v>
      </c>
      <c r="H666" s="36" t="s">
        <v>2715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2716</v>
      </c>
      <c r="E667" s="30" t="s">
        <v>2717</v>
      </c>
      <c r="F667" s="31" t="s">
        <v>62</v>
      </c>
      <c r="G667" s="21" t="s">
        <v>72</v>
      </c>
      <c r="H667" s="24" t="s">
        <v>2718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2719</v>
      </c>
      <c r="E668" s="27" t="s">
        <v>2720</v>
      </c>
      <c r="F668" s="29" t="s">
        <v>62</v>
      </c>
      <c r="G668" s="20" t="s">
        <v>72</v>
      </c>
      <c r="H668" s="36" t="s">
        <v>2721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2722</v>
      </c>
      <c r="E669" s="30" t="s">
        <v>2723</v>
      </c>
      <c r="F669" s="31" t="s">
        <v>62</v>
      </c>
      <c r="G669" s="167" t="s">
        <v>2690</v>
      </c>
      <c r="H669" s="168" t="s">
        <v>2724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2701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2725</v>
      </c>
      <c r="E670" s="173" t="s">
        <v>2726</v>
      </c>
      <c r="F670" s="29" t="s">
        <v>81</v>
      </c>
      <c r="G670" s="20" t="s">
        <v>2727</v>
      </c>
      <c r="H670" s="174" t="s">
        <v>2728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2709</v>
      </c>
      <c r="E671" s="30" t="s">
        <v>2729</v>
      </c>
      <c r="F671" s="31" t="s">
        <v>23</v>
      </c>
      <c r="G671" s="46" t="s">
        <v>2711</v>
      </c>
      <c r="H671" s="38" t="s">
        <v>2730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2731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2732</v>
      </c>
      <c r="E672" s="173" t="s">
        <v>2733</v>
      </c>
      <c r="F672" s="29" t="s">
        <v>23</v>
      </c>
      <c r="G672" s="54" t="s">
        <v>2711</v>
      </c>
      <c r="H672" s="174" t="s">
        <v>2734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2731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2735</v>
      </c>
      <c r="E673" s="30" t="s">
        <v>2736</v>
      </c>
      <c r="F673" s="31" t="s">
        <v>23</v>
      </c>
      <c r="G673" s="21" t="s">
        <v>199</v>
      </c>
      <c r="H673" s="59" t="s">
        <v>2737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2738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2739</v>
      </c>
      <c r="E674" s="27" t="s">
        <v>2626</v>
      </c>
      <c r="F674" s="29" t="s">
        <v>81</v>
      </c>
      <c r="G674" s="48" t="s">
        <v>2727</v>
      </c>
      <c r="H674" s="36" t="s">
        <v>2740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2989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2739</v>
      </c>
      <c r="E675" s="27" t="s">
        <v>2626</v>
      </c>
      <c r="F675" s="29" t="s">
        <v>81</v>
      </c>
      <c r="G675" s="48" t="s">
        <v>2727</v>
      </c>
      <c r="H675" s="262" t="s">
        <v>2741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2989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2742</v>
      </c>
      <c r="D676" s="24" t="s">
        <v>2743</v>
      </c>
      <c r="E676" s="30" t="s">
        <v>2744</v>
      </c>
      <c r="F676" s="31" t="s">
        <v>23</v>
      </c>
      <c r="G676" s="21" t="s">
        <v>2695</v>
      </c>
      <c r="H676" s="38" t="s">
        <v>2745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2697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2746</v>
      </c>
      <c r="E677" s="274" t="s">
        <v>2747</v>
      </c>
      <c r="F677" s="188" t="s">
        <v>23</v>
      </c>
      <c r="G677" s="194" t="s">
        <v>38</v>
      </c>
      <c r="H677" s="189" t="s">
        <v>2748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2749</v>
      </c>
      <c r="E678" s="30" t="s">
        <v>2750</v>
      </c>
      <c r="F678" s="31" t="s">
        <v>23</v>
      </c>
      <c r="G678" s="45" t="s">
        <v>24</v>
      </c>
      <c r="H678" s="189" t="s">
        <v>2751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2752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2753</v>
      </c>
      <c r="E679" s="275" t="s">
        <v>2754</v>
      </c>
      <c r="F679" s="29" t="s">
        <v>62</v>
      </c>
      <c r="G679" s="179" t="s">
        <v>2690</v>
      </c>
      <c r="H679" s="182" t="s">
        <v>2755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2692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2764</v>
      </c>
      <c r="D680" s="70" t="s">
        <v>2743</v>
      </c>
      <c r="E680" s="65" t="s">
        <v>2757</v>
      </c>
      <c r="F680" s="29" t="s">
        <v>23</v>
      </c>
      <c r="G680" s="20" t="s">
        <v>2695</v>
      </c>
      <c r="H680" s="68" t="s">
        <v>2986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2697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2753</v>
      </c>
      <c r="E681" s="272" t="s">
        <v>2759</v>
      </c>
      <c r="F681" s="31" t="s">
        <v>62</v>
      </c>
      <c r="G681" s="194" t="s">
        <v>2690</v>
      </c>
      <c r="H681" s="189" t="s">
        <v>2760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2692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2761</v>
      </c>
      <c r="E682" s="164" t="s">
        <v>2762</v>
      </c>
      <c r="F682" s="29" t="s">
        <v>62</v>
      </c>
      <c r="G682" s="181" t="s">
        <v>2690</v>
      </c>
      <c r="H682" s="182" t="s">
        <v>2763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2764</v>
      </c>
      <c r="D683" s="186" t="s">
        <v>2765</v>
      </c>
      <c r="E683" s="187" t="s">
        <v>2766</v>
      </c>
      <c r="F683" s="31" t="s">
        <v>62</v>
      </c>
      <c r="G683" s="21" t="s">
        <v>72</v>
      </c>
      <c r="H683" s="189" t="s">
        <v>2767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2756</v>
      </c>
      <c r="D684" s="70" t="s">
        <v>2768</v>
      </c>
      <c r="E684" s="164" t="s">
        <v>2769</v>
      </c>
      <c r="F684" s="66" t="s">
        <v>81</v>
      </c>
      <c r="G684" s="67" t="s">
        <v>2727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2770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2764</v>
      </c>
      <c r="D685" s="209" t="s">
        <v>2771</v>
      </c>
      <c r="E685" s="210" t="s">
        <v>2772</v>
      </c>
      <c r="F685" s="211" t="s">
        <v>62</v>
      </c>
      <c r="G685" s="208" t="s">
        <v>72</v>
      </c>
      <c r="H685" s="212" t="s">
        <v>2773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2764</v>
      </c>
      <c r="D686" s="218" t="s">
        <v>2774</v>
      </c>
      <c r="E686" s="239" t="s">
        <v>2775</v>
      </c>
      <c r="F686" s="220" t="s">
        <v>23</v>
      </c>
      <c r="G686" s="217" t="s">
        <v>68</v>
      </c>
      <c r="H686" s="221" t="s">
        <v>2776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2752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2742</v>
      </c>
      <c r="D687" s="209" t="s">
        <v>2777</v>
      </c>
      <c r="E687" s="210" t="s">
        <v>2778</v>
      </c>
      <c r="F687" s="211" t="s">
        <v>23</v>
      </c>
      <c r="G687" s="208" t="s">
        <v>68</v>
      </c>
      <c r="H687" s="212" t="s">
        <v>2779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2780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2664</v>
      </c>
      <c r="D688" s="218" t="s">
        <v>2781</v>
      </c>
      <c r="E688" s="239" t="s">
        <v>2782</v>
      </c>
      <c r="F688" s="220" t="s">
        <v>81</v>
      </c>
      <c r="G688" s="217" t="s">
        <v>2727</v>
      </c>
      <c r="H688" s="221" t="s">
        <v>2783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/>
      <c r="N688" s="225">
        <v>30</v>
      </c>
      <c r="O688" s="224"/>
      <c r="P688" s="224"/>
      <c r="Q688" s="224"/>
      <c r="R688" s="224">
        <f t="shared" si="14"/>
        <v>0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2784</v>
      </c>
      <c r="E689" s="244" t="s">
        <v>2785</v>
      </c>
      <c r="F689" s="211" t="s">
        <v>23</v>
      </c>
      <c r="G689" s="208" t="s">
        <v>2711</v>
      </c>
      <c r="H689" s="246" t="s">
        <v>2786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2731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2784</v>
      </c>
      <c r="E690" s="245" t="s">
        <v>2787</v>
      </c>
      <c r="F690" s="220" t="s">
        <v>23</v>
      </c>
      <c r="G690" s="217" t="s">
        <v>2711</v>
      </c>
      <c r="H690" s="247" t="s">
        <v>2788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/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2731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2789</v>
      </c>
      <c r="E691" s="244" t="s">
        <v>2669</v>
      </c>
      <c r="F691" s="211" t="s">
        <v>23</v>
      </c>
      <c r="G691" s="208" t="s">
        <v>38</v>
      </c>
      <c r="H691" s="212" t="s">
        <v>2790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2791</v>
      </c>
      <c r="E692" s="245" t="s">
        <v>2792</v>
      </c>
      <c r="F692" s="220" t="s">
        <v>23</v>
      </c>
      <c r="G692" s="217" t="s">
        <v>364</v>
      </c>
      <c r="H692" s="221" t="s">
        <v>2793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2794</v>
      </c>
      <c r="E693" s="244" t="s">
        <v>2795</v>
      </c>
      <c r="F693" s="211" t="s">
        <v>23</v>
      </c>
      <c r="G693" s="208" t="s">
        <v>24</v>
      </c>
      <c r="H693" s="212" t="s">
        <v>2796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2797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2764</v>
      </c>
      <c r="D694" s="218" t="s">
        <v>2798</v>
      </c>
      <c r="E694" s="219" t="s">
        <v>2799</v>
      </c>
      <c r="F694" s="220" t="s">
        <v>62</v>
      </c>
      <c r="G694" s="217" t="s">
        <v>2690</v>
      </c>
      <c r="H694" s="221" t="s">
        <v>2800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2692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2764</v>
      </c>
      <c r="D695" s="209" t="s">
        <v>2801</v>
      </c>
      <c r="E695" s="210" t="s">
        <v>2802</v>
      </c>
      <c r="F695" s="211" t="s">
        <v>81</v>
      </c>
      <c r="G695" s="260" t="s">
        <v>2727</v>
      </c>
      <c r="H695" s="212" t="s">
        <v>2803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2804</v>
      </c>
      <c r="E696" s="219" t="s">
        <v>2805</v>
      </c>
      <c r="F696" s="220" t="s">
        <v>81</v>
      </c>
      <c r="G696" s="269" t="s">
        <v>2727</v>
      </c>
      <c r="H696" s="221" t="s">
        <v>2806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2807</v>
      </c>
      <c r="E697" s="210" t="s">
        <v>2808</v>
      </c>
      <c r="F697" s="211" t="s">
        <v>81</v>
      </c>
      <c r="G697" s="260" t="s">
        <v>2727</v>
      </c>
      <c r="H697" s="212" t="s">
        <v>2809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2810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2764</v>
      </c>
      <c r="D698" s="218" t="s">
        <v>2811</v>
      </c>
      <c r="E698" s="219" t="s">
        <v>2812</v>
      </c>
      <c r="F698" s="220" t="s">
        <v>23</v>
      </c>
      <c r="G698" s="217" t="s">
        <v>24</v>
      </c>
      <c r="H698" s="221" t="s">
        <v>2800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2764</v>
      </c>
      <c r="D699" s="209" t="s">
        <v>2813</v>
      </c>
      <c r="E699" s="210" t="s">
        <v>2814</v>
      </c>
      <c r="F699" s="211" t="s">
        <v>23</v>
      </c>
      <c r="G699" s="208" t="s">
        <v>68</v>
      </c>
      <c r="H699" s="212" t="s">
        <v>2815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2816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2764</v>
      </c>
      <c r="D700" s="218" t="s">
        <v>2817</v>
      </c>
      <c r="E700" s="219" t="s">
        <v>2818</v>
      </c>
      <c r="F700" s="220" t="s">
        <v>62</v>
      </c>
      <c r="G700" s="217" t="s">
        <v>72</v>
      </c>
      <c r="H700" s="221" t="s">
        <v>2819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2764</v>
      </c>
      <c r="D701" s="209" t="s">
        <v>2820</v>
      </c>
      <c r="E701" s="210" t="s">
        <v>2821</v>
      </c>
      <c r="F701" s="211" t="s">
        <v>62</v>
      </c>
      <c r="G701" s="208" t="s">
        <v>72</v>
      </c>
      <c r="H701" s="212" t="s">
        <v>2822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2823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2824</v>
      </c>
      <c r="E702" s="219" t="s">
        <v>2825</v>
      </c>
      <c r="F702" s="220" t="s">
        <v>23</v>
      </c>
      <c r="G702" s="217" t="s">
        <v>24</v>
      </c>
      <c r="H702" s="221" t="s">
        <v>2758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2826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2764</v>
      </c>
      <c r="D703" s="209" t="s">
        <v>2827</v>
      </c>
      <c r="E703" s="210" t="s">
        <v>2828</v>
      </c>
      <c r="F703" s="211" t="s">
        <v>62</v>
      </c>
      <c r="G703" s="208" t="s">
        <v>72</v>
      </c>
      <c r="H703" s="212" t="s">
        <v>2800</v>
      </c>
      <c r="I703" s="212" t="s">
        <v>2829</v>
      </c>
      <c r="J703" s="212" t="s">
        <v>2830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2831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2664</v>
      </c>
      <c r="D704" s="218" t="s">
        <v>2832</v>
      </c>
      <c r="E704" s="219" t="s">
        <v>2833</v>
      </c>
      <c r="F704" s="220" t="s">
        <v>62</v>
      </c>
      <c r="G704" s="217" t="s">
        <v>72</v>
      </c>
      <c r="H704" s="221" t="s">
        <v>2834</v>
      </c>
      <c r="I704" s="222">
        <v>46203</v>
      </c>
      <c r="J704" s="222">
        <v>46205</v>
      </c>
      <c r="K704" s="218" t="s">
        <v>35</v>
      </c>
      <c r="L704" s="223"/>
      <c r="M704" s="214"/>
      <c r="N704" s="225">
        <v>20</v>
      </c>
      <c r="O704" s="224"/>
      <c r="P704" s="224"/>
      <c r="Q704" s="224"/>
      <c r="R704" s="224">
        <f t="shared" si="14"/>
        <v>0</v>
      </c>
      <c r="S704" s="218">
        <v>8</v>
      </c>
      <c r="T704" s="104" t="s">
        <v>2731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2764</v>
      </c>
      <c r="D705" s="209" t="s">
        <v>2739</v>
      </c>
      <c r="E705" s="210" t="s">
        <v>2835</v>
      </c>
      <c r="F705" s="211" t="s">
        <v>81</v>
      </c>
      <c r="G705" s="260" t="s">
        <v>2727</v>
      </c>
      <c r="H705" s="277" t="s">
        <v>2836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2988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2764</v>
      </c>
      <c r="D706" s="209" t="s">
        <v>2739</v>
      </c>
      <c r="E706" s="210" t="s">
        <v>2835</v>
      </c>
      <c r="F706" s="220" t="s">
        <v>81</v>
      </c>
      <c r="G706" s="269" t="s">
        <v>2727</v>
      </c>
      <c r="H706" s="278" t="s">
        <v>2837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2987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2764</v>
      </c>
      <c r="D707" s="209" t="s">
        <v>2739</v>
      </c>
      <c r="E707" s="210" t="s">
        <v>2835</v>
      </c>
      <c r="F707" s="211" t="s">
        <v>81</v>
      </c>
      <c r="G707" s="260" t="s">
        <v>2727</v>
      </c>
      <c r="H707" s="277" t="s">
        <v>2838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2987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2764</v>
      </c>
      <c r="D708" s="209" t="s">
        <v>2739</v>
      </c>
      <c r="E708" s="210" t="s">
        <v>2835</v>
      </c>
      <c r="F708" s="220" t="s">
        <v>81</v>
      </c>
      <c r="G708" s="269" t="s">
        <v>2727</v>
      </c>
      <c r="H708" s="278" t="s">
        <v>2839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2987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2764</v>
      </c>
      <c r="D709" s="209" t="s">
        <v>2840</v>
      </c>
      <c r="E709" s="210" t="s">
        <v>2841</v>
      </c>
      <c r="F709" s="211" t="s">
        <v>23</v>
      </c>
      <c r="G709" s="208" t="s">
        <v>2711</v>
      </c>
      <c r="H709" s="212" t="s">
        <v>2800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2764</v>
      </c>
      <c r="D710" s="218" t="s">
        <v>2842</v>
      </c>
      <c r="E710" s="210" t="s">
        <v>2843</v>
      </c>
      <c r="F710" s="220" t="s">
        <v>62</v>
      </c>
      <c r="G710" s="217" t="s">
        <v>72</v>
      </c>
      <c r="H710" s="221" t="s">
        <v>2815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2844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2764</v>
      </c>
      <c r="D711" s="209" t="s">
        <v>2739</v>
      </c>
      <c r="E711" s="210" t="s">
        <v>2835</v>
      </c>
      <c r="F711" s="211" t="s">
        <v>81</v>
      </c>
      <c r="G711" s="260" t="s">
        <v>2727</v>
      </c>
      <c r="H711" s="212" t="s">
        <v>2845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2987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2764</v>
      </c>
      <c r="D712" s="218" t="s">
        <v>2739</v>
      </c>
      <c r="E712" s="210" t="s">
        <v>2835</v>
      </c>
      <c r="F712" s="220" t="s">
        <v>81</v>
      </c>
      <c r="G712" s="269" t="s">
        <v>2727</v>
      </c>
      <c r="H712" s="221" t="s">
        <v>2846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2987</v>
      </c>
    </row>
    <row r="713" spans="1:21" ht="23.25" customHeight="1" x14ac:dyDescent="0.25">
      <c r="A713" s="208" t="str">
        <f>IF(B713="","",B713&amp;"-"&amp;TEXT(COUNTIF(B$2:B713,B713),"000"))</f>
        <v>2026-057</v>
      </c>
      <c r="B713" s="209">
        <v>2026</v>
      </c>
      <c r="C713" s="218" t="s">
        <v>2764</v>
      </c>
      <c r="D713" s="209" t="s">
        <v>3026</v>
      </c>
      <c r="E713" s="244" t="s">
        <v>3027</v>
      </c>
      <c r="F713" s="211" t="s">
        <v>23</v>
      </c>
      <c r="G713" s="208" t="s">
        <v>199</v>
      </c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>
        <f t="shared" si="14"/>
        <v>0</v>
      </c>
      <c r="S713" s="209"/>
      <c r="T713" s="208" t="s">
        <v>2274</v>
      </c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0" priority="6">
      <formula>TRIM(C2)="Realizado"</formula>
    </cfRule>
    <cfRule type="expression" dxfId="49" priority="7">
      <formula>TRIM(C2)="Cancelado"</formula>
    </cfRule>
    <cfRule type="expression" dxfId="48" priority="8">
      <formula>TRIM(C2)="Adiado"</formula>
    </cfRule>
    <cfRule type="expression" dxfId="47" priority="9">
      <formula>AND(TRIM(C2)="A realizar",ISODD(ROW(C2)))</formula>
    </cfRule>
  </conditionalFormatting>
  <conditionalFormatting sqref="L680">
    <cfRule type="containsBlanks" dxfId="46" priority="3">
      <formula>LEN(TRIM(L680))=0</formula>
    </cfRule>
  </conditionalFormatting>
  <conditionalFormatting sqref="L689:L690">
    <cfRule type="containsBlanks" dxfId="45" priority="1">
      <formula>LEN(TRIM(L689))=0</formula>
    </cfRule>
  </conditionalFormatting>
  <conditionalFormatting sqref="M1:M513 L1:L537 L678">
    <cfRule type="containsBlanks" dxfId="44" priority="4">
      <formula>LEN(TRIM(L1))=0</formula>
    </cfRule>
  </conditionalFormatting>
  <conditionalFormatting sqref="M517:M675 L539:L675 L676:M676">
    <cfRule type="containsBlanks" dxfId="43" priority="5">
      <formula>LEN(TRIM(L517))=0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2991</v>
      </c>
      <c r="F1" s="281" t="s">
        <v>3020</v>
      </c>
    </row>
    <row r="2" spans="1:6" x14ac:dyDescent="0.25">
      <c r="F2" s="282" t="s">
        <v>3021</v>
      </c>
    </row>
    <row r="3" spans="1:6" x14ac:dyDescent="0.25">
      <c r="A3" t="s">
        <v>0</v>
      </c>
      <c r="B3" t="s">
        <v>19</v>
      </c>
      <c r="C3" t="s">
        <v>2992</v>
      </c>
      <c r="D3" t="s">
        <v>2993</v>
      </c>
      <c r="F3" s="282" t="s">
        <v>3022</v>
      </c>
    </row>
    <row r="4" spans="1:6" x14ac:dyDescent="0.25">
      <c r="A4">
        <v>1</v>
      </c>
      <c r="B4" t="s">
        <v>2994</v>
      </c>
      <c r="D4" t="s">
        <v>3019</v>
      </c>
      <c r="F4" s="282" t="s">
        <v>3023</v>
      </c>
    </row>
    <row r="5" spans="1:6" x14ac:dyDescent="0.25">
      <c r="A5">
        <v>2</v>
      </c>
      <c r="B5" t="s">
        <v>2500</v>
      </c>
      <c r="D5" t="s">
        <v>3019</v>
      </c>
      <c r="F5" s="282" t="s">
        <v>3024</v>
      </c>
    </row>
    <row r="6" spans="1:6" x14ac:dyDescent="0.25">
      <c r="A6">
        <v>3</v>
      </c>
      <c r="B6" t="s">
        <v>1023</v>
      </c>
      <c r="D6" t="s">
        <v>3019</v>
      </c>
    </row>
    <row r="7" spans="1:6" x14ac:dyDescent="0.25">
      <c r="A7">
        <v>4</v>
      </c>
      <c r="B7" t="s">
        <v>2995</v>
      </c>
      <c r="D7" t="s">
        <v>3019</v>
      </c>
      <c r="F7" s="282" t="s">
        <v>3025</v>
      </c>
    </row>
    <row r="8" spans="1:6" x14ac:dyDescent="0.25">
      <c r="A8">
        <v>5</v>
      </c>
      <c r="B8" t="s">
        <v>2996</v>
      </c>
      <c r="D8" t="s">
        <v>3019</v>
      </c>
    </row>
    <row r="9" spans="1:6" x14ac:dyDescent="0.25">
      <c r="A9">
        <v>6</v>
      </c>
      <c r="B9" t="s">
        <v>2310</v>
      </c>
      <c r="D9" t="s">
        <v>3019</v>
      </c>
    </row>
    <row r="10" spans="1:6" x14ac:dyDescent="0.25">
      <c r="A10">
        <v>7</v>
      </c>
      <c r="B10" t="s">
        <v>2409</v>
      </c>
      <c r="D10" t="s">
        <v>3019</v>
      </c>
    </row>
    <row r="11" spans="1:6" x14ac:dyDescent="0.25">
      <c r="A11">
        <v>8</v>
      </c>
      <c r="B11" t="s">
        <v>2471</v>
      </c>
      <c r="D11" t="s">
        <v>3019</v>
      </c>
    </row>
    <row r="12" spans="1:6" x14ac:dyDescent="0.25">
      <c r="A12">
        <v>10</v>
      </c>
      <c r="B12" t="s">
        <v>2713</v>
      </c>
      <c r="D12" t="s">
        <v>3019</v>
      </c>
    </row>
    <row r="13" spans="1:6" x14ac:dyDescent="0.25">
      <c r="A13">
        <v>11</v>
      </c>
      <c r="B13" t="s">
        <v>2274</v>
      </c>
      <c r="D13" t="s">
        <v>3019</v>
      </c>
    </row>
    <row r="14" spans="1:6" x14ac:dyDescent="0.25">
      <c r="A14">
        <v>12</v>
      </c>
      <c r="B14" t="s">
        <v>2370</v>
      </c>
      <c r="D14" t="s">
        <v>3019</v>
      </c>
    </row>
    <row r="15" spans="1:6" x14ac:dyDescent="0.25">
      <c r="A15">
        <v>13</v>
      </c>
      <c r="B15" t="s">
        <v>2687</v>
      </c>
      <c r="D15" t="s">
        <v>3019</v>
      </c>
    </row>
    <row r="16" spans="1:6" x14ac:dyDescent="0.25">
      <c r="A16">
        <v>14</v>
      </c>
      <c r="B16" t="s">
        <v>1902</v>
      </c>
      <c r="D16" t="s">
        <v>3019</v>
      </c>
    </row>
    <row r="17" spans="1:4" x14ac:dyDescent="0.25">
      <c r="A17">
        <v>15</v>
      </c>
      <c r="B17" t="s">
        <v>571</v>
      </c>
      <c r="D17" t="s">
        <v>3019</v>
      </c>
    </row>
    <row r="18" spans="1:4" x14ac:dyDescent="0.25">
      <c r="A18">
        <v>16</v>
      </c>
      <c r="B18" t="s">
        <v>1951</v>
      </c>
      <c r="D18" t="s">
        <v>3019</v>
      </c>
    </row>
    <row r="19" spans="1:4" x14ac:dyDescent="0.25">
      <c r="A19">
        <v>17</v>
      </c>
      <c r="B19" t="s">
        <v>1785</v>
      </c>
      <c r="D19" t="s">
        <v>3019</v>
      </c>
    </row>
    <row r="20" spans="1:4" x14ac:dyDescent="0.25">
      <c r="A20">
        <v>18</v>
      </c>
      <c r="B20" t="s">
        <v>2115</v>
      </c>
      <c r="D20" t="s">
        <v>3019</v>
      </c>
    </row>
    <row r="21" spans="1:4" x14ac:dyDescent="0.25">
      <c r="A21">
        <v>19</v>
      </c>
      <c r="B21" t="s">
        <v>1343</v>
      </c>
      <c r="D21" t="s">
        <v>3019</v>
      </c>
    </row>
    <row r="22" spans="1:4" x14ac:dyDescent="0.25">
      <c r="A22">
        <v>20</v>
      </c>
      <c r="B22" t="s">
        <v>2255</v>
      </c>
      <c r="D22" t="s">
        <v>3019</v>
      </c>
    </row>
    <row r="23" spans="1:4" x14ac:dyDescent="0.25">
      <c r="A23">
        <v>21</v>
      </c>
      <c r="B23" t="s">
        <v>2997</v>
      </c>
      <c r="D23" t="s">
        <v>3019</v>
      </c>
    </row>
    <row r="24" spans="1:4" x14ac:dyDescent="0.25">
      <c r="A24">
        <v>22</v>
      </c>
      <c r="B24" t="s">
        <v>584</v>
      </c>
      <c r="D24" t="s">
        <v>3019</v>
      </c>
    </row>
    <row r="25" spans="1:4" x14ac:dyDescent="0.25">
      <c r="A25">
        <v>23</v>
      </c>
      <c r="B25" t="s">
        <v>2879</v>
      </c>
      <c r="D25" t="s">
        <v>3019</v>
      </c>
    </row>
    <row r="26" spans="1:4" x14ac:dyDescent="0.25">
      <c r="A26">
        <v>24</v>
      </c>
      <c r="B26" t="s">
        <v>2998</v>
      </c>
      <c r="D26" t="s">
        <v>3019</v>
      </c>
    </row>
    <row r="27" spans="1:4" x14ac:dyDescent="0.25">
      <c r="A27">
        <v>25</v>
      </c>
      <c r="B27" t="s">
        <v>472</v>
      </c>
      <c r="D27" t="s">
        <v>3019</v>
      </c>
    </row>
    <row r="28" spans="1:4" x14ac:dyDescent="0.25">
      <c r="A28">
        <v>26</v>
      </c>
      <c r="B28" t="s">
        <v>69</v>
      </c>
      <c r="D28" t="s">
        <v>3019</v>
      </c>
    </row>
    <row r="29" spans="1:4" x14ac:dyDescent="0.25">
      <c r="A29">
        <v>27</v>
      </c>
      <c r="B29" t="s">
        <v>2999</v>
      </c>
      <c r="D29" t="s">
        <v>3019</v>
      </c>
    </row>
    <row r="30" spans="1:4" x14ac:dyDescent="0.25">
      <c r="A30">
        <v>28</v>
      </c>
      <c r="B30" t="s">
        <v>2102</v>
      </c>
      <c r="D30" t="s">
        <v>3019</v>
      </c>
    </row>
    <row r="31" spans="1:4" x14ac:dyDescent="0.25">
      <c r="A31">
        <v>29</v>
      </c>
      <c r="B31" t="s">
        <v>2250</v>
      </c>
      <c r="D31" t="s">
        <v>3019</v>
      </c>
    </row>
    <row r="32" spans="1:4" x14ac:dyDescent="0.25">
      <c r="A32">
        <v>30</v>
      </c>
      <c r="B32" t="s">
        <v>2505</v>
      </c>
      <c r="D32" t="s">
        <v>3019</v>
      </c>
    </row>
    <row r="33" spans="1:4" x14ac:dyDescent="0.25">
      <c r="A33">
        <v>31</v>
      </c>
      <c r="B33" t="s">
        <v>3000</v>
      </c>
      <c r="D33" t="s">
        <v>3019</v>
      </c>
    </row>
    <row r="34" spans="1:4" x14ac:dyDescent="0.25">
      <c r="A34">
        <v>32</v>
      </c>
      <c r="B34" t="s">
        <v>3001</v>
      </c>
      <c r="D34" t="s">
        <v>3019</v>
      </c>
    </row>
    <row r="35" spans="1:4" x14ac:dyDescent="0.25">
      <c r="A35">
        <v>33</v>
      </c>
      <c r="B35" t="s">
        <v>1367</v>
      </c>
      <c r="D35" t="s">
        <v>3019</v>
      </c>
    </row>
    <row r="36" spans="1:4" x14ac:dyDescent="0.25">
      <c r="A36">
        <v>34</v>
      </c>
      <c r="B36" t="s">
        <v>1472</v>
      </c>
      <c r="D36" t="s">
        <v>3019</v>
      </c>
    </row>
    <row r="37" spans="1:4" x14ac:dyDescent="0.25">
      <c r="A37">
        <v>35</v>
      </c>
      <c r="B37" t="s">
        <v>549</v>
      </c>
      <c r="D37" t="s">
        <v>3019</v>
      </c>
    </row>
    <row r="38" spans="1:4" x14ac:dyDescent="0.25">
      <c r="A38">
        <v>36</v>
      </c>
      <c r="B38" t="s">
        <v>3002</v>
      </c>
      <c r="D38" t="s">
        <v>3019</v>
      </c>
    </row>
    <row r="39" spans="1:4" x14ac:dyDescent="0.25">
      <c r="A39">
        <v>37</v>
      </c>
      <c r="B39" t="s">
        <v>2147</v>
      </c>
      <c r="D39" t="s">
        <v>3019</v>
      </c>
    </row>
    <row r="40" spans="1:4" x14ac:dyDescent="0.25">
      <c r="A40">
        <v>38</v>
      </c>
      <c r="B40" t="s">
        <v>2875</v>
      </c>
      <c r="D40" t="s">
        <v>3019</v>
      </c>
    </row>
    <row r="41" spans="1:4" x14ac:dyDescent="0.25">
      <c r="A41">
        <v>39</v>
      </c>
      <c r="B41" t="s">
        <v>2572</v>
      </c>
      <c r="D41" t="s">
        <v>3019</v>
      </c>
    </row>
    <row r="42" spans="1:4" x14ac:dyDescent="0.25">
      <c r="A42">
        <v>40</v>
      </c>
      <c r="B42" t="s">
        <v>3003</v>
      </c>
      <c r="D42" t="s">
        <v>3019</v>
      </c>
    </row>
    <row r="43" spans="1:4" x14ac:dyDescent="0.25">
      <c r="A43">
        <v>41</v>
      </c>
      <c r="B43" t="s">
        <v>855</v>
      </c>
      <c r="D43" t="s">
        <v>3019</v>
      </c>
    </row>
    <row r="44" spans="1:4" x14ac:dyDescent="0.25">
      <c r="A44">
        <v>42</v>
      </c>
      <c r="B44" t="s">
        <v>710</v>
      </c>
      <c r="D44" t="s">
        <v>3019</v>
      </c>
    </row>
    <row r="45" spans="1:4" x14ac:dyDescent="0.25">
      <c r="A45">
        <v>43</v>
      </c>
      <c r="B45" t="s">
        <v>3004</v>
      </c>
      <c r="D45" t="s">
        <v>3019</v>
      </c>
    </row>
    <row r="46" spans="1:4" x14ac:dyDescent="0.25">
      <c r="A46">
        <v>44</v>
      </c>
      <c r="B46" t="s">
        <v>2154</v>
      </c>
      <c r="D46" t="s">
        <v>3019</v>
      </c>
    </row>
    <row r="47" spans="1:4" x14ac:dyDescent="0.25">
      <c r="A47">
        <v>45</v>
      </c>
      <c r="B47" t="s">
        <v>211</v>
      </c>
      <c r="D47" t="s">
        <v>3019</v>
      </c>
    </row>
    <row r="48" spans="1:4" x14ac:dyDescent="0.25">
      <c r="A48">
        <v>46</v>
      </c>
      <c r="B48" t="s">
        <v>966</v>
      </c>
      <c r="D48" t="s">
        <v>3019</v>
      </c>
    </row>
    <row r="49" spans="1:4" x14ac:dyDescent="0.25">
      <c r="A49">
        <v>47</v>
      </c>
      <c r="B49" t="s">
        <v>1400</v>
      </c>
      <c r="D49" t="s">
        <v>3019</v>
      </c>
    </row>
    <row r="50" spans="1:4" x14ac:dyDescent="0.25">
      <c r="A50">
        <v>48</v>
      </c>
      <c r="B50" t="s">
        <v>3005</v>
      </c>
      <c r="D50" t="s">
        <v>3019</v>
      </c>
    </row>
    <row r="51" spans="1:4" x14ac:dyDescent="0.25">
      <c r="A51">
        <v>49</v>
      </c>
      <c r="B51" t="s">
        <v>2770</v>
      </c>
      <c r="D51" t="s">
        <v>3019</v>
      </c>
    </row>
    <row r="52" spans="1:4" x14ac:dyDescent="0.25">
      <c r="A52">
        <v>50</v>
      </c>
      <c r="B52" t="s">
        <v>3006</v>
      </c>
      <c r="D52" t="s">
        <v>3019</v>
      </c>
    </row>
    <row r="53" spans="1:4" x14ac:dyDescent="0.25">
      <c r="A53">
        <v>51</v>
      </c>
      <c r="B53" t="s">
        <v>1055</v>
      </c>
      <c r="D53" t="s">
        <v>3019</v>
      </c>
    </row>
    <row r="54" spans="1:4" x14ac:dyDescent="0.25">
      <c r="A54">
        <v>52</v>
      </c>
      <c r="B54" t="s">
        <v>1752</v>
      </c>
      <c r="D54" t="s">
        <v>3019</v>
      </c>
    </row>
    <row r="55" spans="1:4" x14ac:dyDescent="0.25">
      <c r="A55">
        <v>53</v>
      </c>
      <c r="B55" t="s">
        <v>2885</v>
      </c>
      <c r="D55" t="s">
        <v>3019</v>
      </c>
    </row>
    <row r="56" spans="1:4" x14ac:dyDescent="0.25">
      <c r="A56">
        <v>54</v>
      </c>
      <c r="B56" t="s">
        <v>74</v>
      </c>
      <c r="D56" t="s">
        <v>3019</v>
      </c>
    </row>
    <row r="57" spans="1:4" x14ac:dyDescent="0.25">
      <c r="A57">
        <v>55</v>
      </c>
      <c r="B57" t="s">
        <v>1096</v>
      </c>
      <c r="D57" t="s">
        <v>3019</v>
      </c>
    </row>
    <row r="58" spans="1:4" x14ac:dyDescent="0.25">
      <c r="A58">
        <v>56</v>
      </c>
      <c r="B58" t="s">
        <v>2048</v>
      </c>
      <c r="D58" t="s">
        <v>3019</v>
      </c>
    </row>
    <row r="59" spans="1:4" x14ac:dyDescent="0.25">
      <c r="A59">
        <v>57</v>
      </c>
      <c r="B59" t="s">
        <v>3007</v>
      </c>
      <c r="D59" t="s">
        <v>3019</v>
      </c>
    </row>
    <row r="60" spans="1:4" x14ac:dyDescent="0.25">
      <c r="A60">
        <v>58</v>
      </c>
      <c r="B60" t="s">
        <v>1873</v>
      </c>
      <c r="D60" t="s">
        <v>3019</v>
      </c>
    </row>
    <row r="61" spans="1:4" x14ac:dyDescent="0.25">
      <c r="A61">
        <v>59</v>
      </c>
      <c r="B61" t="s">
        <v>2082</v>
      </c>
      <c r="D61" t="s">
        <v>3019</v>
      </c>
    </row>
    <row r="62" spans="1:4" x14ac:dyDescent="0.25">
      <c r="A62">
        <v>60</v>
      </c>
      <c r="B62" t="s">
        <v>2014</v>
      </c>
      <c r="D62" t="s">
        <v>3019</v>
      </c>
    </row>
    <row r="63" spans="1:4" x14ac:dyDescent="0.25">
      <c r="A63">
        <v>61</v>
      </c>
      <c r="B63" t="s">
        <v>3008</v>
      </c>
      <c r="D63" t="s">
        <v>3019</v>
      </c>
    </row>
    <row r="64" spans="1:4" x14ac:dyDescent="0.25">
      <c r="A64">
        <v>62</v>
      </c>
      <c r="B64" t="s">
        <v>3009</v>
      </c>
      <c r="D64" t="s">
        <v>3019</v>
      </c>
    </row>
    <row r="65" spans="1:4" x14ac:dyDescent="0.25">
      <c r="A65">
        <v>63</v>
      </c>
      <c r="B65" t="s">
        <v>3010</v>
      </c>
      <c r="D65" t="s">
        <v>3019</v>
      </c>
    </row>
    <row r="66" spans="1:4" x14ac:dyDescent="0.25">
      <c r="A66">
        <v>64</v>
      </c>
      <c r="B66" t="s">
        <v>3011</v>
      </c>
      <c r="D66" t="s">
        <v>3019</v>
      </c>
    </row>
    <row r="67" spans="1:4" x14ac:dyDescent="0.25">
      <c r="A67">
        <v>65</v>
      </c>
      <c r="B67" t="s">
        <v>2697</v>
      </c>
      <c r="D67" t="s">
        <v>3019</v>
      </c>
    </row>
    <row r="68" spans="1:4" x14ac:dyDescent="0.25">
      <c r="A68">
        <v>66</v>
      </c>
      <c r="B68" t="s">
        <v>2549</v>
      </c>
      <c r="D68" t="s">
        <v>3019</v>
      </c>
    </row>
    <row r="69" spans="1:4" x14ac:dyDescent="0.25">
      <c r="A69">
        <v>67</v>
      </c>
      <c r="B69" t="s">
        <v>3012</v>
      </c>
      <c r="D69" t="s">
        <v>3019</v>
      </c>
    </row>
    <row r="70" spans="1:4" x14ac:dyDescent="0.25">
      <c r="A70">
        <v>68</v>
      </c>
      <c r="B70" t="s">
        <v>3013</v>
      </c>
      <c r="D70" t="s">
        <v>3019</v>
      </c>
    </row>
    <row r="71" spans="1:4" x14ac:dyDescent="0.25">
      <c r="A71">
        <v>69</v>
      </c>
      <c r="B71" t="s">
        <v>2450</v>
      </c>
      <c r="D71" t="s">
        <v>3019</v>
      </c>
    </row>
    <row r="72" spans="1:4" x14ac:dyDescent="0.25">
      <c r="A72">
        <v>70</v>
      </c>
      <c r="B72" t="s">
        <v>2890</v>
      </c>
      <c r="D72" t="s">
        <v>3019</v>
      </c>
    </row>
    <row r="73" spans="1:4" x14ac:dyDescent="0.25">
      <c r="A73">
        <v>71</v>
      </c>
      <c r="B73" t="s">
        <v>2659</v>
      </c>
      <c r="D73" t="s">
        <v>3019</v>
      </c>
    </row>
    <row r="74" spans="1:4" x14ac:dyDescent="0.25">
      <c r="A74">
        <v>72</v>
      </c>
      <c r="B74" t="s">
        <v>2315</v>
      </c>
      <c r="D74" t="s">
        <v>3019</v>
      </c>
    </row>
    <row r="75" spans="1:4" x14ac:dyDescent="0.25">
      <c r="A75">
        <v>73</v>
      </c>
      <c r="B75" t="s">
        <v>2294</v>
      </c>
      <c r="D75" t="s">
        <v>3019</v>
      </c>
    </row>
    <row r="76" spans="1:4" x14ac:dyDescent="0.25">
      <c r="A76">
        <v>74</v>
      </c>
      <c r="B76" t="s">
        <v>2892</v>
      </c>
      <c r="D76" t="s">
        <v>3019</v>
      </c>
    </row>
    <row r="77" spans="1:4" x14ac:dyDescent="0.25">
      <c r="A77">
        <v>75</v>
      </c>
      <c r="B77" t="s">
        <v>108</v>
      </c>
      <c r="D77" t="s">
        <v>3019</v>
      </c>
    </row>
    <row r="78" spans="1:4" x14ac:dyDescent="0.25">
      <c r="A78">
        <v>76</v>
      </c>
      <c r="B78" t="s">
        <v>935</v>
      </c>
      <c r="D78" t="s">
        <v>3019</v>
      </c>
    </row>
    <row r="79" spans="1:4" x14ac:dyDescent="0.25">
      <c r="A79">
        <v>77</v>
      </c>
      <c r="B79" t="s">
        <v>796</v>
      </c>
      <c r="D79" t="s">
        <v>3019</v>
      </c>
    </row>
    <row r="80" spans="1:4" x14ac:dyDescent="0.25">
      <c r="A80">
        <v>78</v>
      </c>
      <c r="B80" t="s">
        <v>418</v>
      </c>
      <c r="D80" t="s">
        <v>3019</v>
      </c>
    </row>
    <row r="81" spans="1:4" x14ac:dyDescent="0.25">
      <c r="A81">
        <v>79</v>
      </c>
      <c r="B81" t="s">
        <v>3014</v>
      </c>
      <c r="D81" t="s">
        <v>3019</v>
      </c>
    </row>
    <row r="82" spans="1:4" x14ac:dyDescent="0.25">
      <c r="A82">
        <v>80</v>
      </c>
      <c r="B82" t="s">
        <v>3015</v>
      </c>
      <c r="D82" t="s">
        <v>3019</v>
      </c>
    </row>
    <row r="83" spans="1:4" x14ac:dyDescent="0.25">
      <c r="A83">
        <v>81</v>
      </c>
      <c r="B83" t="s">
        <v>3016</v>
      </c>
      <c r="D83" t="s">
        <v>3019</v>
      </c>
    </row>
    <row r="84" spans="1:4" x14ac:dyDescent="0.25">
      <c r="A84">
        <v>82</v>
      </c>
      <c r="B84" t="s">
        <v>3017</v>
      </c>
      <c r="D84" t="s">
        <v>3019</v>
      </c>
    </row>
    <row r="85" spans="1:4" x14ac:dyDescent="0.25">
      <c r="A85">
        <v>83</v>
      </c>
      <c r="B85" t="s">
        <v>2475</v>
      </c>
      <c r="D85" t="s">
        <v>3019</v>
      </c>
    </row>
    <row r="86" spans="1:4" x14ac:dyDescent="0.25">
      <c r="A86">
        <v>84</v>
      </c>
      <c r="B86" t="s">
        <v>3018</v>
      </c>
      <c r="D86" t="s">
        <v>3019</v>
      </c>
    </row>
    <row r="87" spans="1:4" x14ac:dyDescent="0.25">
      <c r="A87">
        <v>85</v>
      </c>
      <c r="B87" t="s">
        <v>2567</v>
      </c>
      <c r="D87" t="s">
        <v>3019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" activePane="bottomLeft" state="frozen"/>
      <selection pane="bottomLeft" activeCell="Y4" sqref="Y4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27.85546875" customWidth="1"/>
    <col min="5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2847</v>
      </c>
      <c r="C1" s="96" t="s">
        <v>2848</v>
      </c>
      <c r="D1" s="96" t="s">
        <v>4</v>
      </c>
      <c r="E1" s="96" t="s">
        <v>2849</v>
      </c>
      <c r="F1" s="96" t="s">
        <v>19</v>
      </c>
      <c r="G1" s="96" t="s">
        <v>2850</v>
      </c>
      <c r="H1" s="96" t="s">
        <v>2851</v>
      </c>
      <c r="I1" s="96" t="s">
        <v>2852</v>
      </c>
      <c r="J1" s="96" t="s">
        <v>2853</v>
      </c>
      <c r="L1" s="129" t="s">
        <v>2854</v>
      </c>
      <c r="M1" s="100">
        <v>2026</v>
      </c>
      <c r="U1" s="162" t="s">
        <v>2855</v>
      </c>
      <c r="V1" s="161"/>
      <c r="X1" s="159" t="s">
        <v>2856</v>
      </c>
      <c r="Y1" s="107"/>
      <c r="Z1" s="107"/>
      <c r="AA1" s="107"/>
      <c r="AC1" s="253" t="s">
        <v>2857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fn.LAMBDA(_xlpm.ov,_xlpm.c,_xlpm.n,IF(_xlpm.ov&lt;&gt;"",_xlpm.ov+0,_xlpm.c*0.3/_xlpm.n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X2" s="160" t="s">
        <v>2847</v>
      </c>
      <c r="Y2" s="160" t="s">
        <v>19</v>
      </c>
      <c r="Z2" s="160" t="s">
        <v>2858</v>
      </c>
      <c r="AA2" s="160" t="s">
        <v>2859</v>
      </c>
      <c r="AC2" s="254" t="s">
        <v>1</v>
      </c>
      <c r="AD2" s="254" t="s">
        <v>2860</v>
      </c>
      <c r="AE2" s="254" t="s">
        <v>2861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2862</v>
      </c>
      <c r="M3" s="19" t="s">
        <v>2863</v>
      </c>
      <c r="N3" s="19" t="s">
        <v>2864</v>
      </c>
      <c r="O3" s="19" t="s">
        <v>2865</v>
      </c>
      <c r="P3" s="19" t="s">
        <v>2866</v>
      </c>
      <c r="Q3" s="19" t="s">
        <v>2867</v>
      </c>
      <c r="R3" s="19" t="s">
        <v>2868</v>
      </c>
      <c r="S3" s="19" t="s">
        <v>2869</v>
      </c>
      <c r="T3" s="19" t="s">
        <v>2870</v>
      </c>
      <c r="X3" t="s">
        <v>2871</v>
      </c>
      <c r="Y3" t="s">
        <v>2697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2872</v>
      </c>
      <c r="Y4" t="s">
        <v>2697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2873</v>
      </c>
      <c r="Y5" t="s">
        <v>2713</v>
      </c>
      <c r="Z5">
        <v>1</v>
      </c>
      <c r="AA5">
        <v>0.6</v>
      </c>
      <c r="AC5" s="248">
        <v>2026</v>
      </c>
      <c r="AD5" s="95" t="s">
        <v>2874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2873</v>
      </c>
      <c r="Y6" t="s">
        <v>2875</v>
      </c>
      <c r="Z6">
        <v>1</v>
      </c>
      <c r="AA6">
        <v>0</v>
      </c>
      <c r="AC6" s="248">
        <v>2026</v>
      </c>
      <c r="AD6" s="95" t="s">
        <v>2876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2877</v>
      </c>
      <c r="Y7" t="s">
        <v>2697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2878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2878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2878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2878</v>
      </c>
      <c r="Y11" s="95" t="s">
        <v>2879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2878</v>
      </c>
      <c r="Y12" s="95" t="s">
        <v>2880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2881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2881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2881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2881</v>
      </c>
      <c r="Y16" s="95" t="s">
        <v>2879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2881</v>
      </c>
      <c r="Y17" s="95" t="s">
        <v>2880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2882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2882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2882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2882</v>
      </c>
      <c r="Y21" s="95" t="s">
        <v>2879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2882</v>
      </c>
      <c r="Y22" s="95" t="s">
        <v>2880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2883</v>
      </c>
      <c r="Y23" s="95" t="s">
        <v>2713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2883</v>
      </c>
      <c r="Y24" s="95" t="s">
        <v>2875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Em andamento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2884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2884</v>
      </c>
      <c r="Y26" s="95" t="s">
        <v>2885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2886</v>
      </c>
      <c r="Y27" s="95" t="s">
        <v>2713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2886</v>
      </c>
      <c r="Y28" s="95" t="s">
        <v>2875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2887</v>
      </c>
      <c r="Y29" s="95" t="s">
        <v>2713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2887</v>
      </c>
      <c r="Y30" s="95" t="s">
        <v>2875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2888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2889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2889</v>
      </c>
      <c r="Y33" t="s">
        <v>2890</v>
      </c>
      <c r="Z33">
        <v>4</v>
      </c>
      <c r="AA33">
        <v>0.6</v>
      </c>
      <c r="AC33" s="250"/>
      <c r="AD33" s="251" t="s">
        <v>2891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2889</v>
      </c>
      <c r="Y34" t="s">
        <v>2892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2889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2889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2893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2893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2894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Em andamento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2895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2896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2896</v>
      </c>
      <c r="Y42" t="s">
        <v>2844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2897</v>
      </c>
      <c r="Y43" s="95" t="s">
        <v>2713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2897</v>
      </c>
      <c r="Y44" s="95" t="s">
        <v>2875</v>
      </c>
      <c r="AA44">
        <v>0</v>
      </c>
    </row>
    <row r="45" spans="1:31" x14ac:dyDescent="0.25">
      <c r="A45">
        <v>2026</v>
      </c>
      <c r="B45" t="str">
        <v>2026-032</v>
      </c>
      <c r="C45" t="str">
        <v>Em andamento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2898</v>
      </c>
      <c r="Y45" t="s">
        <v>2899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Em andamento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2898</v>
      </c>
      <c r="Y46" t="s">
        <v>2900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2898</v>
      </c>
      <c r="Y47" t="s">
        <v>2901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2898</v>
      </c>
      <c r="Y48" t="s">
        <v>2902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2898</v>
      </c>
      <c r="Y49" t="s">
        <v>2903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2898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2898</v>
      </c>
      <c r="Y51" t="s">
        <v>2904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2898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2898</v>
      </c>
      <c r="Y53" t="s">
        <v>2905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2898</v>
      </c>
      <c r="Y54" t="s">
        <v>2906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Em andamento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Em andamento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6" t="s">
        <v>2907</v>
      </c>
      <c r="B1" s="286"/>
      <c r="C1" s="286"/>
      <c r="D1" s="286"/>
      <c r="E1" s="286"/>
      <c r="F1" s="286"/>
      <c r="G1" s="286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7" t="s">
        <v>2908</v>
      </c>
      <c r="B4" s="288"/>
      <c r="D4" s="289" t="s">
        <v>2909</v>
      </c>
      <c r="E4" s="290"/>
      <c r="G4" s="125" t="s">
        <v>2910</v>
      </c>
    </row>
    <row r="5" spans="1:7" ht="54.95" customHeight="1" thickBot="1" x14ac:dyDescent="0.75">
      <c r="A5" s="115">
        <f>COUNTIF('Ações InCompany'!B:B,2026)</f>
        <v>57</v>
      </c>
      <c r="B5" s="116" t="s">
        <v>2911</v>
      </c>
      <c r="D5" s="123">
        <f>COUNTIFS('Ações InCompany'!B:B,2026,'Ações InCompany'!C:C,"Realizado")</f>
        <v>32</v>
      </c>
      <c r="E5" s="124" t="s">
        <v>2911</v>
      </c>
      <c r="G5" s="126">
        <f>COUNTIFS('Ações InCompany'!B:B,2026,'Ações InCompany'!C:C,"A realizar")</f>
        <v>20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4" t="s">
        <v>2912</v>
      </c>
      <c r="B8" s="284"/>
      <c r="D8" s="284" t="s">
        <v>2913</v>
      </c>
      <c r="E8" s="284"/>
    </row>
    <row r="9" spans="1:7" ht="5.0999999999999996" customHeight="1" x14ac:dyDescent="0.25">
      <c r="A9" s="285"/>
      <c r="B9" s="285"/>
      <c r="D9" s="285"/>
      <c r="E9" s="285"/>
    </row>
    <row r="10" spans="1:7" ht="24.95" customHeight="1" x14ac:dyDescent="0.25">
      <c r="A10" s="108" t="s">
        <v>5</v>
      </c>
      <c r="B10" s="108" t="s">
        <v>2914</v>
      </c>
      <c r="D10" s="108" t="s">
        <v>2915</v>
      </c>
      <c r="E10" s="108" t="s">
        <v>2916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2917</v>
      </c>
      <c r="E11" s="110">
        <f>SUMIFS('Ações InCompany'!O:O,'Ações InCompany'!B:B,2026,'Ações InCompany'!C:C,"Realizado")</f>
        <v>502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11</v>
      </c>
      <c r="D12" s="111" t="s">
        <v>2918</v>
      </c>
      <c r="E12" s="112">
        <f>SUMIFS('Ações InCompany'!P:P,'Ações InCompany'!B:B,2026,'Ações InCompany'!C:C,"Realizado")</f>
        <v>561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5</v>
      </c>
      <c r="D13" s="109" t="s">
        <v>2919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2920</v>
      </c>
      <c r="B14" s="114">
        <f>SUM(B11:B13)</f>
        <v>32</v>
      </c>
      <c r="D14" s="113" t="s">
        <v>2921</v>
      </c>
      <c r="E14" s="114">
        <f>SUM(E11:E13)</f>
        <v>1474</v>
      </c>
    </row>
    <row r="30" spans="1:5" ht="17.25" x14ac:dyDescent="0.3">
      <c r="A30" s="284" t="s">
        <v>2922</v>
      </c>
      <c r="B30" s="284"/>
      <c r="C30" s="284"/>
      <c r="D30" s="284"/>
      <c r="E30" s="284"/>
    </row>
    <row r="31" spans="1:5" ht="5.0999999999999996" customHeight="1" x14ac:dyDescent="0.25">
      <c r="A31" s="285"/>
      <c r="B31" s="285"/>
      <c r="C31" s="285"/>
      <c r="D31" s="285"/>
      <c r="E31" s="285"/>
    </row>
    <row r="32" spans="1:5" ht="24.95" customHeight="1" x14ac:dyDescent="0.25">
      <c r="A32" s="108" t="s">
        <v>6</v>
      </c>
      <c r="B32" s="108" t="s">
        <v>2923</v>
      </c>
      <c r="C32" s="108" t="s">
        <v>2924</v>
      </c>
      <c r="D32" s="108" t="s">
        <v>2925</v>
      </c>
      <c r="E32" s="108" t="s">
        <v>2926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5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11</v>
      </c>
      <c r="E33" s="118">
        <f t="shared" ref="E33:E44" si="1">D33/$D$45</f>
        <v>0.21153846153846154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2711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2695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3.8461538461538464E-2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1</v>
      </c>
      <c r="D37" s="117">
        <f t="shared" si="0"/>
        <v>3</v>
      </c>
      <c r="E37" s="118">
        <f t="shared" si="1"/>
        <v>5.7692307692307696E-2</v>
      </c>
    </row>
    <row r="38" spans="1:5" ht="24" customHeight="1" x14ac:dyDescent="0.25">
      <c r="A38" s="111" t="s">
        <v>2727</v>
      </c>
      <c r="B38" s="119">
        <f>COUNTIFS('Ações InCompany'!B:B,2026,'Ações InCompany'!C:C,"Realizado",'Ações InCompany'!G:G,A38)</f>
        <v>5</v>
      </c>
      <c r="C38" s="128">
        <f>COUNTIFS('Ações InCompany'!B:B,2026,'Ações InCompany'!C:C,"A realizar",'Ações InCompany'!G:G,A38)</f>
        <v>7</v>
      </c>
      <c r="D38" s="119">
        <f t="shared" si="0"/>
        <v>12</v>
      </c>
      <c r="E38" s="120">
        <f t="shared" si="1"/>
        <v>0.23076923076923078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2690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2927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2928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2920</v>
      </c>
      <c r="B45" s="121">
        <f>SUM(B33:B44)</f>
        <v>32</v>
      </c>
      <c r="C45" s="121">
        <f>SUM(C33:C44)</f>
        <v>20</v>
      </c>
      <c r="D45" s="121">
        <f>SUM(D33:D44)</f>
        <v>52</v>
      </c>
      <c r="E45" s="12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2934</v>
      </c>
      <c r="B2" s="12" t="s">
        <v>2935</v>
      </c>
      <c r="C2" s="12" t="s">
        <v>1729</v>
      </c>
      <c r="D2" s="12" t="s">
        <v>2936</v>
      </c>
      <c r="E2" s="12" t="s">
        <v>2937</v>
      </c>
    </row>
    <row r="3" spans="1:5" ht="18" customHeight="1" x14ac:dyDescent="0.25">
      <c r="A3" s="12" t="s">
        <v>2934</v>
      </c>
      <c r="B3" s="12" t="s">
        <v>2935</v>
      </c>
      <c r="C3" s="14" t="s">
        <v>24</v>
      </c>
      <c r="D3" s="12" t="s">
        <v>2938</v>
      </c>
      <c r="E3" s="12" t="s">
        <v>2939</v>
      </c>
    </row>
    <row r="4" spans="1:5" ht="18" customHeight="1" x14ac:dyDescent="0.25">
      <c r="A4" s="12" t="s">
        <v>2934</v>
      </c>
      <c r="B4" s="12" t="s">
        <v>2935</v>
      </c>
      <c r="C4" s="12" t="s">
        <v>68</v>
      </c>
      <c r="D4" s="12" t="s">
        <v>2936</v>
      </c>
      <c r="E4" s="12" t="s">
        <v>2940</v>
      </c>
    </row>
    <row r="5" spans="1:5" ht="18" customHeight="1" x14ac:dyDescent="0.25">
      <c r="A5" s="12" t="s">
        <v>2934</v>
      </c>
      <c r="B5" s="12" t="s">
        <v>2935</v>
      </c>
      <c r="C5" s="12" t="s">
        <v>72</v>
      </c>
      <c r="D5" s="12" t="s">
        <v>2941</v>
      </c>
      <c r="E5" s="12" t="s">
        <v>2942</v>
      </c>
    </row>
    <row r="6" spans="1:5" ht="18" customHeight="1" x14ac:dyDescent="0.25">
      <c r="A6" s="12" t="s">
        <v>2934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2934</v>
      </c>
      <c r="B7" s="12" t="s">
        <v>2945</v>
      </c>
      <c r="C7" s="12" t="s">
        <v>33</v>
      </c>
      <c r="D7" s="12" t="s">
        <v>2946</v>
      </c>
      <c r="E7" s="12" t="s">
        <v>2947</v>
      </c>
    </row>
    <row r="8" spans="1:5" ht="18" customHeight="1" x14ac:dyDescent="0.25">
      <c r="A8" s="12" t="s">
        <v>2934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2934</v>
      </c>
      <c r="B9" s="12" t="s">
        <v>2950</v>
      </c>
      <c r="C9" s="12" t="s">
        <v>457</v>
      </c>
      <c r="D9" s="12" t="s">
        <v>2951</v>
      </c>
      <c r="E9" s="12" t="s">
        <v>2952</v>
      </c>
    </row>
    <row r="10" spans="1:5" ht="18" customHeight="1" x14ac:dyDescent="0.25">
      <c r="A10" s="12" t="s">
        <v>2934</v>
      </c>
      <c r="B10" s="12" t="s">
        <v>2950</v>
      </c>
      <c r="C10" s="12" t="s">
        <v>199</v>
      </c>
      <c r="D10" s="12" t="s">
        <v>23</v>
      </c>
      <c r="E10" s="12" t="s">
        <v>2953</v>
      </c>
    </row>
    <row r="11" spans="1:5" ht="18" customHeight="1" x14ac:dyDescent="0.25">
      <c r="A11" s="12" t="s">
        <v>2934</v>
      </c>
      <c r="B11" s="12" t="s">
        <v>2950</v>
      </c>
      <c r="C11" s="12" t="s">
        <v>364</v>
      </c>
      <c r="D11" s="12" t="s">
        <v>23</v>
      </c>
      <c r="E11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2955</v>
      </c>
      <c r="B1" s="5" t="s">
        <v>10</v>
      </c>
      <c r="C1" s="15" t="s">
        <v>2956</v>
      </c>
      <c r="D1" s="15" t="s">
        <v>2848</v>
      </c>
    </row>
    <row r="2" spans="1:4" ht="21" customHeight="1" x14ac:dyDescent="0.25">
      <c r="A2" s="258" t="s">
        <v>23</v>
      </c>
      <c r="B2" s="258" t="s">
        <v>35</v>
      </c>
      <c r="C2" s="12" t="s">
        <v>2957</v>
      </c>
      <c r="D2" s="12" t="s">
        <v>2764</v>
      </c>
    </row>
    <row r="3" spans="1:4" ht="21" customHeight="1" x14ac:dyDescent="0.25">
      <c r="A3" s="12" t="s">
        <v>62</v>
      </c>
      <c r="B3" s="258" t="s">
        <v>26</v>
      </c>
      <c r="C3" s="12" t="s">
        <v>2958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2742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2756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2959</v>
      </c>
      <c r="B2" s="12" t="s">
        <v>2935</v>
      </c>
      <c r="C2" s="14" t="s">
        <v>24</v>
      </c>
      <c r="D2" s="12" t="s">
        <v>2936</v>
      </c>
      <c r="E2" s="18" t="s">
        <v>2960</v>
      </c>
    </row>
    <row r="3" spans="1:5" ht="18" customHeight="1" x14ac:dyDescent="0.25">
      <c r="A3" s="12" t="s">
        <v>2959</v>
      </c>
      <c r="B3" s="12" t="s">
        <v>2935</v>
      </c>
      <c r="C3" s="12" t="s">
        <v>68</v>
      </c>
      <c r="D3" s="12" t="s">
        <v>2938</v>
      </c>
      <c r="E3" s="12" t="s">
        <v>2961</v>
      </c>
    </row>
    <row r="4" spans="1:5" ht="18" customHeight="1" x14ac:dyDescent="0.25">
      <c r="A4" s="12" t="s">
        <v>2959</v>
      </c>
      <c r="B4" s="12" t="s">
        <v>2935</v>
      </c>
      <c r="C4" s="12" t="s">
        <v>72</v>
      </c>
      <c r="D4" s="12" t="s">
        <v>2941</v>
      </c>
      <c r="E4" s="12" t="s">
        <v>2962</v>
      </c>
    </row>
    <row r="5" spans="1:5" ht="27.75" customHeight="1" x14ac:dyDescent="0.25">
      <c r="A5" s="12" t="s">
        <v>2959</v>
      </c>
      <c r="B5" s="12" t="s">
        <v>2935</v>
      </c>
      <c r="C5" s="12" t="s">
        <v>2690</v>
      </c>
      <c r="D5" s="18" t="s">
        <v>2963</v>
      </c>
      <c r="E5" s="12" t="s">
        <v>2964</v>
      </c>
    </row>
    <row r="6" spans="1:5" ht="18" customHeight="1" x14ac:dyDescent="0.25">
      <c r="A6" s="12" t="s">
        <v>2959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2959</v>
      </c>
      <c r="B7" s="12" t="s">
        <v>2945</v>
      </c>
      <c r="C7" s="12" t="s">
        <v>2711</v>
      </c>
      <c r="D7" s="12" t="s">
        <v>2965</v>
      </c>
      <c r="E7" s="12" t="s">
        <v>2966</v>
      </c>
    </row>
    <row r="8" spans="1:5" ht="18" customHeight="1" x14ac:dyDescent="0.25">
      <c r="A8" s="12" t="s">
        <v>2959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2959</v>
      </c>
      <c r="B9" s="12" t="s">
        <v>2945</v>
      </c>
      <c r="C9" s="12" t="s">
        <v>2695</v>
      </c>
      <c r="D9" s="12" t="s">
        <v>2967</v>
      </c>
      <c r="E9" s="18" t="s">
        <v>2968</v>
      </c>
    </row>
    <row r="10" spans="1:5" ht="18" customHeight="1" x14ac:dyDescent="0.25">
      <c r="A10" s="12" t="s">
        <v>2959</v>
      </c>
      <c r="B10" s="12" t="s">
        <v>2969</v>
      </c>
      <c r="C10" s="12" t="s">
        <v>2927</v>
      </c>
      <c r="D10" s="12" t="s">
        <v>2970</v>
      </c>
      <c r="E10" s="18" t="s">
        <v>2971</v>
      </c>
    </row>
    <row r="11" spans="1:5" ht="18" customHeight="1" x14ac:dyDescent="0.25">
      <c r="A11" s="12" t="s">
        <v>2959</v>
      </c>
      <c r="B11" s="12" t="s">
        <v>2969</v>
      </c>
      <c r="C11" s="12" t="s">
        <v>199</v>
      </c>
      <c r="D11" s="12" t="s">
        <v>23</v>
      </c>
      <c r="E11" s="12" t="s">
        <v>2953</v>
      </c>
    </row>
    <row r="12" spans="1:5" ht="18" customHeight="1" x14ac:dyDescent="0.25">
      <c r="A12" s="12" t="s">
        <v>2959</v>
      </c>
      <c r="B12" s="12" t="s">
        <v>2969</v>
      </c>
      <c r="C12" s="12" t="s">
        <v>364</v>
      </c>
      <c r="D12" s="12" t="s">
        <v>23</v>
      </c>
      <c r="E12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1" t="s">
        <v>2972</v>
      </c>
      <c r="B1" s="291"/>
      <c r="C1" s="291"/>
      <c r="D1" s="291"/>
      <c r="E1" s="291"/>
      <c r="F1" s="291"/>
      <c r="G1" s="291"/>
      <c r="H1" s="291"/>
    </row>
    <row r="2" spans="1:8" x14ac:dyDescent="0.25">
      <c r="A2" s="130" t="s">
        <v>2973</v>
      </c>
    </row>
    <row r="4" spans="1:8" ht="21.95" customHeight="1" x14ac:dyDescent="0.25">
      <c r="A4" s="292" t="s">
        <v>2974</v>
      </c>
      <c r="B4" s="293"/>
      <c r="D4" s="292" t="s">
        <v>2975</v>
      </c>
      <c r="E4" s="293"/>
      <c r="G4" s="292" t="s">
        <v>2976</v>
      </c>
      <c r="H4" s="293"/>
    </row>
    <row r="5" spans="1:8" ht="35.1" customHeight="1" x14ac:dyDescent="0.25">
      <c r="A5" s="296">
        <f>COUNTIF('Ações InCompany'!E:E,"*maratona*")</f>
        <v>13</v>
      </c>
      <c r="B5" s="295"/>
      <c r="D5" s="294">
        <f>SUM(H8:H100)</f>
        <v>1762</v>
      </c>
      <c r="E5" s="295"/>
      <c r="G5" s="294">
        <f>IFERROR(ROUND(D5/A5,0),"-")</f>
        <v>136</v>
      </c>
      <c r="H5" s="295"/>
    </row>
    <row r="6" spans="1:8" ht="9.9499999999999993" customHeight="1" x14ac:dyDescent="0.25"/>
    <row r="7" spans="1:8" ht="24.95" customHeight="1" thickBot="1" x14ac:dyDescent="0.3">
      <c r="A7" s="143" t="s">
        <v>2977</v>
      </c>
      <c r="B7" s="143" t="s">
        <v>2978</v>
      </c>
      <c r="C7" s="143" t="s">
        <v>1</v>
      </c>
      <c r="D7" s="143" t="s">
        <v>2979</v>
      </c>
      <c r="E7" s="143" t="s">
        <v>2980</v>
      </c>
      <c r="F7" s="143" t="s">
        <v>2848</v>
      </c>
      <c r="G7" s="143" t="s">
        <v>5</v>
      </c>
      <c r="H7" s="143" t="s">
        <v>2981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7" t="s">
        <v>2982</v>
      </c>
      <c r="B1" s="297"/>
      <c r="C1" s="297"/>
      <c r="D1" s="297"/>
      <c r="E1" s="297"/>
      <c r="F1" s="297"/>
    </row>
    <row r="2" spans="1:7" x14ac:dyDescent="0.25">
      <c r="A2" s="298" t="s">
        <v>2983</v>
      </c>
      <c r="B2" s="298"/>
      <c r="C2" s="298"/>
      <c r="D2" s="298"/>
      <c r="E2" s="298"/>
      <c r="F2" s="298"/>
    </row>
    <row r="4" spans="1:7" x14ac:dyDescent="0.25">
      <c r="A4" s="102" t="s">
        <v>19</v>
      </c>
      <c r="B4" s="102" t="s">
        <v>2851</v>
      </c>
      <c r="C4" s="102" t="s">
        <v>2852</v>
      </c>
      <c r="D4" s="102" t="s">
        <v>2984</v>
      </c>
      <c r="E4" s="102" t="s">
        <v>2853</v>
      </c>
      <c r="F4" s="102" t="s">
        <v>2985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2921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91ce1707-6d34-452b-b217-9734c03e6729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2026-07-03T16:51:38Z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