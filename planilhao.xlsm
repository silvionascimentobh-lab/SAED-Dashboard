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2" documentId="8_{454372C2-A99E-4E47-A759-72B38925853E}" xr6:coauthVersionLast="47" xr6:coauthVersionMax="47" xr10:uidLastSave="{0325091C-A30A-4FBB-AFBA-2F4F3A6D56DC}"/>
  <bookViews>
    <workbookView xWindow="-12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13" i="3" l="1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C46" i="23" l="1"/>
  <c r="F46" i="23"/>
  <c r="E46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B45" i="23" l="1"/>
  <c r="C45" i="23"/>
  <c r="F45" i="23"/>
  <c r="D45" i="23"/>
  <c r="E45" i="23"/>
  <c r="C35" i="23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<sst xmlns="http://schemas.openxmlformats.org/spreadsheetml/2006/main" count="6168" uniqueCount="2379">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</sst>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/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9" totalsRowShown="0">
  <autoFilter ref="A3:D89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opLeftCell="H1" zoomScaleNormal="100" workbookViewId="0">
      <pane ySplit="1" topLeftCell="A706" activePane="bottomLeft" state="frozen"/>
      <selection pane="bottomLeft" activeCell="P723" sqref="P72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/>
      <c r="I699" s="213"/>
      <c r="J699" s="213"/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10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/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>
        <f t="shared" si="14"/>
        <v>0</v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>
        <f t="shared" si="14"/>
        <v>0</v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9"/>
  <sheetViews>
    <sheetView tabSelected="1" topLeftCell="A63" workbookViewId="0">
      <selection activeCell="D90" sqref="D90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4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8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9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>
        <v>0</v>
      </c>
      <c r="R48">
        <v>1</v>
      </c>
      <c r="S48">
        <v>113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T49">
        <v>113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0</v>
      </c>
      <c r="G114">
        <v>1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59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21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7</v>
      </c>
      <c r="D33" s="117">
        <f t="shared" ref="D33:D44" si="0">B33+C33</f>
        <v>13</v>
      </c>
      <c r="E33" s="118">
        <f t="shared" ref="E33:E44" si="1">D33/$D$45</f>
        <v>0.23636363636363636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5.4545454545454543E-2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0.10909090909090909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1.8181818181818181E-2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3.6363636363636362E-2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0.23636363636363636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7.2727272727272724E-2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3.6363636363636362E-2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0.12727272727272726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3.6363636363636362E-2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2</v>
      </c>
      <c r="D44" s="149">
        <f t="shared" si="0"/>
        <v>2</v>
      </c>
      <c r="E44" s="150">
        <f t="shared" si="1"/>
        <v>3.6363636363636362E-2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21</v>
      </c>
      <c r="D45" s="121">
        <f>SUM(D33:D44)</f>
        <v>55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5">IFERROR(_xlfn._xlws.SORT(_xlfn.UNIQUE(_xlfn._xlws.FILTER(_xlfn.VSTACK('GECC 2026'!F2:F200,'GECC 2026'!AD3:AD32),_xlfn.VSTACK('GECC 2026'!F2:F200,'GECC 2026'!AD3:AD32)&lt;&gt;""))),"")</f>
        <v>0</v>
      </c>
      <c r="B5" s="103">
        <f>IF($A5="","",SUMIFS('GECC 2026'!H$2:H$200,'GECC 2026'!F$2:F$200,$A5))</f>
        <v>4</v>
      </c>
      <c r="C5" s="103">
        <f>IF($A5="","",SUMIFS('GECC 2026'!I$2:I$200,'GECC 2026'!F$2:F$200,$A5))</f>
        <v>1.2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5.2</v>
      </c>
      <c r="F5" s="101">
        <f>IF($A5="","",COUNTIFS('GECC 2026'!F$2:F$200,$A5))</f>
        <v>1</v>
      </c>
      <c r="G5" s="101">
        <f>IF($A5="","",COUNTIFS('GECC 2026'!G$2:G$200,$A5))</f>
        <v>0</v>
      </c>
    </row>
    <row r="6" spans="1:7" x14ac:dyDescent="0.25">
      <c r="A6" t="str">
        <v>Adriana Cuoco Portugal</v>
      </c>
      <c r="B6" s="103">
        <f>IF($A6="","",SUMIFS('GECC 2026'!H$2:H$200,'GECC 2026'!F$2:F$200,$A6))</f>
        <v>40</v>
      </c>
      <c r="C6" s="103">
        <f>IF($A6="","",SUMIFS('GECC 2026'!I$2:I$200,'GECC 2026'!F$2:F$200,$A6))</f>
        <v>5.2800000000000011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45.280000000000008</v>
      </c>
      <c r="F6" s="101">
        <f>IF($A6="","",COUNTIFS('GECC 2026'!F$2:F$200,$A6))</f>
        <v>10</v>
      </c>
    </row>
    <row r="7" spans="1:7" x14ac:dyDescent="0.25">
      <c r="A7" t="str">
        <v>Adriana Magalhães</v>
      </c>
      <c r="B7" s="103">
        <f>IF($A7="","",SUMIFS('GECC 2026'!H$2:H$200,'GECC 2026'!F$2:F$200,$A7))</f>
        <v>24</v>
      </c>
      <c r="C7" s="103">
        <f>IF($A7="","",SUMIFS('GECC 2026'!I$2:I$200,'GECC 2026'!F$2:F$200,$A7))</f>
        <v>3.5999999999999996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27.6</v>
      </c>
      <c r="F7" s="101">
        <f>IF($A7="","",COUNTIFS('GECC 2026'!F$2:F$200,$A7))</f>
        <v>2</v>
      </c>
    </row>
    <row r="8" spans="1:7" x14ac:dyDescent="0.25">
      <c r="A8" t="str">
        <v>Alinne Patrícia de Andrade Carvalho</v>
      </c>
      <c r="B8" s="103">
        <f>IF($A8="","",SUMIFS('GECC 2026'!H$2:H$200,'GECC 2026'!F$2:F$200,$A8))</f>
        <v>0</v>
      </c>
      <c r="C8" s="103">
        <f>IF($A8="","",SUMIFS('GECC 2026'!I$2:I$200,'GECC 2026'!F$2:F$200,$A8))</f>
        <v>0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0</v>
      </c>
      <c r="F8" s="101">
        <f>IF($A8="","",COUNTIFS('GECC 2026'!F$2:F$200,$A8))</f>
        <v>1</v>
      </c>
    </row>
    <row r="9" spans="1:7" x14ac:dyDescent="0.25">
      <c r="A9" t="str">
        <v>Arthur Wú</v>
      </c>
      <c r="B9" s="103">
        <f>IF($A9="","",SUMIFS('GECC 2026'!H$2:H$200,'GECC 2026'!F$2:F$200,$A9))</f>
        <v>41</v>
      </c>
      <c r="C9" s="103">
        <f>IF($A9="","",SUMIFS('GECC 2026'!I$2:I$200,'GECC 2026'!F$2:F$200,$A9))</f>
        <v>12.6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53.6</v>
      </c>
      <c r="F9" s="101">
        <f>IF($A9="","",COUNTIFS('GECC 2026'!F$2:F$200,$A9))</f>
        <v>6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Eustáquio Rabelo de Souza</v>
      </c>
      <c r="B17" s="103">
        <f>IF($A17="","",SUMIFS('GECC 2026'!H$2:H$200,'GECC 2026'!F$2:F$200,$A17))</f>
        <v>1</v>
      </c>
      <c r="C17" s="103">
        <f>IF($A17="","",SUMIFS('GECC 2026'!I$2:I$200,'GECC 2026'!F$2:F$200,$A17))</f>
        <v>0.3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1.3</v>
      </c>
      <c r="F17" s="101">
        <f>IF($A17="","",COUNTIFS('GECC 2026'!F$2:F$200,$A17))</f>
        <v>1</v>
      </c>
    </row>
    <row r="18" spans="1:6" x14ac:dyDescent="0.25">
      <c r="A18" t="str">
        <v>Felipe da Costa Malaquias</v>
      </c>
      <c r="B18" s="103">
        <f>IF($A18="","",SUMIFS('GECC 2026'!H$2:H$200,'GECC 2026'!F$2:F$200,$A18))</f>
        <v>8</v>
      </c>
      <c r="C18" s="103">
        <f>IF($A18="","",SUMIFS('GECC 2026'!I$2:I$200,'GECC 2026'!F$2:F$200,$A18))</f>
        <v>37.299999999999997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45.3</v>
      </c>
      <c r="F18" s="101">
        <f>IF($A18="","",COUNTIFS('GECC 2026'!F$2:F$200,$A18))</f>
        <v>2</v>
      </c>
    </row>
    <row r="19" spans="1:6" x14ac:dyDescent="0.25">
      <c r="A19" t="str">
        <v>Felipe Ramos Barbosa</v>
      </c>
      <c r="B19" s="103">
        <f>IF($A19="","",SUMIFS('GECC 2026'!H$2:H$200,'GECC 2026'!F$2:F$200,$A19))</f>
        <v>1</v>
      </c>
      <c r="C19" s="103">
        <f>IF($A19="","",SUMIFS('GECC 2026'!I$2:I$200,'GECC 2026'!F$2:F$200,$A19))</f>
        <v>0.3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1.3</v>
      </c>
      <c r="F19" s="101">
        <f>IF($A19="","",COUNTIFS('GECC 2026'!F$2:F$200,$A19))</f>
        <v>1</v>
      </c>
    </row>
    <row r="20" spans="1:6" x14ac:dyDescent="0.25">
      <c r="A20" t="str">
        <v>Fernanda Viana de Souza</v>
      </c>
      <c r="B20" s="103">
        <f>IF($A20="","",SUMIFS('GECC 2026'!H$2:H$200,'GECC 2026'!F$2:F$200,$A20))</f>
        <v>39</v>
      </c>
      <c r="C20" s="103">
        <f>IF($A20="","",SUMIFS('GECC 2026'!I$2:I$200,'GECC 2026'!F$2:F$200,$A20))</f>
        <v>4.5300000000000011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43.530000000000008</v>
      </c>
      <c r="F20" s="101">
        <f>IF($A20="","",COUNTIFS('GECC 2026'!F$2:F$200,$A20))</f>
        <v>10</v>
      </c>
    </row>
    <row r="21" spans="1:6" x14ac:dyDescent="0.25">
      <c r="A21" t="str">
        <v>Flávio José Fonseca de Souza</v>
      </c>
      <c r="B21" s="103">
        <f>IF($A21="","",SUMIFS('GECC 2026'!H$2:H$200,'GECC 2026'!F$2:F$200,$A21))</f>
        <v>8</v>
      </c>
      <c r="C21" s="103">
        <f>IF($A21="","",SUMIFS('GECC 2026'!I$2:I$200,'GECC 2026'!F$2:F$200,$A21))</f>
        <v>37.299999999999997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45.3</v>
      </c>
      <c r="F21" s="101">
        <f>IF($A21="","",COUNTIFS('GECC 2026'!F$2:F$200,$A21))</f>
        <v>2</v>
      </c>
    </row>
    <row r="22" spans="1:6" x14ac:dyDescent="0.25">
      <c r="A22" t="str">
        <v>Gabriel Heller</v>
      </c>
      <c r="B22" s="103">
        <f>IF($A22="","",SUMIFS('GECC 2026'!H$2:H$200,'GECC 2026'!F$2:F$200,$A22))</f>
        <v>4</v>
      </c>
      <c r="C22" s="103">
        <f>IF($A22="","",SUMIFS('GECC 2026'!I$2:I$200,'GECC 2026'!F$2:F$200,$A22))</f>
        <v>33.200000000000003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37.200000000000003</v>
      </c>
      <c r="F22" s="101">
        <f>IF($A22="","",COUNTIFS('GECC 2026'!F$2:F$200,$A22))</f>
        <v>2</v>
      </c>
    </row>
    <row r="23" spans="1:6" x14ac:dyDescent="0.25">
      <c r="A23" t="str">
        <v>Guilherme Bride Fernandes</v>
      </c>
      <c r="B23" s="103">
        <f>IF($A23="","",SUMIFS('GECC 2026'!H$2:H$200,'GECC 2026'!F$2:F$200,$A23))</f>
        <v>0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0</v>
      </c>
      <c r="F23" s="101">
        <f>IF($A23="","",COUNTIFS('GECC 2026'!F$2:F$200,$A23))</f>
        <v>1</v>
      </c>
    </row>
    <row r="24" spans="1:6" x14ac:dyDescent="0.25">
      <c r="A24" t="str">
        <v>Gustavo Takahashi</v>
      </c>
      <c r="B24" s="103">
        <f>IF($A24="","",SUMIFS('GECC 2026'!H$2:H$200,'GECC 2026'!F$2:F$200,$A24))</f>
        <v>33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33</v>
      </c>
      <c r="F24" s="101">
        <f>IF($A24="","",COUNTIFS('GECC 2026'!F$2:F$200,$A24))</f>
        <v>5</v>
      </c>
    </row>
    <row r="25" spans="1:6" x14ac:dyDescent="0.25">
      <c r="A25" t="str">
        <v>Hamilton de Jesus Lopes Neto</v>
      </c>
      <c r="B25" s="103">
        <f>IF($A25="","",SUMIFS('GECC 2026'!H$2:H$200,'GECC 2026'!F$2:F$200,$A25))</f>
        <v>12</v>
      </c>
      <c r="C25" s="103">
        <f>IF($A25="","",SUMIFS('GECC 2026'!I$2:I$200,'GECC 2026'!F$2:F$200,$A25))</f>
        <v>1.2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13.2</v>
      </c>
      <c r="F25" s="101">
        <f>IF($A25="","",COUNTIFS('GECC 2026'!F$2:F$200,$A25))</f>
        <v>1</v>
      </c>
    </row>
    <row r="26" spans="1:6" x14ac:dyDescent="0.25">
      <c r="A26" t="str">
        <v>Igor Queiroz</v>
      </c>
      <c r="B26" s="103">
        <f>IF($A26="","",SUMIFS('GECC 2026'!H$2:H$200,'GECC 2026'!F$2:F$200,$A26))</f>
        <v>1</v>
      </c>
      <c r="C26" s="103">
        <f>IF($A26="","",SUMIFS('GECC 2026'!I$2:I$200,'GECC 2026'!F$2:F$200,$A26))</f>
        <v>0.3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1.3</v>
      </c>
      <c r="F26" s="101">
        <f>IF($A26="","",COUNTIFS('GECC 2026'!F$2:F$200,$A26))</f>
        <v>1</v>
      </c>
    </row>
    <row r="27" spans="1:6" x14ac:dyDescent="0.25">
      <c r="A27" t="str">
        <v>Indio Artiaga do Brasil Rabelo</v>
      </c>
      <c r="B27" s="103">
        <f>IF($A27="","",SUMIFS('GECC 2026'!H$2:H$200,'GECC 2026'!F$2:F$200,$A27))</f>
        <v>12</v>
      </c>
      <c r="C27" s="103">
        <f>IF($A27="","",SUMIFS('GECC 2026'!I$2:I$200,'GECC 2026'!F$2:F$200,$A27))</f>
        <v>3.6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15.6</v>
      </c>
      <c r="F27" s="101">
        <f>IF($A27="","",COUNTIFS('GECC 2026'!F$2:F$200,$A27))</f>
        <v>1</v>
      </c>
    </row>
    <row r="28" spans="1:6" x14ac:dyDescent="0.25">
      <c r="A28" t="str">
        <v>José Roberto Alcuri Júnior</v>
      </c>
      <c r="B28" s="103">
        <f>IF($A28="","",SUMIFS('GECC 2026'!H$2:H$200,'GECC 2026'!F$2:F$200,$A28))</f>
        <v>1</v>
      </c>
      <c r="C28" s="103">
        <f>IF($A28="","",SUMIFS('GECC 2026'!I$2:I$200,'GECC 2026'!F$2:F$200,$A28))</f>
        <v>0.3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1.3</v>
      </c>
      <c r="F28" s="101">
        <f>IF($A28="","",COUNTIFS('GECC 2026'!F$2:F$200,$A28))</f>
        <v>1</v>
      </c>
    </row>
    <row r="29" spans="1:6" x14ac:dyDescent="0.25">
      <c r="A29" t="str">
        <v>Leonardo de Melo</v>
      </c>
      <c r="B29" s="103">
        <f>IF($A29="","",SUMIFS('GECC 2026'!H$2:H$200,'GECC 2026'!F$2:F$200,$A29))</f>
        <v>0</v>
      </c>
      <c r="C29" s="103">
        <f>IF($A29="","",SUMIFS('GECC 2026'!I$2:I$200,'GECC 2026'!F$2:F$200,$A29))</f>
        <v>0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0</v>
      </c>
      <c r="F29" s="101">
        <f>IF($A29="","",COUNTIFS('GECC 2026'!F$2:F$200,$A29))</f>
        <v>1</v>
      </c>
    </row>
    <row r="30" spans="1:6" x14ac:dyDescent="0.25">
      <c r="A30" t="str">
        <v>Leonardo José Alves Leal Neri</v>
      </c>
      <c r="B30" s="103">
        <f>IF($A30="","",SUMIFS('GECC 2026'!H$2:H$200,'GECC 2026'!F$2:F$200,$A30))</f>
        <v>40</v>
      </c>
      <c r="C30" s="103">
        <f>IF($A30="","",SUMIFS('GECC 2026'!I$2:I$200,'GECC 2026'!F$2:F$200,$A30))</f>
        <v>12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52</v>
      </c>
      <c r="F30" s="101">
        <f>IF($A30="","",COUNTIFS('GECC 2026'!F$2:F$200,$A30))</f>
        <v>2</v>
      </c>
    </row>
    <row r="31" spans="1:6" x14ac:dyDescent="0.25">
      <c r="A31" t="str">
        <v>Luciana Alvim</v>
      </c>
      <c r="B31" s="103">
        <f>IF($A31="","",SUMIFS('GECC 2026'!H$2:H$200,'GECC 2026'!F$2:F$200,$A31))</f>
        <v>60</v>
      </c>
      <c r="C31" s="103">
        <f>IF($A31="","",SUMIFS('GECC 2026'!I$2:I$200,'GECC 2026'!F$2:F$200,$A31))</f>
        <v>94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154</v>
      </c>
      <c r="F31" s="101">
        <f>IF($A31="","",COUNTIFS('GECC 2026'!F$2:F$200,$A31))</f>
        <v>6</v>
      </c>
    </row>
    <row r="32" spans="1:6" x14ac:dyDescent="0.25">
      <c r="A32" t="str">
        <v>Luiz Felipe Tenório de Lima Gondim</v>
      </c>
      <c r="B32" s="103">
        <f>IF($A32="","",SUMIFS('GECC 2026'!H$2:H$200,'GECC 2026'!F$2:F$200,$A32))</f>
        <v>24</v>
      </c>
      <c r="C32" s="103">
        <f>IF($A32="","",SUMIFS('GECC 2026'!I$2:I$200,'GECC 2026'!F$2:F$200,$A32))</f>
        <v>1.44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25.440000000000005</v>
      </c>
      <c r="F32" s="101">
        <f>IF($A32="","",COUNTIFS('GECC 2026'!F$2:F$200,$A32))</f>
        <v>6</v>
      </c>
    </row>
    <row r="33" spans="1:6" x14ac:dyDescent="0.25">
      <c r="A33" t="str">
        <v>Marcelo Bálbio Moraes</v>
      </c>
      <c r="B33" s="103">
        <f>IF($A33="","",SUMIFS('GECC 2026'!H$2:H$200,'GECC 2026'!F$2:F$200,$A33))</f>
        <v>0</v>
      </c>
      <c r="C33" s="103">
        <f>IF($A33="","",SUMIFS('GECC 2026'!I$2:I$200,'GECC 2026'!F$2:F$200,$A33))</f>
        <v>0</v>
      </c>
      <c r="D33" s="255">
        <f>IF($A33="","",SUMIFS('GECC 2026'!$AE$3:$AE$32,'GECC 2026'!$AD$3:$AD$32,$A33))</f>
        <v>16</v>
      </c>
      <c r="E33" s="240">
        <f>IF($A33="","",SUMIFS('GECC 2026'!J$2:J$200,'GECC 2026'!F$2:F$200,$A33)+SUMIFS('GECC 2026'!$AE$3:$AE$32,'GECC 2026'!$AD$3:$AD$32,$A33))</f>
        <v>16</v>
      </c>
      <c r="F33" s="101">
        <f>IF($A33="","",COUNTIFS('GECC 2026'!F$2:F$200,$A33))</f>
        <v>0</v>
      </c>
    </row>
    <row r="34" spans="1:6" x14ac:dyDescent="0.25">
      <c r="A34" t="str">
        <v>Marcelo Santana</v>
      </c>
      <c r="B34" s="103">
        <f>IF($A34="","",SUMIFS('GECC 2026'!H$2:H$200,'GECC 2026'!F$2:F$200,$A34))</f>
        <v>1</v>
      </c>
      <c r="C34" s="103">
        <f>IF($A34="","",SUMIFS('GECC 2026'!I$2:I$200,'GECC 2026'!F$2:F$200,$A34))</f>
        <v>0.3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1.3</v>
      </c>
      <c r="F34" s="101">
        <f>IF($A34="","",COUNTIFS('GECC 2026'!F$2:F$200,$A34))</f>
        <v>1</v>
      </c>
    </row>
    <row r="35" spans="1:6" x14ac:dyDescent="0.25">
      <c r="A35" t="str">
        <v>Mauri Siqueira Montessi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Michel Martins de Morais</v>
      </c>
      <c r="B36" s="103">
        <f>IF($A36="","",SUMIFS('GECC 2026'!H$2:H$200,'GECC 2026'!F$2:F$200,$A36))</f>
        <v>0</v>
      </c>
      <c r="C36" s="103">
        <f>IF($A36="","",SUMIFS('GECC 2026'!I$2:I$200,'GECC 2026'!F$2:F$200,$A36))</f>
        <v>0</v>
      </c>
      <c r="D36" s="255">
        <f>IF($A36="","",SUMIFS('GECC 2026'!$AE$3:$AE$32,'GECC 2026'!$AD$3:$AD$32,$A36))</f>
        <v>16</v>
      </c>
      <c r="E36" s="240">
        <f>IF($A36="","",SUMIFS('GECC 2026'!J$2:J$200,'GECC 2026'!F$2:F$200,$A36)+SUMIFS('GECC 2026'!$AE$3:$AE$32,'GECC 2026'!$AD$3:$AD$32,$A36))</f>
        <v>16</v>
      </c>
      <c r="F36" s="101">
        <f>IF($A36="","",COUNTIFS('GECC 2026'!F$2:F$200,$A36))</f>
        <v>0</v>
      </c>
    </row>
    <row r="37" spans="1:6" x14ac:dyDescent="0.25">
      <c r="A37" t="str">
        <v>Paulo José Góes Daltro</v>
      </c>
      <c r="B37" s="103">
        <f>IF($A37="","",SUMIFS('GECC 2026'!H$2:H$200,'GECC 2026'!F$2:F$200,$A37))</f>
        <v>28</v>
      </c>
      <c r="C37" s="103">
        <f>IF($A37="","",SUMIFS('GECC 2026'!I$2:I$200,'GECC 2026'!F$2:F$200,$A37))</f>
        <v>8.3999999999999986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36.4</v>
      </c>
      <c r="F37" s="101">
        <f>IF($A37="","",COUNTIFS('GECC 2026'!F$2:F$200,$A37))</f>
        <v>3</v>
      </c>
    </row>
    <row r="38" spans="1:6" x14ac:dyDescent="0.25">
      <c r="A38" t="str">
        <v>Priscila Nolasco de Oliveira</v>
      </c>
      <c r="B38" s="103">
        <f>IF($A38="","",SUMIFS('GECC 2026'!H$2:H$200,'GECC 2026'!F$2:F$200,$A38))</f>
        <v>36</v>
      </c>
      <c r="C38" s="103">
        <f>IF($A38="","",SUMIFS('GECC 2026'!I$2:I$200,'GECC 2026'!F$2:F$200,$A38))</f>
        <v>2.16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38.160000000000011</v>
      </c>
      <c r="F38" s="101">
        <f>IF($A38="","",COUNTIFS('GECC 2026'!F$2:F$200,$A38))</f>
        <v>9</v>
      </c>
    </row>
    <row r="39" spans="1:6" x14ac:dyDescent="0.25">
      <c r="A39" t="str">
        <v>Reinaldo Alencar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Rogério Ribeiro</v>
      </c>
      <c r="B40" s="103">
        <f>IF($A40="","",SUMIFS('GECC 2026'!H$2:H$200,'GECC 2026'!F$2:F$200,$A40))</f>
        <v>48</v>
      </c>
      <c r="C40" s="103">
        <f>IF($A40="","",SUMIFS('GECC 2026'!I$2:I$200,'GECC 2026'!F$2:F$200,$A40))</f>
        <v>7.1999999999999993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55.2</v>
      </c>
      <c r="F40" s="101">
        <f>IF($A40="","",COUNTIFS('GECC 2026'!F$2:F$200,$A40))</f>
        <v>3</v>
      </c>
    </row>
    <row r="41" spans="1:6" x14ac:dyDescent="0.25">
      <c r="A41" t="str">
        <v>Rômulo Miranda Alvim</v>
      </c>
      <c r="B41" s="103">
        <f>IF($A41="","",SUMIFS('GECC 2026'!H$2:H$200,'GECC 2026'!F$2:F$200,$A41))</f>
        <v>24</v>
      </c>
      <c r="C41" s="103">
        <f>IF($A41="","",SUMIFS('GECC 2026'!I$2:I$200,'GECC 2026'!F$2:F$200,$A41))</f>
        <v>3.6</v>
      </c>
      <c r="D41" s="255">
        <f>IF($A41="","",SUMIFS('GECC 2026'!$AE$3:$AE$32,'GECC 2026'!$AD$3:$AD$32,$A41))</f>
        <v>16</v>
      </c>
      <c r="E41" s="240">
        <f>IF($A41="","",SUMIFS('GECC 2026'!J$2:J$200,'GECC 2026'!F$2:F$200,$A41)+SUMIFS('GECC 2026'!$AE$3:$AE$32,'GECC 2026'!$AD$3:$AD$32,$A41))</f>
        <v>43.6</v>
      </c>
      <c r="F41" s="101">
        <f>IF($A41="","",COUNTIFS('GECC 2026'!F$2:F$200,$A41))</f>
        <v>2</v>
      </c>
    </row>
    <row r="42" spans="1:6" x14ac:dyDescent="0.25">
      <c r="A42" t="str">
        <v>Servidores, colaboradores e estagiários do TCDF</v>
      </c>
      <c r="B42" s="103">
        <f>IF($A42="","",SUMIFS('GECC 2026'!H$2:H$200,'GECC 2026'!F$2:F$200,$A42))</f>
        <v>0</v>
      </c>
      <c r="C42" s="103">
        <f>IF($A42="","",SUMIFS('GECC 2026'!I$2:I$200,'GECC 2026'!F$2:F$200,$A42))</f>
        <v>0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0</v>
      </c>
      <c r="F42" s="101">
        <f>IF($A42="","",COUNTIFS('GECC 2026'!F$2:F$200,$A42))</f>
        <v>1</v>
      </c>
    </row>
    <row r="43" spans="1:6" x14ac:dyDescent="0.25">
      <c r="A43" t="str">
        <v>Silvia Lima Damasceno Carvalho</v>
      </c>
      <c r="B43" s="103">
        <f>IF($A43="","",SUMIFS('GECC 2026'!H$2:H$200,'GECC 2026'!F$2:F$200,$A43))</f>
        <v>1</v>
      </c>
      <c r="C43" s="103">
        <f>IF($A43="","",SUMIFS('GECC 2026'!I$2:I$200,'GECC 2026'!F$2:F$200,$A43))</f>
        <v>0.3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1.3</v>
      </c>
      <c r="F43" s="101">
        <f>IF($A43="","",COUNTIFS('GECC 2026'!F$2:F$200,$A43))</f>
        <v>1</v>
      </c>
    </row>
    <row r="44" spans="1:6" x14ac:dyDescent="0.25">
      <c r="A44" t="str">
        <v>Tarsila Firmino Ely</v>
      </c>
      <c r="B44" s="103">
        <f>IF($A44="","",SUMIFS('GECC 2026'!H$2:H$200,'GECC 2026'!F$2:F$200,$A44))</f>
        <v>56</v>
      </c>
      <c r="C44" s="103">
        <f>IF($A44="","",SUMIFS('GECC 2026'!I$2:I$200,'GECC 2026'!F$2:F$200,$A44))</f>
        <v>96.4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152.4</v>
      </c>
      <c r="F44" s="101">
        <f>IF($A44="","",COUNTIFS('GECC 2026'!F$2:F$200,$A44))</f>
        <v>5</v>
      </c>
    </row>
    <row r="45" spans="1:6" x14ac:dyDescent="0.25">
      <c r="A45" t="str">
        <v>Túllio Herbeth Teixeira Moraes</v>
      </c>
      <c r="B45" s="103">
        <f>IF($A45="","",SUMIFS('GECC 2026'!H$2:H$200,'GECC 2026'!F$2:F$200,$A45))</f>
        <v>3</v>
      </c>
      <c r="C45" s="103">
        <f>IF($A45="","",SUMIFS('GECC 2026'!I$2:I$200,'GECC 2026'!F$2:F$200,$A45))</f>
        <v>0.44999999999999996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3.45</v>
      </c>
      <c r="F45" s="101">
        <f>IF($A45="","",COUNTIFS('GECC 2026'!F$2:F$200,$A45))</f>
        <v>1</v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712</v>
      </c>
      <c r="C105" s="242">
        <f>SUM(C5:C100)</f>
        <v>392.58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2026-07-09T21:43:12Z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