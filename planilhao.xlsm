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05" documentId="13_ncr:1_{6A2CC3E2-FAFB-4D8F-B284-5E8FB5045DFE}" xr6:coauthVersionLast="47" xr6:coauthVersionMax="47" xr10:uidLastSave="{47620152-96FA-4EC5-8BC8-DCC49915612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3" i="23" l="1"/>
  <c r="E63" i="23"/>
  <c r="F63" i="23"/>
  <c r="C63" i="23"/>
  <c r="B63" i="23"/>
  <c r="D62" i="23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<sst xmlns="http://schemas.openxmlformats.org/spreadsheetml/2006/main" count="7403" uniqueCount="3255">
  <si>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</si>
  <si>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</si>
  <si>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</si>
  <si>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</si>
  <si>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</si>
  <si>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</si>
  <si>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</si>
  <si>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</si>
  <si>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</si>
  <si>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</si>
  <si>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</si>
  <si>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</si>
  <si>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</si>
  <si>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</si>
  <si>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</si>
  <si>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</si>
  <si>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</si>
  <si>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</si>
  <si>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</si>
  <si>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</si>
  <si>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</si>
  <si>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</si>
  <si>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</si>
  <si>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</si>
  <si>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</si>
  <si>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</si>
  <si>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</si>
  <si>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</si>
  <si>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</si>
  <si>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</si>
  <si>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</si>
  <si>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</si>
  <si>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</si>
  <si>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</si>
  <si>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</si>
  <si>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</si>
  <si>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</si>
  <si>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</si>
  <si>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</si>
  <si>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</si>
  <si>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</si>
  <si>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</si>
  <si>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</si>
  <si>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</si>
  <si>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</si>
  <si>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</si>
  <si>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</si>
  <si>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</si>
  <si>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</si>
  <si>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</si>
  <si>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</si>
  <si>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</si>
  <si>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</si>
  <si>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</si>
  <si>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</si>
  <si>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</si>
  <si>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</si>
  <si>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</si>
  <si>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</si>
  <si>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</si>
  <si>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</si>
  <si>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</si>
  <si>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</si>
  <si>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</si>
  <si>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</si>
  <si>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</si>
  <si>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</si>
  <si>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</si>
  <si>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</si>
  <si>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</si>
  <si>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</si>
  <si>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</si>
  <si>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</si>
  <si>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</si>
  <si>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</si>
  <si>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</si>
  <si>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</si>
  <si>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</si>
  <si>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</si>
  <si>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</si>
  <si>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</si>
  <si>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</si>
  <si>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</si>
  <si>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</si>
  <si>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</si>
  <si>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</si>
  <si>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</si>
  <si>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</si>
  <si>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</si>
  <si>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</si>
  <si>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</si>
  <si>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</si>
  <si>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</si>
  <si>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</si>
  <si>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</si>
  <si>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</si>
  <si>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</si>
  <si>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</si>
  <si>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</si>
  <si>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</si>
  <si>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</si>
  <si>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</si>
  <si>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</si>
  <si>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</si>
  <si>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</si>
  <si>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</si>
  <si>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</si>
  <si>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</si>
  <si>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</si>
  <si>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</si>
  <si>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</si>
  <si>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</si>
  <si>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</si>
  <si>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</si>
  <si>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</si>
  <si>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</si>
  <si>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</si>
  <si>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</si>
  <si>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</si>
  <si>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</si>
  <si>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</si>
  <si>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</si>
  <si>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</si>
  <si>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</si>
  <si>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</si>
  <si>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</si>
  <si>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</si>
  <si>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</si>
  <si>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</si>
  <si>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</si>
  <si>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</si>
  <si>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</si>
  <si>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</si>
  <si>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</si>
  <si>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</si>
  <si>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</si>
  <si>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</si>
  <si>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</si>
  <si>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</si>
  <si>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</si>
  <si>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</si>
  <si>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</si>
  <si>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</si>
  <si>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</si>
  <si>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</si>
  <si>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</si>
  <si>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</si>
  <si>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</si>
  <si>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</si>
  <si>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</si>
  <si>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</si>
  <si>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</si>
  <si>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</si>
  <si>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</si>
  <si>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</si>
  <si>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</si>
  <si>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</si>
  <si>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</si>
  <si>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</si>
  <si>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</si>
  <si>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</si>
  <si>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</si>
  <si>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</si>
  <si>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</si>
  <si>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</si>
  <si>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</si>
  <si>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</si>
  <si>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</si>
  <si>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</si>
  <si>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</si>
  <si>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</si>
  <si>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</si>
  <si>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</si>
  <si>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</si>
  <si>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</si>
  <si>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</si>
  <si>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</si>
  <si>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</si>
  <si>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</si>
  <si>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</si>
  <si>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</si>
  <si>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</si>
  <si>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</si>
  <si>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</si>
  <si>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</si>
  <si>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</si>
  <si>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</si>
  <si>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</si>
  <si>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</si>
  <si>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</si>
  <si>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</si>
  <si>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</si>
  <si>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</si>
  <si>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</si>
  <si>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</si>
  <si>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</si>
  <si>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</si>
  <si>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</si>
  <si>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</si>
  <si>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</si>
  <si>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</si>
  <si>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</si>
  <si>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</si>
  <si>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</si>
  <si>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</si>
  <si>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</si>
  <si>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</si>
  <si>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</si>
  <si>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</si>
  <si>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</si>
  <si>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</si>
  <si>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</si>
  <si>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</si>
  <si>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</si>
  <si>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</si>
  <si>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</si>
  <si>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</si>
  <si>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</si>
  <si>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</si>
  <si>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</si>
  <si>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</si>
  <si>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</si>
  <si>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</si>
  <si>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</si>
  <si>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</si>
  <si>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</si>
  <si>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</si>
  <si>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</si>
  <si>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</si>
  <si>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</si>
  <si>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</si>
  <si>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</si>
  <si>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</si>
  <si>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</si>
  <si>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</si>
  <si>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</si>
  <si>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</si>
  <si>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</si>
  <si>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</si>
  <si>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</si>
  <si>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</si>
  <si>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</si>
  <si>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</si>
  <si>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</si>
  <si>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</si>
  <si>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</si>
  <si>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</si>
  <si>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</si>
  <si>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</si>
  <si>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</si>
  <si>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</si>
  <si>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</si>
  <si>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</si>
  <si>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</si>
  <si>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</si>
  <si>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</si>
  <si>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</si>
  <si>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</si>
  <si>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</si>
  <si>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</si>
  <si>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</si>
  <si>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</si>
  <si>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</si>
  <si>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</si>
  <si>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</si>
  <si>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</si>
  <si>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</si>
  <si>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</si>
  <si>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</si>
  <si>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</si>
  <si>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</si>
  <si>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</si>
  <si>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</si>
  <si>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</si>
  <si>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</si>
  <si>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</si>
  <si>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</si>
  <si>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</si>
  <si>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</si>
  <si>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</si>
  <si>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</si>
  <si>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</si>
  <si>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</si>
  <si>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</si>
  <si>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</si>
  <si>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</si>
  <si>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</si>
  <si>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</si>
  <si>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</si>
  <si>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</si>
  <si>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</si>
  <si>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</si>
  <si>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</si>
  <si>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</si>
  <si>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</si>
  <si>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</si>
  <si>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</si>
  <si>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</si>
  <si>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</si>
  <si>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</si>
  <si>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</si>
  <si>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</si>
  <si>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</si>
  <si>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</si>
  <si>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</si>
  <si>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</si>
  <si>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</si>
  <si>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</si>
  <si>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</si>
  <si>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</si>
  <si>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</si>
  <si>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</si>
  <si>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</si>
  <si>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</si>
  <si>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</si>
  <si>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</si>
  <si>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</si>
  <si>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</si>
  <si>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</si>
  <si>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</si>
  <si>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</si>
  <si>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</si>
  <si>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</si>
  <si>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</si>
  <si>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</si>
  <si>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</si>
  <si>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</si>
  <si>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</si>
  <si>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</si>
  <si>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</si>
  <si>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</si>
  <si>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</si>
  <si>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</si>
  <si>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</si>
  <si>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</si>
  <si>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</si>
  <si>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</si>
  <si>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</si>
  <si>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</si>
  <si>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</si>
  <si>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</si>
  <si>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</si>
  <si>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</si>
  <si>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</si>
  <si>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</si>
  <si>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</si>
  <si>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</si>
  <si>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</si>
  <si>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</si>
  <si>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</si>
  <si>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</si>
  <si>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</si>
  <si>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</si>
  <si>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</si>
  <si>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</si>
  <si>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</si>
  <si>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</si>
  <si>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</si>
  <si>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</si>
  <si>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</si>
  <si>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</si>
  <si>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</si>
  <si>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</si>
  <si>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</si>
  <si>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</si>
  <si>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</si>
  <si>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</si>
  <si>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</si>
  <si>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</si>
  <si>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</si>
  <si>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</si>
  <si>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</si>
  <si>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</si>
  <si>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</si>
  <si>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</si>
  <si>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</si>
  <si>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</si>
  <si>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</si>
  <si>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</si>
  <si>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</si>
  <si>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</si>
  <si>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</si>
  <si>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</si>
  <si>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</si>
  <si>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</si>
  <si>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</si>
  <si>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</si>
  <si>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</si>
  <si>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</si>
  <si>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</si>
  <si>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</si>
  <si>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</si>
  <si>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</si>
  <si>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</si>
  <si>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</si>
  <si>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</si>
  <si>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</si>
  <si>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</si>
  <si>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</si>
  <si>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</si>
  <si>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</si>
  <si>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</si>
  <si>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</si>
  <si>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</si>
  <si>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</si>
  <si>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</si>
  <si>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</si>
  <si>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</si>
  <si>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</si>
  <si>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</si>
  <si>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</si>
  <si>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</si>
  <si>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</si>
  <si>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</si>
  <si>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</si>
  <si>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</si>
  <si>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</si>
  <si>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</si>
  <si>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</si>
  <si>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</si>
  <si>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</si>
  <si>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</si>
  <si>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</si>
  <si>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</si>
  <si>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</si>
  <si>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</si>
  <si>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</si>
  <si>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</si>
  <si>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</si>
  <si>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</si>
  <si>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</si>
  <si>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</si>
  <si>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</si>
  <si>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</si>
  <si>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</si>
  <si>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</si>
  <si>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</si>
  <si>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</si>
  <si>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</si>
  <si>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</si>
  <si>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</si>
  <si>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</si>
  <si>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</si>
  <si>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</si>
  <si>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</si>
  <si>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</si>
  <si>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</si>
  <si>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</si>
  <si>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</si>
  <si>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</si>
  <si>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</si>
  <si>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</si>
  <si>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</si>
  <si>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</si>
  <si>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</si>
  <si>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</si>
  <si>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</si>
  <si>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</si>
  <si>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</si>
  <si>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</si>
  <si>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</si>
  <si>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</si>
  <si>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</si>
  <si>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</si>
  <si>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</si>
  <si>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</si>
  <si>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</si>
  <si>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</si>
  <si>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</si>
  <si>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</si>
  <si>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</si>
  <si>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</si>
  <si>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</si>
  <si>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</si>
  <si>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</si>
  <si>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</si>
  <si>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</si>
  <si>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</si>
  <si>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</si>
  <si>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</si>
  <si>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</si>
  <si>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</si>
  <si>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</si>
  <si>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</si>
  <si>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</si>
  <si>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</si>
  <si>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</si>
  <si>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</si>
  <si>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</si>
  <si>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</si>
  <si>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</si>
  <si>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</si>
  <si>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</si>
  <si>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</si>
  <si>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</si>
  <si>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</si>
  <si>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</si>
  <si>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</si>
  <si>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</si>
  <si>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</si>
  <si>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</si>
  <si>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</si>
  <si>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</si>
  <si>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</si>
  <si>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</si>
  <si>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</si>
  <si>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</si>
  <si>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</si>
  <si>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</si>
  <si>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</si>
  <si>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</si>
  <si>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</si>
  <si>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</si>
  <si>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</si>
  <si>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</si>
  <si>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</si>
  <si>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</si>
  <si>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</si>
  <si>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</si>
  <si>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</si>
  <si>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</si>
  <si>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</si>
  <si>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</si>
  <si>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</si>
  <si>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</si>
  <si>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</si>
  <si>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</si>
  <si>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</si>
  <si>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</si>
  <si>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</si>
  <si>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</si>
  <si>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</si>
  <si>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</si>
  <si>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</si>
  <si>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</si>
  <si>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</si>
  <si>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</si>
  <si>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</si>
  <si>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</si>
  <si>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</si>
  <si>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</si>
  <si>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</si>
  <si>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</si>
  <si>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</si>
  <si>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</si>
  <si>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</si>
  <si>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</si>
  <si>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</si>
  <si>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</si>
  <si>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</si>
  <si>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</si>
  <si>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</si>
  <si>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</si>
  <si>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</si>
  <si>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</si>
  <si>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</si>
  <si>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</si>
  <si>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</si>
  <si>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</si>
  <si>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</si>
  <si>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</si>
  <si>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</si>
  <si>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</si>
  <si>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</si>
  <si>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</si>
  <si>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</si>
  <si>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</si>
  <si>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</si>
  <si>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</si>
  <si>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</si>
  <si>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</si>
  <si>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</si>
  <si>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</si>
  <si>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</si>
  <si>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</si>
  <si>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</si>
  <si>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</si>
  <si>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</si>
  <si>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</si>
  <si>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</si>
  <si>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</si>
  <si>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</si>
  <si>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</si>
  <si>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</si>
  <si>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</si>
  <si>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</si>
  <si>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</si>
  <si>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</si>
  <si>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</si>
  <si>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</si>
  <si>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</si>
  <si>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</si>
  <si>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</si>
  <si>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</si>
  <si>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</si>
  <si>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</si>
  <si>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</si>
  <si>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</si>
  <si>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</si>
  <si>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</si>
  <si>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</si>
  <si>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</si>
  <si>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</si>
  <si>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</si>
  <si>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</si>
  <si>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</si>
  <si>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</si>
  <si>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</si>
  <si>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</si>
  <si>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</si>
  <si>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</si>
  <si>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</si>
  <si>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</si>
  <si>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</si>
  <si>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</si>
  <si>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</si>
  <si>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</si>
  <si>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</si>
  <si>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</si>
  <si>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</si>
  <si>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</si>
  <si>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</si>
  <si>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</si>
  <si>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</si>
  <si>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</si>
  <si>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</si>
  <si>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</si>
  <si>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</si>
  <si>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</si>
  <si>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</si>
  <si>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</si>
  <si>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</si>
  <si>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</si>
  <si>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</si>
  <si>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</si>
  <si>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</si>
  <si>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</si>
  <si>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</si>
  <si>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</si>
  <si>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</si>
  <si>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</si>
  <si>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</si>
  <si>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</si>
  <si>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</si>
  <si>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</si>
  <si>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</si>
  <si>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</si>
  <si>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</si>
  <si>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</si>
  <si>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</si>
  <si>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</si>
  <si>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</si>
  <si>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</si>
  <si>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</si>
  <si>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</si>
  <si>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</si>
  <si>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</si>
  <si>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</si>
  <si>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</si>
  <si>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</si>
  <si>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</si>
  <si>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</si>
  <si>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</si>
  <si>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</si>
  <si>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</si>
  <si>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</si>
  <si>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</si>
  <si>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</si>
  <si>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</si>
  <si>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</si>
  <si>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</si>
  <si>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</si>
  <si>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</si>
  <si>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</si>
  <si>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</si>
  <si>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</si>
  <si>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</si>
  <si>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</si>
  <si>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</si>
  <si>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</si>
  <si>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</si>
  <si>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</si>
  <si>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</si>
  <si>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</si>
  <si>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</si>
  <si>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</si>
  <si>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</si>
  <si>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</si>
  <si>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</si>
  <si>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</si>
  <si>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</si>
  <si>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</si>
  <si>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</si>
  <si>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</si>
  <si>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</si>
  <si>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</si>
  <si>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</si>
  <si>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</si>
  <si>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</si>
  <si>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</si>
  <si>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</si>
  <si>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</si>
  <si>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</si>
  <si>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</si>
  <si>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</si>
  <si>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</si>
  <si>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</si>
  <si>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</si>
  <si>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</si>
  <si>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</si>
  <si>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</si>
  <si>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</si>
  <si>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</si>
  <si>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</si>
  <si>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</si>
  <si>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</si>
  <si>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</si>
  <si>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</si>
  <si>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</si>
  <si>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</si>
  <si>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</si>
  <si>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</si>
  <si>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</si>
  <si>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</si>
  <si>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</si>
  <si>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</si>
  <si>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</si>
  <si>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</si>
  <si>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</si>
  <si>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</si>
  <si>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</si>
  <si>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</si>
  <si>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</si>
  <si>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</si>
  <si>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</si>
  <si>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</si>
  <si>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</si>
  <si>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</si>
  <si>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</si>
  <si>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</si>
  <si>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</si>
  <si>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</si>
  <si>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</si>
  <si>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</si>
  <si>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</si>
  <si>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</si>
  <si>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</si>
  <si>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</si>
  <si>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</si>
  <si>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</si>
  <si>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</si>
  <si>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</si>
  <si>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</si>
  <si>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</si>
  <si>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</si>
  <si>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</si>
  <si>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</si>
  <si>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</si>
  <si>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</si>
  <si>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</si>
  <si>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</si>
  <si>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</si>
  <si>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</si>
  <si>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</si>
  <si>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</si>
  <si>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</si>
  <si>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</si>
  <si>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</si>
  <si>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</si>
  <si>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</si>
  <si>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</si>
  <si>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</si>
  <si>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</si>
  <si>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</si>
  <si>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</si>
  <si>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</si>
  <si>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</si>
  <si>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</si>
  <si>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</si>
  <si>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</si>
  <si>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</si>
  <si>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</si>
  <si>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</si>
  <si>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</si>
  <si>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</si>
  <si>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</si>
  <si>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</si>
  <si>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</si>
  <si>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</si>
  <si>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</si>
  <si>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</si>
  <si>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</si>
  <si>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</si>
  <si>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</si>
  <si>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</si>
  <si>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</si>
  <si>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</si>
  <si>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</si>
  <si>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</si>
  <si>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</si>
  <si>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</si>
  <si>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</si>
  <si>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</si>
  <si>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</si>
  <si>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</si>
  <si>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</si>
  <si>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</si>
  <si>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</si>
  <si>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</si>
  <si>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</si>
  <si>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</si>
  <si>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</si>
  <si>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</si>
  <si>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</si>
  <si>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</si>
  <si>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</si>
  <si>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</si>
  <si>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</si>
  <si>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</si>
  <si>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</si>
  <si>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</si>
  <si>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</si>
  <si>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</si>
  <si>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</si>
  <si>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</si>
  <si>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</si>
  <si>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</si>
  <si>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</si>
  <si>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</si>
  <si>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</si>
  <si>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</si>
  <si>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</si>
  <si>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</si>
  <si>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</si>
  <si>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</si>
  <si>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</si>
  <si>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</si>
  <si>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</si>
  <si>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</si>
  <si>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</si>
  <si>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</si>
  <si>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</si>
  <si>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</si>
  <si>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</si>
  <si>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</si>
  <si>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</si>
  <si>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</si>
  <si>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</si>
  <si>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</si>
  <si>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</si>
  <si>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</si>
  <si>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</si>
  <si>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</si>
  <si>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</si>
  <si>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</si>
  <si>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</si>
  <si>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</si>
  <si>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</si>
  <si>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</si>
  <si>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</si>
  <si>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</si>
  <si>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</si>
  <si>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</si>
  <si>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</si>
  <si>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</si>
  <si>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</si>
  <si>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</si>
  <si>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</si>
  <si>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</si>
  <si>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</si>
  <si>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</si>
  <si>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</si>
  <si>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</si>
  <si>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</si>
  <si>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</si>
  <si>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</si>
  <si>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</si>
  <si>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</si>
  <si>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</si>
  <si>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</si>
  <si>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</si>
  <si>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</si>
  <si>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</si>
  <si>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</si>
  <si>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</si>
  <si>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</si>
  <si>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</si>
  <si>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</si>
  <si>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</si>
  <si>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</si>
  <si>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</si>
  <si>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</si>
  <si>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</si>
  <si>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</si>
  <si>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</si>
  <si>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</si>
  <si>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</si>
  <si>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</si>
  <si>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</si>
  <si>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</si>
  <si>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</si>
  <si>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</si>
  <si>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</si>
  <si>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</si>
  <si>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</si>
  <si>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</si>
  <si>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</si>
  <si>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</si>
  <si>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</si>
  <si>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</si>
  <si>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</si>
  <si>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</si>
  <si>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</si>
  <si>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</si>
  <si>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</si>
  <si>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</si>
  <si>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</si>
  <si>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</si>
  <si>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</si>
  <si>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</si>
  <si>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</si>
  <si>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</si>
  <si>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</si>
  <si>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</si>
  <si>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</si>
  <si>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</si>
  <si>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</si>
  <si>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</si>
  <si>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</si>
  <si>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</si>
  <si>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</si>
  <si>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</si>
  <si>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</si>
  <si>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</si>
  <si>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</si>
  <si>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</si>
  <si>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</si>
  <si>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</si>
  <si>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</si>
  <si>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</si>
  <si>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</si>
  <si>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</si>
  <si>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</si>
  <si>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</si>
  <si>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</si>
  <si>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</si>
  <si>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</si>
  <si>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</si>
  <si>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</si>
  <si>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</si>
  <si>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</si>
  <si>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</si>
  <si>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</si>
  <si>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</si>
  <si>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</si>
  <si>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</si>
  <si>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</si>
  <si>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</si>
  <si>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</si>
  <si>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</si>
  <si>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</si>
  <si>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</si>
  <si>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</si>
  <si>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</si>
  <si>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</si>
  <si>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</si>
  <si>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</si>
  <si>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</si>
  <si>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</si>
  <si>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</si>
  <si>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</si>
  <si>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</si>
  <si>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</si>
  <si>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</si>
  <si>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</si>
  <si>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</si>
  <si>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</si>
  <si>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</si>
  <si>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</si>
  <si>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</si>
  <si>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</si>
  <si>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</si>
  <si>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</si>
  <si>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</si>
  <si>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</si>
  <si>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</si>
  <si>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</si>
  <si>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</si>
  <si>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</si>
  <si>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</si>
  <si>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</si>
  <si>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</si>
  <si>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</si>
  <si>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</si>
  <si>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</si>
  <si>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</si>
  <si>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</si>
  <si>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</si>
  <si>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</si>
  <si>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</si>
  <si>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</si>
  <si>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</si>
  <si>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</si>
  <si>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</si>
  <si>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</si>
  <si>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</si>
  <si>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</si>
  <si>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</si>
  <si>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</si>
  <si>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</si>
  <si>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</si>
  <si>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</si>
  <si>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</si>
  <si>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</si>
  <si>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</si>
  <si>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</si>
  <si>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</si>
  <si>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</si>
  <si>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</si>
  <si>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</si>
  <si>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</si>
  <si>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</si>
  <si>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</si>
  <si>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</si>
  <si>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</si>
  <si>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</si>
  <si>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</si>
  <si>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</si>
  <si>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</si>
  <si>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</si>
  <si>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</si>
  <si>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</si>
  <si>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</si>
  <si>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</si>
  <si>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</si>
  <si>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</si>
  <si>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</si>
  <si>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</si>
  <si>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</si>
  <si>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</si>
  <si>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</si>
  <si>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</si>
  <si>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</si>
  <si>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</si>
  <si>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</si>
  <si>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</si>
  <si>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</si>
  <si>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</si>
  <si>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</si>
  <si>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</si>
  <si>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</si>
  <si>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</si>
  <si>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</si>
  <si>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</si>
  <si>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</si>
  <si>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</si>
  <si>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</si>
  <si>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</si>
  <si>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</si>
  <si>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</si>
  <si>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</si>
  <si>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</si>
  <si>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</si>
  <si>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</si>
  <si>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</si>
  <si>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</si>
  <si>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</si>
  <si>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</si>
  <si>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</si>
  <si>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</si>
  <si>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</si>
  <si>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</si>
  <si>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</si>
  <si>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</si>
  <si>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</si>
  <si>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</si>
  <si>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</si>
  <si>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</si>
  <si>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</si>
  <si>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</si>
  <si>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</si>
  <si>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</si>
  <si>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</si>
  <si>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</si>
  <si>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</si>
  <si>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</si>
  <si>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</si>
  <si>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</si>
  <si>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</si>
  <si>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</si>
  <si>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</si>
  <si>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</si>
  <si>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</si>
  <si>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</si>
  <si>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</si>
  <si>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</si>
  <si>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</si>
  <si>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</si>
  <si>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</si>
  <si>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</si>
  <si>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</si>
  <si>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</si>
  <si>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</si>
  <si>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</si>
  <si>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</si>
  <si>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</si>
  <si>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</si>
  <si>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</si>
  <si>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</si>
  <si>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</si>
  <si>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</si>
  <si>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</si>
  <si>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</si>
  <si>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</si>
  <si>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</si>
  <si>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</si>
  <si>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</si>
  <si>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</si>
  <si>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</si>
  <si>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</si>
  <si>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</si>
  <si>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</si>
  <si>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</si>
  <si>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</si>
  <si>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</si>
  <si>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</si>
  <si>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</si>
  <si>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</si>
  <si>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</si>
  <si>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</si>
  <si>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</si>
  <si>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</si>
  <si>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</si>
  <si>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</si>
  <si>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</si>
  <si>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</si>
  <si>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</si>
  <si>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</si>
  <si>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</si>
  <si>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</si>
  <si>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</si>
  <si>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</si>
  <si>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</si>
  <si>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</si>
  <si>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</si>
  <si>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</si>
  <si>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</si>
  <si>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</si>
  <si>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</si>
  <si>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</si>
  <si>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</si>
  <si>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</si>
  <si>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</si>
  <si>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</si>
  <si>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</si>
  <si>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</si>
  <si>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</si>
  <si>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</si>
  <si>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</si>
  <si>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</si>
  <si>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</si>
  <si>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</si>
  <si>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</si>
  <si>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</si>
  <si>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</si>
  <si>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</si>
  <si>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</si>
  <si>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</si>
  <si>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</si>
  <si>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</si>
  <si>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</si>
  <si>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</si>
  <si>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</si>
  <si>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</si>
  <si>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</si>
  <si>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</si>
  <si>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</si>
  <si>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</si>
  <si>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</si>
  <si>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</si>
  <si>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</si>
  <si>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</si>
  <si>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</si>
  <si>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</si>
  <si>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</si>
  <si>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</si>
  <si>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</si>
  <si>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</si>
  <si>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</si>
  <si>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</si>
  <si>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</si>
  <si>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</si>
  <si>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</si>
  <si>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</si>
  <si>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</si>
  <si>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</si>
  <si>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</si>
  <si>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</si>
  <si>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</si>
  <si>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</si>
  <si>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</si>
  <si>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</si>
  <si>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</si>
  <si>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</si>
  <si>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</si>
  <si>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</si>
  <si>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</si>
  <si>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</si>
  <si>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</si>
  <si>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</si>
  <si>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</si>
  <si>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</si>
  <si>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</si>
  <si>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</si>
  <si>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</si>
  <si>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</si>
  <si>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</si>
  <si>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</si>
  <si>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</si>
  <si>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</si>
  <si>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</si>
  <si>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</si>
  <si>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</si>
  <si>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</si>
  <si>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</si>
  <si>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</si>
  <si>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</si>
  <si>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</si>
  <si>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</si>
  <si>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</si>
  <si>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</si>
  <si>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</si>
  <si>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</si>
  <si>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</si>
  <si>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</si>
  <si>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</si>
  <si>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</si>
  <si>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</si>
  <si>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</si>
  <si>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</si>
  <si>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</si>
  <si>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</si>
  <si>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</si>
  <si>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</si>
  <si>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</si>
  <si>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</si>
  <si>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</si>
  <si>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</si>
  <si>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</si>
  <si>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</si>
  <si>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</si>
  <si>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</si>
  <si>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</si>
  <si>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</si>
  <si>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</si>
  <si>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</si>
  <si>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</si>
  <si>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</si>
  <si>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</si>
  <si>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</si>
  <si>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</si>
  <si>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</si>
  <si>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</si>
  <si>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</si>
  <si>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</si>
  <si>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</si>
  <si>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</si>
  <si>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</si>
  <si>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</si>
  <si>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</si>
  <si>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</si>
  <si>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</si>
  <si>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</si>
  <si>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</si>
  <si>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</si>
  <si>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</si>
  <si>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</si>
  <si>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</si>
  <si>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</si>
  <si>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</si>
  <si>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</si>
  <si>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</si>
  <si>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</si>
  <si>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</si>
  <si>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</si>
  <si>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</si>
  <si>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</si>
  <si>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</si>
  <si>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</si>
  <si>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</si>
  <si>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</si>
  <si>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</si>
  <si>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</si>
  <si>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</si>
  <si>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</si>
  <si>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</si>
  <si>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</si>
  <si>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</si>
  <si>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</si>
  <si>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</si>
  <si>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</si>
  <si>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</si>
  <si>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</si>
  <si>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</si>
  <si>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</si>
  <si>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</si>
  <si>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</si>
  <si>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</si>
  <si>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</si>
  <si>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</si>
  <si>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</si>
  <si>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</si>
  <si>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</si>
  <si>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</si>
  <si>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</si>
  <si>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</si>
  <si>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</si>
  <si>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</si>
  <si>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</si>
  <si>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</si>
  <si>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</si>
  <si>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</si>
  <si>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</si>
  <si>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</si>
  <si>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</si>
  <si>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</si>
  <si>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</si>
  <si>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</si>
  <si>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</si>
  <si>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</si>
  <si>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</si>
  <si>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</si>
  <si>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</si>
  <si>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</si>
  <si>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</si>
  <si>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</si>
  <si>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</si>
  <si>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</si>
  <si>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</si>
  <si>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</si>
  <si>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</si>
  <si>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</si>
  <si>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</si>
  <si>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</si>
  <si>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</si>
  <si>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</si>
  <si>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</si>
  <si>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</si>
  <si>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</si>
  <si>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</si>
  <si>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</si>
  <si>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</si>
  <si>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</si>
  <si>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</si>
  <si>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</si>
  <si>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</si>
  <si>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</si>
  <si>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</si>
  <si>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</si>
  <si>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</si>
  <si>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</si>
  <si>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</si>
  <si>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</si>
  <si>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</si>
  <si>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</si>
  <si>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</si>
  <si>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</si>
  <si>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</si>
  <si>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</si>
  <si>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</si>
  <si>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</si>
  <si>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</si>
  <si>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</si>
  <si>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</si>
  <si>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</si>
  <si>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</si>
  <si>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</si>
  <si>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</si>
  <si>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</si>
  <si>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</si>
  <si>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</si>
  <si>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</si>
  <si>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</si>
  <si>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</si>
  <si>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</si>
  <si>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</si>
  <si>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</si>
  <si>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</si>
  <si>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</si>
  <si>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</si>
  <si>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</si>
  <si>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</si>
  <si>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</si>
  <si>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</si>
  <si>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</si>
  <si>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</si>
  <si>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</si>
  <si>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</si>
  <si>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</si>
  <si>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</si>
  <si>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</si>
  <si>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</si>
  <si>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</si>
  <si>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</si>
  <si>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</si>
  <si>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</si>
  <si>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</si>
  <si>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</si>
  <si>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</si>
  <si>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</si>
  <si>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</si>
  <si>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</si>
  <si>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</si>
  <si>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</si>
  <si>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</si>
  <si>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</si>
  <si>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</si>
  <si>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</si>
  <si>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</si>
  <si>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</si>
  <si>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</si>
  <si>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</si>
  <si>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</si>
  <si>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</si>
  <si>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</si>
  <si>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</si>
  <si>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</si>
  <si>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</si>
  <si>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</si>
  <si>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</si>
  <si>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</si>
  <si>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</si>
  <si>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</si>
  <si>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</si>
  <si>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</si>
  <si>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</si>
  <si>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</si>
  <si>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</si>
  <si>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</si>
  <si>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</si>
  <si>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</si>
  <si>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</si>
  <si>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</si>
  <si>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</si>
  <si>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</si>
  <si>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</si>
  <si>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</si>
  <si>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</si>
  <si>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</si>
  <si>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</si>
  <si>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</si>
  <si>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</si>
  <si>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</si>
  <si>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</si>
  <si>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</si>
  <si>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</si>
  <si>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</si>
  <si>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</si>
  <si>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</si>
  <si>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</si>
  <si>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</si>
  <si>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</si>
  <si>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</si>
  <si>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</si>
  <si>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</si>
  <si>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</si>
  <si>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</si>
  <si>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</si>
  <si>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</si>
  <si>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</si>
  <si>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</si>
  <si>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</si>
  <si>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</si>
  <si>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</si>
  <si>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</si>
  <si>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</si>
  <si>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</si>
  <si>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</si>
  <si>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</si>
  <si>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</si>
  <si>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</si>
  <si>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</si>
  <si>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</si>
  <si>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</si>
  <si>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</si>
  <si>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</si>
  <si>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</si>
  <si>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</si>
  <si>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</si>
  <si>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</si>
  <si>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</si>
  <si>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</si>
  <si>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</si>
  <si>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</si>
  <si>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</si>
  <si>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</si>
  <si>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</si>
  <si>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</si>
  <si>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</si>
  <si>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</si>
  <si>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</si>
  <si>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</si>
  <si>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</si>
  <si>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</si>
  <si>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</si>
  <si>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</si>
  <si>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</si>
  <si>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</si>
  <si>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</si>
  <si>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</si>
  <si>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</si>
  <si>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</si>
  <si>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</si>
  <si>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</si>
  <si>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</si>
  <si>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</si>
  <si>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</si>
  <si>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</si>
  <si>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</si>
  <si>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</si>
  <si>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</si>
  <si>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</si>
  <si>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</si>
  <si>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</si>
  <si>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</si>
  <si>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</si>
  <si>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</si>
  <si>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</si>
  <si>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</si>
  <si>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</si>
  <si>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</si>
  <si>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</si>
  <si>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</si>
  <si>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</si>
  <si>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</si>
  <si>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</si>
  <si>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</si>
  <si>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</si>
  <si>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</si>
  <si>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</si>
  <si>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</si>
  <si>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</si>
  <si>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</si>
  <si>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</si>
  <si>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</si>
  <si>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</si>
  <si>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</si>
  <si>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</si>
  <si>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</si>
  <si>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</si>
  <si>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</si>
  <si>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</si>
  <si>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</si>
  <si>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</si>
  <si>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</si>
  <si>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</si>
  <si>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</si>
  <si>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</si>
  <si>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</si>
  <si>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</si>
  <si>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</si>
  <si>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</si>
  <si>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</si>
  <si>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</si>
  <si>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</si>
  <si>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</si>
  <si>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</si>
  <si>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</si>
  <si>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</si>
  <si>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</si>
  <si>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</si>
  <si>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</si>
  <si>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</si>
  <si>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</si>
  <si>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</si>
  <si>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</si>
  <si>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</si>
  <si>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</si>
  <si>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</si>
  <si>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</si>
  <si>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</si>
  <si>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</si>
  <si>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</si>
  <si>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</si>
  <si>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</si>
  <si>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</si>
  <si>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</si>
  <si>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</si>
  <si>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</si>
  <si>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</si>
  <si>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</si>
  <si>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</si>
  <si>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</si>
  <si>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</si>
  <si>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</si>
  <si>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</si>
  <si>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</si>
  <si>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</si>
  <si>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</si>
  <si>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</si>
  <si>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</si>
  <si>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</si>
  <si>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</si>
  <si>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</si>
  <si>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</si>
  <si>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</si>
  <si>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</si>
  <si>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</si>
  <si>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</si>
  <si>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</si>
  <si>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</si>
  <si>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</si>
  <si>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</si>
  <si>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</si>
  <si>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</si>
  <si>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</si>
  <si>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</si>
  <si>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</si>
  <si>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</si>
  <si>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</si>
  <si>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</si>
  <si>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</si>
  <si>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</si>
  <si>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</si>
  <si>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</si>
  <si>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</si>
  <si>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</si>
  <si>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</si>
  <si>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</si>
  <si>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</si>
  <si>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</si>
  <si>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</si>
  <si>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</si>
  <si>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</si>
  <si>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</si>
  <si>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</si>
  <si>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</si>
  <si>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</si>
  <si>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</si>
  <si>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</si>
  <si>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</si>
  <si>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</si>
  <si>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</si>
  <si>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</si>
  <si>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</si>
  <si>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</si>
  <si>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</si>
  <si>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</si>
  <si>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</si>
  <si>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</si>
  <si>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</si>
  <si>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</si>
  <si>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</si>
  <si>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</si>
  <si>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</si>
  <si>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</si>
  <si>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</si>
  <si>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</si>
  <si>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</si>
  <si>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</si>
  <si>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</si>
  <si>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</si>
  <si>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</si>
  <si>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</si>
  <si>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</si>
  <si>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</si>
  <si>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</si>
  <si>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</si>
  <si>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</si>
  <si>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</si>
  <si>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</si>
  <si>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</si>
  <si>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</si>
  <si>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</si>
  <si>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</si>
  <si>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</si>
  <si>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</si>
  <si>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</si>
  <si>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</si>
  <si>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</si>
  <si>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</si>
  <si>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</si>
  <si>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</si>
  <si>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</si>
  <si>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</si>
  <si>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</si>
  <si>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</si>
  <si>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</si>
  <si>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</si>
  <si>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</si>
  <si>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</si>
  <si>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</si>
  <si>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</si>
  <si>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</si>
  <si>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</si>
  <si>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</si>
  <si>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</si>
  <si>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</si>
  <si>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</si>
  <si>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</si>
  <si>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</si>
  <si>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</si>
  <si>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</si>
  <si>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</si>
  <si>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</si>
  <si>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</si>
  <si>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</si>
  <si>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</si>
  <si>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</si>
  <si>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</si>
  <si>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</si>
  <si>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</si>
  <si>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</si>
  <si>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</si>
  <si>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</si>
  <si>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</si>
  <si>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</si>
  <si>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</si>
  <si>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</si>
  <si>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</si>
  <si>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</si>
  <si>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</si>
  <si>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</si>
  <si>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</si>
  <si>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</si>
  <si>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</si>
  <si>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</si>
  <si>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</si>
  <si>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</si>
  <si>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</si>
  <si>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</si>
  <si>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</si>
  <si>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</si>
  <si>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</si>
  <si>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</si>
  <si>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</si>
  <si>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</si>
  <si>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</si>
  <si>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</si>
  <si>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</si>
  <si>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</si>
  <si>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</si>
  <si>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</si>
  <si>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</si>
  <si>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</si>
  <si>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</si>
  <si>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</si>
  <si>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</si>
  <si>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</si>
  <si>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</si>
  <si>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</si>
  <si>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</si>
  <si>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</si>
  <si>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</si>
  <si>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</si>
  <si>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</si>
  <si>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</si>
  <si>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</si>
  <si>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</si>
  <si>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</si>
  <si>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</si>
  <si>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</si>
  <si>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</si>
  <si>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</si>
  <si>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</si>
  <si>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</si>
  <si>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</si>
  <si>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</si>
  <si>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</si>
  <si>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</si>
  <si>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</si>
  <si>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</si>
  <si>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</si>
  <si>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</si>
  <si>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</si>
  <si>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</si>
  <si>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</si>
  <si>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</si>
  <si>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</si>
  <si>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</si>
  <si>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</si>
  <si>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</si>
  <si>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</si>
  <si>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</si>
  <si>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</si>
  <si>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</si>
  <si>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</si>
  <si>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</si>
  <si>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</si>
  <si>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</si>
  <si>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</si>
  <si>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</si>
  <si>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</si>
  <si>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</si>
  <si>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</si>
  <si>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</si>
  <si>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</si>
  <si>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</si>
  <si>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</si>
  <si>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</si>
  <si>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</si>
  <si>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</si>
  <si>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</si>
  <si>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</si>
  <si>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</si>
  <si>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</si>
  <si>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</si>
  <si>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</si>
  <si>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</si>
  <si>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</si>
  <si>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</si>
  <si>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</si>
  <si>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</si>
  <si>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</si>
  <si>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</si>
  <si>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</si>
  <si>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</si>
  <si>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</si>
  <si>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</si>
  <si>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</si>
  <si>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</si>
  <si>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</si>
  <si>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</si>
  <si>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</si>
  <si>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</si>
  <si>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</si>
  <si>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</si>
  <si>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</si>
  <si>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</si>
  <si>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</si>
  <si>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</si>
  <si>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</si>
  <si>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</si>
  <si>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</si>
  <si>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</si>
  <si>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</si>
  <si>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</si>
  <si>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</si>
  <si>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</si>
  <si>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</si>
  <si>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</si>
  <si>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</si>
  <si>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</si>
  <si>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</si>
  <si>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</si>
  <si>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</si>
  <si>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</si>
  <si>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</si>
  <si>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</si>
  <si>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</si>
  <si>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</si>
  <si>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</si>
  <si>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</si>
  <si>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</si>
  <si>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</si>
  <si>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</si>
  <si>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</si>
  <si>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</si>
  <si>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</si>
  <si>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</si>
  <si>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</si>
  <si>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</si>
  <si>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</si>
  <si>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</si>
  <si>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</si>
  <si>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</si>
  <si>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</si>
  <si>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</si>
  <si>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</si>
  <si>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</si>
  <si>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</si>
  <si>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</si>
  <si>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</si>
  <si>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</si>
  <si>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</si>
  <si>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</si>
  <si>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</si>
  <si>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</si>
  <si>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</si>
  <si>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</si>
  <si>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</si>
  <si>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</si>
  <si>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</si>
  <si>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</si>
  <si>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</si>
  <si>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</si>
  <si>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</si>
  <si>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</si>
  <si>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</si>
  <si>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</si>
  <si>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</si>
  <si>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</si>
  <si>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</si>
  <si>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</si>
  <si>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</si>
  <si>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</si>
  <si>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</si>
  <si>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</si>
  <si>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</si>
  <si>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</si>
  <si>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</si>
  <si>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</si>
  <si>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</si>
  <si>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</si>
  <si>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</si>
  <si>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</si>
  <si>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</si>
  <si>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</si>
  <si>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</si>
  <si>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</si>
  <si>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</si>
  <si>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</si>
  <si>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</si>
  <si>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</si>
  <si>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</si>
  <si>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</si>
  <si>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</si>
  <si>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</si>
  <si>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</si>
  <si>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</si>
  <si>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</si>
  <si>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</si>
  <si>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</si>
  <si>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</si>
  <si>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</si>
  <si>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</si>
  <si>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</si>
  <si>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</si>
  <si>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</si>
  <si>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</si>
  <si>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</si>
  <si>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</si>
  <si>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</si>
  <si>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</si>
  <si>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</si>
  <si>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</si>
  <si>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</si>
  <si>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</si>
  <si>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</si>
  <si>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</si>
  <si>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</si>
  <si>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</si>
  <si>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</si>
  <si>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</si>
  <si>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</si>
  <si>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</si>
  <si>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</si>
  <si>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</si>
  <si>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</si>
  <si>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</si>
  <si>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</si>
  <si>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</si>
  <si>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</si>
  <si>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</si>
  <si>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</si>
  <si>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</si>
  <si>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</si>
  <si>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</si>
  <si>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</si>
  <si>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</si>
  <si>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</si>
  <si>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</si>
  <si>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</si>
  <si>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</si>
  <si>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</si>
  <si>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</si>
  <si>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</si>
  <si>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</si>
  <si>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</si>
  <si>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</si>
  <si>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</si>
  <si>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</si>
  <si>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</si>
  <si>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</si>
  <si>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</si>
  <si>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</si>
  <si>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</si>
  <si>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</si>
  <si>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</si>
  <si>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</si>
  <si>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</si>
  <si>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</si>
  <si>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</si>
  <si>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</si>
  <si>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</si>
  <si>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</si>
  <si>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</si>
  <si>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</si>
  <si>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</si>
  <si>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</si>
  <si>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</si>
  <si>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</si>
  <si>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</si>
  <si>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</si>
  <si>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</si>
  <si>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</si>
  <si>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</si>
  <si>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</si>
  <si>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</si>
  <si>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</si>
  <si>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</si>
  <si>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</si>
  <si>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</si>
  <si>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</si>
  <si>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</si>
  <si>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</si>
  <si>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</si>
  <si>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</si>
  <si>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</si>
  <si>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</si>
  <si>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</si>
  <si>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</si>
  <si>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</si>
  <si>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</si>
  <si>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</si>
  <si>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</si>
  <si>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</si>
  <si>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</si>
  <si>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</si>
  <si>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</si>
  <si>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</si>
  <si>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</si>
  <si>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</si>
  <si>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</si>
  <si>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</si>
  <si>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</si>
  <si>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</si>
  <si>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</si>
  <si>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</si>
  <si>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</si>
  <si>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</si>
  <si>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</si>
  <si>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</si>
  <si>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</si>
  <si>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</si>
  <si>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</si>
  <si>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</si>
  <si>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</si>
  <si>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</si>
  <si>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</si>
  <si>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</si>
  <si>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</si>
  <si>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</si>
  <si>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</si>
  <si>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</si>
  <si>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</si>
  <si>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</si>
  <si>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</si>
  <si>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</si>
  <si>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</si>
  <si>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</si>
  <si>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</si>
  <si>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</si>
  <si>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</si>
  <si>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</si>
  <si>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</si>
  <si>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</si>
  <si>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</si>
  <si>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</si>
  <si>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</si>
  <si>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</si>
  <si>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</si>
  <si>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</si>
  <si>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</si>
  <si>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</si>
  <si>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</si>
  <si>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</si>
  <si>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</si>
  <si>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</si>
  <si>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</si>
  <si>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</si>
  <si>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</si>
  <si>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</si>
  <si>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</si>
  <si>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</si>
  <si>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</si>
  <si>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</si>
  <si>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</si>
  <si>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</si>
  <si>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</si>
  <si>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</si>
  <si>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</si>
  <si>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</si>
  <si>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</si>
  <si>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</si>
  <si>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</si>
  <si>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</si>
  <si>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</si>
  <si>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</si>
  <si>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</si>
  <si>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</si>
  <si>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</si>
  <si>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</si>
  <si>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</si>
  <si>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</si>
  <si>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</si>
  <si>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</si>
  <si>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</si>
  <si>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</si>
  <si>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</si>
  <si>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</si>
  <si>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</si>
  <si>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</si>
  <si>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</si>
  <si>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</si>
  <si>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</si>
  <si>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</si>
  <si>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</si>
  <si>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</si>
  <si>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</si>
  <si>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</si>
  <si>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</si>
  <si>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</si>
  <si>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</si>
  <si>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</si>
  <si>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</si>
  <si>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</si>
  <si>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</si>
  <si>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</si>
  <si>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</si>
  <si>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</si>
  <si>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</si>
  <si>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</si>
  <si>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</si>
  <si>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</si>
  <si>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</si>
  <si>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</si>
  <si>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</si>
  <si>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</si>
  <si>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</si>
  <si>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</si>
  <si>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</si>
  <si>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</si>
  <si>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</si>
  <si>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</si>
  <si>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</si>
  <si>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</si>
  <si>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</si>
  <si>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</si>
  <si>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</si>
  <si>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</si>
  <si>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</si>
  <si>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</si>
  <si>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</si>
  <si>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</si>
  <si>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</si>
  <si>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</si>
  <si>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</si>
  <si>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</si>
  <si>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</si>
  <si>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</si>
  <si>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</si>
  <si>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</si>
  <si>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</si>
  <si>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</si>
  <si>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</si>
  <si>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</si>
  <si>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</si>
  <si>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</si>
  <si>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</si>
  <si>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</si>
  <si>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</si>
  <si>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</si>
  <si>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</si>
  <si>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</si>
  <si>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</si>
  <si>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</si>
  <si>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</si>
  <si>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</si>
  <si>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</si>
  <si>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</si>
  <si>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</si>
  <si>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</si>
  <si>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</si>
  <si>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</si>
  <si>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</si>
  <si>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</si>
  <si>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</si>
  <si>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</si>
  <si>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</si>
  <si>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</si>
  <si>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</si>
  <si>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</si>
  <si>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</si>
  <si>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</si>
  <si>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</si>
  <si>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</si>
  <si>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</si>
  <si>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</si>
  <si>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</si>
  <si>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</si>
  <si>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</si>
  <si>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</si>
  <si>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</si>
  <si>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</si>
  <si>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</si>
  <si>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</si>
  <si>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</si>
  <si>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</si>
  <si>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</si>
  <si>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</si>
  <si>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</si>
  <si>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</si>
  <si>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</si>
  <si>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</si>
  <si>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</si>
  <si>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</si>
  <si>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</si>
  <si>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</si>
  <si>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</si>
  <si>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</si>
  <si>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</si>
  <si>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</si>
  <si>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</si>
  <si>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</si>
  <si>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</si>
  <si>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</si>
  <si>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</si>
  <si>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</si>
  <si>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</si>
  <si>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</si>
  <si>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</si>
  <si>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</si>
  <si>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</si>
  <si>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</si>
  <si>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</si>
  <si>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</si>
  <si>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</si>
  <si>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</si>
  <si>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</si>
  <si>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</si>
  <si>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</si>
  <si>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</si>
  <si>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</si>
  <si>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</si>
  <si>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</si>
  <si>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</si>
  <si>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</si>
  <si>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</si>
  <si>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</si>
  <si>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</si>
  <si>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</si>
  <si>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</si>
  <si>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</si>
  <si>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</si>
  <si>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</si>
  <si>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</si>
  <si>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</si>
  <si>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</si>
  <si>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</si>
  <si>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</si>
  <si>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</si>
  <si>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</si>
  <si>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</si>
  <si>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</si>
  <si>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</si>
  <si>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</si>
  <si>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</si>
  <si>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</si>
  <si>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</si>
  <si>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</si>
  <si>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</si>
  <si>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</si>
  <si>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</si>
  <si>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</si>
  <si>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</si>
  <si>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</si>
  <si>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</si>
  <si>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</si>
  <si>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</si>
  <si>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</si>
  <si>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</si>
  <si>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</si>
  <si>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</si>
  <si>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</si>
  <si>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</si>
  <si>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</si>
  <si>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</si>
  <si>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</si>
  <si>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</si>
  <si>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</si>
  <si>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</si>
  <si>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</si>
  <si>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</si>
  <si>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</si>
  <si>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</si>
  <si>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</si>
  <si>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</si>
  <si>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</si>
  <si>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</si>
  <si>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</si>
  <si>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</si>
  <si>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</si>
  <si>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</si>
  <si>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</si>
  <si>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</si>
  <si>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</si>
  <si>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</si>
  <si>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</si>
  <si>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</si>
  <si>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</si>
  <si>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</si>
  <si>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</si>
  <si>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</si>
  <si>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</si>
  <si>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</si>
  <si>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</si>
  <si>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</si>
  <si>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</si>
  <si>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</si>
  <si>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</si>
  <si>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</si>
  <si>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</si>
  <si>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</si>
  <si>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</si>
  <si>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</si>
  <si>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</si>
  <si>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</si>
  <si>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</si>
  <si>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</si>
  <si>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</si>
  <si>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</si>
  <si>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</si>
  <si>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</si>
  <si>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</si>
  <si>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</si>
  <si>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</si>
  <si>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</si>
  <si>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</si>
  <si>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</si>
  <si>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</si>
  <si>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</si>
  <si>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</si>
  <si>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</si>
  <si>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</si>
  <si>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</si>
  <si>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</si>
  <si>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</si>
  <si>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</si>
  <si>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</si>
  <si>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</si>
  <si>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</si>
  <si>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</si>
  <si>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</si>
  <si>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</si>
  <si>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</si>
  <si>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</si>
  <si>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</si>
  <si>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</si>
  <si>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</si>
  <si>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</si>
  <si>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</si>
  <si>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</si>
  <si>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</si>
  <si>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</si>
  <si>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</si>
  <si>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</si>
  <si>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</si>
  <si>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</si>
  <si>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</si>
  <si>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</si>
  <si>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</si>
  <si>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</si>
  <si>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</si>
  <si>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</si>
  <si>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</si>
  <si>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</si>
  <si>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</si>
  <si>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</si>
  <si>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</si>
  <si>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</si>
  <si>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</si>
  <si>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</si>
  <si>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</si>
  <si>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</si>
  <si>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</si>
  <si>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</si>
  <si>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</si>
  <si>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</si>
  <si>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</si>
  <si>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</si>
  <si>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</si>
  <si>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</si>
  <si>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</si>
  <si>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</si>
  <si>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</si>
  <si>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</si>
  <si>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</si>
  <si>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</si>
  <si>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</si>
  <si>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</si>
  <si>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</si>
  <si>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</si>
  <si>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</si>
  <si>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</si>
  <si>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</si>
  <si>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</si>
  <si>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</si>
  <si>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</si>
  <si>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</si>
  <si>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</si>
  <si>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</si>
  <si>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</si>
  <si>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</si>
  <si>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</si>
  <si>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</si>
  <si>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</si>
  <si>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</si>
  <si>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</si>
  <si>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</si>
  <si>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</si>
  <si>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</si>
  <si>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</si>
  <si>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</si>
  <si>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</si>
  <si>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</si>
  <si>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</si>
  <si>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</si>
  <si>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</si>
  <si>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</si>
  <si>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</si>
  <si>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</si>
  <si>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</si>
  <si>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</si>
  <si>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</si>
  <si>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</si>
  <si>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</si>
  <si>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</si>
  <si>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</si>
  <si>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</si>
  <si>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</si>
  <si>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</si>
  <si>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</si>
  <si>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</si>
  <si>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</si>
  <si>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</si>
  <si>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</si>
  <si>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</si>
  <si>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</si>
  <si>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</si>
  <si>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</si>
  <si>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</si>
  <si>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</si>
  <si>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</si>
  <si>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</si>
  <si>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</si>
  <si>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</si>
  <si>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</si>
  <si>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</si>
  <si>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</si>
  <si>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</si>
  <si>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</si>
  <si>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</si>
  <si>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</si>
  <si>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</si>
  <si>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</si>
  <si>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</si>
  <si>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</si>
  <si>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</si>
  <si>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</si>
  <si>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</si>
  <si>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</si>
  <si>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</si>
  <si>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</si>
  <si>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</si>
  <si>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</si>
  <si>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</si>
  <si>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</si>
  <si>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</si>
  <si>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</si>
  <si>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</si>
  <si>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</si>
  <si>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</si>
  <si>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</si>
  <si>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</si>
  <si>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</si>
  <si>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</si>
  <si>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</si>
  <si>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</si>
  <si>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</si>
  <si>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</si>
  <si>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</si>
  <si>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</si>
  <si>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</si>
  <si>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</si>
  <si>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</si>
  <si>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</si>
  <si>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</si>
  <si>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</si>
  <si>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</si>
  <si>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</si>
  <si>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</si>
  <si>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</si>
  <si>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</si>
  <si>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</si>
  <si>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</si>
  <si>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</si>
  <si>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</si>
  <si>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</si>
  <si>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</si>
  <si>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</si>
  <si>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</si>
  <si>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</si>
  <si>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</si>
  <si>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</si>
  <si>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</si>
  <si>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</si>
  <si>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</si>
  <si>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</si>
  <si>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</si>
  <si>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</si>
  <si>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</si>
  <si>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</si>
  <si>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</si>
  <si>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</si>
  <si>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</si>
  <si>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</si>
  <si>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</si>
  <si>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</si>
  <si>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</si>
  <si>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</si>
  <si>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</si>
  <si>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</si>
  <si>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</si>
  <si>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</si>
  <si>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</si>
  <si>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</si>
  <si>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</si>
  <si>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</si>
  <si>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</si>
  <si>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</si>
  <si>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</si>
  <si>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</si>
  <si>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</si>
  <si>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</si>
  <si>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</si>
  <si>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</si>
  <si>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</si>
  <si>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</si>
  <si>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</si>
  <si>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</si>
  <si>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</si>
  <si>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</si>
  <si>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</si>
  <si>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</si>
  <si>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</si>
  <si>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</si>
  <si>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</si>
  <si>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</si>
  <si>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</si>
  <si>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</si>
  <si>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</si>
  <si>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</si>
  <si>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</si>
  <si>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</si>
  <si>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</si>
  <si>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</si>
  <si>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</si>
  <si>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</si>
  <si>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</si>
  <si>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</si>
  <si>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</si>
  <si>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</si>
  <si>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</si>
  <si>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</si>
  <si>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</si>
  <si>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</si>
  <si>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</si>
  <si>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</si>
  <si>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</si>
  <si>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</si>
  <si>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</si>
  <si>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</si>
  <si>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</si>
  <si>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</si>
  <si>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</si>
  <si>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</si>
  <si>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</si>
  <si>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</si>
  <si>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</si>
  <si>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</si>
  <si>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</si>
  <si>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</si>
  <si>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</si>
  <si>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</si>
  <si>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</si>
  <si>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</si>
  <si>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</si>
  <si>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</si>
  <si>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</si>
  <si>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</si>
  <si>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</si>
  <si>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</si>
  <si>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</si>
  <si>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</si>
  <si>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</si>
  <si>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</si>
  <si>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</si>
  <si>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</si>
  <si>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</si>
  <si>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</si>
  <si>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</si>
  <si>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</si>
  <si>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</si>
  <si>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</si>
  <si>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</si>
  <si>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</si>
  <si>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</si>
  <si>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</si>
  <si>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</si>
  <si>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</si>
  <si>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</si>
  <si>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</si>
  <si>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</si>
  <si>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</si>
  <si>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</si>
  <si>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</si>
  <si>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</si>
  <si>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</si>
  <si>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</si>
  <si>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</si>
  <si>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</si>
  <si>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</si>
  <si>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</si>
  <si>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</si>
  <si>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</si>
  <si>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</si>
  <si>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</si>
  <si>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</si>
  <si>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</si>
  <si>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</si>
  <si>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</si>
  <si>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</si>
  <si>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</si>
  <si>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</si>
  <si>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</si>
  <si>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</si>
  <si>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</si>
  <si>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</si>
  <si>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</si>
  <si>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</si>
  <si>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</si>
  <si>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</si>
  <si>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</si>
  <si>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</si>
  <si>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</si>
  <si>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</si>
  <si>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</si>
  <si>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</si>
  <si>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</si>
  <si>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</si>
  <si>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</si>
  <si>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</si>
  <si>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</si>
  <si>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</si>
  <si>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</si>
  <si>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</si>
  <si>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</si>
  <si>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</si>
  <si>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</si>
  <si>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</si>
  <si>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</si>
  <si>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</si>
  <si>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</si>
  <si>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</si>
  <si>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</si>
  <si>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</si>
  <si>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</si>
  <si>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</si>
  <si>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</si>
  <si>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</si>
  <si>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</si>
  <si>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</si>
  <si>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</si>
  <si>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</si>
  <si>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</si>
  <si>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</si>
  <si>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</si>
  <si>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</si>
  <si>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</si>
  <si>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</si>
  <si>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</si>
  <si>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</si>
  <si>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</si>
  <si>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</si>
  <si>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</si>
  <si>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</si>
  <si>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</si>
  <si>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</si>
  <si>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</si>
  <si>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</si>
  <si>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</si>
  <si>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</si>
  <si>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</si>
  <si>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</si>
  <si>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</si>
  <si>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</si>
  <si>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</si>
  <si>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</si>
  <si>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</si>
  <si>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</si>
  <si>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</si>
  <si>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</si>
  <si>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</si>
  <si>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</si>
  <si>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</si>
  <si>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</si>
  <si>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</si>
  <si>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</si>
  <si>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</si>
  <si>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</si>
  <si>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</si>
  <si>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</si>
  <si>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</si>
  <si>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</si>
  <si>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</si>
  <si>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</si>
  <si>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</si>
  <si>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</si>
  <si>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</si>
  <si>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</si>
  <si>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</si>
  <si>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</si>
  <si>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</si>
  <si>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</si>
  <si>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</si>
  <si>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</si>
  <si>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</si>
  <si>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</si>
  <si>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</si>
  <si>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</si>
  <si>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</si>
  <si>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</si>
  <si>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</si>
  <si>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</si>
  <si>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</si>
  <si>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</si>
  <si>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</si>
  <si>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</si>
  <si>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</si>
  <si>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</si>
  <si>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</si>
  <si>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</si>
  <si>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</si>
  <si>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</si>
  <si>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</si>
  <si>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</si>
  <si>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</si>
  <si>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</si>
  <si>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</si>
  <si>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</si>
  <si>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</si>
  <si>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</si>
  <si>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</si>
  <si>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</si>
  <si>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</si>
  <si>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</si>
  <si>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</si>
  <si>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</si>
  <si>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</si>
  <si>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</si>
  <si>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</si>
  <si>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</si>
  <si>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</si>
  <si>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</si>
  <si>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</si>
  <si>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</si>
  <si>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</si>
  <si>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</si>
  <si>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</si>
  <si>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</si>
  <si>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</si>
  <si>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</si>
  <si>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</si>
  <si>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</si>
  <si>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</si>
  <si>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</si>
  <si>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</si>
  <si>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</si>
  <si>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</si>
  <si>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</si>
  <si>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</si>
  <si>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</si>
  <si>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</si>
  <si>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</si>
  <si>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</si>
  <si>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</si>
  <si>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</si>
  <si>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</si>
  <si>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</si>
  <si>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</si>
  <si>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</si>
  <si>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</si>
  <si>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</si>
  <si>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</si>
  <si>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</si>
  <si>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</si>
  <si>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</si>
  <si>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</si>
  <si>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</si>
  <si>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</si>
  <si>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</si>
  <si>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</si>
  <si>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</si>
  <si>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</si>
  <si>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</si>
  <si>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</si>
  <si>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</si>
  <si>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</si>
  <si>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</si>
  <si>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</si>
  <si>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</si>
  <si>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</si>
  <si>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</si>
  <si>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</si>
  <si>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</si>
  <si>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</si>
  <si>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</si>
  <si>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</si>
  <si>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</si>
  <si>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</si>
  <si>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</si>
  <si>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</si>
  <si>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</si>
  <si>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</si>
  <si>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</si>
  <si>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</si>
  <si>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</si>
  <si>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</si>
  <si>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</si>
  <si>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</si>
  <si>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</si>
  <si>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</si>
  <si>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</si>
  <si>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</si>
  <si>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</si>
  <si>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</si>
  <si>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</si>
  <si>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</si>
  <si>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</si>
  <si>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</si>
  <si>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</si>
  <si>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</si>
  <si>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</si>
  <si>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</si>
  <si>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</si>
  <si>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</si>
  <si>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</si>
  <si>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</si>
  <si>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</si>
  <si>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</si>
  <si>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</si>
  <si>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</si>
  <si>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</si>
  <si>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</si>
  <si>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</si>
  <si>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</si>
  <si>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</si>
  <si>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</si>
  <si>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</si>
  <si>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</si>
  <si>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</si>
  <si>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</si>
  <si>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</si>
  <si>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</si>
  <si>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</si>
  <si>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</si>
  <si>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</si>
  <si>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</si>
  <si>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</si>
  <si>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</si>
  <si>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</si>
  <si>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</si>
  <si>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</si>
  <si>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</si>
  <si>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</si>
  <si>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</si>
  <si>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</si>
  <si>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</si>
  <si>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</si>
  <si>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</si>
  <si>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</si>
  <si>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</si>
  <si>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</si>
  <si>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</si>
  <si>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</si>
  <si>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</si>
  <si>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</si>
  <si>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</si>
  <si>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</si>
  <si>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</si>
  <si>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</si>
  <si>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</si>
  <si>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</si>
  <si>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</si>
  <si>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</si>
  <si>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</si>
  <si>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</si>
  <si>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</si>
  <si>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</si>
  <si>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</si>
  <si>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</si>
  <si>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</si>
  <si>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</si>
  <si>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</si>
  <si>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</si>
  <si>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</si>
  <si>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</si>
  <si>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</si>
  <si>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</si>
  <si>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</si>
  <si>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</si>
  <si>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</si>
  <si>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</si>
  <si>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</si>
  <si>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</si>
  <si>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</si>
  <si>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</si>
  <si>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</si>
  <si>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</si>
  <si>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</si>
  <si>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</si>
  <si>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</si>
  <si>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</si>
  <si>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</si>
  <si>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</si>
  <si>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</si>
  <si>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</si>
  <si>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</si>
  <si>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</si>
  <si>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</si>
  <si>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</si>
  <si>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</si>
  <si>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</si>
  <si>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</si>
  <si>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</si>
  <si>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</si>
  <si>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</si>
  <si>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</si>
  <si>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</si>
  <si>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</si>
  <si>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</si>
  <si>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</si>
  <si>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</si>
  <si>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</si>
  <si>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</si>
  <si>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</si>
  <si>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</si>
  <si>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</si>
  <si>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</si>
  <si>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</si>
  <si>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</si>
  <si>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</si>
  <si>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</si>
  <si>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</si>
  <si>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</si>
  <si>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</si>
  <si>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</si>
  <si>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</si>
  <si>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</si>
  <si>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</si>
  <si>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</si>
  <si>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</si>
  <si>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</si>
  <si>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</si>
  <si>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</si>
  <si>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</si>
  <si>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</si>
  <si>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</si>
  <si>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</si>
  <si>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</si>
  <si>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</si>
  <si>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</si>
  <si>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</si>
  <si>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Douglas Vieira Silva Filho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</si>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</sst>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15" activePane="bottomLeft" state="frozen"/>
      <selection pane="bottomLeft" activeCell="T732" sqref="T73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2974</v>
      </c>
    </row>
    <row r="727" spans="1:20" ht="15">
      <c r="A727" s="156" t="s">
        <v>2975</v>
      </c>
      <c r="B727" s="154">
        <v>2026</v>
      </c>
      <c r="C727" s="154" t="s">
        <v>2710</v>
      </c>
      <c r="D727" s="154" t="s">
        <v>2960</v>
      </c>
      <c r="E727" s="159" t="s">
        <v>2976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2977</v>
      </c>
      <c r="B728" s="154">
        <v>2026</v>
      </c>
      <c r="C728" s="154" t="s">
        <v>22</v>
      </c>
      <c r="D728" s="154" t="s">
        <v>2960</v>
      </c>
      <c r="E728" s="159" t="s">
        <v>2978</v>
      </c>
      <c r="F728" s="170" t="s">
        <v>88</v>
      </c>
      <c r="G728" s="155" t="s">
        <v>2717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2980</v>
      </c>
      <c r="B729" s="154">
        <v>2026</v>
      </c>
      <c r="C729" s="154" t="s">
        <v>2710</v>
      </c>
      <c r="D729" s="154" t="s">
        <v>2960</v>
      </c>
      <c r="E729" s="159" t="s">
        <v>2981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2982</v>
      </c>
      <c r="B730" s="154">
        <v>2026</v>
      </c>
      <c r="C730" s="154" t="s">
        <v>2710</v>
      </c>
      <c r="D730" s="154" t="s">
        <v>2960</v>
      </c>
      <c r="E730" s="201" t="s">
        <v>2983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2984</v>
      </c>
      <c r="B731" s="154">
        <v>2026</v>
      </c>
      <c r="C731" s="154" t="s">
        <v>2710</v>
      </c>
      <c r="D731" s="154" t="s">
        <v>2960</v>
      </c>
      <c r="E731" s="201" t="s">
        <v>2985</v>
      </c>
      <c r="F731" s="170" t="s">
        <v>88</v>
      </c>
      <c r="G731" s="155" t="s">
        <v>2717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2987</v>
      </c>
      <c r="B732" s="154">
        <v>2026</v>
      </c>
      <c r="C732" s="154" t="s">
        <v>2710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2990</v>
      </c>
      <c r="B733" s="154">
        <v>2026</v>
      </c>
      <c r="C733" s="154" t="s">
        <v>2710</v>
      </c>
      <c r="D733" s="154"/>
      <c r="E733" s="201" t="s">
        <v>2991</v>
      </c>
      <c r="F733" s="170" t="s">
        <v>24</v>
      </c>
      <c r="G733" s="155" t="s">
        <v>2717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2993</v>
      </c>
      <c r="B734" s="154">
        <v>2026</v>
      </c>
      <c r="C734" s="154" t="s">
        <v>2710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2999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2693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3010</v>
      </c>
    </row>
    <row r="739" spans="1:20" ht="15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2699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3015</v>
      </c>
      <c r="B740" s="154">
        <v>2026</v>
      </c>
      <c r="C740" s="154" t="s">
        <v>2710</v>
      </c>
      <c r="D740" s="154" t="s">
        <v>3016</v>
      </c>
      <c r="E740" s="159" t="s">
        <v>3017</v>
      </c>
      <c r="F740" s="170" t="s">
        <v>24</v>
      </c>
      <c r="G740" s="155" t="s">
        <v>2699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3019</v>
      </c>
      <c r="B741" s="154">
        <v>2026</v>
      </c>
      <c r="C741" s="154" t="s">
        <v>2710</v>
      </c>
      <c r="D741" s="154" t="s">
        <v>3020</v>
      </c>
      <c r="E741" s="159" t="s">
        <v>3021</v>
      </c>
      <c r="F741" s="170" t="s">
        <v>24</v>
      </c>
      <c r="G741" s="155" t="s">
        <v>2699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3023</v>
      </c>
      <c r="B742" s="154">
        <v>2026</v>
      </c>
      <c r="C742" s="154" t="s">
        <v>2710</v>
      </c>
      <c r="D742" s="154" t="s">
        <v>3020</v>
      </c>
      <c r="E742" s="159" t="s">
        <v>3024</v>
      </c>
      <c r="F742" s="170" t="s">
        <v>24</v>
      </c>
      <c r="G742" s="155" t="s">
        <v>2699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3026</v>
      </c>
      <c r="B743" s="154">
        <v>2026</v>
      </c>
      <c r="C743" s="154" t="s">
        <v>2710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2999</v>
      </c>
    </row>
    <row r="744" spans="1:20" ht="15">
      <c r="A744" s="156" t="s">
        <v>3030</v>
      </c>
      <c r="B744" s="154">
        <v>2026</v>
      </c>
      <c r="C744" s="154" t="s">
        <v>2710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3034</v>
      </c>
      <c r="B745" s="154">
        <v>2026</v>
      </c>
      <c r="C745" s="154" t="s">
        <v>2710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3037</v>
      </c>
      <c r="B746" s="154">
        <v>2026</v>
      </c>
      <c r="C746" s="154" t="s">
        <v>2789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3041</v>
      </c>
    </row>
    <row r="747" spans="1:20" ht="15">
      <c r="A747" s="156" t="s">
        <v>3042</v>
      </c>
      <c r="B747" s="154">
        <v>2026</v>
      </c>
      <c r="C747" s="154" t="s">
        <v>2710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3046</v>
      </c>
      <c r="B748" s="154">
        <v>2026</v>
      </c>
      <c r="C748" s="154" t="s">
        <v>2710</v>
      </c>
      <c r="D748" s="154" t="s">
        <v>3047</v>
      </c>
      <c r="E748" s="159" t="s">
        <v>3048</v>
      </c>
      <c r="F748" s="170" t="s">
        <v>69</v>
      </c>
      <c r="G748" s="155" t="s">
        <v>79</v>
      </c>
      <c r="H748" s="156" t="s">
        <v>3049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3050</v>
      </c>
      <c r="B749" s="154">
        <v>2026</v>
      </c>
      <c r="C749" s="154" t="s">
        <v>2710</v>
      </c>
      <c r="D749" s="154" t="s">
        <v>3051</v>
      </c>
      <c r="E749" s="166" t="s">
        <v>3052</v>
      </c>
      <c r="F749" s="170" t="s">
        <v>24</v>
      </c>
      <c r="G749" s="155" t="s">
        <v>25</v>
      </c>
      <c r="H749" s="156" t="s">
        <v>3053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3054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3055</v>
      </c>
      <c r="H1" s="168" t="s">
        <v>3056</v>
      </c>
    </row>
    <row r="2" spans="1:8">
      <c r="H2" s="167" t="s">
        <v>3057</v>
      </c>
    </row>
    <row r="3" spans="1:8">
      <c r="A3" t="s">
        <v>0</v>
      </c>
      <c r="B3" t="s">
        <v>19</v>
      </c>
      <c r="C3" t="s">
        <v>3058</v>
      </c>
      <c r="D3" t="s">
        <v>3059</v>
      </c>
      <c r="E3" t="s">
        <v>3060</v>
      </c>
      <c r="H3" s="167" t="s">
        <v>3061</v>
      </c>
    </row>
    <row r="4" spans="1:8">
      <c r="A4">
        <v>1</v>
      </c>
      <c r="B4" t="s">
        <v>3062</v>
      </c>
      <c r="D4" t="s">
        <v>3063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3064</v>
      </c>
    </row>
    <row r="5" spans="1:8">
      <c r="A5">
        <v>2</v>
      </c>
      <c r="B5" t="s">
        <v>2507</v>
      </c>
      <c r="D5" t="s">
        <v>3063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3065</v>
      </c>
    </row>
    <row r="6" spans="1:8">
      <c r="A6">
        <v>3</v>
      </c>
      <c r="B6" t="s">
        <v>1030</v>
      </c>
      <c r="D6" t="s">
        <v>3063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3066</v>
      </c>
      <c r="D7" t="s">
        <v>3063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3067</v>
      </c>
    </row>
    <row r="8" spans="1:8">
      <c r="A8">
        <v>5</v>
      </c>
      <c r="B8" t="s">
        <v>3068</v>
      </c>
      <c r="D8" t="s">
        <v>3063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3069</v>
      </c>
      <c r="D23" t="s">
        <v>3063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3070</v>
      </c>
      <c r="D25" t="s">
        <v>3063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3071</v>
      </c>
      <c r="D26" t="s">
        <v>3063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3072</v>
      </c>
      <c r="D29" t="s">
        <v>3063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3073</v>
      </c>
      <c r="D33" t="s">
        <v>3063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3074</v>
      </c>
      <c r="D34" t="s">
        <v>3063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3075</v>
      </c>
      <c r="D38" t="s">
        <v>3063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3076</v>
      </c>
      <c r="D39" t="s">
        <v>3063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3077</v>
      </c>
      <c r="D41" t="s">
        <v>3063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3078</v>
      </c>
      <c r="D44" t="s">
        <v>3063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3079</v>
      </c>
      <c r="D49" t="s">
        <v>3063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3080</v>
      </c>
      <c r="D51" t="s">
        <v>3063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3081</v>
      </c>
      <c r="D54" t="s">
        <v>3063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3082</v>
      </c>
      <c r="D58" t="s">
        <v>3063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3083</v>
      </c>
      <c r="D61" t="s">
        <v>3063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3084</v>
      </c>
      <c r="D62" t="s">
        <v>3063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3085</v>
      </c>
      <c r="D63" t="s">
        <v>3063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3086</v>
      </c>
      <c r="D64" t="s">
        <v>3063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3087</v>
      </c>
      <c r="D67" t="s">
        <v>3063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3088</v>
      </c>
      <c r="D68" t="s">
        <v>3063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3089</v>
      </c>
      <c r="D70" t="s">
        <v>3063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3090</v>
      </c>
      <c r="D74" t="s">
        <v>3063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3091</v>
      </c>
      <c r="D79" t="s">
        <v>3063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3092</v>
      </c>
      <c r="D80" t="s">
        <v>3063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3093</v>
      </c>
      <c r="D81" t="s">
        <v>3063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3094</v>
      </c>
      <c r="D82" t="s">
        <v>3063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3095</v>
      </c>
      <c r="D84" t="s">
        <v>3063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3096</v>
      </c>
      <c r="D86" t="s">
        <v>3063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3097</v>
      </c>
      <c r="D87" t="s">
        <v>3063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3098</v>
      </c>
      <c r="D88" t="s">
        <v>3063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3099</v>
      </c>
      <c r="D89" t="s">
        <v>3063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2974</v>
      </c>
      <c r="D90" t="s">
        <v>3063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3100</v>
      </c>
      <c r="D91" t="s">
        <v>3063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3101</v>
      </c>
      <c r="D92" t="s">
        <v>3063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3102</v>
      </c>
      <c r="D93" t="s">
        <v>3063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3103</v>
      </c>
      <c r="D94" t="s">
        <v>3063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3104</v>
      </c>
      <c r="D96" t="s">
        <v>3063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3105</v>
      </c>
      <c r="D98" t="s">
        <v>3063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3106</v>
      </c>
      <c r="D99" t="s">
        <v>3063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3107</v>
      </c>
      <c r="D100" t="s">
        <v>3063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3108</v>
      </c>
      <c r="D101" t="s">
        <v>3063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3109</v>
      </c>
      <c r="D103" t="s">
        <v>3063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3110</v>
      </c>
      <c r="D104" t="s">
        <v>3063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3111</v>
      </c>
      <c r="D105" t="s">
        <v>3063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3112</v>
      </c>
      <c r="D108" t="s">
        <v>3063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3113</v>
      </c>
      <c r="D109" t="s">
        <v>3063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3115</v>
      </c>
      <c r="D111" t="s">
        <v>3063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3063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3076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3070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3070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3070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3089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Douglas Vieira Silva Filho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2974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3046</v>
      </c>
      <c r="Y89" t="s">
        <v>3081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3050</v>
      </c>
      <c r="Y90" t="s">
        <v>3114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Douglas Vieira Silva Filho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9</v>
      </c>
      <c r="C20" s="25">
        <f ca="1">IF($A20="","",SUMIFS('GECC 2026'!I$2:I$200,'GECC 2026'!F$2:F$200,$A20))</f>
        <v>2.7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11.7</v>
      </c>
      <c r="F20" s="23">
        <f ca="1">IF($A20="","",COUNTIFS('GECC 2026'!F$2:F$200,$A20))</f>
        <v>2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2026-09-17T18:16:51Z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