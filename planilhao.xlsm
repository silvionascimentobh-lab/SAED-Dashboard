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3" documentId="8_{454372C2-A99E-4E47-A759-72B38925853E}" xr6:coauthVersionLast="47" xr6:coauthVersionMax="47" xr10:uidLastSave="{20DADBE3-C178-487B-A92C-BAD831F966FB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13" i="3" l="1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C46" i="23" l="1"/>
  <c r="F46" i="23"/>
  <c r="E46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B45" i="23" l="1"/>
  <c r="C45" i="23"/>
  <c r="F45" i="23"/>
  <c r="D45" i="23"/>
  <c r="E45" i="23"/>
  <c r="C35" i="23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<sst xmlns="http://schemas.openxmlformats.org/spreadsheetml/2006/main" count="6171" uniqueCount="2380">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</sst>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9" totalsRowShown="0">
  <autoFilter ref="A3:D89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opLeftCell="H1" zoomScaleNormal="100" workbookViewId="0">
      <pane ySplit="1" topLeftCell="A706" activePane="bottomLeft" state="frozen"/>
      <selection pane="bottomLeft" activeCell="T714" sqref="T71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10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>
        <f t="shared" si="14"/>
        <v>0</v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>
        <f t="shared" si="14"/>
        <v>0</v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9"/>
  <sheetViews>
    <sheetView topLeftCell="A51" workbookViewId="0">
      <selection activeCell="B89" sqref="B8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96" activePane="bottomLeft" state="frozen"/>
      <selection pane="bottomLeft" activeCell="AA56" sqref="AA56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5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8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9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59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21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7</v>
      </c>
      <c r="D33" s="117">
        <f t="shared" ref="D33:D44" si="0">B33+C33</f>
        <v>13</v>
      </c>
      <c r="E33" s="118">
        <f t="shared" ref="E33:E44" si="1">D33/$D$45</f>
        <v>0.23636363636363636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5.4545454545454543E-2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0.10909090909090909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1.8181818181818181E-2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3.6363636363636362E-2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0.23636363636363636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7.2727272727272724E-2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3.6363636363636362E-2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0.12727272727272726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3.6363636363636362E-2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2</v>
      </c>
      <c r="D44" s="149">
        <f t="shared" si="0"/>
        <v>2</v>
      </c>
      <c r="E44" s="150">
        <f t="shared" si="1"/>
        <v>3.6363636363636362E-2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21</v>
      </c>
      <c r="D45" s="121">
        <f>SUM(D33:D44)</f>
        <v>55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5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Jamile Medeiros Fon</v>
      </c>
      <c r="B27" s="103">
        <f>IF($A27="","",SUMIFS('GECC 2026'!H$2:H$200,'GECC 2026'!F$2:F$200,$A27))</f>
        <v>4</v>
      </c>
      <c r="C27" s="103">
        <f>IF($A27="","",SUMIFS('GECC 2026'!I$2:I$200,'GECC 2026'!F$2:F$200,$A27))</f>
        <v>1.2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5.2</v>
      </c>
      <c r="F27" s="101">
        <f>IF($A27="","",COUNTIFS('GECC 2026'!F$2:F$200,$A27))</f>
        <v>1</v>
      </c>
    </row>
    <row r="28" spans="1:6" x14ac:dyDescent="0.25">
      <c r="A28" t="str">
        <v>José Roberto Alcuri Júnior</v>
      </c>
      <c r="B28" s="103">
        <f>IF($A28="","",SUMIFS('GECC 2026'!H$2:H$200,'GECC 2026'!F$2:F$200,$A28))</f>
        <v>1</v>
      </c>
      <c r="C28" s="103">
        <f>IF($A28="","",SUMIFS('GECC 2026'!I$2:I$200,'GECC 2026'!F$2:F$200,$A28))</f>
        <v>0.3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1.3</v>
      </c>
      <c r="F28" s="101">
        <f>IF($A28="","",COUNTIFS('GECC 2026'!F$2:F$200,$A28))</f>
        <v>2</v>
      </c>
    </row>
    <row r="29" spans="1:6" x14ac:dyDescent="0.25">
      <c r="A29" t="str">
        <v>Leonardo de Melo</v>
      </c>
      <c r="B29" s="103">
        <f>IF($A29="","",SUMIFS('GECC 2026'!H$2:H$200,'GECC 2026'!F$2:F$200,$A29))</f>
        <v>0</v>
      </c>
      <c r="C29" s="103">
        <f>IF($A29="","",SUMIFS('GECC 2026'!I$2:I$200,'GECC 2026'!F$2:F$200,$A29))</f>
        <v>0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0</v>
      </c>
      <c r="F29" s="101">
        <f>IF($A29="","",COUNTIFS('GECC 2026'!F$2:F$200,$A29))</f>
        <v>1</v>
      </c>
    </row>
    <row r="30" spans="1:6" x14ac:dyDescent="0.25">
      <c r="A30" t="str">
        <v>Leonardo José Alves Leal Neri</v>
      </c>
      <c r="B30" s="103">
        <f>IF($A30="","",SUMIFS('GECC 2026'!H$2:H$200,'GECC 2026'!F$2:F$200,$A30))</f>
        <v>40</v>
      </c>
      <c r="C30" s="103">
        <f>IF($A30="","",SUMIFS('GECC 2026'!I$2:I$200,'GECC 2026'!F$2:F$200,$A30))</f>
        <v>12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52</v>
      </c>
      <c r="F30" s="101">
        <f>IF($A30="","",COUNTIFS('GECC 2026'!F$2:F$200,$A30))</f>
        <v>2</v>
      </c>
    </row>
    <row r="31" spans="1:6" x14ac:dyDescent="0.25">
      <c r="A31" t="str">
        <v>Luciana Alvim</v>
      </c>
      <c r="B31" s="103">
        <f>IF($A31="","",SUMIFS('GECC 2026'!H$2:H$200,'GECC 2026'!F$2:F$200,$A31))</f>
        <v>60</v>
      </c>
      <c r="C31" s="103">
        <f>IF($A31="","",SUMIFS('GECC 2026'!I$2:I$200,'GECC 2026'!F$2:F$200,$A31))</f>
        <v>94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154</v>
      </c>
      <c r="F31" s="101">
        <f>IF($A31="","",COUNTIFS('GECC 2026'!F$2:F$200,$A31))</f>
        <v>6</v>
      </c>
    </row>
    <row r="32" spans="1:6" x14ac:dyDescent="0.25">
      <c r="A32" t="str">
        <v>Luiz Felipe Tenório de Lima Gondim</v>
      </c>
      <c r="B32" s="103">
        <f>IF($A32="","",SUMIFS('GECC 2026'!H$2:H$200,'GECC 2026'!F$2:F$200,$A32))</f>
        <v>24</v>
      </c>
      <c r="C32" s="103">
        <f>IF($A32="","",SUMIFS('GECC 2026'!I$2:I$200,'GECC 2026'!F$2:F$200,$A32))</f>
        <v>1.44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25.440000000000005</v>
      </c>
      <c r="F32" s="101">
        <f>IF($A32="","",COUNTIFS('GECC 2026'!F$2:F$200,$A32))</f>
        <v>6</v>
      </c>
    </row>
    <row r="33" spans="1:6" x14ac:dyDescent="0.25">
      <c r="A33" t="str">
        <v>Marcelo Bálbio Moraes</v>
      </c>
      <c r="B33" s="103">
        <f>IF($A33="","",SUMIFS('GECC 2026'!H$2:H$200,'GECC 2026'!F$2:F$200,$A33))</f>
        <v>0</v>
      </c>
      <c r="C33" s="103">
        <f>IF($A33="","",SUMIFS('GECC 2026'!I$2:I$200,'GECC 2026'!F$2:F$200,$A33))</f>
        <v>0</v>
      </c>
      <c r="D33" s="255">
        <f>IF($A33="","",SUMIFS('GECC 2026'!$AE$3:$AE$32,'GECC 2026'!$AD$3:$AD$32,$A33))</f>
        <v>16</v>
      </c>
      <c r="E33" s="240">
        <f>IF($A33="","",SUMIFS('GECC 2026'!J$2:J$200,'GECC 2026'!F$2:F$200,$A33)+SUMIFS('GECC 2026'!$AE$3:$AE$32,'GECC 2026'!$AD$3:$AD$32,$A33))</f>
        <v>16</v>
      </c>
      <c r="F33" s="101">
        <f>IF($A33="","",COUNTIFS('GECC 2026'!F$2:F$200,$A33))</f>
        <v>0</v>
      </c>
    </row>
    <row r="34" spans="1:6" x14ac:dyDescent="0.25">
      <c r="A34" t="str">
        <v>Marcelo Santana</v>
      </c>
      <c r="B34" s="103">
        <f>IF($A34="","",SUMIFS('GECC 2026'!H$2:H$200,'GECC 2026'!F$2:F$200,$A34))</f>
        <v>1</v>
      </c>
      <c r="C34" s="103">
        <f>IF($A34="","",SUMIFS('GECC 2026'!I$2:I$200,'GECC 2026'!F$2:F$200,$A34))</f>
        <v>0.3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1.3</v>
      </c>
      <c r="F34" s="101">
        <f>IF($A34="","",COUNTIFS('GECC 2026'!F$2:F$200,$A34))</f>
        <v>1</v>
      </c>
    </row>
    <row r="35" spans="1:6" x14ac:dyDescent="0.25">
      <c r="A35" t="str">
        <v>Mauri Siqueira Montessi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Michel Martins de Morais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Paulo José Góes Daltro</v>
      </c>
      <c r="B37" s="103">
        <f>IF($A37="","",SUMIFS('GECC 2026'!H$2:H$200,'GECC 2026'!F$2:F$200,$A37))</f>
        <v>28</v>
      </c>
      <c r="C37" s="103">
        <f>IF($A37="","",SUMIFS('GECC 2026'!I$2:I$200,'GECC 2026'!F$2:F$200,$A37))</f>
        <v>8.3999999999999986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36.4</v>
      </c>
      <c r="F37" s="101">
        <f>IF($A37="","",COUNTIFS('GECC 2026'!F$2:F$200,$A37))</f>
        <v>3</v>
      </c>
    </row>
    <row r="38" spans="1:6" x14ac:dyDescent="0.25">
      <c r="A38" t="str">
        <v>Priscila Nolasco de Oliveira</v>
      </c>
      <c r="B38" s="103">
        <f>IF($A38="","",SUMIFS('GECC 2026'!H$2:H$200,'GECC 2026'!F$2:F$200,$A38))</f>
        <v>36</v>
      </c>
      <c r="C38" s="103">
        <f>IF($A38="","",SUMIFS('GECC 2026'!I$2:I$200,'GECC 2026'!F$2:F$200,$A38))</f>
        <v>2.16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38.160000000000011</v>
      </c>
      <c r="F38" s="101">
        <f>IF($A38="","",COUNTIFS('GECC 2026'!F$2:F$200,$A38))</f>
        <v>9</v>
      </c>
    </row>
    <row r="39" spans="1:6" x14ac:dyDescent="0.25">
      <c r="A39" t="str">
        <v>Reinaldo Alencar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Rogério Ribeiro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Rômulo Miranda Alvim</v>
      </c>
      <c r="B41" s="103">
        <f>IF($A41="","",SUMIFS('GECC 2026'!H$2:H$200,'GECC 2026'!F$2:F$200,$A41))</f>
        <v>24</v>
      </c>
      <c r="C41" s="103">
        <f>IF($A41="","",SUMIFS('GECC 2026'!I$2:I$200,'GECC 2026'!F$2:F$200,$A41))</f>
        <v>3.6</v>
      </c>
      <c r="D41" s="255">
        <f>IF($A41="","",SUMIFS('GECC 2026'!$AE$3:$AE$32,'GECC 2026'!$AD$3:$AD$32,$A41))</f>
        <v>16</v>
      </c>
      <c r="E41" s="240">
        <f>IF($A41="","",SUMIFS('GECC 2026'!J$2:J$200,'GECC 2026'!F$2:F$200,$A41)+SUMIFS('GECC 2026'!$AE$3:$AE$32,'GECC 2026'!$AD$3:$AD$32,$A41))</f>
        <v>43.6</v>
      </c>
      <c r="F41" s="101">
        <f>IF($A41="","",COUNTIFS('GECC 2026'!F$2:F$200,$A41))</f>
        <v>2</v>
      </c>
    </row>
    <row r="42" spans="1:6" x14ac:dyDescent="0.25">
      <c r="A42" t="str">
        <v>Servidores, colaboradores e estagiários do TCDF</v>
      </c>
      <c r="B42" s="103">
        <f>IF($A42="","",SUMIFS('GECC 2026'!H$2:H$200,'GECC 2026'!F$2:F$200,$A42))</f>
        <v>0</v>
      </c>
      <c r="C42" s="103">
        <f>IF($A42="","",SUMIFS('GECC 2026'!I$2:I$200,'GECC 2026'!F$2:F$200,$A42))</f>
        <v>0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0</v>
      </c>
      <c r="F42" s="101">
        <f>IF($A42="","",COUNTIFS('GECC 2026'!F$2:F$200,$A42))</f>
        <v>1</v>
      </c>
    </row>
    <row r="43" spans="1:6" x14ac:dyDescent="0.25">
      <c r="A43" t="str">
        <v>Silvia Lima Damasceno Carvalho</v>
      </c>
      <c r="B43" s="103">
        <f>IF($A43="","",SUMIFS('GECC 2026'!H$2:H$200,'GECC 2026'!F$2:F$200,$A43))</f>
        <v>1</v>
      </c>
      <c r="C43" s="103">
        <f>IF($A43="","",SUMIFS('GECC 2026'!I$2:I$200,'GECC 2026'!F$2:F$200,$A43))</f>
        <v>0.3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1.3</v>
      </c>
      <c r="F43" s="101">
        <f>IF($A43="","",COUNTIFS('GECC 2026'!F$2:F$200,$A43))</f>
        <v>1</v>
      </c>
    </row>
    <row r="44" spans="1:6" x14ac:dyDescent="0.25">
      <c r="A44" t="str">
        <v>Tarsila Firmino Ely</v>
      </c>
      <c r="B44" s="103">
        <f>IF($A44="","",SUMIFS('GECC 2026'!H$2:H$200,'GECC 2026'!F$2:F$200,$A44))</f>
        <v>56</v>
      </c>
      <c r="C44" s="103">
        <f>IF($A44="","",SUMIFS('GECC 2026'!I$2:I$200,'GECC 2026'!F$2:F$200,$A44))</f>
        <v>96.4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152.4</v>
      </c>
      <c r="F44" s="101">
        <f>IF($A44="","",COUNTIFS('GECC 2026'!F$2:F$200,$A44))</f>
        <v>5</v>
      </c>
    </row>
    <row r="45" spans="1:6" x14ac:dyDescent="0.25">
      <c r="A45" t="str">
        <v>Túllio Herbeth Teixeira Moraes</v>
      </c>
      <c r="B45" s="103">
        <f>IF($A45="","",SUMIFS('GECC 2026'!H$2:H$200,'GECC 2026'!F$2:F$200,$A45))</f>
        <v>3</v>
      </c>
      <c r="C45" s="103">
        <f>IF($A45="","",SUMIFS('GECC 2026'!I$2:I$200,'GECC 2026'!F$2:F$200,$A45))</f>
        <v>0.44999999999999996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3.45</v>
      </c>
      <c r="F45" s="101">
        <f>IF($A45="","",COUNTIFS('GECC 2026'!F$2:F$200,$A45))</f>
        <v>1</v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712</v>
      </c>
      <c r="C105" s="242">
        <f>SUM(C5:C100)</f>
        <v>392.58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2026-07-09T21:44:34Z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