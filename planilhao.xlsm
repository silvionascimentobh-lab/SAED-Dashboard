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03" documentId="13_ncr:1_{6A2CC3E2-FAFB-4D8F-B284-5E8FB5045DFE}" xr6:coauthVersionLast="47" xr6:coauthVersionMax="47" xr10:uidLastSave="{4ED29295-A196-42ED-A79E-3DFD7311268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AE33" i="20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D63" i="23" l="1"/>
  <c r="E63" i="23"/>
  <c r="F63" i="23"/>
  <c r="C63" i="23"/>
  <c r="B63" i="23"/>
  <c r="D62" i="23"/>
  <c r="E62" i="23"/>
  <c r="F62" i="23"/>
  <c r="C62" i="23"/>
  <c r="B62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B5" i="23"/>
  <c r="C105" i="23" l="1"/>
  <c r="B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<sst xmlns="http://schemas.openxmlformats.org/spreadsheetml/2006/main" count="7403" uniqueCount="3255">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</sst>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K715" activePane="bottomLeft" state="frozen"/>
      <selection pane="bottomLeft" activeCell="T730" sqref="T73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2974</v>
      </c>
    </row>
    <row r="727" spans="1:20" ht="15">
      <c r="A727" s="156" t="s">
        <v>2975</v>
      </c>
      <c r="B727" s="154">
        <v>2026</v>
      </c>
      <c r="C727" s="154" t="s">
        <v>2710</v>
      </c>
      <c r="D727" s="154" t="s">
        <v>2960</v>
      </c>
      <c r="E727" s="159" t="s">
        <v>2976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2977</v>
      </c>
      <c r="B728" s="154">
        <v>2026</v>
      </c>
      <c r="C728" s="154" t="s">
        <v>22</v>
      </c>
      <c r="D728" s="154" t="s">
        <v>2960</v>
      </c>
      <c r="E728" s="159" t="s">
        <v>2978</v>
      </c>
      <c r="F728" s="170" t="s">
        <v>88</v>
      </c>
      <c r="G728" s="155" t="s">
        <v>2717</v>
      </c>
      <c r="H728" s="156" t="s">
        <v>2979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2980</v>
      </c>
      <c r="B729" s="154">
        <v>2026</v>
      </c>
      <c r="C729" s="154" t="s">
        <v>2710</v>
      </c>
      <c r="D729" s="154" t="s">
        <v>2960</v>
      </c>
      <c r="E729" s="159" t="s">
        <v>2981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2982</v>
      </c>
      <c r="B730" s="154">
        <v>2026</v>
      </c>
      <c r="C730" s="154" t="s">
        <v>2710</v>
      </c>
      <c r="D730" s="154" t="s">
        <v>2960</v>
      </c>
      <c r="E730" s="201" t="s">
        <v>2983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2984</v>
      </c>
      <c r="B731" s="154">
        <v>2026</v>
      </c>
      <c r="C731" s="154" t="s">
        <v>2710</v>
      </c>
      <c r="D731" s="154" t="s">
        <v>2960</v>
      </c>
      <c r="E731" s="201" t="s">
        <v>2985</v>
      </c>
      <c r="F731" s="170" t="s">
        <v>88</v>
      </c>
      <c r="G731" s="155" t="s">
        <v>2717</v>
      </c>
      <c r="H731" s="156" t="s">
        <v>2986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2987</v>
      </c>
      <c r="B732" s="154">
        <v>2026</v>
      </c>
      <c r="C732" s="154" t="s">
        <v>2710</v>
      </c>
      <c r="D732" s="154" t="s">
        <v>2988</v>
      </c>
      <c r="E732" s="159" t="s">
        <v>2989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2990</v>
      </c>
      <c r="B733" s="154">
        <v>2026</v>
      </c>
      <c r="C733" s="154" t="s">
        <v>2710</v>
      </c>
      <c r="D733" s="154"/>
      <c r="E733" s="201" t="s">
        <v>2991</v>
      </c>
      <c r="F733" s="170" t="s">
        <v>24</v>
      </c>
      <c r="G733" s="155" t="s">
        <v>2717</v>
      </c>
      <c r="H733" s="156" t="s">
        <v>2992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2993</v>
      </c>
      <c r="B734" s="154">
        <v>2026</v>
      </c>
      <c r="C734" s="154" t="s">
        <v>2710</v>
      </c>
      <c r="D734" s="154" t="s">
        <v>2994</v>
      </c>
      <c r="E734" s="159" t="s">
        <v>2995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2996</v>
      </c>
      <c r="E735" s="159" t="s">
        <v>2997</v>
      </c>
      <c r="F735" s="170" t="s">
        <v>24</v>
      </c>
      <c r="G735" s="155" t="s">
        <v>206</v>
      </c>
      <c r="H735" s="156" t="s">
        <v>2998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2999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3000</v>
      </c>
      <c r="E736" s="159" t="s">
        <v>3001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3002</v>
      </c>
      <c r="B737" s="154">
        <v>2026</v>
      </c>
      <c r="C737" s="154" t="s">
        <v>22</v>
      </c>
      <c r="D737" s="154" t="s">
        <v>3003</v>
      </c>
      <c r="E737" s="159" t="s">
        <v>3004</v>
      </c>
      <c r="F737" s="170" t="s">
        <v>69</v>
      </c>
      <c r="G737" s="155" t="s">
        <v>79</v>
      </c>
      <c r="H737" s="156" t="s">
        <v>3005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3006</v>
      </c>
      <c r="B738" s="154">
        <v>2026</v>
      </c>
      <c r="C738" s="154" t="s">
        <v>22</v>
      </c>
      <c r="D738" s="154" t="s">
        <v>3007</v>
      </c>
      <c r="E738" s="159" t="s">
        <v>3008</v>
      </c>
      <c r="F738" s="170" t="s">
        <v>69</v>
      </c>
      <c r="G738" s="155" t="s">
        <v>2693</v>
      </c>
      <c r="H738" s="156" t="s">
        <v>3009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3010</v>
      </c>
    </row>
    <row r="739" spans="1:20" ht="15">
      <c r="A739" s="156" t="s">
        <v>3011</v>
      </c>
      <c r="B739" s="154">
        <v>2026</v>
      </c>
      <c r="C739" s="154" t="s">
        <v>22</v>
      </c>
      <c r="D739" s="154" t="s">
        <v>3012</v>
      </c>
      <c r="E739" s="159" t="s">
        <v>3013</v>
      </c>
      <c r="F739" s="170" t="s">
        <v>24</v>
      </c>
      <c r="G739" s="155" t="s">
        <v>2699</v>
      </c>
      <c r="H739" s="156" t="s">
        <v>3014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3015</v>
      </c>
      <c r="B740" s="154">
        <v>2026</v>
      </c>
      <c r="C740" s="154" t="s">
        <v>2710</v>
      </c>
      <c r="D740" s="154" t="s">
        <v>3016</v>
      </c>
      <c r="E740" s="159" t="s">
        <v>3017</v>
      </c>
      <c r="F740" s="170" t="s">
        <v>24</v>
      </c>
      <c r="G740" s="155" t="s">
        <v>2699</v>
      </c>
      <c r="H740" s="156" t="s">
        <v>3018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3019</v>
      </c>
      <c r="B741" s="154">
        <v>2026</v>
      </c>
      <c r="C741" s="154" t="s">
        <v>2710</v>
      </c>
      <c r="D741" s="154" t="s">
        <v>3020</v>
      </c>
      <c r="E741" s="159" t="s">
        <v>3021</v>
      </c>
      <c r="F741" s="170" t="s">
        <v>24</v>
      </c>
      <c r="G741" s="155" t="s">
        <v>2699</v>
      </c>
      <c r="H741" s="156" t="s">
        <v>3022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3023</v>
      </c>
      <c r="B742" s="154">
        <v>2026</v>
      </c>
      <c r="C742" s="154" t="s">
        <v>2710</v>
      </c>
      <c r="D742" s="154" t="s">
        <v>3020</v>
      </c>
      <c r="E742" s="159" t="s">
        <v>3024</v>
      </c>
      <c r="F742" s="170" t="s">
        <v>24</v>
      </c>
      <c r="G742" s="155" t="s">
        <v>2699</v>
      </c>
      <c r="H742" s="156" t="s">
        <v>3025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3026</v>
      </c>
      <c r="B743" s="154">
        <v>2026</v>
      </c>
      <c r="C743" s="154" t="s">
        <v>2710</v>
      </c>
      <c r="D743" s="154" t="s">
        <v>3027</v>
      </c>
      <c r="E743" s="159" t="s">
        <v>3028</v>
      </c>
      <c r="F743" s="170" t="s">
        <v>24</v>
      </c>
      <c r="G743" s="155" t="s">
        <v>206</v>
      </c>
      <c r="H743" s="156" t="s">
        <v>3029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2999</v>
      </c>
    </row>
    <row r="744" spans="1:20" ht="15">
      <c r="A744" s="156" t="s">
        <v>3030</v>
      </c>
      <c r="B744" s="154">
        <v>2026</v>
      </c>
      <c r="C744" s="154" t="s">
        <v>2710</v>
      </c>
      <c r="D744" s="154" t="s">
        <v>3031</v>
      </c>
      <c r="E744" s="166" t="s">
        <v>3032</v>
      </c>
      <c r="F744" s="170" t="s">
        <v>24</v>
      </c>
      <c r="G744" s="155" t="s">
        <v>206</v>
      </c>
      <c r="H744" s="156" t="s">
        <v>3033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3034</v>
      </c>
      <c r="B745" s="154">
        <v>2026</v>
      </c>
      <c r="C745" s="154" t="s">
        <v>2710</v>
      </c>
      <c r="D745" s="154" t="s">
        <v>3031</v>
      </c>
      <c r="E745" s="166" t="s">
        <v>3035</v>
      </c>
      <c r="F745" s="170" t="s">
        <v>24</v>
      </c>
      <c r="G745" s="155" t="s">
        <v>206</v>
      </c>
      <c r="H745" s="156" t="s">
        <v>3036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3037</v>
      </c>
      <c r="B746" s="154">
        <v>2026</v>
      </c>
      <c r="C746" s="154" t="s">
        <v>2789</v>
      </c>
      <c r="D746" s="154" t="s">
        <v>3038</v>
      </c>
      <c r="E746" s="166" t="s">
        <v>3039</v>
      </c>
      <c r="F746" s="170" t="s">
        <v>24</v>
      </c>
      <c r="G746" s="155" t="s">
        <v>206</v>
      </c>
      <c r="H746" s="156" t="s">
        <v>3040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3041</v>
      </c>
    </row>
    <row r="747" spans="1:20" ht="15">
      <c r="A747" s="156" t="s">
        <v>3042</v>
      </c>
      <c r="B747" s="154">
        <v>2026</v>
      </c>
      <c r="C747" s="154" t="s">
        <v>2710</v>
      </c>
      <c r="D747" s="154" t="s">
        <v>3043</v>
      </c>
      <c r="E747" s="166" t="s">
        <v>3044</v>
      </c>
      <c r="F747" s="170" t="s">
        <v>24</v>
      </c>
      <c r="G747" s="155" t="s">
        <v>206</v>
      </c>
      <c r="H747" s="156" t="s">
        <v>3045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3046</v>
      </c>
      <c r="B748" s="154">
        <v>2026</v>
      </c>
      <c r="C748" s="154" t="s">
        <v>2710</v>
      </c>
      <c r="D748" s="154" t="s">
        <v>3047</v>
      </c>
      <c r="E748" s="159" t="s">
        <v>3048</v>
      </c>
      <c r="F748" s="170" t="s">
        <v>69</v>
      </c>
      <c r="G748" s="155" t="s">
        <v>79</v>
      </c>
      <c r="H748" s="156" t="s">
        <v>3049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3050</v>
      </c>
      <c r="B749" s="154">
        <v>2026</v>
      </c>
      <c r="C749" s="154" t="s">
        <v>2710</v>
      </c>
      <c r="D749" s="154" t="s">
        <v>3051</v>
      </c>
      <c r="E749" s="166" t="s">
        <v>3052</v>
      </c>
      <c r="F749" s="170" t="s">
        <v>24</v>
      </c>
      <c r="G749" s="155" t="s">
        <v>25</v>
      </c>
      <c r="H749" s="156" t="s">
        <v>3053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3054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3055</v>
      </c>
      <c r="H1" s="168" t="s">
        <v>3056</v>
      </c>
    </row>
    <row r="2" spans="1:8">
      <c r="H2" s="167" t="s">
        <v>3057</v>
      </c>
    </row>
    <row r="3" spans="1:8">
      <c r="A3" t="s">
        <v>0</v>
      </c>
      <c r="B3" t="s">
        <v>19</v>
      </c>
      <c r="C3" t="s">
        <v>3058</v>
      </c>
      <c r="D3" t="s">
        <v>3059</v>
      </c>
      <c r="E3" t="s">
        <v>3060</v>
      </c>
      <c r="H3" s="167" t="s">
        <v>3061</v>
      </c>
    </row>
    <row r="4" spans="1:8">
      <c r="A4">
        <v>1</v>
      </c>
      <c r="B4" t="s">
        <v>3062</v>
      </c>
      <c r="D4" t="s">
        <v>3063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3064</v>
      </c>
    </row>
    <row r="5" spans="1:8">
      <c r="A5">
        <v>2</v>
      </c>
      <c r="B5" t="s">
        <v>2507</v>
      </c>
      <c r="D5" t="s">
        <v>3063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3065</v>
      </c>
    </row>
    <row r="6" spans="1:8">
      <c r="A6">
        <v>3</v>
      </c>
      <c r="B6" t="s">
        <v>1030</v>
      </c>
      <c r="D6" t="s">
        <v>3063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3066</v>
      </c>
      <c r="D7" t="s">
        <v>3063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3067</v>
      </c>
    </row>
    <row r="8" spans="1:8">
      <c r="A8">
        <v>5</v>
      </c>
      <c r="B8" t="s">
        <v>3068</v>
      </c>
      <c r="D8" t="s">
        <v>3063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3069</v>
      </c>
      <c r="D23" t="s">
        <v>3063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3070</v>
      </c>
      <c r="D25" t="s">
        <v>3063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3071</v>
      </c>
      <c r="D26" t="s">
        <v>3063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3072</v>
      </c>
      <c r="D29" t="s">
        <v>3063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3073</v>
      </c>
      <c r="D33" t="s">
        <v>3063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3074</v>
      </c>
      <c r="D34" t="s">
        <v>3063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3075</v>
      </c>
      <c r="D38" t="s">
        <v>3063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3076</v>
      </c>
      <c r="D39" t="s">
        <v>3063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3077</v>
      </c>
      <c r="D41" t="s">
        <v>3063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3078</v>
      </c>
      <c r="D44" t="s">
        <v>3063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3079</v>
      </c>
      <c r="D49" t="s">
        <v>3063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3080</v>
      </c>
      <c r="D51" t="s">
        <v>3063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3081</v>
      </c>
      <c r="D54" t="s">
        <v>3063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3082</v>
      </c>
      <c r="D58" t="s">
        <v>3063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3083</v>
      </c>
      <c r="D61" t="s">
        <v>3063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3084</v>
      </c>
      <c r="D62" t="s">
        <v>3063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3085</v>
      </c>
      <c r="D63" t="s">
        <v>3063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3086</v>
      </c>
      <c r="D64" t="s">
        <v>3063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3087</v>
      </c>
      <c r="D67" t="s">
        <v>3063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3088</v>
      </c>
      <c r="D68" t="s">
        <v>3063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3089</v>
      </c>
      <c r="D70" t="s">
        <v>3063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3090</v>
      </c>
      <c r="D74" t="s">
        <v>3063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3091</v>
      </c>
      <c r="D79" t="s">
        <v>3063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3092</v>
      </c>
      <c r="D80" t="s">
        <v>3063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3093</v>
      </c>
      <c r="D81" t="s">
        <v>3063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3094</v>
      </c>
      <c r="D82" t="s">
        <v>3063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3095</v>
      </c>
      <c r="D84" t="s">
        <v>3063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3096</v>
      </c>
      <c r="D86" t="s">
        <v>3063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3097</v>
      </c>
      <c r="D87" t="s">
        <v>3063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3098</v>
      </c>
      <c r="D88" t="s">
        <v>3063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3099</v>
      </c>
      <c r="D89" t="s">
        <v>3063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3100</v>
      </c>
      <c r="D90" t="s">
        <v>3063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3101</v>
      </c>
      <c r="D91" t="s">
        <v>3063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3102</v>
      </c>
      <c r="D92" t="s">
        <v>3063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3103</v>
      </c>
      <c r="D93" t="s">
        <v>3063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3104</v>
      </c>
      <c r="D94" t="s">
        <v>3063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3105</v>
      </c>
      <c r="D96" t="s">
        <v>3063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3106</v>
      </c>
      <c r="D98" t="s">
        <v>3063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3107</v>
      </c>
      <c r="D99" t="s">
        <v>3063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3108</v>
      </c>
      <c r="D100" t="s">
        <v>3063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3109</v>
      </c>
      <c r="D101" t="s">
        <v>3063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3110</v>
      </c>
      <c r="D103" t="s">
        <v>3063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3111</v>
      </c>
      <c r="D104" t="s">
        <v>3063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3112</v>
      </c>
      <c r="D105" t="s">
        <v>3063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3113</v>
      </c>
      <c r="D108" t="s">
        <v>3063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3114</v>
      </c>
      <c r="D109" t="s">
        <v>3063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3115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2974</v>
      </c>
      <c r="D111" t="s">
        <v>3063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3116</v>
      </c>
      <c r="D112" t="s">
        <v>3063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3076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3070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3070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3070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3089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3110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3100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3046</v>
      </c>
      <c r="Y89" t="s">
        <v>3081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3050</v>
      </c>
      <c r="Y90" t="s">
        <v>3115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Caique Dutra Brito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3147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3148</v>
      </c>
      <c r="B4" s="215"/>
      <c r="D4" s="216" t="s">
        <v>3149</v>
      </c>
      <c r="E4" s="217"/>
      <c r="G4" s="44" t="s">
        <v>3150</v>
      </c>
    </row>
    <row r="5" spans="1:7" ht="54.95" customHeight="1" thickBot="1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3152</v>
      </c>
      <c r="B8" s="212"/>
      <c r="D8" s="212" t="s">
        <v>3153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>
      <c r="A30" s="212" t="s">
        <v>3162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3213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3214</v>
      </c>
    </row>
    <row r="4" spans="1:8" ht="21.95" customHeight="1">
      <c r="A4" s="219" t="s">
        <v>3215</v>
      </c>
      <c r="B4" s="220"/>
      <c r="D4" s="219" t="s">
        <v>3216</v>
      </c>
      <c r="E4" s="220"/>
      <c r="G4" s="219" t="s">
        <v>3217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3223</v>
      </c>
      <c r="B1" s="225"/>
      <c r="C1" s="225"/>
      <c r="D1" s="225"/>
      <c r="E1" s="225"/>
      <c r="F1" s="225"/>
    </row>
    <row r="2" spans="1:7">
      <c r="A2" s="226" t="s">
        <v>3224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>
      <c r="A5" t="str" cm="1">
        <f t="array" aca="1" ref="A5:A62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Caique Dutra Brito</v>
      </c>
      <c r="B11" s="25">
        <f ca="1">IF($A11="","",SUMIFS('GECC 2026'!H$2:H$200,'GECC 2026'!F$2:F$200,$A11))</f>
        <v>5</v>
      </c>
      <c r="C11" s="25">
        <f ca="1">IF($A11="","",SUMIFS('GECC 2026'!I$2:I$200,'GECC 2026'!F$2:F$200,$A11))</f>
        <v>1.5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6.5</v>
      </c>
      <c r="F11" s="23">
        <f ca="1">IF($A11="","",COUNTIFS('GECC 2026'!F$2:F$200,$A11))</f>
        <v>1</v>
      </c>
    </row>
    <row r="12" spans="1:7">
      <c r="A12" t="str">
        <f ca="1"/>
        <v>Carina de Souza Mariuba Herthel</v>
      </c>
      <c r="B12" s="25">
        <f ca="1">IF($A12="","",SUMIFS('GECC 2026'!H$2:H$200,'GECC 2026'!F$2:F$200,$A12))</f>
        <v>8</v>
      </c>
      <c r="C12" s="25">
        <f ca="1">IF($A12="","",SUMIFS('GECC 2026'!I$2:I$200,'GECC 2026'!F$2:F$200,$A12))</f>
        <v>2.4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10.4</v>
      </c>
      <c r="F12" s="23">
        <f ca="1">IF($A12="","",COUNTIFS('GECC 2026'!F$2:F$200,$A12))</f>
        <v>1</v>
      </c>
    </row>
    <row r="13" spans="1:7">
      <c r="A13" t="str">
        <f ca="1"/>
        <v>Carlos Antônio</v>
      </c>
      <c r="B13" s="25">
        <f ca="1">IF($A13="","",SUMIFS('GECC 2026'!H$2:H$200,'GECC 2026'!F$2:F$200,$A13))</f>
        <v>4</v>
      </c>
      <c r="C13" s="25">
        <f ca="1">IF($A13="","",SUMIFS('GECC 2026'!I$2:I$200,'GECC 2026'!F$2:F$200,$A13))</f>
        <v>1.2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5.2</v>
      </c>
      <c r="F13" s="23">
        <f ca="1">IF($A13="","",COUNTIFS('GECC 2026'!F$2:F$200,$A13))</f>
        <v>1</v>
      </c>
    </row>
    <row r="14" spans="1:7">
      <c r="A14" t="str">
        <f ca="1"/>
        <v>Carolina Pereira de Oliveira</v>
      </c>
      <c r="B14" s="25">
        <f ca="1">IF($A14="","",SUMIFS('GECC 2026'!H$2:H$200,'GECC 2026'!F$2:F$200,$A14))</f>
        <v>1</v>
      </c>
      <c r="C14" s="25">
        <f ca="1">IF($A14="","",SUMIFS('GECC 2026'!I$2:I$200,'GECC 2026'!F$2:F$200,$A14))</f>
        <v>0.3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1.3</v>
      </c>
      <c r="F14" s="23">
        <f ca="1">IF($A14="","",COUNTIFS('GECC 2026'!F$2:F$200,$A14))</f>
        <v>1</v>
      </c>
    </row>
    <row r="15" spans="1:7">
      <c r="A15" t="str">
        <f ca="1"/>
        <v>Cássio Murilo Alves Costa Filho</v>
      </c>
      <c r="B15" s="25">
        <f ca="1">IF($A15="","",SUMIFS('GECC 2026'!H$2:H$200,'GECC 2026'!F$2:F$200,$A15))</f>
        <v>16</v>
      </c>
      <c r="C15" s="25">
        <f ca="1">IF($A15="","",SUMIFS('GECC 2026'!I$2:I$200,'GECC 2026'!F$2:F$200,$A15))</f>
        <v>4.8</v>
      </c>
      <c r="D15" s="100">
        <f ca="1">IF($A15="","",SUMIFS('GECC 2026'!$AE$3:$AE$32,'GECC 2026'!$AD$3:$AD$32,$A15))</f>
        <v>16</v>
      </c>
      <c r="E15" s="92">
        <f ca="1">IF($A15="","",SUMIFS('GECC 2026'!J$2:J$200,'GECC 2026'!F$2:F$200,$A15)+SUMIFS('GECC 2026'!$AE$3:$AE$32,'GECC 2026'!$AD$3:$AD$32,$A15))</f>
        <v>36.799999999999997</v>
      </c>
      <c r="F15" s="23">
        <f ca="1">IF($A15="","",COUNTIFS('GECC 2026'!F$2:F$200,$A15))</f>
        <v>1</v>
      </c>
    </row>
    <row r="16" spans="1:7">
      <c r="A16" t="str">
        <f ca="1"/>
        <v>Cinthia Thais de Carvalho Luz Thomazi</v>
      </c>
      <c r="B16" s="25">
        <f ca="1">IF($A16="","",SUMIFS('GECC 2026'!H$2:H$200,'GECC 2026'!F$2:F$200,$A16))</f>
        <v>39</v>
      </c>
      <c r="C16" s="25">
        <f ca="1">IF($A16="","",SUMIFS('GECC 2026'!I$2:I$200,'GECC 2026'!F$2:F$200,$A16))</f>
        <v>8.1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47.100000000000009</v>
      </c>
      <c r="F16" s="23">
        <f ca="1">IF($A16="","",COUNTIFS('GECC 2026'!F$2:F$200,$A16))</f>
        <v>9</v>
      </c>
    </row>
    <row r="17" spans="1:6">
      <c r="A17" t="str">
        <f ca="1"/>
        <v>Davi Assunção Salvador Nery de Castro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David da Silva de Araújo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Denise Duarte Guirra Kuhlmann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3.5999999999999996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15.600000000000001</v>
      </c>
      <c r="F19" s="23">
        <f ca="1">IF($A19="","",COUNTIFS('GECC 2026'!F$2:F$200,$A19))</f>
        <v>3</v>
      </c>
    </row>
    <row r="20" spans="1:6">
      <c r="A20" t="str">
        <f ca="1"/>
        <v>Diversos</v>
      </c>
      <c r="B20" s="25">
        <f ca="1">IF($A20="","",SUMIFS('GECC 2026'!H$2:H$200,'GECC 2026'!F$2:F$200,$A20))</f>
        <v>0</v>
      </c>
      <c r="C20" s="25">
        <f ca="1">IF($A20="","",SUMIFS('GECC 2026'!I$2:I$200,'GECC 2026'!F$2:F$200,$A20))</f>
        <v>0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0</v>
      </c>
      <c r="F20" s="23">
        <f ca="1">IF($A20="","",COUNTIFS('GECC 2026'!F$2:F$200,$A20))</f>
        <v>2</v>
      </c>
    </row>
    <row r="21" spans="1:6">
      <c r="A21" t="str">
        <f ca="1"/>
        <v>Douglas Vieira Silva Filho</v>
      </c>
      <c r="B21" s="25">
        <f ca="1">IF($A21="","",SUMIFS('GECC 2026'!H$2:H$200,'GECC 2026'!F$2:F$200,$A21))</f>
        <v>4</v>
      </c>
      <c r="C21" s="25">
        <f ca="1">IF($A21="","",SUMIFS('GECC 2026'!I$2:I$200,'GECC 2026'!F$2:F$200,$A21))</f>
        <v>1.2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5.2</v>
      </c>
      <c r="F21" s="23">
        <f ca="1">IF($A21="","",COUNTIFS('GECC 2026'!F$2:F$200,$A21))</f>
        <v>1</v>
      </c>
    </row>
    <row r="22" spans="1:6">
      <c r="A22" t="str">
        <f ca="1"/>
        <v>Elvis Aaron Teixeira dos Santos Lima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Eustáquio Rabelo de Souza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Felipe da Costa Malaquias</v>
      </c>
      <c r="B24" s="25">
        <f ca="1">IF($A24="","",SUMIFS('GECC 2026'!H$2:H$200,'GECC 2026'!F$2:F$200,$A24))</f>
        <v>16</v>
      </c>
      <c r="C24" s="25">
        <f ca="1">IF($A24="","",SUMIFS('GECC 2026'!I$2:I$200,'GECC 2026'!F$2:F$200,$A24))</f>
        <v>24.099999999999998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40.1</v>
      </c>
      <c r="F24" s="23">
        <f ca="1">IF($A24="","",COUNTIFS('GECC 2026'!F$2:F$200,$A24))</f>
        <v>3</v>
      </c>
    </row>
    <row r="25" spans="1:6">
      <c r="A25" t="str">
        <f ca="1"/>
        <v>Felipe Ramos Barbosa</v>
      </c>
      <c r="B25" s="25">
        <f ca="1">IF($A25="","",SUMIFS('GECC 2026'!H$2:H$200,'GECC 2026'!F$2:F$200,$A25))</f>
        <v>1</v>
      </c>
      <c r="C25" s="25">
        <f ca="1">IF($A25="","",SUMIFS('GECC 2026'!I$2:I$200,'GECC 2026'!F$2:F$200,$A25))</f>
        <v>0.3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1.3</v>
      </c>
      <c r="F25" s="23">
        <f ca="1">IF($A25="","",COUNTIFS('GECC 2026'!F$2:F$200,$A25))</f>
        <v>1</v>
      </c>
    </row>
    <row r="26" spans="1:6">
      <c r="A26" t="str">
        <f ca="1"/>
        <v>Fernanda Viana de Souza</v>
      </c>
      <c r="B26" s="25">
        <f ca="1">IF($A26="","",SUMIFS('GECC 2026'!H$2:H$200,'GECC 2026'!F$2:F$200,$A26))</f>
        <v>29</v>
      </c>
      <c r="C26" s="25">
        <f ca="1">IF($A26="","",SUMIFS('GECC 2026'!I$2:I$200,'GECC 2026'!F$2:F$200,$A26))</f>
        <v>8.7000000000000011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37.699999999999996</v>
      </c>
      <c r="F26" s="23">
        <f ca="1">IF($A26="","",COUNTIFS('GECC 2026'!F$2:F$200,$A26))</f>
        <v>8</v>
      </c>
    </row>
    <row r="27" spans="1:6">
      <c r="A27" t="str">
        <f ca="1"/>
        <v>Flávio José Fonseca de Souza</v>
      </c>
      <c r="B27" s="25">
        <f ca="1">IF($A27="","",SUMIFS('GECC 2026'!H$2:H$200,'GECC 2026'!F$2:F$200,$A27))</f>
        <v>8</v>
      </c>
      <c r="C27" s="25">
        <f ca="1">IF($A27="","",SUMIFS('GECC 2026'!I$2:I$200,'GECC 2026'!F$2:F$200,$A27))</f>
        <v>2.4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10.4</v>
      </c>
      <c r="F27" s="23">
        <f ca="1">IF($A27="","",COUNTIFS('GECC 2026'!F$2:F$200,$A27))</f>
        <v>1</v>
      </c>
    </row>
    <row r="28" spans="1:6">
      <c r="A28" t="str">
        <f ca="1"/>
        <v>Gabriel Heller</v>
      </c>
      <c r="B28" s="25">
        <f ca="1">IF($A28="","",SUMIFS('GECC 2026'!H$2:H$200,'GECC 2026'!F$2:F$200,$A28))</f>
        <v>4</v>
      </c>
      <c r="C28" s="25">
        <f ca="1">IF($A28="","",SUMIFS('GECC 2026'!I$2:I$200,'GECC 2026'!F$2:F$200,$A28))</f>
        <v>41.2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45.2</v>
      </c>
      <c r="F28" s="23">
        <f ca="1">IF($A28="","",COUNTIFS('GECC 2026'!F$2:F$200,$A28))</f>
        <v>3</v>
      </c>
    </row>
    <row r="29" spans="1:6">
      <c r="A29" t="str">
        <f ca="1"/>
        <v>Guilherme Bride Fernandes</v>
      </c>
      <c r="B29" s="25">
        <f ca="1">IF($A29="","",SUMIFS('GECC 2026'!H$2:H$200,'GECC 2026'!F$2:F$200,$A29))</f>
        <v>0</v>
      </c>
      <c r="C29" s="25">
        <f ca="1">IF($A29="","",SUMIFS('GECC 2026'!I$2:I$200,'GECC 2026'!F$2:F$200,$A29))</f>
        <v>0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0</v>
      </c>
      <c r="F29" s="23">
        <f ca="1">IF($A29="","",COUNTIFS('GECC 2026'!F$2:F$200,$A29))</f>
        <v>1</v>
      </c>
    </row>
    <row r="30" spans="1:6">
      <c r="A30" t="str">
        <f ca="1"/>
        <v>Gustavo Takahashi</v>
      </c>
      <c r="B30" s="25">
        <f ca="1">IF($A30="","",SUMIFS('GECC 2026'!H$2:H$200,'GECC 2026'!F$2:F$200,$A30))</f>
        <v>49</v>
      </c>
      <c r="C30" s="25">
        <f ca="1">IF($A30="","",SUMIFS('GECC 2026'!I$2:I$200,'GECC 2026'!F$2:F$200,$A30))</f>
        <v>4.8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53.8</v>
      </c>
      <c r="F30" s="23">
        <f ca="1">IF($A30="","",COUNTIFS('GECC 2026'!F$2:F$200,$A30))</f>
        <v>7</v>
      </c>
    </row>
    <row r="31" spans="1:6">
      <c r="A31" t="str">
        <f ca="1"/>
        <v>Hamilton de Jesus Lopes Neto</v>
      </c>
      <c r="B31" s="25">
        <f ca="1">IF($A31="","",SUMIFS('GECC 2026'!H$2:H$200,'GECC 2026'!F$2:F$200,$A31))</f>
        <v>12</v>
      </c>
      <c r="C31" s="25">
        <f ca="1">IF($A31="","",SUMIFS('GECC 2026'!I$2:I$200,'GECC 2026'!F$2:F$200,$A31))</f>
        <v>1.2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13.2</v>
      </c>
      <c r="F31" s="23">
        <f ca="1">IF($A31="","",COUNTIFS('GECC 2026'!F$2:F$200,$A31))</f>
        <v>1</v>
      </c>
    </row>
    <row r="32" spans="1:6">
      <c r="A32" t="str">
        <f ca="1"/>
        <v>Igor Queiroz</v>
      </c>
      <c r="B32" s="25">
        <f ca="1">IF($A32="","",SUMIFS('GECC 2026'!H$2:H$200,'GECC 2026'!F$2:F$200,$A32))</f>
        <v>1</v>
      </c>
      <c r="C32" s="25">
        <f ca="1">IF($A32="","",SUMIFS('GECC 2026'!I$2:I$200,'GECC 2026'!F$2:F$200,$A32))</f>
        <v>0.3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1.3</v>
      </c>
      <c r="F32" s="23">
        <f ca="1">IF($A32="","",COUNTIFS('GECC 2026'!F$2:F$200,$A32))</f>
        <v>1</v>
      </c>
    </row>
    <row r="33" spans="1:6">
      <c r="A33" t="str">
        <f ca="1"/>
        <v>Indio Artiaga do Brasil Rabelo</v>
      </c>
      <c r="B33" s="25">
        <f ca="1">IF($A33="","",SUMIFS('GECC 2026'!H$2:H$200,'GECC 2026'!F$2:F$200,$A33))</f>
        <v>28</v>
      </c>
      <c r="C33" s="25">
        <f ca="1">IF($A33="","",SUMIFS('GECC 2026'!I$2:I$200,'GECC 2026'!F$2:F$200,$A33))</f>
        <v>8.3999999999999986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36.4</v>
      </c>
      <c r="F33" s="23">
        <f ca="1">IF($A33="","",COUNTIFS('GECC 2026'!F$2:F$200,$A33))</f>
        <v>3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</v>
      </c>
      <c r="C34" s="25">
        <f ca="1">IF($A34="","",SUMIFS('GECC 2026'!I$2:I$200,'GECC 2026'!F$2:F$200,$A34))</f>
        <v>0.6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2.6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3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24</v>
      </c>
      <c r="C44" s="25">
        <f ca="1">IF($A44="","",SUMIFS('GECC 2026'!I$2:I$200,'GECC 2026'!F$2:F$200,$A44))</f>
        <v>5.0399999999999991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29.04</v>
      </c>
      <c r="F44" s="23">
        <f ca="1">IF($A44="","",COUNTIFS('GECC 2026'!F$2:F$200,$A44))</f>
        <v>3</v>
      </c>
    </row>
    <row r="45" spans="1:6">
      <c r="A45" t="str">
        <f ca="1"/>
        <v>Matheus Viana de Souza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0</v>
      </c>
      <c r="F45" s="23">
        <f ca="1">IF($A45="","",COUNTIFS('GECC 2026'!F$2:F$200,$A45))</f>
        <v>1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Reinaldo Alencar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>
      <c r="A51" t="str">
        <f ca="1"/>
        <v>Renan Dias da Silva</v>
      </c>
      <c r="B51" s="25">
        <f ca="1">IF($A51="","",SUMIFS('GECC 2026'!H$2:H$200,'GECC 2026'!F$2:F$200,$A51))</f>
        <v>4</v>
      </c>
      <c r="C51" s="25">
        <f ca="1">IF($A51="","",SUMIFS('GECC 2026'!I$2:I$200,'GECC 2026'!F$2:F$200,$A51))</f>
        <v>1.2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5.2</v>
      </c>
      <c r="F51" s="23">
        <f ca="1">IF($A51="","",COUNTIFS('GECC 2026'!F$2:F$200,$A51))</f>
        <v>1</v>
      </c>
    </row>
    <row r="52" spans="1:6">
      <c r="A52" t="str">
        <f ca="1"/>
        <v>Rogério Ribeiro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>
      <c r="A53" t="str">
        <f ca="1"/>
        <v>Rômulo Miranda Alvim</v>
      </c>
      <c r="B53" s="25">
        <f ca="1">IF($A53="","",SUMIFS('GECC 2026'!H$2:H$200,'GECC 2026'!F$2:F$200,$A53))</f>
        <v>24</v>
      </c>
      <c r="C53" s="25">
        <f ca="1">IF($A53="","",SUMIFS('GECC 2026'!I$2:I$200,'GECC 2026'!F$2:F$200,$A53))</f>
        <v>3.6</v>
      </c>
      <c r="D53" s="100">
        <f ca="1">IF($A53="","",SUMIFS('GECC 2026'!$AE$3:$AE$32,'GECC 2026'!$AD$3:$AD$32,$A53))</f>
        <v>16</v>
      </c>
      <c r="E53" s="92">
        <f ca="1">IF($A53="","",SUMIFS('GECC 2026'!J$2:J$200,'GECC 2026'!F$2:F$200,$A53)+SUMIFS('GECC 2026'!$AE$3:$AE$32,'GECC 2026'!$AD$3:$AD$32,$A53))</f>
        <v>43.6</v>
      </c>
      <c r="F53" s="23">
        <f ca="1">IF($A53="","",COUNTIFS('GECC 2026'!F$2:F$200,$A53))</f>
        <v>2</v>
      </c>
    </row>
    <row r="54" spans="1:6">
      <c r="A54" t="str">
        <f ca="1"/>
        <v>Sara Cristina Lins Ramos</v>
      </c>
      <c r="B54" s="25">
        <f ca="1">IF($A54="","",SUMIFS('GECC 2026'!H$2:H$200,'GECC 2026'!F$2:F$200,$A54))</f>
        <v>8</v>
      </c>
      <c r="C54" s="25">
        <f ca="1">IF($A54="","",SUMIFS('GECC 2026'!I$2:I$200,'GECC 2026'!F$2:F$200,$A54))</f>
        <v>2.4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10.4</v>
      </c>
      <c r="F54" s="23">
        <f ca="1">IF($A54="","",COUNTIFS('GECC 2026'!F$2:F$200,$A54))</f>
        <v>1</v>
      </c>
    </row>
    <row r="55" spans="1:6">
      <c r="A55" t="str">
        <f ca="1"/>
        <v>Servidores, colaboradores e estagiários do TCDF</v>
      </c>
      <c r="B55" s="25">
        <f ca="1">IF($A55="","",SUMIFS('GECC 2026'!H$2:H$200,'GECC 2026'!F$2:F$200,$A55))</f>
        <v>0</v>
      </c>
      <c r="C55" s="25">
        <f ca="1">IF($A55="","",SUMIFS('GECC 2026'!I$2:I$200,'GECC 2026'!F$2:F$200,$A55))</f>
        <v>0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0</v>
      </c>
      <c r="F55" s="23">
        <f ca="1">IF($A55="","",COUNTIFS('GECC 2026'!F$2:F$200,$A55))</f>
        <v>1</v>
      </c>
    </row>
    <row r="56" spans="1:6">
      <c r="A56" t="str">
        <f ca="1"/>
        <v>Silvia Lima Damasceno Carvalho</v>
      </c>
      <c r="B56" s="25">
        <f ca="1">IF($A56="","",SUMIFS('GECC 2026'!H$2:H$200,'GECC 2026'!F$2:F$200,$A56))</f>
        <v>21</v>
      </c>
      <c r="C56" s="25">
        <f ca="1">IF($A56="","",SUMIFS('GECC 2026'!I$2:I$200,'GECC 2026'!F$2:F$200,$A56))</f>
        <v>6.3000000000000007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27.299999999999997</v>
      </c>
      <c r="F56" s="23">
        <f ca="1">IF($A56="","",COUNTIFS('GECC 2026'!F$2:F$200,$A56))</f>
        <v>6</v>
      </c>
    </row>
    <row r="57" spans="1:6">
      <c r="A57" t="str">
        <f ca="1"/>
        <v>Tarsila Firmino Ely</v>
      </c>
      <c r="B57" s="25">
        <f ca="1">IF($A57="","",SUMIFS('GECC 2026'!H$2:H$200,'GECC 2026'!F$2:F$200,$A57))</f>
        <v>88</v>
      </c>
      <c r="C57" s="25">
        <f ca="1">IF($A57="","",SUMIFS('GECC 2026'!I$2:I$200,'GECC 2026'!F$2:F$200,$A57))</f>
        <v>83.6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171.6</v>
      </c>
      <c r="F57" s="23">
        <f ca="1">IF($A57="","",COUNTIFS('GECC 2026'!F$2:F$200,$A57))</f>
        <v>7</v>
      </c>
    </row>
    <row r="58" spans="1:6">
      <c r="A58" t="str">
        <f ca="1"/>
        <v>Thiago Magalhães de Oliveira</v>
      </c>
      <c r="B58" s="25">
        <f ca="1">IF($A58="","",SUMIFS('GECC 2026'!H$2:H$200,'GECC 2026'!F$2:F$200,$A58))</f>
        <v>4</v>
      </c>
      <c r="C58" s="25">
        <f ca="1">IF($A58="","",SUMIFS('GECC 2026'!I$2:I$200,'GECC 2026'!F$2:F$200,$A58))</f>
        <v>1.2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5.2</v>
      </c>
      <c r="F58" s="23">
        <f ca="1">IF($A58="","",COUNTIFS('GECC 2026'!F$2:F$200,$A58))</f>
        <v>1</v>
      </c>
    </row>
    <row r="59" spans="1:6">
      <c r="A59" t="str">
        <f ca="1"/>
        <v>Túllio Herbeth Teixeira Moraes</v>
      </c>
      <c r="B59" s="25">
        <f ca="1">IF($A59="","",SUMIFS('GECC 2026'!H$2:H$200,'GECC 2026'!F$2:F$200,$A59))</f>
        <v>9</v>
      </c>
      <c r="C59" s="25">
        <f ca="1">IF($A59="","",SUMIFS('GECC 2026'!I$2:I$200,'GECC 2026'!F$2:F$200,$A59))</f>
        <v>2.6999999999999997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11.7</v>
      </c>
      <c r="F59" s="23">
        <f ca="1">IF($A59="","",COUNTIFS('GECC 2026'!F$2:F$200,$A59))</f>
        <v>3</v>
      </c>
    </row>
    <row r="60" spans="1:6">
      <c r="A60" t="str">
        <f ca="1"/>
        <v>Valéria Feitoza</v>
      </c>
      <c r="B60" s="25">
        <f ca="1">IF($A60="","",SUMIFS('GECC 2026'!H$2:H$200,'GECC 2026'!F$2:F$200,$A60))</f>
        <v>2</v>
      </c>
      <c r="C60" s="25">
        <f ca="1">IF($A60="","",SUMIFS('GECC 2026'!I$2:I$200,'GECC 2026'!F$2:F$200,$A60))</f>
        <v>0.6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2.6</v>
      </c>
      <c r="F60" s="23">
        <f ca="1">IF($A60="","",COUNTIFS('GECC 2026'!F$2:F$200,$A60))</f>
        <v>3</v>
      </c>
    </row>
    <row r="61" spans="1:6">
      <c r="A61" t="str">
        <f ca="1"/>
        <v>Wibys Pereira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1</v>
      </c>
    </row>
    <row r="62" spans="1:6">
      <c r="A62" t="str">
        <f ca="1"/>
        <v>Yasmin Carla Marchioro Silverio</v>
      </c>
      <c r="B62" s="25">
        <f ca="1">IF($A62="","",SUMIFS('GECC 2026'!H$2:H$200,'GECC 2026'!F$2:F$200,$A62))</f>
        <v>8</v>
      </c>
      <c r="C62" s="25">
        <f ca="1">IF($A62="","",SUMIFS('GECC 2026'!I$2:I$200,'GECC 2026'!F$2:F$200,$A62))</f>
        <v>2.4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10.4</v>
      </c>
      <c r="F62" s="23">
        <f ca="1">IF($A62="","",COUNTIFS('GECC 2026'!F$2:F$200,$A62))</f>
        <v>2</v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3161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2026-09-17T18:16:08Z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