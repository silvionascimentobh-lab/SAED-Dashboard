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27" documentId="13_ncr:1_{6A2CC3E2-FAFB-4D8F-B284-5E8FB5045DFE}" xr6:coauthVersionLast="47" xr6:coauthVersionMax="47" xr10:uidLastSave="{7EDC791B-732F-41B3-A635-C429711DEAFF}"/>
  <bookViews>
    <workbookView minimized="1" xWindow="-15" yWindow="3690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l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<sst xmlns="http://schemas.openxmlformats.org/spreadsheetml/2006/main" count="7315" uniqueCount="3218">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</sst>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21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1" activePane="bottomLeft" state="frozen"/>
      <selection pane="bottomLeft" activeCell="E738" sqref="E73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x14ac:dyDescent="0.25">
      <c r="A739" s="191" t="s">
        <v>3007</v>
      </c>
      <c r="B739" s="183">
        <v>2026</v>
      </c>
      <c r="C739" s="183" t="s">
        <v>22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Realizado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Realizado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56</v>
      </c>
      <c r="E5" s="44" t="s">
        <v>3114</v>
      </c>
      <c r="G5" s="46">
        <f>COUNTIFS('Ações InCompany'!B:B,2026,'Ações InCompany'!C:C,"A realizar")</f>
        <v>25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21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3123</v>
      </c>
      <c r="B14" s="34">
        <f>SUM(B11:B13)</f>
        <v>53</v>
      </c>
      <c r="D14" s="33" t="s">
        <v>3124</v>
      </c>
      <c r="E14" s="34">
        <f>SUM(E11:E13)</f>
        <v>2894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56</v>
      </c>
      <c r="C45" s="41">
        <f>SUM(C33:C44)</f>
        <v>25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2026-09-03T19:59:26Z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