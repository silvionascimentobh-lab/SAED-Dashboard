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43" documentId="8_{454372C2-A99E-4E47-A759-72B38925853E}" xr6:coauthVersionLast="47" xr6:coauthVersionMax="47" xr10:uidLastSave="{6FC2F653-BC54-4EEE-9414-2C90D7EC9AE9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<sst xmlns="http://schemas.openxmlformats.org/spreadsheetml/2006/main" count="7168" uniqueCount="3167">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</sst>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hidden="1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hidden="1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hidden="1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hidden="1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hidden="1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hidden="1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hidden="1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hidden="1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hidden="1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hidden="1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hidden="1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hidden="1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hidden="1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hidden="1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hidden="1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hidden="1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hidden="1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hidden="1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hidden="1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hidden="1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hidden="1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hidden="1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hidden="1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hidden="1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hidden="1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hidden="1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hidden="1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hidden="1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hidden="1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hidden="1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hidden="1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hidden="1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hidden="1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hidden="1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hidden="1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hidden="1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hidden="1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hidden="1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hidden="1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hidden="1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hidden="1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hidden="1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hidden="1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hidden="1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hidden="1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hidden="1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hidden="1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hidden="1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hidden="1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hidden="1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hidden="1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hidden="1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hidden="1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hidden="1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hidden="1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hidden="1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hidden="1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hidden="1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hidden="1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hidden="1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hidden="1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hidden="1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hidden="1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hidden="1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hidden="1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hidden="1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hidden="1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hidden="1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hidden="1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hidden="1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hidden="1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hidden="1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hidden="1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hidden="1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hidden="1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hidden="1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hidden="1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hidden="1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hidden="1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hidden="1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hidden="1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hidden="1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hidden="1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hidden="1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hidden="1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hidden="1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hidden="1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hidden="1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hidden="1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hidden="1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hidden="1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hidden="1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hidden="1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hidden="1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hidden="1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hidden="1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hidden="1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hidden="1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hidden="1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hidden="1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hidden="1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hidden="1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hidden="1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hidden="1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hidden="1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hidden="1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hidden="1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hidden="1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hidden="1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hidden="1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hidden="1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hidden="1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hidden="1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hidden="1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hidden="1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hidden="1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hidden="1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hidden="1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hidden="1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hidden="1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hidden="1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hidden="1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hidden="1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hidden="1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hidden="1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hidden="1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hidden="1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hidden="1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hidden="1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hidden="1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hidden="1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hidden="1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hidden="1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hidden="1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hidden="1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hidden="1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hidden="1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hidden="1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hidden="1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hidden="1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hidden="1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hidden="1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hidden="1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hidden="1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hidden="1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hidden="1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hidden="1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hidden="1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hidden="1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hidden="1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hidden="1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hidden="1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hidden="1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hidden="1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hidden="1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hidden="1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hidden="1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hidden="1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hidden="1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hidden="1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hidden="1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hidden="1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hidden="1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hidden="1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hidden="1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hidden="1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hidden="1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hidden="1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hidden="1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hidden="1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hidden="1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hidden="1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hidden="1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hidden="1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hidden="1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hidden="1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hidden="1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hidden="1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hidden="1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hidden="1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hidden="1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hidden="1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hidden="1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hidden="1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hidden="1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hidden="1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hidden="1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hidden="1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hidden="1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hidden="1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hidden="1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hidden="1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hidden="1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hidden="1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hidden="1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hidden="1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hidden="1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hidden="1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hidden="1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hidden="1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hidden="1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hidden="1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hidden="1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hidden="1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hidden="1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hidden="1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hidden="1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hidden="1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hidden="1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hidden="1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hidden="1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hidden="1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hidden="1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hidden="1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hidden="1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hidden="1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hidden="1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hidden="1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hidden="1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hidden="1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hidden="1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hidden="1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hidden="1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hidden="1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hidden="1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hidden="1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hidden="1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hidden="1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hidden="1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hidden="1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hidden="1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hidden="1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hidden="1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hidden="1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hidden="1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hidden="1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hidden="1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hidden="1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hidden="1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hidden="1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hidden="1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hidden="1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hidden="1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hidden="1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hidden="1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hidden="1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hidden="1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hidden="1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hidden="1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hidden="1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hidden="1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hidden="1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hidden="1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hidden="1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hidden="1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hidden="1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hidden="1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hidden="1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hidden="1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hidden="1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hidden="1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hidden="1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hidden="1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hidden="1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hidden="1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hidden="1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hidden="1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hidden="1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hidden="1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hidden="1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hidden="1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hidden="1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hidden="1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hidden="1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hidden="1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hidden="1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hidden="1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hidden="1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hidden="1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hidden="1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hidden="1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hidden="1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hidden="1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hidden="1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hidden="1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hidden="1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hidden="1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hidden="1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hidden="1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hidden="1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hidden="1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hidden="1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hidden="1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hidden="1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hidden="1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hidden="1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hidden="1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hidden="1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hidden="1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hidden="1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hidden="1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hidden="1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hidden="1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hidden="1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hidden="1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hidden="1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hidden="1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hidden="1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hidden="1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hidden="1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hidden="1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hidden="1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hidden="1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hidden="1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hidden="1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hidden="1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hidden="1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hidden="1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hidden="1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hidden="1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hidden="1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hidden="1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hidden="1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hidden="1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hidden="1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hidden="1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hidden="1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hidden="1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hidden="1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hidden="1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hidden="1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hidden="1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hidden="1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hidden="1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hidden="1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hidden="1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hidden="1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hidden="1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hidden="1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hidden="1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hidden="1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hidden="1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hidden="1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hidden="1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hidden="1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hidden="1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hidden="1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hidden="1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hidden="1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hidden="1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hidden="1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hidden="1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hidden="1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hidden="1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hidden="1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hidden="1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hidden="1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hidden="1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hidden="1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hidden="1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hidden="1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hidden="1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hidden="1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hidden="1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hidden="1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hidden="1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hidden="1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hidden="1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hidden="1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hidden="1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hidden="1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hidden="1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hidden="1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hidden="1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hidden="1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hidden="1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hidden="1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hidden="1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hidden="1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hidden="1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hidden="1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hidden="1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hidden="1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hidden="1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hidden="1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hidden="1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hidden="1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hidden="1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hidden="1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hidden="1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hidden="1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hidden="1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hidden="1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hidden="1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hidden="1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hidden="1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hidden="1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hidden="1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hidden="1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hidden="1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hidden="1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hidden="1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hidden="1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hidden="1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hidden="1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hidden="1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hidden="1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hidden="1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hidden="1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hidden="1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hidden="1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hidden="1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hidden="1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hidden="1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hidden="1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hidden="1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hidden="1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hidden="1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hidden="1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hidden="1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hidden="1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hidden="1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hidden="1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hidden="1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hidden="1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hidden="1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hidden="1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hidden="1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hidden="1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hidden="1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hidden="1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hidden="1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hidden="1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hidden="1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hidden="1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hidden="1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hidden="1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hidden="1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hidden="1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hidden="1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hidden="1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hidden="1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hidden="1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hidden="1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hidden="1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hidden="1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hidden="1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hidden="1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hidden="1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hidden="1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hidden="1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hidden="1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hidden="1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hidden="1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hidden="1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hidden="1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hidden="1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hidden="1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hidden="1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hidden="1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hidden="1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hidden="1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hidden="1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hidden="1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hidden="1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hidden="1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hidden="1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hidden="1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hidden="1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hidden="1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hidden="1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hidden="1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hidden="1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hidden="1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hidden="1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hidden="1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hidden="1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hidden="1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hidden="1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hidden="1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hidden="1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hidden="1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hidden="1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hidden="1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hidden="1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hidden="1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hidden="1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hidden="1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hidden="1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hidden="1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hidden="1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hidden="1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hidden="1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hidden="1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hidden="1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hidden="1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hidden="1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hidden="1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hidden="1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hidden="1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hidden="1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hidden="1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hidden="1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hidden="1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hidden="1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hidden="1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hidden="1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hidden="1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hidden="1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hidden="1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hidden="1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hidden="1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hidden="1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hidden="1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hidden="1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hidden="1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hidden="1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hidden="1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hidden="1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hidden="1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hidden="1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hidden="1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hidden="1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hidden="1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hidden="1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hidden="1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hidden="1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hidden="1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hidden="1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hidden="1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hidden="1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hidden="1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hidden="1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hidden="1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hidden="1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hidden="1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hidden="1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hidden="1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hidden="1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hidden="1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hidden="1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hidden="1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hidden="1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hidden="1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hidden="1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hidden="1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hidden="1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hidden="1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hidden="1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hidden="1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hidden="1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hidden="1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hidden="1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hidden="1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hidden="1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hidden="1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hidden="1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hidden="1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hidden="1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hidden="1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hidden="1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hidden="1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hidden="1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hidden="1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hidden="1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hidden="1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hidden="1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hidden="1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hidden="1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hidden="1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hidden="1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hidden="1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hidden="1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hidden="1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hidden="1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hidden="1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hidden="1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hidden="1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hidden="1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hidden="1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hidden="1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hidden="1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hidden="1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hidden="1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hidden="1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hidden="1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hidden="1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hidden="1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hidden="1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hidden="1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hidden="1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hidden="1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hidden="1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hidden="1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hidden="1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hidden="1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hidden="1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hidden="1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hidden="1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hidden="1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hidden="1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hidden="1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hidden="1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hidden="1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hidden="1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hidden="1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hidden="1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hidden="1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hidden="1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hidden="1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hidden="1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hidden="1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hidden="1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hidden="1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hidden="1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hidden="1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hidden="1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hidden="1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hidden="1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hidden="1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hidden="1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hidden="1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hidden="1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hidden="1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hidden="1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hidden="1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hidden="1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hidden="1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hidden="1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hidden="1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hidden="1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hidden="1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hidden="1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hidden="1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hidden="1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hidden="1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hidden="1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hidden="1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hidden="1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hidden="1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hidden="1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hidden="1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hidden="1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hidden="1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hidden="1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hidden="1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hidden="1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hidden="1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hidden="1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hidden="1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hidden="1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hidden="1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hidden="1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hidden="1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hidden="1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hidden="1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hidden="1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hidden="1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hidden="1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hidden="1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hidden="1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hidden="1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hidden="1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hidden="1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hidden="1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hidden="1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hidden="1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hidden="1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hidden="1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hidden="1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hidden="1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hidden="1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hidden="1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hidden="1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hidden="1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hidden="1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hidden="1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hidden="1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hidden="1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hidden="1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hidden="1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hidden="1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hidden="1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hidden="1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hidden="1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hidden="1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hidden="1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hidden="1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hidden="1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hidden="1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hidden="1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hidden="1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hidden="1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hidden="1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hidden="1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hidden="1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hidden="1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hidden="1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hidden="1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hidden="1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hidden="1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hidden="1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hidden="1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hidden="1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hidden="1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hidden="1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hidden="1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hidden="1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hidden="1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hidden="1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hidden="1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hidden="1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hidden="1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hidden="1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hidden="1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hidden="1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hidden="1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hidden="1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hidden="1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hidden="1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hidden="1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hidden="1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hidden="1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hidden="1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hidden="1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hidden="1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hidden="1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hidden="1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hidden="1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hidden="1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hidden="1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hidden="1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hidden="1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hidden="1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hidden="1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hidden="1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hidden="1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hidden="1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hidden="1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hidden="1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hidden="1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hidden="1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hidden="1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hidden="1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hidden="1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hidden="1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hidden="1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hidden="1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hidden="1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hidden="1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hidden="1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hidden="1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hidden="1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hidden="1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hidden="1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hidden="1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hidden="1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hidden="1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hidden="1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hidden="1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hidden="1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hidden="1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hidden="1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hidden="1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hidden="1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hidden="1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hidden="1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hidden="1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hidden="1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hidden="1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hidden="1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hidden="1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hidden="1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hidden="1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hidden="1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hidden="1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hidden="1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hidden="1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hidden="1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hidden="1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hidden="1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hidden="1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hidden="1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hidden="1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hidden="1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hidden="1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hidden="1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hidden="1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hidden="1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hidden="1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hidden="1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hidden="1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hidden="1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hidden="1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hidden="1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hidden="1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hidden="1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hidden="1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hidden="1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hidden="1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hidden="1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hidden="1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hidden="1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hidden="1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hidden="1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hidden="1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hidden="1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hidden="1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hidden="1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hidden="1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hidden="1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hidden="1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hidden="1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hidden="1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hidden="1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hidden="1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hidden="1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hidden="1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hidden="1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hidden="1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hidden="1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hidden="1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hidden="1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hidden="1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hidden="1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hidden="1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hidden="1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hidden="1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hidden="1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hidden="1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hidden="1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hidden="1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hidden="1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hidden="1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hidden="1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hidden="1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hidden="1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hidden="1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hidden="1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hidden="1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hidden="1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hidden="1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hidden="1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hidden="1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hidden="1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hidden="1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hidden="1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hidden="1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hidden="1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hidden="1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hidden="1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hidden="1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hidden="1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hidden="1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hidden="1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hidden="1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hidden="1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hidden="1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hidden="1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hidden="1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hidden="1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hidden="1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hidden="1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hidden="1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hidden="1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hidden="1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hidden="1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hidden="1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hidden="1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hidden="1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hidden="1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hidden="1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hidden="1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hidden="1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hidden="1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hidden="1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hidden="1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hidden="1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hidden="1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hidden="1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hidden="1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hidden="1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hidden="1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hidden="1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hidden="1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hidden="1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hidden="1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hidden="1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hidden="1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hidden="1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hidden="1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hidden="1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hidden="1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hidden="1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hidden="1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hidden="1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hidden="1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hidden="1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hidden="1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hidden="1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hidden="1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hidden="1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hidden="1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hidden="1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hidden="1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hidden="1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hidden="1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hidden="1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hidden="1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hidden="1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hidden="1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hidden="1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hidden="1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hidden="1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hidden="1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hidden="1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hidden="1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hidden="1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hidden="1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hidden="1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hidden="1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hidden="1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hidden="1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hidden="1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hidden="1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hidden="1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hidden="1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hidden="1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hidden="1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hidden="1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hidden="1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hidden="1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hidden="1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hidden="1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hidden="1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hidden="1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hidden="1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hidden="1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hidden="1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hidden="1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hidden="1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hidden="1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hidden="1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hidden="1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hidden="1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hidden="1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hidden="1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hidden="1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hidden="1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hidden="1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hidden="1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hidden="1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hidden="1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hidden="1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hidden="1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hidden="1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hidden="1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hidden="1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hidden="1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hidden="1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hidden="1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hidden="1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hidden="1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hidden="1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hidden="1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hidden="1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hidden="1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hidden="1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hidden="1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hidden="1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hidden="1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hidden="1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hidden="1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hidden="1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hidden="1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hidden="1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hidden="1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hidden="1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hidden="1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hidden="1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hidden="1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hidden="1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hidden="1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hidden="1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hidden="1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hidden="1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hidden="1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hidden="1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hidden="1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hidden="1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hidden="1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hidden="1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hidden="1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hidden="1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hidden="1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hidden="1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hidden="1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hidden="1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hidden="1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hidden="1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hidden="1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hidden="1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hidden="1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hidden="1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hidden="1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hidden="1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hidden="1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hidden="1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hidden="1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hidden="1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hidden="1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hidden="1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hidden="1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hidden="1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hidden="1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hidden="1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hidden="1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hidden="1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hidden="1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hidden="1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hidden="1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hidden="1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hidden="1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hidden="1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hidden="1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hidden="1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hidden="1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hidden="1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hidden="1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hidden="1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hidden="1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hidden="1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hidden="1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hidden="1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hidden="1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hidden="1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hidden="1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hidden="1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hidden="1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hidden="1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hidden="1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hidden="1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hidden="1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hidden="1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hidden="1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hidden="1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hidden="1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hidden="1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hidden="1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hidden="1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hidden="1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hidden="1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hidden="1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hidden="1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hidden="1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hidden="1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hidden="1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hidden="1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hidden="1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hidden="1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hidden="1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hidden="1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hidden="1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hidden="1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hidden="1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hidden="1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hidden="1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hidden="1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hidden="1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hidden="1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hidden="1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hidden="1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hidden="1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hidden="1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hidden="1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hidden="1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hidden="1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hidden="1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hidden="1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hidden="1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hidden="1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hidden="1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hidden="1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hidden="1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hidden="1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hidden="1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hidden="1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hidden="1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hidden="1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hidden="1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hidden="1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hidden="1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hidden="1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hidden="1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hidden="1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hidden="1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hidden="1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hidden="1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hidden="1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hidden="1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hidden="1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hidden="1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hidden="1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hidden="1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hidden="1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hidden="1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hidden="1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hidden="1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hidden="1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hidden="1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hidden="1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hidden="1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hidden="1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hidden="1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hidden="1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hidden="1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hidden="1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hidden="1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hidden="1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hidden="1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hidden="1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hidden="1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hidden="1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hidden="1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hidden="1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hidden="1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hidden="1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hidden="1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hidden="1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hidden="1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hidden="1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hidden="1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hidden="1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hidden="1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hidden="1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hidden="1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hidden="1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hidden="1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hidden="1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hidden="1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hidden="1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hidden="1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hidden="1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hidden="1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hidden="1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hidden="1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hidden="1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hidden="1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hidden="1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hidden="1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hidden="1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hidden="1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hidden="1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hidden="1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hidden="1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hidden="1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hidden="1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hidden="1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hidden="1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hidden="1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hidden="1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hidden="1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hidden="1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hidden="1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hidden="1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hidden="1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hidden="1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hidden="1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hidden="1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hidden="1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hidden="1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hidden="1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hidden="1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hidden="1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hidden="1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hidden="1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hidden="1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hidden="1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hidden="1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hidden="1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hidden="1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hidden="1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hidden="1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hidden="1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hidden="1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hidden="1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hidden="1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hidden="1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hidden="1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hidden="1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hidden="1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hidden="1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hidden="1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hidden="1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hidden="1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hidden="1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hidden="1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hidden="1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hidden="1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hidden="1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hidden="1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hidden="1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hidden="1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hidden="1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hidden="1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hidden="1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hidden="1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hidden="1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hidden="1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hidden="1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hidden="1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hidden="1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hidden="1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hidden="1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hidden="1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hidden="1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hidden="1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hidden="1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hidden="1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hidden="1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hidden="1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hidden="1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hidden="1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hidden="1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hidden="1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hidden="1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hidden="1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hidden="1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hidden="1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hidden="1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hidden="1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hidden="1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hidden="1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hidden="1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hidden="1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hidden="1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hidden="1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hidden="1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hidden="1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hidden="1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hidden="1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hidden="1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hidden="1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hidden="1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hidden="1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hidden="1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hidden="1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hidden="1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hidden="1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hidden="1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hidden="1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hidden="1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hidden="1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hidden="1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hidden="1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hidden="1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hidden="1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hidden="1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hidden="1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hidden="1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hidden="1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hidden="1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hidden="1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hidden="1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hidden="1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hidden="1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hidden="1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hidden="1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hidden="1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hidden="1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hidden="1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hidden="1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hidden="1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hidden="1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hidden="1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hidden="1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hidden="1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hidden="1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hidden="1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hidden="1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hidden="1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hidden="1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hidden="1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hidden="1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hidden="1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hidden="1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hidden="1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hidden="1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hidden="1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hidden="1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hidden="1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hidden="1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hidden="1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hidden="1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hidden="1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hidden="1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hidden="1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hidden="1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hidden="1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hidden="1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hidden="1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hidden="1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hidden="1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hidden="1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hidden="1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hidden="1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hidden="1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hidden="1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hidden="1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hidden="1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hidden="1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hidden="1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hidden="1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hidden="1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hidden="1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hidden="1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hidden="1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hidden="1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hidden="1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hidden="1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hidden="1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hidden="1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hidden="1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hidden="1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hidden="1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hidden="1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hidden="1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hidden="1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hidden="1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hidden="1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hidden="1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hidden="1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hidden="1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hidden="1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hidden="1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hidden="1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hidden="1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hidden="1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hidden="1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hidden="1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hidden="1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hidden="1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hidden="1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hidden="1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hidden="1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hidden="1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hidden="1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hidden="1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hidden="1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hidden="1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hidden="1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hidden="1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hidden="1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hidden="1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hidden="1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hidden="1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hidden="1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hidden="1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hidden="1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hidden="1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hidden="1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hidden="1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hidden="1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hidden="1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hidden="1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hidden="1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hidden="1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hidden="1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hidden="1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hidden="1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hidden="1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hidden="1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hidden="1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hidden="1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hidden="1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hidden="1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hidden="1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hidden="1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hidden="1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hidden="1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hidden="1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hidden="1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hidden="1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hidden="1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hidden="1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hidden="1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hidden="1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hidden="1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hidden="1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hidden="1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hidden="1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hidden="1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hidden="1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hidden="1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hidden="1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hidden="1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hidden="1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hidden="1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hidden="1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hidden="1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hidden="1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hidden="1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hidden="1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hidden="1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hidden="1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hidden="1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hidden="1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hidden="1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hidden="1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hidden="1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hidden="1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hidden="1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hidden="1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hidden="1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hidden="1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hidden="1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hidden="1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hidden="1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hidden="1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hidden="1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hidden="1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hidden="1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hidden="1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hidden="1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hidden="1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hidden="1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hidden="1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hidden="1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hidden="1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hidden="1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hidden="1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hidden="1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hidden="1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hidden="1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hidden="1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hidden="1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hidden="1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hidden="1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hidden="1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hidden="1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hidden="1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hidden="1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hidden="1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hidden="1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hidden="1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hidden="1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hidden="1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hidden="1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hidden="1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hidden="1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hidden="1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hidden="1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hidden="1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hidden="1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hidden="1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hidden="1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hidden="1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hidden="1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hidden="1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hidden="1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hidden="1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hidden="1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hidden="1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hidden="1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hidden="1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hidden="1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hidden="1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hidden="1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hidden="1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hidden="1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hidden="1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hidden="1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hidden="1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hidden="1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hidden="1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hidden="1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hidden="1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hidden="1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hidden="1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hidden="1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hidden="1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hidden="1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hidden="1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hidden="1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hidden="1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hidden="1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hidden="1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hidden="1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hidden="1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hidden="1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hidden="1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hidden="1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hidden="1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hidden="1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hidden="1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hidden="1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hidden="1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hidden="1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hidden="1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hidden="1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hidden="1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hidden="1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hidden="1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hidden="1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hidden="1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hidden="1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hidden="1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hidden="1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hidden="1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hidden="1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hidden="1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hidden="1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hidden="1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hidden="1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hidden="1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hidden="1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hidden="1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hidden="1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hidden="1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hidden="1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hidden="1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hidden="1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hidden="1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hidden="1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hidden="1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hidden="1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hidden="1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hidden="1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hidden="1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hidden="1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hidden="1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hidden="1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hidden="1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hidden="1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hidden="1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hidden="1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hidden="1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hidden="1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hidden="1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hidden="1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hidden="1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hidden="1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hidden="1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hidden="1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hidden="1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hidden="1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hidden="1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hidden="1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hidden="1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hidden="1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hidden="1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hidden="1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hidden="1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hidden="1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hidden="1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hidden="1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hidden="1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hidden="1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hidden="1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hidden="1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hidden="1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hidden="1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hidden="1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hidden="1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hidden="1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hidden="1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hidden="1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hidden="1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hidden="1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hidden="1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hidden="1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hidden="1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hidden="1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hidden="1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hidden="1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hidden="1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hidden="1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hidden="1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hidden="1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hidden="1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hidden="1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hidden="1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hidden="1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hidden="1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hidden="1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hidden="1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hidden="1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hidden="1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hidden="1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hidden="1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hidden="1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hidden="1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hidden="1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hidden="1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hidden="1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hidden="1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hidden="1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hidden="1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hidden="1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hidden="1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hidden="1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hidden="1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hidden="1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hidden="1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hidden="1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hidden="1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hidden="1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hidden="1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hidden="1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hidden="1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hidden="1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hidden="1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hidden="1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hidden="1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hidden="1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hidden="1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hidden="1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hidden="1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hidden="1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hidden="1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hidden="1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hidden="1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hidden="1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hidden="1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hidden="1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hidden="1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hidden="1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hidden="1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hidden="1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hidden="1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hidden="1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hidden="1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hidden="1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hidden="1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hidden="1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hidden="1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hidden="1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hidden="1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hidden="1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hidden="1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hidden="1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hidden="1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hidden="1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hidden="1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hidden="1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hidden="1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hidden="1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hidden="1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hidden="1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hidden="1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hidden="1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hidden="1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hidden="1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hidden="1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hidden="1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hidden="1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hidden="1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hidden="1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hidden="1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hidden="1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hidden="1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hidden="1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hidden="1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hidden="1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hidden="1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hidden="1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hidden="1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hidden="1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hidden="1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hidden="1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hidden="1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hidden="1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hidden="1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hidden="1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hidden="1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hidden="1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hidden="1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hidden="1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hidden="1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hidden="1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hidden="1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hidden="1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hidden="1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hidden="1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hidden="1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hidden="1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hidden="1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hidden="1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hidden="1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hidden="1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hidden="1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hidden="1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hidden="1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hidden="1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hidden="1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hidden="1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hidden="1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hidden="1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hidden="1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hidden="1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hidden="1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hidden="1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hidden="1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hidden="1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hidden="1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hidden="1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hidden="1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hidden="1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hidden="1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hidden="1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hidden="1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hidden="1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hidden="1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hidden="1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hidden="1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hidden="1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hidden="1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hidden="1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hidden="1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hidden="1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hidden="1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hidden="1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hidden="1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hidden="1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hidden="1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hidden="1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hidden="1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hidden="1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hidden="1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hidden="1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hidden="1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hidden="1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hidden="1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hidden="1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hidden="1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hidden="1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hidden="1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hidden="1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hidden="1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hidden="1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hidden="1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hidden="1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hidden="1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hidden="1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hidden="1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hidden="1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hidden="1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hidden="1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hidden="1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hidden="1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hidden="1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hidden="1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hidden="1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hidden="1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hidden="1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hidden="1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hidden="1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hidden="1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hidden="1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hidden="1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hidden="1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hidden="1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hidden="1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hidden="1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hidden="1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hidden="1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hidden="1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hidden="1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hidden="1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hidden="1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hidden="1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hidden="1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hidden="1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hidden="1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hidden="1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hidden="1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hidden="1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hidden="1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hidden="1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hidden="1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hidden="1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hidden="1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hidden="1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hidden="1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hidden="1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hidden="1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hidden="1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hidden="1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hidden="1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hidden="1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hidden="1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hidden="1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hidden="1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hidden="1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hidden="1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hidden="1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hidden="1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hidden="1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hidden="1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hidden="1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hidden="1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hidden="1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hidden="1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hidden="1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hidden="1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hidden="1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hidden="1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hidden="1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hidden="1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hidden="1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hidden="1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hidden="1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hidden="1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hidden="1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hidden="1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hidden="1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hidden="1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hidden="1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hidden="1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hidden="1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hidden="1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hidden="1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hidden="1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hidden="1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hidden="1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hidden="1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hidden="1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hidden="1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hidden="1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hidden="1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hidden="1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hidden="1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hidden="1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hidden="1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hidden="1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hidden="1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hidden="1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hidden="1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hidden="1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hidden="1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hidden="1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hidden="1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hidden="1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hidden="1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hidden="1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hidden="1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hidden="1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hidden="1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hidden="1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hidden="1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hidden="1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hidden="1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hidden="1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hidden="1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hidden="1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hidden="1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hidden="1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hidden="1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hidden="1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hidden="1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hidden="1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hidden="1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hidden="1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hidden="1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hidden="1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hidden="1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hidden="1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hidden="1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hidden="1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hidden="1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hidden="1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hidden="1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hidden="1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hidden="1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hidden="1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hidden="1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hidden="1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hidden="1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hidden="1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hidden="1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hidden="1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hidden="1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hidden="1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hidden="1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hidden="1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hidden="1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hidden="1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hidden="1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hidden="1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hidden="1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hidden="1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hidden="1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hidden="1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hidden="1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hidden="1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hidden="1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hidden="1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hidden="1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hidden="1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hidden="1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hidden="1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hidden="1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hidden="1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hidden="1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hidden="1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hidden="1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hidden="1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hidden="1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hidden="1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hidden="1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hidden="1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hidden="1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hidden="1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hidden="1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hidden="1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hidden="1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hidden="1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hidden="1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hidden="1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hidden="1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hidden="1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hidden="1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72" activePane="bottomLeft" state="frozen"/>
      <selection pane="bottomLeft" activeCell="AA80" sqref="AA8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2992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3048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3049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3050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0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1.2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3051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3052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3053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3054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3055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3056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3057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3058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2992</v>
      </c>
      <c r="AA71">
        <v>0</v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2997</v>
      </c>
      <c r="Z73">
        <v>0</v>
      </c>
      <c r="AA73">
        <v>0</v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3011</v>
      </c>
      <c r="AA77">
        <v>1.2</v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3015</v>
      </c>
      <c r="AA79">
        <v>1.2</v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3012</v>
      </c>
      <c r="AA80">
        <v>1.2</v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3059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3060</v>
      </c>
      <c r="B4" s="127"/>
      <c r="D4" s="128" t="s">
        <v>3061</v>
      </c>
      <c r="E4" s="129"/>
      <c r="G4" s="45" t="s">
        <v>3062</v>
      </c>
    </row>
    <row r="5" spans="1:7" ht="54.95" customHeight="1" thickBot="1">
      <c r="A5" s="35">
        <f>COUNTIF('Ações InCompany'!B:B,2026)</f>
        <v>73</v>
      </c>
      <c r="B5" s="36" t="s">
        <v>3063</v>
      </c>
      <c r="D5" s="43">
        <f>COUNTIFS('Ações InCompany'!B:B,2026,'Ações InCompany'!C:C,"Realizado")</f>
        <v>37</v>
      </c>
      <c r="E5" s="44" t="s">
        <v>3063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3064</v>
      </c>
      <c r="B8" s="124"/>
      <c r="D8" s="124" t="s">
        <v>3065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3066</v>
      </c>
      <c r="D10" s="28" t="s">
        <v>3067</v>
      </c>
      <c r="E10" s="28" t="s">
        <v>3068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3069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3070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3071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3072</v>
      </c>
      <c r="B14" s="34">
        <f>SUM(B11:B13)</f>
        <v>37</v>
      </c>
      <c r="D14" s="33" t="s">
        <v>3073</v>
      </c>
      <c r="E14" s="34">
        <f>SUM(E11:E13)</f>
        <v>1824</v>
      </c>
    </row>
    <row r="30" spans="1:5" ht="17.25">
      <c r="A30" s="124" t="s">
        <v>3074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3075</v>
      </c>
      <c r="C32" s="28" t="s">
        <v>3076</v>
      </c>
      <c r="D32" s="28" t="s">
        <v>3077</v>
      </c>
      <c r="E32" s="28" t="s">
        <v>3078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3080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3072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3086</v>
      </c>
      <c r="B2" s="12" t="s">
        <v>3087</v>
      </c>
      <c r="C2" s="12" t="s">
        <v>1736</v>
      </c>
      <c r="D2" s="12" t="s">
        <v>3088</v>
      </c>
      <c r="E2" s="12" t="s">
        <v>3089</v>
      </c>
    </row>
    <row r="3" spans="1:5" ht="18" customHeight="1">
      <c r="A3" s="12" t="s">
        <v>3086</v>
      </c>
      <c r="B3" s="12" t="s">
        <v>3087</v>
      </c>
      <c r="C3" s="14" t="s">
        <v>25</v>
      </c>
      <c r="D3" s="12" t="s">
        <v>3090</v>
      </c>
      <c r="E3" s="12" t="s">
        <v>3091</v>
      </c>
    </row>
    <row r="4" spans="1:5" ht="18" customHeight="1">
      <c r="A4" s="12" t="s">
        <v>3086</v>
      </c>
      <c r="B4" s="12" t="s">
        <v>3087</v>
      </c>
      <c r="C4" s="12" t="s">
        <v>75</v>
      </c>
      <c r="D4" s="12" t="s">
        <v>3088</v>
      </c>
      <c r="E4" s="12" t="s">
        <v>3092</v>
      </c>
    </row>
    <row r="5" spans="1:5" ht="18" customHeight="1">
      <c r="A5" s="12" t="s">
        <v>3086</v>
      </c>
      <c r="B5" s="12" t="s">
        <v>3087</v>
      </c>
      <c r="C5" s="12" t="s">
        <v>79</v>
      </c>
      <c r="D5" s="12" t="s">
        <v>3093</v>
      </c>
      <c r="E5" s="12" t="s">
        <v>3094</v>
      </c>
    </row>
    <row r="6" spans="1:5" ht="18" customHeight="1">
      <c r="A6" s="12" t="s">
        <v>3086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3086</v>
      </c>
      <c r="B7" s="12" t="s">
        <v>3097</v>
      </c>
      <c r="C7" s="12" t="s">
        <v>36</v>
      </c>
      <c r="D7" s="12" t="s">
        <v>3098</v>
      </c>
      <c r="E7" s="12" t="s">
        <v>3099</v>
      </c>
    </row>
    <row r="8" spans="1:5" ht="18" customHeight="1">
      <c r="A8" s="12" t="s">
        <v>3086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3086</v>
      </c>
      <c r="B9" s="12" t="s">
        <v>3102</v>
      </c>
      <c r="C9" s="12" t="s">
        <v>464</v>
      </c>
      <c r="D9" s="12" t="s">
        <v>3103</v>
      </c>
      <c r="E9" s="12" t="s">
        <v>3104</v>
      </c>
    </row>
    <row r="10" spans="1:5" ht="18" customHeight="1">
      <c r="A10" s="12" t="s">
        <v>3086</v>
      </c>
      <c r="B10" s="12" t="s">
        <v>3102</v>
      </c>
      <c r="C10" s="12" t="s">
        <v>206</v>
      </c>
      <c r="D10" s="12" t="s">
        <v>24</v>
      </c>
      <c r="E10" s="12" t="s">
        <v>3105</v>
      </c>
    </row>
    <row r="11" spans="1:5" ht="18" customHeight="1">
      <c r="A11" s="12" t="s">
        <v>3086</v>
      </c>
      <c r="B11" s="12" t="s">
        <v>3102</v>
      </c>
      <c r="C11" s="12" t="s">
        <v>371</v>
      </c>
      <c r="D11" s="12" t="s">
        <v>24</v>
      </c>
      <c r="E11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3107</v>
      </c>
      <c r="B1" s="5" t="s">
        <v>10</v>
      </c>
      <c r="C1" s="15" t="s">
        <v>3108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3109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3110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3112</v>
      </c>
      <c r="B2" s="12" t="s">
        <v>3087</v>
      </c>
      <c r="C2" s="14" t="s">
        <v>25</v>
      </c>
      <c r="D2" s="12" t="s">
        <v>3088</v>
      </c>
      <c r="E2" s="17" t="s">
        <v>3113</v>
      </c>
    </row>
    <row r="3" spans="1:5" ht="18" customHeight="1">
      <c r="A3" s="12" t="s">
        <v>3112</v>
      </c>
      <c r="B3" s="12" t="s">
        <v>3087</v>
      </c>
      <c r="C3" s="12" t="s">
        <v>75</v>
      </c>
      <c r="D3" s="12" t="s">
        <v>3090</v>
      </c>
      <c r="E3" s="12" t="s">
        <v>3114</v>
      </c>
    </row>
    <row r="4" spans="1:5" ht="18" customHeight="1">
      <c r="A4" s="12" t="s">
        <v>3112</v>
      </c>
      <c r="B4" s="12" t="s">
        <v>3087</v>
      </c>
      <c r="C4" s="12" t="s">
        <v>79</v>
      </c>
      <c r="D4" s="12" t="s">
        <v>3093</v>
      </c>
      <c r="E4" s="12" t="s">
        <v>3115</v>
      </c>
    </row>
    <row r="5" spans="1:5" ht="27.75" customHeight="1">
      <c r="A5" s="12" t="s">
        <v>3112</v>
      </c>
      <c r="B5" s="12" t="s">
        <v>3087</v>
      </c>
      <c r="C5" s="12" t="s">
        <v>2702</v>
      </c>
      <c r="D5" s="17" t="s">
        <v>3116</v>
      </c>
      <c r="E5" s="12" t="s">
        <v>3117</v>
      </c>
    </row>
    <row r="6" spans="1:5" ht="18" customHeight="1">
      <c r="A6" s="12" t="s">
        <v>3112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3112</v>
      </c>
      <c r="B7" s="12" t="s">
        <v>3097</v>
      </c>
      <c r="C7" s="12" t="s">
        <v>2728</v>
      </c>
      <c r="D7" s="12" t="s">
        <v>3118</v>
      </c>
      <c r="E7" s="12" t="s">
        <v>3119</v>
      </c>
    </row>
    <row r="8" spans="1:5" ht="18" customHeight="1">
      <c r="A8" s="12" t="s">
        <v>3112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3112</v>
      </c>
      <c r="B9" s="12" t="s">
        <v>3097</v>
      </c>
      <c r="C9" s="12" t="s">
        <v>2708</v>
      </c>
      <c r="D9" s="12" t="s">
        <v>3120</v>
      </c>
      <c r="E9" s="17" t="s">
        <v>3121</v>
      </c>
    </row>
    <row r="10" spans="1:5" ht="18" customHeight="1">
      <c r="A10" s="12" t="s">
        <v>3112</v>
      </c>
      <c r="B10" s="12" t="s">
        <v>3122</v>
      </c>
      <c r="C10" s="12" t="s">
        <v>3079</v>
      </c>
      <c r="D10" s="12" t="s">
        <v>3123</v>
      </c>
      <c r="E10" s="17" t="s">
        <v>3124</v>
      </c>
    </row>
    <row r="11" spans="1:5" ht="18" customHeight="1">
      <c r="A11" s="12" t="s">
        <v>3112</v>
      </c>
      <c r="B11" s="12" t="s">
        <v>3122</v>
      </c>
      <c r="C11" s="12" t="s">
        <v>206</v>
      </c>
      <c r="D11" s="12" t="s">
        <v>24</v>
      </c>
      <c r="E11" s="12" t="s">
        <v>3105</v>
      </c>
    </row>
    <row r="12" spans="1:5" ht="18" customHeight="1">
      <c r="A12" s="12" t="s">
        <v>3112</v>
      </c>
      <c r="B12" s="12" t="s">
        <v>3122</v>
      </c>
      <c r="C12" s="12" t="s">
        <v>371</v>
      </c>
      <c r="D12" s="12" t="s">
        <v>24</v>
      </c>
      <c r="E12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3125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3126</v>
      </c>
    </row>
    <row r="4" spans="1:8" ht="21.95" customHeight="1">
      <c r="A4" s="131" t="s">
        <v>3127</v>
      </c>
      <c r="B4" s="132"/>
      <c r="D4" s="131" t="s">
        <v>3128</v>
      </c>
      <c r="E4" s="132"/>
      <c r="G4" s="131" t="s">
        <v>3129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3130</v>
      </c>
      <c r="B7" s="62" t="s">
        <v>3131</v>
      </c>
      <c r="C7" s="62" t="s">
        <v>1</v>
      </c>
      <c r="D7" s="62" t="s">
        <v>3132</v>
      </c>
      <c r="E7" s="62" t="s">
        <v>3133</v>
      </c>
      <c r="F7" s="62" t="s">
        <v>3022</v>
      </c>
      <c r="G7" s="62" t="s">
        <v>5</v>
      </c>
      <c r="H7" s="62" t="s">
        <v>3134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3135</v>
      </c>
      <c r="B1" s="241"/>
      <c r="C1" s="241"/>
      <c r="D1" s="241"/>
      <c r="E1" s="241"/>
      <c r="F1" s="241"/>
    </row>
    <row r="2" spans="1:7">
      <c r="A2" s="242" t="s">
        <v>3136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3137</v>
      </c>
      <c r="E4" s="25" t="s">
        <v>3027</v>
      </c>
      <c r="F4" s="25" t="s">
        <v>3138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0</v>
      </c>
      <c r="C17" s="26">
        <f>IF($A17="","",SUMIFS('GECC 2026'!I$2:I$200,'GECC 2026'!F$2:F$200,$A17))</f>
        <v>0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0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16</v>
      </c>
      <c r="C30" s="26">
        <f>IF($A30="","",SUMIFS('GECC 2026'!I$2:I$200,'GECC 2026'!F$2:F$200,$A30))</f>
        <v>4.8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20.8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1.2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5.2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0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0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1.2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5.2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5.7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26.7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3073</v>
      </c>
      <c r="B105" s="95">
        <f>SUM(B5:B100)</f>
        <v>764</v>
      </c>
      <c r="C105" s="95">
        <f>SUM(C5:C100)</f>
        <v>391.39999999999986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3139</v>
      </c>
      <c r="B1" s="137" t="s">
        <v>3140</v>
      </c>
      <c r="C1" s="137" t="s">
        <v>3141</v>
      </c>
      <c r="D1" s="137" t="s">
        <v>3142</v>
      </c>
      <c r="E1" s="137" t="s">
        <v>3143</v>
      </c>
      <c r="F1" s="137" t="s">
        <v>3144</v>
      </c>
      <c r="G1" s="137" t="s">
        <v>10</v>
      </c>
      <c r="H1" s="137" t="s">
        <v>3145</v>
      </c>
      <c r="I1" s="137" t="s">
        <v>3146</v>
      </c>
      <c r="J1" s="137" t="s">
        <v>3147</v>
      </c>
      <c r="K1" s="137" t="s">
        <v>3148</v>
      </c>
      <c r="L1" s="137" t="s">
        <v>3149</v>
      </c>
      <c r="N1" s="138" t="s">
        <v>3150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3151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3152</v>
      </c>
      <c r="Q2" s="137" t="s">
        <v>3153</v>
      </c>
      <c r="R2" s="137" t="s">
        <v>3154</v>
      </c>
      <c r="S2" s="137" t="s">
        <v>3155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3151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3151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3151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3151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3151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3151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3151</v>
      </c>
      <c r="L10" t="str">
        <f>IF(K10="","",IFERROR(INDEX(Tabela2[Curso],MATCH(K10,Tabela2[ID],0)),""))</f>
        <v/>
      </c>
      <c r="N10" s="136" t="s">
        <v>3156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3151</v>
      </c>
      <c r="L11" t="str">
        <f>IF(K11="","",IFERROR(INDEX(Tabela2[Curso],MATCH(K11,Tabela2[ID],0)),""))</f>
        <v/>
      </c>
      <c r="N11" s="139" t="s">
        <v>3157</v>
      </c>
      <c r="O11" s="139" t="s">
        <v>3158</v>
      </c>
      <c r="P11" s="139" t="s">
        <v>3159</v>
      </c>
      <c r="Q11" s="139" t="s">
        <v>3142</v>
      </c>
      <c r="R11" s="139" t="s">
        <v>3143</v>
      </c>
      <c r="S11" s="139" t="s">
        <v>3160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3151</v>
      </c>
      <c r="L12" t="str">
        <f>IF(K12="","",IFERROR(INDEX(Tabela2[Curso],MATCH(K12,Tabela2[ID],0)),""))</f>
        <v/>
      </c>
      <c r="N12" t="s">
        <v>3161</v>
      </c>
      <c r="O12" t="s">
        <v>2778</v>
      </c>
      <c r="P12" t="s">
        <v>3162</v>
      </c>
      <c r="Q12">
        <v>0</v>
      </c>
      <c r="R12">
        <v>0</v>
      </c>
      <c r="S12" t="s">
        <v>3163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3151</v>
      </c>
      <c r="L13" t="str">
        <f>IF(K13="","",IFERROR(INDEX(Tabela2[Curso],MATCH(K13,Tabela2[ID],0)),""))</f>
        <v/>
      </c>
      <c r="N13" t="s">
        <v>3164</v>
      </c>
      <c r="O13" t="s">
        <v>2869</v>
      </c>
      <c r="P13" t="s">
        <v>3165</v>
      </c>
      <c r="Q13">
        <v>0</v>
      </c>
      <c r="R13">
        <v>0</v>
      </c>
      <c r="S13" t="s">
        <v>3166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3151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3151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3151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3151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2026-07-30T18:17:40Z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