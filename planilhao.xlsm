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532" documentId="13_ncr:1_{6A2CC3E2-FAFB-4D8F-B284-5E8FB5045DFE}" xr6:coauthVersionLast="47" xr6:coauthVersionMax="47" xr10:uidLastSave="{929E1128-F4D6-4968-88C0-4C94DF263EA4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9" i="28" l="1" a="1"/>
  <c r="E109" i="28" s="1"/>
  <c r="E108" i="28" a="1"/>
  <c r="A735" i="3"/>
  <c r="A73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A8" i="27"/>
  <c r="L4" i="20"/>
  <c r="R4" i="20" s="1" a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l="1"/>
  <c r="T4" i="20" s="1" a="1"/>
  <c r="T4" i="20" l="1"/>
  <c r="A2" i="20" s="1" a="1"/>
  <c r="A5" i="23" l="1" a="1"/>
  <c r="E105" i="23"/>
  <c r="A2" i="20"/>
  <c r="E61" i="23" l="1"/>
  <c r="F61" i="23"/>
  <c r="B61" i="23"/>
  <c r="C61" i="23"/>
  <c r="D61" i="23"/>
  <c r="D60" i="23"/>
  <c r="B45" i="23"/>
  <c r="D32" i="23"/>
  <c r="C40" i="23"/>
  <c r="B20" i="23"/>
  <c r="B22" i="23"/>
  <c r="D10" i="23"/>
  <c r="D36" i="23"/>
  <c r="F46" i="23"/>
  <c r="B17" i="23"/>
  <c r="F7" i="23"/>
  <c r="C22" i="23"/>
  <c r="E24" i="23"/>
  <c r="F22" i="23"/>
  <c r="B37" i="23"/>
  <c r="B49" i="23"/>
  <c r="E53" i="23"/>
  <c r="C45" i="23"/>
  <c r="F59" i="23"/>
  <c r="B47" i="23"/>
  <c r="E31" i="23"/>
  <c r="C25" i="23"/>
  <c r="B46" i="23"/>
  <c r="D40" i="23"/>
  <c r="C52" i="23"/>
  <c r="B57" i="23"/>
  <c r="F27" i="23"/>
  <c r="B52" i="23"/>
  <c r="C57" i="23"/>
  <c r="E52" i="23"/>
  <c r="F8" i="23"/>
  <c r="B6" i="23"/>
  <c r="C36" i="23"/>
  <c r="F58" i="23"/>
  <c r="D41" i="23"/>
  <c r="F12" i="23"/>
  <c r="F17" i="23"/>
  <c r="E57" i="23"/>
  <c r="C44" i="23"/>
  <c r="E17" i="23"/>
  <c r="C21" i="23"/>
  <c r="E9" i="23"/>
  <c r="C43" i="23"/>
  <c r="E36" i="23"/>
  <c r="E40" i="23"/>
  <c r="F26" i="23"/>
  <c r="E25" i="23"/>
  <c r="D23" i="23"/>
  <c r="C58" i="23"/>
  <c r="F37" i="23"/>
  <c r="D43" i="23"/>
  <c r="F15" i="23"/>
  <c r="B51" i="23"/>
  <c r="D9" i="23"/>
  <c r="E51" i="23"/>
  <c r="F11" i="23"/>
  <c r="C23" i="23"/>
  <c r="E35" i="23"/>
  <c r="E49" i="23"/>
  <c r="E45" i="23"/>
  <c r="D34" i="23"/>
  <c r="D57" i="23"/>
  <c r="B54" i="23"/>
  <c r="C19" i="23"/>
  <c r="B9" i="23"/>
  <c r="B60" i="23"/>
  <c r="D33" i="23"/>
  <c r="D19" i="23"/>
  <c r="C54" i="23"/>
  <c r="E22" i="23"/>
  <c r="F36" i="23"/>
  <c r="B19" i="23"/>
  <c r="C20" i="23"/>
  <c r="B30" i="23"/>
  <c r="D39" i="23"/>
  <c r="E28" i="23"/>
  <c r="B8" i="23"/>
  <c r="B56" i="23"/>
  <c r="F39" i="23"/>
  <c r="D17" i="23"/>
  <c r="B24" i="23"/>
  <c r="C11" i="23"/>
  <c r="C33" i="23"/>
  <c r="B31" i="23"/>
  <c r="C37" i="23"/>
  <c r="E46" i="23"/>
  <c r="E26" i="23"/>
  <c r="C16" i="23"/>
  <c r="F28" i="23"/>
  <c r="D25" i="23"/>
  <c r="E29" i="23"/>
  <c r="B10" i="23"/>
  <c r="E60" i="23"/>
  <c r="E55" i="23"/>
  <c r="C51" i="23"/>
  <c r="D11" i="23"/>
  <c r="B58" i="23"/>
  <c r="B21" i="23"/>
  <c r="D16" i="23"/>
  <c r="C29" i="23"/>
  <c r="B44" i="23"/>
  <c r="D44" i="23"/>
  <c r="D27" i="23"/>
  <c r="E10" i="23"/>
  <c r="D15" i="23"/>
  <c r="C17" i="23"/>
  <c r="B13" i="23"/>
  <c r="F51" i="23"/>
  <c r="E34" i="23"/>
  <c r="B39" i="23"/>
  <c r="F14" i="23"/>
  <c r="F13" i="23"/>
  <c r="F16" i="23"/>
  <c r="D12" i="23"/>
  <c r="D22" i="23"/>
  <c r="F21" i="23"/>
  <c r="C50" i="23"/>
  <c r="E33" i="23"/>
  <c r="F10" i="23"/>
  <c r="D20" i="23"/>
  <c r="B35" i="23"/>
  <c r="C13" i="23"/>
  <c r="E38" i="23"/>
  <c r="D29" i="23"/>
  <c r="B43" i="23"/>
  <c r="F52" i="23"/>
  <c r="D59" i="23"/>
  <c r="F55" i="23"/>
  <c r="F19" i="23"/>
  <c r="C28" i="23"/>
  <c r="D49" i="23"/>
  <c r="D31" i="23"/>
  <c r="C32" i="23"/>
  <c r="F35" i="23"/>
  <c r="F29" i="23"/>
  <c r="C56" i="23"/>
  <c r="B50" i="23"/>
  <c r="F25" i="23"/>
  <c r="F44" i="23"/>
  <c r="D45" i="23"/>
  <c r="B15" i="23"/>
  <c r="B34" i="23"/>
  <c r="F38" i="23"/>
  <c r="E58" i="23"/>
  <c r="B41" i="23"/>
  <c r="C6" i="23"/>
  <c r="C31" i="23"/>
  <c r="B59" i="23"/>
  <c r="E59" i="23"/>
  <c r="C10" i="23"/>
  <c r="C41" i="23"/>
  <c r="B48" i="23"/>
  <c r="D14" i="23"/>
  <c r="D35" i="23"/>
  <c r="E23" i="23"/>
  <c r="C8" i="23"/>
  <c r="F30" i="23"/>
  <c r="C59" i="23"/>
  <c r="F40" i="23"/>
  <c r="E16" i="23"/>
  <c r="F49" i="23"/>
  <c r="C48" i="23"/>
  <c r="E44" i="23"/>
  <c r="C35" i="23"/>
  <c r="E13" i="23"/>
  <c r="B23" i="23"/>
  <c r="F41" i="23"/>
  <c r="C42" i="23"/>
  <c r="E6" i="23"/>
  <c r="F50" i="23"/>
  <c r="F24" i="23"/>
  <c r="E50" i="23"/>
  <c r="B28" i="23"/>
  <c r="E21" i="23"/>
  <c r="C47" i="23"/>
  <c r="C12" i="23"/>
  <c r="E12" i="23"/>
  <c r="D7" i="23"/>
  <c r="E41" i="23"/>
  <c r="D28" i="23"/>
  <c r="E37" i="23"/>
  <c r="D48" i="23"/>
  <c r="F60" i="23"/>
  <c r="D30" i="23"/>
  <c r="B29" i="23"/>
  <c r="F54" i="23"/>
  <c r="C14" i="23"/>
  <c r="E8" i="23"/>
  <c r="E48" i="23"/>
  <c r="E27" i="23"/>
  <c r="D26" i="23"/>
  <c r="E43" i="23"/>
  <c r="E47" i="23"/>
  <c r="E20" i="23"/>
  <c r="F48" i="23"/>
  <c r="D42" i="23"/>
  <c r="B33" i="23"/>
  <c r="F20" i="23"/>
  <c r="D6" i="23"/>
  <c r="C18" i="23"/>
  <c r="F6" i="23"/>
  <c r="E39" i="23"/>
  <c r="D54" i="23"/>
  <c r="D58" i="23"/>
  <c r="E54" i="23"/>
  <c r="F23" i="23"/>
  <c r="E15" i="23"/>
  <c r="C38" i="23"/>
  <c r="D52" i="23"/>
  <c r="C26" i="23"/>
  <c r="F42" i="23"/>
  <c r="D8" i="23"/>
  <c r="D38" i="23"/>
  <c r="B11" i="23"/>
  <c r="D56" i="23"/>
  <c r="B18" i="23"/>
  <c r="F53" i="23"/>
  <c r="E42" i="23"/>
  <c r="D37" i="23"/>
  <c r="C60" i="23"/>
  <c r="D13" i="23"/>
  <c r="D55" i="23"/>
  <c r="B25" i="23"/>
  <c r="B16" i="23"/>
  <c r="C27" i="23"/>
  <c r="E11" i="23"/>
  <c r="B14" i="23"/>
  <c r="F43" i="23"/>
  <c r="C7" i="23"/>
  <c r="E14" i="23"/>
  <c r="E7" i="23"/>
  <c r="D24" i="23"/>
  <c r="B7" i="23"/>
  <c r="E30" i="23"/>
  <c r="C24" i="23"/>
  <c r="B40" i="23"/>
  <c r="C53" i="23"/>
  <c r="F9" i="23"/>
  <c r="B27" i="23"/>
  <c r="F57" i="23"/>
  <c r="D46" i="23"/>
  <c r="D47" i="23"/>
  <c r="E32" i="23"/>
  <c r="F45" i="23"/>
  <c r="B12" i="23"/>
  <c r="C30" i="23"/>
  <c r="C15" i="23"/>
  <c r="E19" i="23"/>
  <c r="B36" i="23"/>
  <c r="F33" i="23"/>
  <c r="F18" i="23"/>
  <c r="C46" i="23"/>
  <c r="B26" i="23"/>
  <c r="E18" i="23"/>
  <c r="C55" i="23"/>
  <c r="B32" i="23"/>
  <c r="E56" i="23"/>
  <c r="D50" i="23"/>
  <c r="F56" i="23"/>
  <c r="C49" i="23"/>
  <c r="F32" i="23"/>
  <c r="B55" i="23"/>
  <c r="C9" i="23"/>
  <c r="D18" i="23"/>
  <c r="F47" i="23"/>
  <c r="D53" i="23"/>
  <c r="C39" i="23"/>
  <c r="B38" i="23"/>
  <c r="C34" i="23"/>
  <c r="D51" i="23"/>
  <c r="F34" i="23"/>
  <c r="D21" i="23"/>
  <c r="B42" i="23"/>
  <c r="B53" i="23"/>
  <c r="F31" i="23"/>
  <c r="A5" i="23"/>
  <c r="F5" i="23" l="1"/>
  <c r="F105" i="23" s="1"/>
  <c r="E5" i="23"/>
  <c r="B5" i="23"/>
  <c r="B105" i="23" s="1"/>
  <c r="G5" i="23"/>
  <c r="C5" i="23"/>
  <c r="C105" i="23" s="1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<sst xmlns="http://schemas.openxmlformats.org/spreadsheetml/2006/main" count="7367" uniqueCount="3237">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</sst>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  <xf numFmtId="0" fontId="15" fillId="18" borderId="0" xfId="0" applyFont="1" applyFill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25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1551</c:v>
                </c:pt>
                <c:pt idx="2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4</c:v>
                </c:pt>
                <c:pt idx="5">
                  <c:v>10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5" totalsRowDxfId="46"/>
    <tableColumn id="2" xr3:uid="{19532738-24D5-4BD5-BE04-C19DCC5894A1}" name="Ano" dataDxfId="43" totalsRowDxfId="44"/>
    <tableColumn id="3" xr3:uid="{8DE0B36A-F0DC-47A1-A74E-F4BE63A4FB1D}" name="Status Evento" dataDxfId="41" totalsRowDxfId="42"/>
    <tableColumn id="4" xr3:uid="{C1159FBD-CCD0-4CA2-BB8C-598E3AB5DDD8}" name="Processo" dataDxfId="39" totalsRowDxfId="40"/>
    <tableColumn id="5" xr3:uid="{A32670A4-BE4F-480D-8DE9-8FF18024C829}" name="Curso" dataDxfId="37" totalsRowDxfId="38"/>
    <tableColumn id="8" xr3:uid="{905DEA0A-D099-47EA-972D-1012D71C7792}" name="Público-Alvo" dataDxfId="35" totalsRowDxfId="36"/>
    <tableColumn id="9" xr3:uid="{7DC0A0BE-8030-47CA-AF56-2C13C9FF7AE5}" name="Programa" dataDxfId="33" totalsRowDxfId="34"/>
    <tableColumn id="11" xr3:uid="{2B799ACD-69E4-46A5-9A4F-F7E3D7A47CE9}" name="Data TXT" dataDxfId="31" totalsRowDxfId="32"/>
    <tableColumn id="12" xr3:uid="{62016C67-3729-4C41-B72D-09D6616B7474}" name="Início" dataDxfId="29" totalsRowDxfId="30"/>
    <tableColumn id="13" xr3:uid="{E4F20518-0042-40C0-B590-B7616F2843A5}" name="Término" dataDxfId="27" totalsRowDxfId="28"/>
    <tableColumn id="14" xr3:uid="{4D6C4412-CFEE-4506-830E-F79FD008371B}" name="Modalidade" dataDxfId="25" totalsRowDxfId="26"/>
    <tableColumn id="15" xr3:uid="{12EC931A-E71B-4AEB-B20B-0F9EA63D0C71}" name="Valor instrutoria" dataDxfId="23" totalsRowDxfId="24" dataCellStyle="Moeda"/>
    <tableColumn id="17" xr3:uid="{8FCDFADA-4FA3-41E0-86FF-E623116BAFEB}" name="Nota Av. Reação" dataDxfId="21" totalsRowDxfId="22"/>
    <tableColumn id="19" xr3:uid="{316EB379-BB97-4F60-9566-576B25A26B0E}" name="Qtd Vagas" dataDxfId="19" totalsRowDxfId="20"/>
    <tableColumn id="20" xr3:uid="{59A9FB16-6726-411C-88B5-8165DD520DA3}" name="P. Servidores" dataDxfId="17" totalsRowDxfId="18"/>
    <tableColumn id="21" xr3:uid="{0246E091-ADCD-4F62-8F95-84B21E8A7BE1}" name="P. Jurisdicionados" dataDxfId="15" totalsRowDxfId="16"/>
    <tableColumn id="22" xr3:uid="{1B6DBD6D-C072-4600-81C1-69D6F4422D7D}" name="P. Sociedade" dataDxfId="13" totalsRowDxfId="14"/>
    <tableColumn id="23" xr3:uid="{109F7E4E-776C-4249-88BE-FEC3A375D7D9}" name="Total Part." dataDxfId="11" totalsRowDxfId="12"/>
    <tableColumn id="24" xr3:uid="{C67AA4C6-834C-4EBB-839B-EF0CDD50F649}" name="C.H." dataDxfId="9" totalsRowDxfId="10"/>
    <tableColumn id="26" xr3:uid="{973608F6-3E97-493C-AC61-980F73C13CD6}" name="Instrutor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722" activePane="bottomLeft" state="frozen"/>
      <selection pane="bottomLeft" activeCell="H746" sqref="H746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99" t="s">
        <v>20</v>
      </c>
    </row>
    <row r="2" spans="1:23" ht="15">
      <c r="A2" s="200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201">
        <v>2026</v>
      </c>
    </row>
    <row r="3" spans="1:23" ht="1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202" t="str" cm="1">
        <f t="array" aca="1" ref="W3" ca="1">TEXT(W2,"0")&amp;"-"&amp;TEXT(MAX(IFERROR((LEFT(Tabela2[ID],4)=TEXT(W2,"0"))*VALUE(RIGHT(Tabela2[ID],3)),0))+1,"000")</f>
        <v>2026-091</v>
      </c>
    </row>
    <row r="4" spans="1:23" ht="1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57" si="7">SUM(O394:Q394)</f>
        <v>31</v>
      </c>
      <c r="S394" s="118">
        <v>16</v>
      </c>
      <c r="T394" s="126" t="s">
        <v>425</v>
      </c>
    </row>
    <row r="395" spans="1:20" ht="1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si="7"/>
        <v>44</v>
      </c>
      <c r="S406" s="118">
        <v>5</v>
      </c>
      <c r="T406" s="132" t="s">
        <v>1701</v>
      </c>
    </row>
    <row r="407" spans="1:20" ht="1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7"/>
        <v>26</v>
      </c>
      <c r="S407" s="118">
        <v>20</v>
      </c>
      <c r="T407" s="121" t="s">
        <v>81</v>
      </c>
    </row>
    <row r="408" spans="1:20" ht="1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7"/>
        <v>23</v>
      </c>
      <c r="S408" s="118">
        <v>16</v>
      </c>
      <c r="T408" s="121" t="s">
        <v>1710</v>
      </c>
    </row>
    <row r="409" spans="1:20" ht="1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7"/>
        <v>20</v>
      </c>
      <c r="S409" s="118">
        <v>2</v>
      </c>
      <c r="T409" s="121" t="s">
        <v>1715</v>
      </c>
    </row>
    <row r="410" spans="1:20" ht="1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7"/>
        <v>0</v>
      </c>
      <c r="S410" s="118"/>
      <c r="T410" s="121"/>
    </row>
    <row r="411" spans="1:20" ht="1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7"/>
        <v>16</v>
      </c>
      <c r="S411" s="118">
        <v>16</v>
      </c>
      <c r="T411" s="121" t="s">
        <v>1723</v>
      </c>
    </row>
    <row r="412" spans="1:20" ht="1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7"/>
        <v>44</v>
      </c>
      <c r="S412" s="118">
        <v>20</v>
      </c>
      <c r="T412" s="121" t="s">
        <v>425</v>
      </c>
    </row>
    <row r="413" spans="1:20" ht="1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7"/>
        <v>105</v>
      </c>
      <c r="S413" s="118">
        <v>4</v>
      </c>
      <c r="T413" s="121" t="s">
        <v>1732</v>
      </c>
    </row>
    <row r="414" spans="1:20" ht="1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7"/>
        <v>50</v>
      </c>
      <c r="S414" s="118">
        <v>4</v>
      </c>
      <c r="T414" s="121" t="s">
        <v>1738</v>
      </c>
    </row>
    <row r="415" spans="1:20" ht="1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7"/>
        <v>25</v>
      </c>
      <c r="S415" s="118">
        <v>20</v>
      </c>
      <c r="T415" s="121" t="s">
        <v>1223</v>
      </c>
    </row>
    <row r="416" spans="1:20" ht="1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7"/>
        <v>9</v>
      </c>
      <c r="S416" s="118">
        <v>20</v>
      </c>
      <c r="T416" s="121" t="s">
        <v>1723</v>
      </c>
    </row>
    <row r="417" spans="1:20" ht="1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7"/>
        <v>25</v>
      </c>
      <c r="S417" s="118">
        <v>16</v>
      </c>
      <c r="T417" s="121" t="s">
        <v>1750</v>
      </c>
    </row>
    <row r="418" spans="1:20" ht="1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7"/>
        <v>13</v>
      </c>
      <c r="S418" s="118">
        <v>19</v>
      </c>
      <c r="T418" s="121" t="s">
        <v>1755</v>
      </c>
    </row>
    <row r="419" spans="1:20" ht="1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7"/>
        <v>49</v>
      </c>
      <c r="S419" s="118">
        <v>16</v>
      </c>
      <c r="T419" s="121" t="s">
        <v>1759</v>
      </c>
    </row>
    <row r="420" spans="1:20" ht="1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7"/>
        <v>128</v>
      </c>
      <c r="S420" s="118">
        <v>4</v>
      </c>
      <c r="T420" s="121" t="s">
        <v>1764</v>
      </c>
    </row>
    <row r="421" spans="1:20" ht="1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7"/>
        <v>21</v>
      </c>
      <c r="S421" s="118">
        <v>20</v>
      </c>
      <c r="T421" s="121" t="s">
        <v>81</v>
      </c>
    </row>
    <row r="422" spans="1:20" ht="1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7"/>
        <v>8</v>
      </c>
      <c r="S422" s="118">
        <v>16</v>
      </c>
      <c r="T422" s="121" t="s">
        <v>1772</v>
      </c>
    </row>
    <row r="423" spans="1:20" ht="1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7"/>
        <v>93</v>
      </c>
      <c r="S423" s="118">
        <v>4</v>
      </c>
      <c r="T423" s="121" t="s">
        <v>1764</v>
      </c>
    </row>
    <row r="424" spans="1:20" ht="1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7"/>
        <v>6</v>
      </c>
      <c r="S424" s="118">
        <v>24</v>
      </c>
      <c r="T424" s="121" t="s">
        <v>1265</v>
      </c>
    </row>
    <row r="425" spans="1:20" ht="1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7"/>
        <v>80</v>
      </c>
      <c r="S425" s="118">
        <v>4</v>
      </c>
      <c r="T425" s="121" t="s">
        <v>479</v>
      </c>
    </row>
    <row r="426" spans="1:20" ht="1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7"/>
        <v>8</v>
      </c>
      <c r="S426" s="118">
        <v>4</v>
      </c>
      <c r="T426" s="121" t="s">
        <v>1787</v>
      </c>
    </row>
    <row r="427" spans="1:20" ht="1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7"/>
        <v>10</v>
      </c>
      <c r="S427" s="118">
        <v>16</v>
      </c>
      <c r="T427" s="121" t="s">
        <v>1792</v>
      </c>
    </row>
    <row r="428" spans="1:20" ht="1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7"/>
        <v>80</v>
      </c>
      <c r="S428" s="118">
        <v>4</v>
      </c>
      <c r="T428" s="121" t="s">
        <v>1374</v>
      </c>
    </row>
    <row r="429" spans="1:20" ht="1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7"/>
        <v>80</v>
      </c>
      <c r="S429" s="118">
        <v>4</v>
      </c>
      <c r="T429" s="121" t="s">
        <v>1374</v>
      </c>
    </row>
    <row r="430" spans="1:20" ht="1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7"/>
        <v>80</v>
      </c>
      <c r="S430" s="118">
        <v>4</v>
      </c>
      <c r="T430" s="121" t="s">
        <v>1374</v>
      </c>
    </row>
    <row r="431" spans="1:20" ht="1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7"/>
        <v>80</v>
      </c>
      <c r="S431" s="118">
        <v>4</v>
      </c>
      <c r="T431" s="121" t="s">
        <v>1374</v>
      </c>
    </row>
    <row r="432" spans="1:20" ht="1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7"/>
        <v>80</v>
      </c>
      <c r="S432" s="118">
        <v>4</v>
      </c>
      <c r="T432" s="121" t="s">
        <v>1374</v>
      </c>
    </row>
    <row r="433" spans="1:20" ht="1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7"/>
        <v>33</v>
      </c>
      <c r="S433" s="118">
        <v>4</v>
      </c>
      <c r="T433" s="121" t="s">
        <v>1787</v>
      </c>
    </row>
    <row r="434" spans="1:20" ht="1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7"/>
        <v>0</v>
      </c>
      <c r="S434" s="118"/>
      <c r="T434" s="121"/>
    </row>
    <row r="435" spans="1:20" ht="1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7"/>
        <v>62</v>
      </c>
      <c r="S435" s="118">
        <v>20</v>
      </c>
      <c r="T435" s="121" t="s">
        <v>425</v>
      </c>
    </row>
    <row r="436" spans="1:20" ht="1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7"/>
        <v>42</v>
      </c>
      <c r="S436" s="118">
        <v>4</v>
      </c>
      <c r="T436" s="121" t="s">
        <v>1817</v>
      </c>
    </row>
    <row r="437" spans="1:20" ht="1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7"/>
        <v>6</v>
      </c>
      <c r="S437" s="118">
        <v>4</v>
      </c>
      <c r="T437" s="121" t="s">
        <v>1817</v>
      </c>
    </row>
    <row r="438" spans="1:20" ht="1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7"/>
        <v>49</v>
      </c>
      <c r="S438" s="118">
        <v>4</v>
      </c>
      <c r="T438" s="121" t="s">
        <v>1817</v>
      </c>
    </row>
    <row r="439" spans="1:20" ht="1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7"/>
        <v>20</v>
      </c>
      <c r="S439" s="118">
        <v>4</v>
      </c>
      <c r="T439" s="121" t="s">
        <v>1817</v>
      </c>
    </row>
    <row r="440" spans="1:20" ht="1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7"/>
        <v>28</v>
      </c>
      <c r="S440" s="118">
        <v>12</v>
      </c>
      <c r="T440" s="121" t="s">
        <v>556</v>
      </c>
    </row>
    <row r="441" spans="1:20" ht="1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7"/>
        <v>17</v>
      </c>
      <c r="S441" s="118">
        <v>20</v>
      </c>
      <c r="T441" s="121" t="s">
        <v>803</v>
      </c>
    </row>
    <row r="442" spans="1:20" ht="1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7"/>
        <v>17</v>
      </c>
      <c r="S442" s="118">
        <v>20</v>
      </c>
      <c r="T442" s="121" t="s">
        <v>1838</v>
      </c>
    </row>
    <row r="443" spans="1:20" ht="1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7"/>
        <v>24</v>
      </c>
      <c r="S443" s="118">
        <v>20</v>
      </c>
      <c r="T443" s="121" t="s">
        <v>958</v>
      </c>
    </row>
    <row r="444" spans="1:20" ht="1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7"/>
        <v>16</v>
      </c>
      <c r="S444" s="118">
        <v>8</v>
      </c>
      <c r="T444" s="121" t="s">
        <v>1067</v>
      </c>
    </row>
    <row r="445" spans="1:20" ht="1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7"/>
        <v>155</v>
      </c>
      <c r="S445" s="118">
        <v>8</v>
      </c>
      <c r="T445" s="121" t="s">
        <v>479</v>
      </c>
    </row>
    <row r="446" spans="1:20" ht="1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7"/>
        <v>8</v>
      </c>
      <c r="S446" s="118">
        <v>4</v>
      </c>
      <c r="T446" s="121" t="s">
        <v>1787</v>
      </c>
    </row>
    <row r="447" spans="1:20" ht="1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7"/>
        <v>10</v>
      </c>
      <c r="S447" s="118">
        <v>16</v>
      </c>
      <c r="T447" s="121" t="s">
        <v>1750</v>
      </c>
    </row>
    <row r="448" spans="1:20" ht="1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7"/>
        <v>15</v>
      </c>
      <c r="S448" s="118">
        <v>16</v>
      </c>
      <c r="T448" s="121" t="s">
        <v>1792</v>
      </c>
    </row>
    <row r="449" spans="1:20" ht="1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7"/>
        <v>51</v>
      </c>
      <c r="S449" s="118">
        <v>16</v>
      </c>
      <c r="T449" s="121" t="s">
        <v>479</v>
      </c>
    </row>
    <row r="450" spans="1:20" ht="1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7"/>
        <v>52</v>
      </c>
      <c r="S450" s="118">
        <v>16</v>
      </c>
      <c r="T450" s="121" t="s">
        <v>1755</v>
      </c>
    </row>
    <row r="451" spans="1:20" ht="1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7"/>
        <v>13</v>
      </c>
      <c r="S451" s="118">
        <v>4</v>
      </c>
      <c r="T451" s="121" t="s">
        <v>1787</v>
      </c>
    </row>
    <row r="452" spans="1:20" ht="1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7"/>
        <v>90</v>
      </c>
      <c r="S452" s="118">
        <v>3</v>
      </c>
      <c r="T452" s="121" t="s">
        <v>1723</v>
      </c>
    </row>
    <row r="453" spans="1:20" ht="1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7"/>
        <v>11</v>
      </c>
      <c r="S453" s="118">
        <v>2</v>
      </c>
      <c r="T453" s="121" t="s">
        <v>218</v>
      </c>
    </row>
    <row r="454" spans="1:20" ht="1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7"/>
        <v>50</v>
      </c>
      <c r="S454" s="118">
        <v>2</v>
      </c>
      <c r="T454" s="175" t="s">
        <v>1880</v>
      </c>
    </row>
    <row r="455" spans="1:20" ht="1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7"/>
        <v>8</v>
      </c>
      <c r="S455" s="118">
        <v>4</v>
      </c>
      <c r="T455" s="121" t="s">
        <v>1787</v>
      </c>
    </row>
    <row r="456" spans="1:20" ht="1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7"/>
        <v>0</v>
      </c>
      <c r="S456" s="118"/>
      <c r="T456" s="121"/>
    </row>
    <row r="457" spans="1:20" ht="1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7"/>
        <v>23</v>
      </c>
      <c r="S457" s="118">
        <v>20</v>
      </c>
      <c r="T457" s="121" t="s">
        <v>1792</v>
      </c>
    </row>
    <row r="458" spans="1:20" ht="1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ref="R458:R521" si="8">SUM(O458:Q458)</f>
        <v>23</v>
      </c>
      <c r="S458" s="118">
        <v>76</v>
      </c>
      <c r="T458" s="121" t="s">
        <v>479</v>
      </c>
    </row>
    <row r="459" spans="1:20" ht="1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si="8"/>
        <v>8</v>
      </c>
      <c r="S470" s="118">
        <v>4</v>
      </c>
      <c r="T470" s="121" t="s">
        <v>1787</v>
      </c>
    </row>
    <row r="471" spans="1:20" ht="1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8"/>
        <v>384</v>
      </c>
      <c r="S471" s="118">
        <v>8</v>
      </c>
      <c r="T471" s="121" t="s">
        <v>479</v>
      </c>
    </row>
    <row r="472" spans="1:20" ht="1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8"/>
        <v>24</v>
      </c>
      <c r="S472" s="118">
        <v>12</v>
      </c>
      <c r="T472" s="121" t="s">
        <v>1948</v>
      </c>
    </row>
    <row r="473" spans="1:20" ht="1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8"/>
        <v>35</v>
      </c>
      <c r="S473" s="118">
        <v>20</v>
      </c>
      <c r="T473" s="121" t="s">
        <v>1953</v>
      </c>
    </row>
    <row r="474" spans="1:20" ht="1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8"/>
        <v>53</v>
      </c>
      <c r="S474" s="118">
        <v>4</v>
      </c>
      <c r="T474" s="121" t="s">
        <v>1958</v>
      </c>
    </row>
    <row r="475" spans="1:20" ht="1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8"/>
        <v>12</v>
      </c>
      <c r="S475" s="118">
        <v>8</v>
      </c>
      <c r="T475" s="121" t="s">
        <v>1963</v>
      </c>
    </row>
    <row r="476" spans="1:20" ht="1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8"/>
        <v>60</v>
      </c>
      <c r="S476" s="118">
        <v>4</v>
      </c>
      <c r="T476" s="121" t="s">
        <v>1968</v>
      </c>
    </row>
    <row r="477" spans="1:20" ht="1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8"/>
        <v>14</v>
      </c>
      <c r="S477" s="118">
        <v>4</v>
      </c>
      <c r="T477" s="121" t="s">
        <v>1062</v>
      </c>
    </row>
    <row r="478" spans="1:20" ht="1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8"/>
        <v>20</v>
      </c>
      <c r="S478" s="118">
        <v>12</v>
      </c>
      <c r="T478" s="121" t="s">
        <v>1921</v>
      </c>
    </row>
    <row r="479" spans="1:20" ht="1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8"/>
        <v>56</v>
      </c>
      <c r="S479" s="118">
        <v>20</v>
      </c>
      <c r="T479" s="121" t="s">
        <v>1981</v>
      </c>
    </row>
    <row r="480" spans="1:20" ht="1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8"/>
        <v>38</v>
      </c>
      <c r="S480" s="118">
        <v>12</v>
      </c>
      <c r="T480" s="121" t="s">
        <v>1062</v>
      </c>
    </row>
    <row r="481" spans="1:20" ht="1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8"/>
        <v>13</v>
      </c>
      <c r="S481" s="118">
        <v>16</v>
      </c>
      <c r="T481" s="121" t="s">
        <v>1989</v>
      </c>
    </row>
    <row r="482" spans="1:20" ht="1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8"/>
        <v>24</v>
      </c>
      <c r="S482" s="118">
        <v>18</v>
      </c>
      <c r="T482" s="121" t="s">
        <v>1994</v>
      </c>
    </row>
    <row r="483" spans="1:20" ht="1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8"/>
        <v>19</v>
      </c>
      <c r="S483" s="118">
        <v>16</v>
      </c>
      <c r="T483" s="121" t="s">
        <v>1723</v>
      </c>
    </row>
    <row r="484" spans="1:20" ht="1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8"/>
        <v>10</v>
      </c>
      <c r="S484" s="118">
        <v>4</v>
      </c>
      <c r="T484" s="121" t="s">
        <v>1062</v>
      </c>
    </row>
    <row r="485" spans="1:20" ht="1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8"/>
        <v>5</v>
      </c>
      <c r="S485" s="118">
        <v>4</v>
      </c>
      <c r="T485" s="121" t="s">
        <v>1787</v>
      </c>
    </row>
    <row r="486" spans="1:20" ht="1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8"/>
        <v>21</v>
      </c>
      <c r="S486" s="118">
        <v>24</v>
      </c>
      <c r="T486" s="121" t="s">
        <v>1265</v>
      </c>
    </row>
    <row r="487" spans="1:20" ht="1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8"/>
        <v>19</v>
      </c>
      <c r="S487" s="118">
        <v>20</v>
      </c>
      <c r="T487" s="121" t="s">
        <v>218</v>
      </c>
    </row>
    <row r="488" spans="1:20" ht="1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8"/>
        <v>7</v>
      </c>
      <c r="S488" s="118">
        <v>4</v>
      </c>
      <c r="T488" s="121" t="s">
        <v>1787</v>
      </c>
    </row>
    <row r="489" spans="1:20" ht="1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8"/>
        <v>19</v>
      </c>
      <c r="S489" s="137">
        <v>20</v>
      </c>
      <c r="T489" s="139" t="s">
        <v>81</v>
      </c>
    </row>
    <row r="490" spans="1:20" ht="1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8"/>
        <v>61</v>
      </c>
      <c r="S490" s="137">
        <v>20</v>
      </c>
      <c r="T490" s="139" t="s">
        <v>1981</v>
      </c>
    </row>
    <row r="491" spans="1:20" ht="1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8"/>
        <v>32</v>
      </c>
      <c r="S491" s="137">
        <v>8</v>
      </c>
      <c r="T491" s="139" t="s">
        <v>2021</v>
      </c>
    </row>
    <row r="492" spans="1:20" ht="1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8"/>
        <v>43</v>
      </c>
      <c r="S492" s="137">
        <v>20</v>
      </c>
      <c r="T492" s="139" t="s">
        <v>2026</v>
      </c>
    </row>
    <row r="493" spans="1:20" ht="1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8"/>
        <v>8</v>
      </c>
      <c r="S493" s="137">
        <v>8</v>
      </c>
      <c r="T493" s="139" t="s">
        <v>479</v>
      </c>
    </row>
    <row r="494" spans="1:20" ht="1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8"/>
        <v>80</v>
      </c>
      <c r="S494" s="137">
        <v>2</v>
      </c>
      <c r="T494" s="139" t="s">
        <v>2035</v>
      </c>
    </row>
    <row r="495" spans="1:20" ht="1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8"/>
        <v>0</v>
      </c>
      <c r="S495" s="118"/>
      <c r="T495" s="175"/>
    </row>
    <row r="496" spans="1:20" ht="1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8"/>
        <v>170</v>
      </c>
      <c r="S496" s="137">
        <v>1</v>
      </c>
      <c r="T496" s="139" t="s">
        <v>2044</v>
      </c>
    </row>
    <row r="497" spans="1:20" ht="1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8"/>
        <v>31</v>
      </c>
      <c r="S497" s="137">
        <v>4</v>
      </c>
      <c r="T497" s="139" t="s">
        <v>1933</v>
      </c>
    </row>
    <row r="498" spans="1:20" ht="1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8"/>
        <v>11</v>
      </c>
      <c r="S498" s="137">
        <v>16</v>
      </c>
      <c r="T498" s="139" t="s">
        <v>1792</v>
      </c>
    </row>
    <row r="499" spans="1:20" ht="1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8"/>
        <v>45</v>
      </c>
      <c r="S499" s="137">
        <v>1</v>
      </c>
      <c r="T499" s="139" t="s">
        <v>2055</v>
      </c>
    </row>
    <row r="500" spans="1:20" ht="1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8"/>
        <v>40</v>
      </c>
      <c r="S500" s="137">
        <v>4</v>
      </c>
      <c r="T500" s="139" t="s">
        <v>2060</v>
      </c>
    </row>
    <row r="501" spans="1:20" ht="1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8"/>
        <v>0</v>
      </c>
      <c r="S501" s="137">
        <v>4</v>
      </c>
      <c r="T501" s="139" t="s">
        <v>1787</v>
      </c>
    </row>
    <row r="502" spans="1:20" ht="1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8"/>
        <v>34</v>
      </c>
      <c r="S502" s="137">
        <v>16</v>
      </c>
      <c r="T502" s="139" t="s">
        <v>2068</v>
      </c>
    </row>
    <row r="503" spans="1:20" ht="1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8"/>
        <v>21</v>
      </c>
      <c r="S503" s="137">
        <v>16</v>
      </c>
      <c r="T503" s="139" t="s">
        <v>1723</v>
      </c>
    </row>
    <row r="504" spans="1:20" ht="1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8"/>
        <v>16</v>
      </c>
      <c r="S504" s="137">
        <v>24</v>
      </c>
      <c r="T504" s="139" t="s">
        <v>1838</v>
      </c>
    </row>
    <row r="505" spans="1:20" ht="1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8"/>
        <v>20</v>
      </c>
      <c r="S505" s="118">
        <v>4</v>
      </c>
      <c r="T505" s="121" t="s">
        <v>2081</v>
      </c>
    </row>
    <row r="506" spans="1:20" ht="1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8"/>
        <v>8</v>
      </c>
      <c r="S506" s="118">
        <v>4</v>
      </c>
      <c r="T506" s="121" t="s">
        <v>1787</v>
      </c>
    </row>
    <row r="507" spans="1:20" ht="1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8"/>
        <v>0</v>
      </c>
      <c r="S507" s="118">
        <v>20</v>
      </c>
      <c r="T507" s="121" t="s">
        <v>2089</v>
      </c>
    </row>
    <row r="508" spans="1:20" ht="1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8"/>
        <v>13</v>
      </c>
      <c r="S508" s="118">
        <v>48</v>
      </c>
      <c r="T508" s="121" t="s">
        <v>973</v>
      </c>
    </row>
    <row r="509" spans="1:20" ht="30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8"/>
        <v>170</v>
      </c>
      <c r="S509" s="118">
        <v>1</v>
      </c>
      <c r="T509" s="121" t="s">
        <v>2096</v>
      </c>
    </row>
    <row r="510" spans="1:20" ht="1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8"/>
        <v>66</v>
      </c>
      <c r="S510" s="118">
        <v>20</v>
      </c>
      <c r="T510" s="121" t="s">
        <v>1981</v>
      </c>
    </row>
    <row r="511" spans="1:20" ht="30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8"/>
        <v>140</v>
      </c>
      <c r="S511" s="118">
        <v>1</v>
      </c>
      <c r="T511" s="121" t="s">
        <v>2104</v>
      </c>
    </row>
    <row r="512" spans="1:20" ht="1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8"/>
        <v>45</v>
      </c>
      <c r="S512" s="118">
        <v>12</v>
      </c>
      <c r="T512" s="121" t="s">
        <v>2109</v>
      </c>
    </row>
    <row r="513" spans="1:20" ht="1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8"/>
        <v>19</v>
      </c>
      <c r="S513" s="118">
        <v>4</v>
      </c>
      <c r="T513" s="121" t="s">
        <v>2114</v>
      </c>
    </row>
    <row r="514" spans="1:20" ht="1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8"/>
        <v>15</v>
      </c>
      <c r="S514" s="118">
        <v>20</v>
      </c>
      <c r="T514" s="121" t="s">
        <v>218</v>
      </c>
    </row>
    <row r="515" spans="1:20" ht="1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8"/>
        <v>41</v>
      </c>
      <c r="S515" s="118">
        <v>16</v>
      </c>
      <c r="T515" s="121" t="s">
        <v>2122</v>
      </c>
    </row>
    <row r="516" spans="1:20" ht="1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8"/>
        <v>96</v>
      </c>
      <c r="S516" s="118">
        <v>2</v>
      </c>
      <c r="T516" s="121" t="s">
        <v>479</v>
      </c>
    </row>
    <row r="517" spans="1:20" ht="1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8"/>
        <v>6</v>
      </c>
      <c r="S517" s="118">
        <v>4</v>
      </c>
      <c r="T517" s="121" t="s">
        <v>2130</v>
      </c>
    </row>
    <row r="518" spans="1:20" ht="1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8"/>
        <v>47</v>
      </c>
      <c r="S518" s="118">
        <v>12</v>
      </c>
      <c r="T518" s="121" t="s">
        <v>2135</v>
      </c>
    </row>
    <row r="519" spans="1:20" ht="1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8"/>
        <v>37</v>
      </c>
      <c r="S519" s="118">
        <v>12</v>
      </c>
      <c r="T519" s="121" t="s">
        <v>1479</v>
      </c>
    </row>
    <row r="520" spans="1:20" ht="1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8"/>
        <v>20</v>
      </c>
      <c r="S520" s="118">
        <v>16</v>
      </c>
      <c r="T520" s="121" t="s">
        <v>1710</v>
      </c>
    </row>
    <row r="521" spans="1:20" ht="1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8"/>
        <v>19</v>
      </c>
      <c r="S521" s="118">
        <v>16</v>
      </c>
      <c r="T521" s="121" t="s">
        <v>556</v>
      </c>
    </row>
    <row r="522" spans="1:20" ht="1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ref="R522:R585" si="9">SUM(O522:Q522)</f>
        <v>0</v>
      </c>
      <c r="S522" s="118">
        <v>21</v>
      </c>
      <c r="T522" s="121" t="s">
        <v>1374</v>
      </c>
    </row>
    <row r="523" spans="1:20" ht="1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si="9"/>
        <v>49</v>
      </c>
      <c r="S534" s="118">
        <v>4</v>
      </c>
      <c r="T534" s="121" t="s">
        <v>2194</v>
      </c>
    </row>
    <row r="535" spans="1:20" ht="1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9"/>
        <v>94</v>
      </c>
      <c r="S535" s="118">
        <v>20</v>
      </c>
      <c r="T535" s="121" t="s">
        <v>1981</v>
      </c>
    </row>
    <row r="536" spans="1:20" ht="1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9"/>
        <v>0</v>
      </c>
      <c r="S536" s="118"/>
      <c r="T536" s="121"/>
    </row>
    <row r="537" spans="1:20" ht="1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9"/>
        <v>21</v>
      </c>
      <c r="S537" s="118">
        <v>20</v>
      </c>
      <c r="T537" s="121" t="s">
        <v>81</v>
      </c>
    </row>
    <row r="538" spans="1:20" ht="1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9"/>
        <v>49</v>
      </c>
      <c r="S538" s="118"/>
      <c r="T538" s="121"/>
    </row>
    <row r="539" spans="1:20" ht="1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9"/>
        <v>26</v>
      </c>
      <c r="S539" s="118">
        <v>16</v>
      </c>
      <c r="T539" s="121" t="s">
        <v>1723</v>
      </c>
    </row>
    <row r="540" spans="1:20" ht="1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9"/>
        <v>8</v>
      </c>
      <c r="S540" s="118">
        <v>8</v>
      </c>
      <c r="T540" s="121" t="s">
        <v>479</v>
      </c>
    </row>
    <row r="541" spans="1:20" ht="1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9"/>
        <v>14</v>
      </c>
      <c r="S541" s="118">
        <v>12</v>
      </c>
      <c r="T541" s="121" t="s">
        <v>1921</v>
      </c>
    </row>
    <row r="542" spans="1:20" ht="1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9"/>
        <v>30</v>
      </c>
      <c r="S542" s="118">
        <v>20</v>
      </c>
      <c r="T542" s="121" t="s">
        <v>1750</v>
      </c>
    </row>
    <row r="543" spans="1:20" ht="1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9"/>
        <v>11</v>
      </c>
      <c r="S543" s="118">
        <v>20</v>
      </c>
      <c r="T543" s="121" t="s">
        <v>1792</v>
      </c>
    </row>
    <row r="544" spans="1:20" ht="1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9"/>
        <v>43</v>
      </c>
      <c r="S544" s="118">
        <v>12</v>
      </c>
      <c r="T544" s="121" t="s">
        <v>1759</v>
      </c>
    </row>
    <row r="545" spans="1:20" ht="1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9"/>
        <v>54</v>
      </c>
      <c r="S545" s="118">
        <v>20</v>
      </c>
      <c r="T545" s="121" t="s">
        <v>958</v>
      </c>
    </row>
    <row r="546" spans="1:20" ht="1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9"/>
        <v>3</v>
      </c>
      <c r="S546" s="118">
        <v>16</v>
      </c>
      <c r="T546" s="121" t="s">
        <v>1407</v>
      </c>
    </row>
    <row r="547" spans="1:20" ht="1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9"/>
        <v>21</v>
      </c>
      <c r="S547" s="118">
        <v>8</v>
      </c>
      <c r="T547" s="121" t="s">
        <v>2021</v>
      </c>
    </row>
    <row r="548" spans="1:20" ht="1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9"/>
        <v>44</v>
      </c>
      <c r="S548" s="118">
        <v>4</v>
      </c>
      <c r="T548" s="121" t="s">
        <v>479</v>
      </c>
    </row>
    <row r="549" spans="1:20" ht="1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9"/>
        <v>49</v>
      </c>
      <c r="S549" s="118">
        <v>20</v>
      </c>
      <c r="T549" s="121" t="s">
        <v>81</v>
      </c>
    </row>
    <row r="550" spans="1:20" ht="1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9"/>
        <v>16</v>
      </c>
      <c r="S550" s="118">
        <v>16</v>
      </c>
      <c r="T550" s="121" t="s">
        <v>2257</v>
      </c>
    </row>
    <row r="551" spans="1:20" ht="1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9"/>
        <v>27</v>
      </c>
      <c r="S551" s="118">
        <v>40</v>
      </c>
      <c r="T551" s="121" t="s">
        <v>2262</v>
      </c>
    </row>
    <row r="552" spans="1:20" ht="1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9"/>
        <v>114</v>
      </c>
      <c r="S552" s="118">
        <v>2</v>
      </c>
      <c r="T552" s="121" t="s">
        <v>479</v>
      </c>
    </row>
    <row r="553" spans="1:20" ht="1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9"/>
        <v>24</v>
      </c>
      <c r="S553" s="118">
        <v>8</v>
      </c>
      <c r="T553" s="121" t="s">
        <v>2021</v>
      </c>
    </row>
    <row r="554" spans="1:20" ht="1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9"/>
        <v>21</v>
      </c>
      <c r="S554" s="118">
        <v>20</v>
      </c>
      <c r="T554" s="121" t="s">
        <v>218</v>
      </c>
    </row>
    <row r="555" spans="1:20" ht="1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9"/>
        <v>38</v>
      </c>
      <c r="S555" s="118">
        <v>12</v>
      </c>
      <c r="T555" s="121" t="s">
        <v>2166</v>
      </c>
    </row>
    <row r="556" spans="1:20" ht="1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9"/>
        <v>97</v>
      </c>
      <c r="S556" s="118">
        <v>16</v>
      </c>
      <c r="T556" s="121" t="s">
        <v>2281</v>
      </c>
    </row>
    <row r="557" spans="1:20" ht="1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9"/>
        <v>38</v>
      </c>
      <c r="S557" s="118">
        <v>12</v>
      </c>
      <c r="T557" s="121" t="s">
        <v>2166</v>
      </c>
    </row>
    <row r="558" spans="1:20" ht="1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9"/>
        <v>8</v>
      </c>
      <c r="S558" s="118">
        <v>8</v>
      </c>
      <c r="T558" s="121" t="s">
        <v>479</v>
      </c>
    </row>
    <row r="559" spans="1:20" ht="1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9"/>
        <v>23</v>
      </c>
      <c r="S559" s="118">
        <v>20</v>
      </c>
      <c r="T559" s="121" t="s">
        <v>81</v>
      </c>
    </row>
    <row r="560" spans="1:20" ht="1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9"/>
        <v>20</v>
      </c>
      <c r="S560" s="118">
        <v>16</v>
      </c>
      <c r="T560" s="121" t="s">
        <v>2296</v>
      </c>
    </row>
    <row r="561" spans="1:20" ht="1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9"/>
        <v>13</v>
      </c>
      <c r="S561" s="118">
        <v>16</v>
      </c>
      <c r="T561" s="121" t="s">
        <v>2301</v>
      </c>
    </row>
    <row r="562" spans="1:20" ht="1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9"/>
        <v>250</v>
      </c>
      <c r="S562" s="118">
        <v>12</v>
      </c>
      <c r="T562" s="121" t="s">
        <v>479</v>
      </c>
    </row>
    <row r="563" spans="1:20" ht="1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9"/>
        <v>32</v>
      </c>
      <c r="S563" s="118">
        <v>16</v>
      </c>
      <c r="T563" s="121" t="s">
        <v>717</v>
      </c>
    </row>
    <row r="564" spans="1:20" ht="1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9"/>
        <v>41</v>
      </c>
      <c r="S564" s="118">
        <v>16</v>
      </c>
      <c r="T564" s="121" t="s">
        <v>2161</v>
      </c>
    </row>
    <row r="565" spans="1:20" ht="1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9"/>
        <v>75</v>
      </c>
      <c r="S565" s="118">
        <v>2</v>
      </c>
      <c r="T565" s="121" t="s">
        <v>2317</v>
      </c>
    </row>
    <row r="566" spans="1:20" ht="1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9"/>
        <v>100</v>
      </c>
      <c r="S566" s="118">
        <v>1</v>
      </c>
      <c r="T566" s="121" t="s">
        <v>2322</v>
      </c>
    </row>
    <row r="567" spans="1:20" ht="1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9"/>
        <v>20</v>
      </c>
      <c r="S567" s="118">
        <v>8</v>
      </c>
      <c r="T567" s="121" t="s">
        <v>2257</v>
      </c>
    </row>
    <row r="568" spans="1:20" ht="1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9"/>
        <v>40</v>
      </c>
      <c r="S568" s="118">
        <v>16</v>
      </c>
      <c r="T568" s="121" t="s">
        <v>2161</v>
      </c>
    </row>
    <row r="569" spans="1:20" ht="1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9"/>
        <v>48</v>
      </c>
      <c r="S569" s="118">
        <v>12</v>
      </c>
      <c r="T569" s="121" t="s">
        <v>1062</v>
      </c>
    </row>
    <row r="570" spans="1:20" ht="1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9"/>
        <v>16</v>
      </c>
      <c r="S570" s="118">
        <v>20</v>
      </c>
      <c r="T570" s="121" t="s">
        <v>1792</v>
      </c>
    </row>
    <row r="571" spans="1:20" ht="30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9"/>
        <v>170</v>
      </c>
      <c r="S571" s="118">
        <v>2</v>
      </c>
      <c r="T571" s="121" t="s">
        <v>2341</v>
      </c>
    </row>
    <row r="572" spans="1:20" ht="30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9"/>
        <v>80</v>
      </c>
      <c r="S572" s="118">
        <v>1</v>
      </c>
      <c r="T572" s="121"/>
    </row>
    <row r="573" spans="1:20" ht="1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9"/>
        <v>176</v>
      </c>
      <c r="S573" s="118">
        <v>4</v>
      </c>
      <c r="T573" s="121" t="s">
        <v>479</v>
      </c>
    </row>
    <row r="574" spans="1:20" ht="1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9"/>
        <v>0</v>
      </c>
      <c r="S574" s="118"/>
      <c r="T574" s="121" t="s">
        <v>973</v>
      </c>
    </row>
    <row r="575" spans="1:20" ht="1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9"/>
        <v>44</v>
      </c>
      <c r="S575" s="118">
        <v>20</v>
      </c>
      <c r="T575" s="121" t="s">
        <v>81</v>
      </c>
    </row>
    <row r="576" spans="1:20" ht="1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9"/>
        <v>41</v>
      </c>
      <c r="S576" s="118">
        <v>12</v>
      </c>
      <c r="T576" s="121" t="s">
        <v>2166</v>
      </c>
    </row>
    <row r="577" spans="1:20" ht="30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9"/>
        <v>170</v>
      </c>
      <c r="S577" s="118">
        <v>2</v>
      </c>
      <c r="T577" s="121" t="s">
        <v>2364</v>
      </c>
    </row>
    <row r="578" spans="1:20" ht="30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40</v>
      </c>
      <c r="O578" s="125">
        <v>0</v>
      </c>
      <c r="P578" s="125">
        <v>0</v>
      </c>
      <c r="Q578" s="125">
        <v>40</v>
      </c>
      <c r="R578" s="125">
        <f t="shared" si="9"/>
        <v>40</v>
      </c>
      <c r="S578" s="118">
        <v>3</v>
      </c>
      <c r="T578" s="148" t="s">
        <v>2369</v>
      </c>
    </row>
    <row r="579" spans="1:20" ht="30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40</v>
      </c>
      <c r="O579" s="125">
        <v>0</v>
      </c>
      <c r="P579" s="125">
        <v>0</v>
      </c>
      <c r="Q579" s="125">
        <v>40</v>
      </c>
      <c r="R579" s="125">
        <f t="shared" si="9"/>
        <v>40</v>
      </c>
      <c r="S579" s="118">
        <v>3</v>
      </c>
      <c r="T579" s="148" t="s">
        <v>2369</v>
      </c>
    </row>
    <row r="580" spans="1:20" ht="1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9"/>
        <v>18</v>
      </c>
      <c r="S580" s="118">
        <v>12</v>
      </c>
      <c r="T580" s="121" t="s">
        <v>2377</v>
      </c>
    </row>
    <row r="581" spans="1:20" ht="1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9"/>
        <v>18</v>
      </c>
      <c r="S581" s="118">
        <v>12</v>
      </c>
      <c r="T581" s="121" t="s">
        <v>2109</v>
      </c>
    </row>
    <row r="582" spans="1:20" ht="1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9"/>
        <v>38</v>
      </c>
      <c r="S582" s="118">
        <v>16</v>
      </c>
      <c r="T582" s="121" t="s">
        <v>973</v>
      </c>
    </row>
    <row r="583" spans="1:20" ht="1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9"/>
        <v>15</v>
      </c>
      <c r="S583" s="118">
        <v>12</v>
      </c>
      <c r="T583" s="121" t="s">
        <v>1759</v>
      </c>
    </row>
    <row r="584" spans="1:20" ht="1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9"/>
        <v>31</v>
      </c>
      <c r="S584" s="118">
        <v>12</v>
      </c>
      <c r="T584" s="121" t="s">
        <v>2166</v>
      </c>
    </row>
    <row r="585" spans="1:20" ht="1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9"/>
        <v>29</v>
      </c>
      <c r="S585" s="118">
        <v>25</v>
      </c>
      <c r="T585" s="121" t="s">
        <v>76</v>
      </c>
    </row>
    <row r="586" spans="1:20" ht="1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ref="R586:R641" si="10">SUM(O586:Q586)</f>
        <v>30</v>
      </c>
      <c r="S586" s="118">
        <v>3</v>
      </c>
      <c r="T586" s="175" t="s">
        <v>2055</v>
      </c>
    </row>
    <row r="587" spans="1:20" ht="1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si="10"/>
        <v>37</v>
      </c>
      <c r="S598" s="137">
        <v>12</v>
      </c>
      <c r="T598" s="139" t="s">
        <v>2452</v>
      </c>
    </row>
    <row r="599" spans="1:20" ht="1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0"/>
        <v>24</v>
      </c>
      <c r="S599" s="137">
        <v>20</v>
      </c>
      <c r="T599" s="139" t="s">
        <v>2457</v>
      </c>
    </row>
    <row r="600" spans="1:20" ht="1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0"/>
        <v>30</v>
      </c>
      <c r="S600" s="137">
        <v>16</v>
      </c>
      <c r="T600" s="139" t="s">
        <v>2462</v>
      </c>
    </row>
    <row r="601" spans="1:20" ht="1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0"/>
        <v>21</v>
      </c>
      <c r="S601" s="137">
        <v>8</v>
      </c>
      <c r="T601" s="139" t="s">
        <v>2425</v>
      </c>
    </row>
    <row r="602" spans="1:20" ht="1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0"/>
        <v>27</v>
      </c>
      <c r="S602" s="118">
        <v>8</v>
      </c>
      <c r="T602" s="121" t="s">
        <v>2021</v>
      </c>
    </row>
    <row r="603" spans="1:20" ht="30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0"/>
        <v>26</v>
      </c>
      <c r="S603" s="118">
        <v>36</v>
      </c>
      <c r="T603" s="121" t="s">
        <v>578</v>
      </c>
    </row>
    <row r="604" spans="1:20" ht="1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0"/>
        <v>28</v>
      </c>
      <c r="S604" s="118">
        <v>40</v>
      </c>
      <c r="T604" s="121" t="s">
        <v>2478</v>
      </c>
    </row>
    <row r="605" spans="1:20" ht="1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0"/>
        <v>20</v>
      </c>
      <c r="S605" s="118">
        <v>4</v>
      </c>
      <c r="T605" s="121" t="s">
        <v>2482</v>
      </c>
    </row>
    <row r="606" spans="1:20" ht="30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0"/>
        <v>170</v>
      </c>
      <c r="S606" s="118">
        <v>2</v>
      </c>
      <c r="T606" s="132" t="s">
        <v>2487</v>
      </c>
    </row>
    <row r="607" spans="1:20" ht="30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0"/>
        <v>170</v>
      </c>
      <c r="S607" s="118">
        <v>2</v>
      </c>
      <c r="T607" s="132" t="s">
        <v>2490</v>
      </c>
    </row>
    <row r="608" spans="1:20" ht="30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0"/>
        <v>19</v>
      </c>
      <c r="S608" s="118">
        <v>20</v>
      </c>
      <c r="T608" s="121" t="s">
        <v>803</v>
      </c>
    </row>
    <row r="609" spans="1:20" ht="1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0"/>
        <v>19</v>
      </c>
      <c r="S609" s="118">
        <v>12</v>
      </c>
      <c r="T609" s="121" t="s">
        <v>2499</v>
      </c>
    </row>
    <row r="610" spans="1:20" ht="30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0"/>
        <v>31</v>
      </c>
      <c r="S610" s="118">
        <v>3</v>
      </c>
      <c r="T610" s="121" t="s">
        <v>2055</v>
      </c>
    </row>
    <row r="611" spans="1:20" ht="1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0"/>
        <v>15</v>
      </c>
      <c r="S611" s="118">
        <v>16</v>
      </c>
      <c r="T611" s="175" t="s">
        <v>2507</v>
      </c>
    </row>
    <row r="612" spans="1:20" ht="30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0"/>
        <v>100</v>
      </c>
      <c r="S612" s="118">
        <v>1.5</v>
      </c>
      <c r="T612" s="121" t="s">
        <v>2512</v>
      </c>
    </row>
    <row r="613" spans="1:20" ht="1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0"/>
        <v>114</v>
      </c>
      <c r="S613" s="118">
        <v>3</v>
      </c>
      <c r="T613" s="132" t="s">
        <v>2515</v>
      </c>
    </row>
    <row r="614" spans="1:20" ht="1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0"/>
        <v>491</v>
      </c>
      <c r="S614" s="118">
        <v>8</v>
      </c>
      <c r="T614" s="121" t="s">
        <v>479</v>
      </c>
    </row>
    <row r="615" spans="1:20" ht="1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0"/>
        <v>27</v>
      </c>
      <c r="S615" s="118">
        <v>8</v>
      </c>
      <c r="T615" s="121" t="s">
        <v>1479</v>
      </c>
    </row>
    <row r="616" spans="1:20" ht="30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0"/>
        <v>63</v>
      </c>
      <c r="S616" s="118">
        <v>16</v>
      </c>
      <c r="T616" s="121" t="s">
        <v>2462</v>
      </c>
    </row>
    <row r="617" spans="1:20" ht="1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0"/>
        <v>42</v>
      </c>
      <c r="S617" s="118">
        <v>4</v>
      </c>
      <c r="T617" s="121" t="s">
        <v>2531</v>
      </c>
    </row>
    <row r="618" spans="1:20" ht="1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0"/>
        <v>27</v>
      </c>
      <c r="S618" s="118">
        <v>4</v>
      </c>
      <c r="T618" s="121" t="s">
        <v>2536</v>
      </c>
    </row>
    <row r="619" spans="1:20" ht="1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0"/>
        <v>40</v>
      </c>
      <c r="S619" s="118">
        <v>4</v>
      </c>
      <c r="T619" s="121" t="s">
        <v>1958</v>
      </c>
    </row>
    <row r="620" spans="1:20" ht="1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0"/>
        <v>47</v>
      </c>
      <c r="S620" s="118">
        <v>12</v>
      </c>
      <c r="T620" s="121" t="s">
        <v>2109</v>
      </c>
    </row>
    <row r="621" spans="1:20" ht="30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0"/>
        <v>23</v>
      </c>
      <c r="S621" s="118">
        <v>4</v>
      </c>
      <c r="T621" s="132" t="s">
        <v>2548</v>
      </c>
    </row>
    <row r="622" spans="1:20" ht="1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0"/>
        <v>21</v>
      </c>
      <c r="S622" s="118">
        <v>8</v>
      </c>
      <c r="T622" s="121" t="s">
        <v>2407</v>
      </c>
    </row>
    <row r="623" spans="1:20" ht="1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0"/>
        <v>26</v>
      </c>
      <c r="S623" s="118">
        <v>6</v>
      </c>
      <c r="T623" s="121" t="s">
        <v>2556</v>
      </c>
    </row>
    <row r="624" spans="1:20" ht="30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0"/>
        <v>88</v>
      </c>
      <c r="S624" s="118">
        <v>3</v>
      </c>
      <c r="T624" s="148" t="s">
        <v>2369</v>
      </c>
    </row>
    <row r="625" spans="1:20" ht="1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0"/>
        <v>33</v>
      </c>
      <c r="S625" s="118">
        <v>4</v>
      </c>
      <c r="T625" s="132" t="s">
        <v>2443</v>
      </c>
    </row>
    <row r="626" spans="1:20" ht="30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0"/>
        <v>128</v>
      </c>
      <c r="S626" s="118">
        <v>3</v>
      </c>
      <c r="T626" s="148" t="s">
        <v>2369</v>
      </c>
    </row>
    <row r="627" spans="1:20" ht="15">
      <c r="A627" s="122" t="s">
        <v>2565</v>
      </c>
      <c r="B627" s="118">
        <v>2025</v>
      </c>
      <c r="C627" s="146" t="s">
        <v>2566</v>
      </c>
      <c r="D627" s="118" t="s">
        <v>2567</v>
      </c>
      <c r="E627" s="119" t="s">
        <v>2200</v>
      </c>
      <c r="F627" s="120" t="s">
        <v>24</v>
      </c>
      <c r="G627" s="121" t="s">
        <v>36</v>
      </c>
      <c r="H627" s="122" t="s">
        <v>2568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0"/>
        <v>7</v>
      </c>
      <c r="S627" s="118"/>
      <c r="T627" s="121" t="s">
        <v>479</v>
      </c>
    </row>
    <row r="628" spans="1:20" ht="30">
      <c r="A628" s="122" t="s">
        <v>2569</v>
      </c>
      <c r="B628" s="118">
        <v>2025</v>
      </c>
      <c r="C628" s="146" t="s">
        <v>22</v>
      </c>
      <c r="D628" s="118" t="s">
        <v>2570</v>
      </c>
      <c r="E628" s="119" t="s">
        <v>2571</v>
      </c>
      <c r="F628" s="151" t="s">
        <v>24</v>
      </c>
      <c r="G628" s="132" t="s">
        <v>206</v>
      </c>
      <c r="H628" s="122" t="s">
        <v>2572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0"/>
        <v>80</v>
      </c>
      <c r="S628" s="118">
        <v>2</v>
      </c>
      <c r="T628" s="121"/>
    </row>
    <row r="629" spans="1:20" ht="15">
      <c r="A629" s="122" t="s">
        <v>2573</v>
      </c>
      <c r="B629" s="118">
        <v>2025</v>
      </c>
      <c r="C629" s="118" t="s">
        <v>22</v>
      </c>
      <c r="D629" s="118" t="s">
        <v>2574</v>
      </c>
      <c r="E629" s="119" t="s">
        <v>2575</v>
      </c>
      <c r="F629" s="120" t="s">
        <v>24</v>
      </c>
      <c r="G629" s="121" t="s">
        <v>42</v>
      </c>
      <c r="H629" s="122" t="s">
        <v>2576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0"/>
        <v>23</v>
      </c>
      <c r="S629" s="118" t="s">
        <v>2577</v>
      </c>
      <c r="T629" s="121" t="s">
        <v>2578</v>
      </c>
    </row>
    <row r="630" spans="1:20" ht="15">
      <c r="A630" s="122" t="s">
        <v>2579</v>
      </c>
      <c r="B630" s="118">
        <v>2025</v>
      </c>
      <c r="C630" s="146" t="s">
        <v>22</v>
      </c>
      <c r="D630" s="118" t="s">
        <v>2580</v>
      </c>
      <c r="E630" s="119" t="s">
        <v>2581</v>
      </c>
      <c r="F630" s="120" t="s">
        <v>69</v>
      </c>
      <c r="G630" s="121" t="s">
        <v>79</v>
      </c>
      <c r="H630" s="122" t="s">
        <v>2582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0"/>
        <v>49</v>
      </c>
      <c r="S630" s="118">
        <v>16</v>
      </c>
      <c r="T630" s="121" t="s">
        <v>2583</v>
      </c>
    </row>
    <row r="631" spans="1:20" ht="15">
      <c r="A631" s="122" t="s">
        <v>2584</v>
      </c>
      <c r="B631" s="118">
        <v>2025</v>
      </c>
      <c r="C631" s="146" t="s">
        <v>22</v>
      </c>
      <c r="D631" s="118" t="s">
        <v>2585</v>
      </c>
      <c r="E631" s="119" t="s">
        <v>2586</v>
      </c>
      <c r="F631" s="120" t="s">
        <v>88</v>
      </c>
      <c r="G631" s="121" t="s">
        <v>79</v>
      </c>
      <c r="H631" s="122" t="s">
        <v>2587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0"/>
        <v>228</v>
      </c>
      <c r="S631" s="118">
        <v>14</v>
      </c>
      <c r="T631" s="121" t="s">
        <v>479</v>
      </c>
    </row>
    <row r="632" spans="1:20" ht="15">
      <c r="A632" s="122" t="s">
        <v>2588</v>
      </c>
      <c r="B632" s="118">
        <v>2025</v>
      </c>
      <c r="C632" s="146" t="s">
        <v>22</v>
      </c>
      <c r="D632" s="118" t="s">
        <v>2467</v>
      </c>
      <c r="E632" s="119" t="s">
        <v>2589</v>
      </c>
      <c r="F632" s="120" t="s">
        <v>24</v>
      </c>
      <c r="G632" s="132" t="s">
        <v>75</v>
      </c>
      <c r="H632" s="122" t="s">
        <v>2590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0"/>
        <v>28</v>
      </c>
      <c r="S632" s="118">
        <v>8</v>
      </c>
      <c r="T632" s="121" t="s">
        <v>2021</v>
      </c>
    </row>
    <row r="633" spans="1:20" ht="30">
      <c r="A633" s="122" t="s">
        <v>2591</v>
      </c>
      <c r="B633" s="118">
        <v>2025</v>
      </c>
      <c r="C633" s="118" t="s">
        <v>22</v>
      </c>
      <c r="D633" s="118" t="s">
        <v>2592</v>
      </c>
      <c r="E633" s="145" t="s">
        <v>2593</v>
      </c>
      <c r="F633" s="120" t="s">
        <v>24</v>
      </c>
      <c r="G633" s="121" t="s">
        <v>42</v>
      </c>
      <c r="H633" s="147" t="s">
        <v>2594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0"/>
        <v>16</v>
      </c>
      <c r="S633" s="118">
        <v>48</v>
      </c>
      <c r="T633" s="132" t="s">
        <v>2595</v>
      </c>
    </row>
    <row r="634" spans="1:20" ht="15">
      <c r="A634" s="122" t="s">
        <v>2596</v>
      </c>
      <c r="B634" s="118">
        <v>2025</v>
      </c>
      <c r="C634" s="118" t="s">
        <v>22</v>
      </c>
      <c r="D634" s="118" t="s">
        <v>2597</v>
      </c>
      <c r="E634" s="119" t="s">
        <v>2598</v>
      </c>
      <c r="F634" s="120" t="s">
        <v>69</v>
      </c>
      <c r="G634" s="121" t="s">
        <v>79</v>
      </c>
      <c r="H634" s="122" t="s">
        <v>2599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0"/>
        <v>40</v>
      </c>
      <c r="S634" s="118">
        <v>12</v>
      </c>
      <c r="T634" s="121" t="s">
        <v>2452</v>
      </c>
    </row>
    <row r="635" spans="1:20" ht="30">
      <c r="A635" s="122" t="s">
        <v>2600</v>
      </c>
      <c r="B635" s="118">
        <v>2025</v>
      </c>
      <c r="C635" s="146" t="s">
        <v>22</v>
      </c>
      <c r="D635" s="118" t="s">
        <v>2601</v>
      </c>
      <c r="E635" s="119" t="s">
        <v>2602</v>
      </c>
      <c r="F635" s="151" t="s">
        <v>24</v>
      </c>
      <c r="G635" s="132" t="s">
        <v>206</v>
      </c>
      <c r="H635" s="122" t="s">
        <v>2603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0"/>
        <v>80</v>
      </c>
      <c r="S635" s="118">
        <v>4</v>
      </c>
      <c r="T635" s="175"/>
    </row>
    <row r="636" spans="1:20" ht="15">
      <c r="A636" s="122" t="s">
        <v>2604</v>
      </c>
      <c r="B636" s="118">
        <v>2025</v>
      </c>
      <c r="C636" s="146" t="s">
        <v>22</v>
      </c>
      <c r="D636" s="118" t="s">
        <v>2319</v>
      </c>
      <c r="E636" s="119" t="s">
        <v>2605</v>
      </c>
      <c r="F636" s="120" t="s">
        <v>69</v>
      </c>
      <c r="G636" s="121" t="s">
        <v>36</v>
      </c>
      <c r="H636" s="122" t="s">
        <v>2606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0"/>
        <v>70</v>
      </c>
      <c r="S636" s="118">
        <v>1</v>
      </c>
      <c r="T636" s="121" t="s">
        <v>2322</v>
      </c>
    </row>
    <row r="637" spans="1:20" ht="15">
      <c r="A637" s="122" t="s">
        <v>2607</v>
      </c>
      <c r="B637" s="118">
        <v>2025</v>
      </c>
      <c r="C637" s="118" t="s">
        <v>22</v>
      </c>
      <c r="D637" s="118" t="s">
        <v>2608</v>
      </c>
      <c r="E637" s="145" t="s">
        <v>2609</v>
      </c>
      <c r="F637" s="120" t="s">
        <v>69</v>
      </c>
      <c r="G637" s="121" t="s">
        <v>79</v>
      </c>
      <c r="H637" s="173" t="s">
        <v>2610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0"/>
        <v>28</v>
      </c>
      <c r="S637" s="118">
        <v>12</v>
      </c>
      <c r="T637" s="121" t="s">
        <v>2611</v>
      </c>
    </row>
    <row r="638" spans="1:20" ht="15">
      <c r="A638" s="122" t="s">
        <v>2612</v>
      </c>
      <c r="B638" s="118">
        <v>2025</v>
      </c>
      <c r="C638" s="118" t="s">
        <v>22</v>
      </c>
      <c r="D638" s="118" t="s">
        <v>2613</v>
      </c>
      <c r="E638" s="119" t="s">
        <v>2614</v>
      </c>
      <c r="F638" s="120" t="s">
        <v>88</v>
      </c>
      <c r="G638" s="121" t="s">
        <v>79</v>
      </c>
      <c r="H638" s="122" t="s">
        <v>2615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0"/>
        <v>30</v>
      </c>
      <c r="S638" s="118">
        <v>12</v>
      </c>
      <c r="T638" s="121" t="s">
        <v>2616</v>
      </c>
    </row>
    <row r="639" spans="1:20" ht="15">
      <c r="A639" s="122" t="s">
        <v>2617</v>
      </c>
      <c r="B639" s="118">
        <v>2025</v>
      </c>
      <c r="C639" s="118" t="s">
        <v>22</v>
      </c>
      <c r="D639" s="118" t="s">
        <v>2618</v>
      </c>
      <c r="E639" s="119" t="s">
        <v>2619</v>
      </c>
      <c r="F639" s="120" t="s">
        <v>24</v>
      </c>
      <c r="G639" s="121" t="s">
        <v>36</v>
      </c>
      <c r="H639" s="122" t="s">
        <v>2620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0"/>
        <v>21</v>
      </c>
      <c r="S639" s="118" t="s">
        <v>2577</v>
      </c>
      <c r="T639" s="121" t="s">
        <v>2578</v>
      </c>
    </row>
    <row r="640" spans="1:20" ht="15">
      <c r="A640" s="122" t="s">
        <v>2621</v>
      </c>
      <c r="B640" s="118">
        <v>2025</v>
      </c>
      <c r="C640" s="118" t="s">
        <v>22</v>
      </c>
      <c r="D640" s="118" t="s">
        <v>2622</v>
      </c>
      <c r="E640" s="119" t="s">
        <v>2623</v>
      </c>
      <c r="F640" s="120" t="s">
        <v>88</v>
      </c>
      <c r="G640" s="132" t="s">
        <v>79</v>
      </c>
      <c r="H640" s="122" t="s">
        <v>2624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0"/>
        <v>179</v>
      </c>
      <c r="S640" s="118">
        <v>14</v>
      </c>
      <c r="T640" s="121" t="s">
        <v>479</v>
      </c>
    </row>
    <row r="641" spans="1:20" ht="30">
      <c r="A641" s="122" t="s">
        <v>2625</v>
      </c>
      <c r="B641" s="118">
        <v>2025</v>
      </c>
      <c r="C641" s="146" t="s">
        <v>22</v>
      </c>
      <c r="D641" s="118" t="s">
        <v>2626</v>
      </c>
      <c r="E641" s="119" t="s">
        <v>2627</v>
      </c>
      <c r="F641" s="151" t="s">
        <v>24</v>
      </c>
      <c r="G641" s="132" t="s">
        <v>206</v>
      </c>
      <c r="H641" s="122" t="s">
        <v>2628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0"/>
        <v>0</v>
      </c>
      <c r="S641" s="118">
        <v>2</v>
      </c>
      <c r="T641" s="121"/>
    </row>
    <row r="642" spans="1:20" ht="15">
      <c r="A642" s="122" t="s">
        <v>2629</v>
      </c>
      <c r="B642" s="118">
        <v>2025</v>
      </c>
      <c r="C642" s="118" t="s">
        <v>22</v>
      </c>
      <c r="D642" s="118" t="s">
        <v>2630</v>
      </c>
      <c r="E642" s="119" t="s">
        <v>2438</v>
      </c>
      <c r="F642" s="120" t="s">
        <v>88</v>
      </c>
      <c r="G642" s="135" t="s">
        <v>79</v>
      </c>
      <c r="H642" s="147" t="s">
        <v>2631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2632</v>
      </c>
    </row>
    <row r="643" spans="1:20" ht="15">
      <c r="A643" s="122" t="s">
        <v>2633</v>
      </c>
      <c r="B643" s="118">
        <v>2025</v>
      </c>
      <c r="C643" s="118" t="s">
        <v>22</v>
      </c>
      <c r="D643" s="118" t="s">
        <v>2634</v>
      </c>
      <c r="E643" s="119" t="s">
        <v>2276</v>
      </c>
      <c r="F643" s="120" t="s">
        <v>88</v>
      </c>
      <c r="G643" s="121" t="s">
        <v>79</v>
      </c>
      <c r="H643" s="122" t="s">
        <v>2635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1">SUM(O643:Q643)</f>
        <v>33</v>
      </c>
      <c r="S643" s="118">
        <v>20</v>
      </c>
      <c r="T643" s="121" t="s">
        <v>2166</v>
      </c>
    </row>
    <row r="644" spans="1:20" ht="30">
      <c r="A644" s="122" t="s">
        <v>2636</v>
      </c>
      <c r="B644" s="118">
        <v>2025</v>
      </c>
      <c r="C644" s="146" t="s">
        <v>22</v>
      </c>
      <c r="D644" s="118" t="s">
        <v>2366</v>
      </c>
      <c r="E644" s="119" t="s">
        <v>2637</v>
      </c>
      <c r="F644" s="120" t="s">
        <v>88</v>
      </c>
      <c r="G644" s="121" t="s">
        <v>79</v>
      </c>
      <c r="H644" s="122" t="s">
        <v>2638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1"/>
        <v>39</v>
      </c>
      <c r="S644" s="118">
        <v>4</v>
      </c>
      <c r="T644" s="148" t="s">
        <v>2369</v>
      </c>
    </row>
    <row r="645" spans="1:20" ht="30">
      <c r="A645" s="122" t="s">
        <v>2639</v>
      </c>
      <c r="B645" s="118">
        <v>2025</v>
      </c>
      <c r="C645" s="118" t="s">
        <v>22</v>
      </c>
      <c r="D645" s="118" t="s">
        <v>2640</v>
      </c>
      <c r="E645" s="119" t="s">
        <v>2558</v>
      </c>
      <c r="F645" s="120" t="s">
        <v>88</v>
      </c>
      <c r="G645" s="121" t="s">
        <v>79</v>
      </c>
      <c r="H645" s="122" t="s">
        <v>2638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1"/>
        <v>39</v>
      </c>
      <c r="S645" s="118">
        <v>4</v>
      </c>
      <c r="T645" s="148" t="s">
        <v>2641</v>
      </c>
    </row>
    <row r="646" spans="1:20" ht="30">
      <c r="A646" s="122" t="s">
        <v>2642</v>
      </c>
      <c r="B646" s="118">
        <v>2025</v>
      </c>
      <c r="C646" s="146" t="s">
        <v>22</v>
      </c>
      <c r="D646" s="118" t="s">
        <v>2643</v>
      </c>
      <c r="E646" s="119" t="s">
        <v>2644</v>
      </c>
      <c r="F646" s="151" t="s">
        <v>24</v>
      </c>
      <c r="G646" s="132" t="s">
        <v>206</v>
      </c>
      <c r="H646" s="122" t="s">
        <v>2645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1"/>
        <v>170</v>
      </c>
      <c r="S646" s="118">
        <v>2</v>
      </c>
      <c r="T646" s="132" t="s">
        <v>2616</v>
      </c>
    </row>
    <row r="647" spans="1:20" ht="30">
      <c r="A647" s="122" t="s">
        <v>2646</v>
      </c>
      <c r="B647" s="118">
        <v>2025</v>
      </c>
      <c r="C647" s="146" t="s">
        <v>22</v>
      </c>
      <c r="D647" s="118" t="s">
        <v>2492</v>
      </c>
      <c r="E647" s="119" t="s">
        <v>2647</v>
      </c>
      <c r="F647" s="120" t="s">
        <v>24</v>
      </c>
      <c r="G647" s="132" t="s">
        <v>206</v>
      </c>
      <c r="H647" s="122" t="s">
        <v>2648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1"/>
        <v>13</v>
      </c>
      <c r="S647" s="118">
        <v>20</v>
      </c>
      <c r="T647" s="121" t="s">
        <v>803</v>
      </c>
    </row>
    <row r="648" spans="1:20" ht="15">
      <c r="A648" s="122" t="s">
        <v>2649</v>
      </c>
      <c r="B648" s="118">
        <v>2025</v>
      </c>
      <c r="C648" s="118" t="s">
        <v>22</v>
      </c>
      <c r="D648" s="172" t="s">
        <v>2650</v>
      </c>
      <c r="E648" s="119" t="s">
        <v>2235</v>
      </c>
      <c r="F648" s="120" t="s">
        <v>69</v>
      </c>
      <c r="G648" s="121" t="s">
        <v>79</v>
      </c>
      <c r="H648" s="177" t="s">
        <v>2651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1"/>
        <v>34</v>
      </c>
      <c r="S648" s="118">
        <v>20</v>
      </c>
      <c r="T648" s="121" t="s">
        <v>2026</v>
      </c>
    </row>
    <row r="649" spans="1:20" ht="15">
      <c r="A649" s="122" t="s">
        <v>2652</v>
      </c>
      <c r="B649" s="118">
        <v>2025</v>
      </c>
      <c r="C649" s="118" t="s">
        <v>22</v>
      </c>
      <c r="D649" s="118" t="s">
        <v>2653</v>
      </c>
      <c r="E649" s="119" t="s">
        <v>2654</v>
      </c>
      <c r="F649" s="120" t="s">
        <v>69</v>
      </c>
      <c r="G649" s="121" t="s">
        <v>79</v>
      </c>
      <c r="H649" s="173" t="s">
        <v>2655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1"/>
        <v>45</v>
      </c>
      <c r="S649" s="118">
        <v>12</v>
      </c>
      <c r="T649" s="121" t="s">
        <v>2462</v>
      </c>
    </row>
    <row r="650" spans="1:20" ht="30">
      <c r="A650" s="122" t="s">
        <v>2656</v>
      </c>
      <c r="B650" s="118">
        <v>2025</v>
      </c>
      <c r="C650" s="146" t="s">
        <v>22</v>
      </c>
      <c r="D650" s="118" t="s">
        <v>2657</v>
      </c>
      <c r="E650" s="119" t="s">
        <v>2658</v>
      </c>
      <c r="F650" s="120" t="s">
        <v>24</v>
      </c>
      <c r="G650" s="132" t="s">
        <v>206</v>
      </c>
      <c r="H650" s="122" t="s">
        <v>2659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1"/>
        <v>72</v>
      </c>
      <c r="S650" s="118">
        <v>8</v>
      </c>
      <c r="T650" s="132" t="s">
        <v>2660</v>
      </c>
    </row>
    <row r="651" spans="1:20" ht="30">
      <c r="A651" s="122" t="s">
        <v>2661</v>
      </c>
      <c r="B651" s="118">
        <v>2025</v>
      </c>
      <c r="C651" s="146" t="s">
        <v>22</v>
      </c>
      <c r="D651" s="118" t="s">
        <v>2662</v>
      </c>
      <c r="E651" s="145" t="s">
        <v>2663</v>
      </c>
      <c r="F651" s="120" t="s">
        <v>24</v>
      </c>
      <c r="G651" s="121" t="s">
        <v>42</v>
      </c>
      <c r="H651" s="122" t="s">
        <v>2664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2665</v>
      </c>
    </row>
    <row r="652" spans="1:20" ht="15">
      <c r="A652" s="122" t="s">
        <v>2666</v>
      </c>
      <c r="B652" s="118">
        <v>2025</v>
      </c>
      <c r="C652" s="146" t="s">
        <v>22</v>
      </c>
      <c r="D652" s="118" t="s">
        <v>2667</v>
      </c>
      <c r="E652" s="119" t="s">
        <v>2668</v>
      </c>
      <c r="F652" s="120" t="s">
        <v>24</v>
      </c>
      <c r="G652" s="121" t="s">
        <v>25</v>
      </c>
      <c r="H652" s="147" t="s">
        <v>2669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2670</v>
      </c>
    </row>
    <row r="653" spans="1:20" ht="15">
      <c r="A653" s="122" t="s">
        <v>2671</v>
      </c>
      <c r="B653" s="118">
        <v>2025</v>
      </c>
      <c r="C653" s="118" t="s">
        <v>22</v>
      </c>
      <c r="D653" s="118" t="s">
        <v>2672</v>
      </c>
      <c r="E653" s="145" t="s">
        <v>2673</v>
      </c>
      <c r="F653" s="120" t="s">
        <v>88</v>
      </c>
      <c r="G653" s="121" t="s">
        <v>79</v>
      </c>
      <c r="H653" s="147" t="s">
        <v>2669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>
      <c r="A654" s="122" t="s">
        <v>2674</v>
      </c>
      <c r="B654" s="118">
        <v>2025</v>
      </c>
      <c r="C654" s="118" t="s">
        <v>22</v>
      </c>
      <c r="D654" s="118" t="s">
        <v>2675</v>
      </c>
      <c r="E654" s="119" t="s">
        <v>2676</v>
      </c>
      <c r="F654" s="120" t="s">
        <v>24</v>
      </c>
      <c r="G654" s="121" t="s">
        <v>42</v>
      </c>
      <c r="H654" s="147" t="s">
        <v>2677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>
      <c r="A655" s="122" t="s">
        <v>2678</v>
      </c>
      <c r="B655" s="118">
        <v>2025</v>
      </c>
      <c r="C655" s="118" t="s">
        <v>22</v>
      </c>
      <c r="D655" s="118" t="s">
        <v>2679</v>
      </c>
      <c r="E655" s="119" t="s">
        <v>2680</v>
      </c>
      <c r="F655" s="120" t="s">
        <v>24</v>
      </c>
      <c r="G655" s="121" t="s">
        <v>206</v>
      </c>
      <c r="H655" s="122" t="s">
        <v>2681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>
      <c r="A656" s="122" t="s">
        <v>2682</v>
      </c>
      <c r="B656" s="118">
        <v>2025</v>
      </c>
      <c r="C656" s="118" t="s">
        <v>22</v>
      </c>
      <c r="D656" s="118" t="s">
        <v>2683</v>
      </c>
      <c r="E656" s="119" t="s">
        <v>2684</v>
      </c>
      <c r="F656" s="120" t="s">
        <v>88</v>
      </c>
      <c r="G656" s="121" t="s">
        <v>79</v>
      </c>
      <c r="H656" s="129" t="s">
        <v>2685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>
      <c r="A657" s="156" t="s">
        <v>2686</v>
      </c>
      <c r="B657" s="118">
        <v>2026</v>
      </c>
      <c r="C657" s="154" t="s">
        <v>22</v>
      </c>
      <c r="D657" s="154" t="s">
        <v>2687</v>
      </c>
      <c r="E657" s="159" t="s">
        <v>2688</v>
      </c>
      <c r="F657" s="170" t="s">
        <v>69</v>
      </c>
      <c r="G657" s="155" t="s">
        <v>79</v>
      </c>
      <c r="H657" s="156" t="s">
        <v>2689</v>
      </c>
      <c r="I657" s="203">
        <v>46240</v>
      </c>
      <c r="J657" s="203">
        <v>46241</v>
      </c>
      <c r="K657" s="154" t="s">
        <v>38</v>
      </c>
      <c r="L657" s="204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2690</v>
      </c>
    </row>
    <row r="658" spans="1:20" ht="15">
      <c r="A658" s="156" t="s">
        <v>2691</v>
      </c>
      <c r="B658" s="118">
        <v>2026</v>
      </c>
      <c r="C658" s="118" t="s">
        <v>22</v>
      </c>
      <c r="D658" s="154" t="s">
        <v>2692</v>
      </c>
      <c r="E658" s="145" t="s">
        <v>2693</v>
      </c>
      <c r="F658" s="120" t="s">
        <v>69</v>
      </c>
      <c r="G658" s="155" t="s">
        <v>2694</v>
      </c>
      <c r="H658" s="156" t="s">
        <v>2695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>
      <c r="A659" s="122" t="s">
        <v>2696</v>
      </c>
      <c r="B659" s="118">
        <v>2026</v>
      </c>
      <c r="C659" s="154" t="s">
        <v>2697</v>
      </c>
      <c r="D659" s="154" t="s">
        <v>2698</v>
      </c>
      <c r="E659" s="159" t="s">
        <v>2699</v>
      </c>
      <c r="F659" s="170" t="s">
        <v>24</v>
      </c>
      <c r="G659" s="155" t="s">
        <v>2700</v>
      </c>
      <c r="H659" s="156" t="s">
        <v>2701</v>
      </c>
      <c r="I659" s="203">
        <v>46143</v>
      </c>
      <c r="J659" s="203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>
      <c r="A660" s="156" t="s">
        <v>2702</v>
      </c>
      <c r="B660" s="118">
        <v>2026</v>
      </c>
      <c r="C660" s="154" t="s">
        <v>22</v>
      </c>
      <c r="D660" s="154" t="s">
        <v>2703</v>
      </c>
      <c r="E660" s="159" t="s">
        <v>2704</v>
      </c>
      <c r="F660" s="170" t="s">
        <v>24</v>
      </c>
      <c r="G660" s="155" t="s">
        <v>206</v>
      </c>
      <c r="H660" s="156" t="s">
        <v>2705</v>
      </c>
      <c r="I660" s="203">
        <v>46248</v>
      </c>
      <c r="J660" s="203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2706</v>
      </c>
    </row>
    <row r="661" spans="1:20" ht="15">
      <c r="A661" s="122" t="s">
        <v>2707</v>
      </c>
      <c r="B661" s="118">
        <v>2026</v>
      </c>
      <c r="C661" s="118" t="s">
        <v>22</v>
      </c>
      <c r="D661" s="118" t="s">
        <v>2708</v>
      </c>
      <c r="E661" s="119" t="s">
        <v>2138</v>
      </c>
      <c r="F661" s="120" t="s">
        <v>69</v>
      </c>
      <c r="G661" s="121" t="s">
        <v>79</v>
      </c>
      <c r="H661" s="122" t="s">
        <v>2709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>
      <c r="A662" s="156" t="s">
        <v>2710</v>
      </c>
      <c r="B662" s="118">
        <v>2026</v>
      </c>
      <c r="C662" s="154" t="s">
        <v>2697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203"/>
      <c r="J662" s="203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>
      <c r="A663" s="156" t="s">
        <v>2714</v>
      </c>
      <c r="B663" s="118">
        <v>2026</v>
      </c>
      <c r="C663" s="146" t="s">
        <v>2566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203">
        <v>46189</v>
      </c>
      <c r="J664" s="203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2676</v>
      </c>
      <c r="F665" s="170" t="s">
        <v>24</v>
      </c>
      <c r="G665" s="155" t="s">
        <v>42</v>
      </c>
      <c r="H665" s="156" t="s">
        <v>2727</v>
      </c>
      <c r="I665" s="203">
        <v>46160</v>
      </c>
      <c r="J665" s="203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203">
        <v>46140</v>
      </c>
      <c r="J666" s="203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>
      <c r="A668" s="156" t="s">
        <v>2736</v>
      </c>
      <c r="B668" s="118">
        <v>2026</v>
      </c>
      <c r="C668" s="205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203">
        <v>46223</v>
      </c>
      <c r="J668" s="203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2694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2694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206" t="s">
        <v>2751</v>
      </c>
      <c r="I671" s="203">
        <v>46259</v>
      </c>
      <c r="J671" s="203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203">
        <v>46148</v>
      </c>
      <c r="J672" s="203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2694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2694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>
      <c r="A677" s="122" t="s">
        <v>2776</v>
      </c>
      <c r="B677" s="118">
        <v>2026</v>
      </c>
      <c r="C677" s="207" t="s">
        <v>2566</v>
      </c>
      <c r="D677" s="207" t="s">
        <v>2777</v>
      </c>
      <c r="E677" s="159" t="s">
        <v>2778</v>
      </c>
      <c r="F677" s="170" t="s">
        <v>69</v>
      </c>
      <c r="G677" s="208" t="s">
        <v>2694</v>
      </c>
      <c r="H677" s="165" t="s">
        <v>2701</v>
      </c>
      <c r="I677" s="209">
        <v>46157</v>
      </c>
      <c r="J677" s="209">
        <v>46387</v>
      </c>
      <c r="K677" s="154" t="s">
        <v>38</v>
      </c>
      <c r="L677" s="210">
        <v>45905.42</v>
      </c>
      <c r="M677" s="211"/>
      <c r="N677" s="212"/>
      <c r="O677" s="212">
        <v>0</v>
      </c>
      <c r="P677" s="212">
        <v>0</v>
      </c>
      <c r="Q677" s="212">
        <v>0</v>
      </c>
      <c r="R677" s="212">
        <f>IF(B677="","",SUM(O677:Q677))</f>
        <v>0</v>
      </c>
      <c r="S677" s="207">
        <v>65</v>
      </c>
      <c r="T677" s="155" t="s">
        <v>2744</v>
      </c>
    </row>
    <row r="678" spans="1:20" ht="15">
      <c r="A678" s="156" t="s">
        <v>2779</v>
      </c>
      <c r="B678" s="118">
        <v>2026</v>
      </c>
      <c r="C678" s="207" t="s">
        <v>22</v>
      </c>
      <c r="D678" s="207" t="s">
        <v>2780</v>
      </c>
      <c r="E678" s="159" t="s">
        <v>2781</v>
      </c>
      <c r="F678" s="170" t="s">
        <v>69</v>
      </c>
      <c r="G678" s="208" t="s">
        <v>79</v>
      </c>
      <c r="H678" s="165" t="s">
        <v>2782</v>
      </c>
      <c r="I678" s="209">
        <v>46246</v>
      </c>
      <c r="J678" s="209">
        <v>46246</v>
      </c>
      <c r="K678" s="154" t="s">
        <v>38</v>
      </c>
      <c r="L678" s="160">
        <v>2347</v>
      </c>
      <c r="M678" s="211">
        <v>4.75</v>
      </c>
      <c r="N678" s="212">
        <v>50</v>
      </c>
      <c r="O678" s="212">
        <v>3</v>
      </c>
      <c r="P678" s="212">
        <v>37</v>
      </c>
      <c r="Q678" s="212">
        <v>0</v>
      </c>
      <c r="R678" s="212">
        <f>IF(B678="","",SUM(O678:Q678))</f>
        <v>40</v>
      </c>
      <c r="S678" s="207">
        <v>4</v>
      </c>
      <c r="T678" s="155" t="s">
        <v>1958</v>
      </c>
    </row>
    <row r="679" spans="1:20" ht="15">
      <c r="A679" s="156" t="s">
        <v>2783</v>
      </c>
      <c r="B679" s="118">
        <v>2026</v>
      </c>
      <c r="C679" s="207" t="s">
        <v>22</v>
      </c>
      <c r="D679" s="207" t="s">
        <v>2784</v>
      </c>
      <c r="E679" s="213" t="s">
        <v>2785</v>
      </c>
      <c r="F679" s="170" t="s">
        <v>69</v>
      </c>
      <c r="G679" s="155" t="s">
        <v>79</v>
      </c>
      <c r="H679" s="165" t="s">
        <v>2786</v>
      </c>
      <c r="I679" s="209">
        <v>46247</v>
      </c>
      <c r="J679" s="209">
        <v>46247</v>
      </c>
      <c r="K679" s="154" t="s">
        <v>38</v>
      </c>
      <c r="L679" s="210">
        <v>1770</v>
      </c>
      <c r="M679" s="211"/>
      <c r="N679" s="212">
        <v>50</v>
      </c>
      <c r="O679" s="212">
        <v>6</v>
      </c>
      <c r="P679" s="212">
        <v>34</v>
      </c>
      <c r="Q679" s="212">
        <v>0</v>
      </c>
      <c r="R679" s="212">
        <f>IF(B679="","",SUM(O679:Q679))</f>
        <v>40</v>
      </c>
      <c r="S679" s="207">
        <v>4</v>
      </c>
      <c r="T679" s="208" t="s">
        <v>2787</v>
      </c>
    </row>
    <row r="680" spans="1:20" ht="1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>
      <c r="A682" s="156" t="s">
        <v>2798</v>
      </c>
      <c r="B682" s="118">
        <v>2026</v>
      </c>
      <c r="C682" s="207" t="s">
        <v>2789</v>
      </c>
      <c r="D682" s="137" t="s">
        <v>2790</v>
      </c>
      <c r="E682" s="138" t="s">
        <v>2796</v>
      </c>
      <c r="F682" s="170" t="s">
        <v>24</v>
      </c>
      <c r="G682" s="208" t="s">
        <v>2792</v>
      </c>
      <c r="H682" s="165" t="s">
        <v>2799</v>
      </c>
      <c r="I682" s="209">
        <v>46237</v>
      </c>
      <c r="J682" s="209">
        <v>46239</v>
      </c>
      <c r="K682" s="154" t="s">
        <v>38</v>
      </c>
      <c r="L682" s="210">
        <v>0</v>
      </c>
      <c r="M682" s="211"/>
      <c r="N682" s="212">
        <v>15</v>
      </c>
      <c r="O682" s="212"/>
      <c r="P682" s="212"/>
      <c r="Q682" s="212"/>
      <c r="R682" s="212">
        <f>IF(B682="","",SUM(O682:Q682))</f>
        <v>0</v>
      </c>
      <c r="S682" s="207">
        <v>15</v>
      </c>
      <c r="T682" s="155" t="s">
        <v>2794</v>
      </c>
    </row>
    <row r="683" spans="1:20" ht="1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2694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203">
        <v>46203</v>
      </c>
      <c r="J688" s="203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2700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2700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2700</v>
      </c>
      <c r="H691" s="156" t="s">
        <v>2838</v>
      </c>
      <c r="I691" s="203">
        <v>46154</v>
      </c>
      <c r="J691" s="203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2700</v>
      </c>
      <c r="H692" s="156" t="s">
        <v>2841</v>
      </c>
      <c r="I692" s="203">
        <v>46196</v>
      </c>
      <c r="J692" s="203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>
      <c r="A693" s="156" t="s">
        <v>2842</v>
      </c>
      <c r="B693" s="137">
        <v>2026</v>
      </c>
      <c r="C693" s="154" t="s">
        <v>2697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2701</v>
      </c>
      <c r="I693" s="203">
        <v>46204</v>
      </c>
      <c r="J693" s="203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16</v>
      </c>
      <c r="T693" s="155" t="s">
        <v>556</v>
      </c>
    </row>
    <row r="694" spans="1:20" ht="15">
      <c r="A694" s="156" t="s">
        <v>2845</v>
      </c>
      <c r="B694" s="137">
        <v>2026</v>
      </c>
      <c r="C694" s="118" t="s">
        <v>2697</v>
      </c>
      <c r="D694" s="154" t="s">
        <v>2846</v>
      </c>
      <c r="E694" s="159" t="s">
        <v>2847</v>
      </c>
      <c r="F694" s="120" t="s">
        <v>69</v>
      </c>
      <c r="G694" s="121" t="s">
        <v>79</v>
      </c>
      <c r="H694" s="156" t="s">
        <v>2848</v>
      </c>
      <c r="I694" s="157">
        <v>46335</v>
      </c>
      <c r="J694" s="157">
        <v>46336</v>
      </c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>
      <c r="A695" s="156" t="s">
        <v>2849</v>
      </c>
      <c r="B695" s="137">
        <v>2026</v>
      </c>
      <c r="C695" s="154" t="s">
        <v>2697</v>
      </c>
      <c r="D695" s="154" t="s">
        <v>2850</v>
      </c>
      <c r="E695" s="159" t="s">
        <v>2851</v>
      </c>
      <c r="F695" s="170" t="s">
        <v>69</v>
      </c>
      <c r="G695" s="155" t="s">
        <v>79</v>
      </c>
      <c r="H695" s="156" t="s">
        <v>2852</v>
      </c>
      <c r="I695" s="203">
        <v>46321</v>
      </c>
      <c r="J695" s="203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>
      <c r="A696" s="122" t="s">
        <v>2853</v>
      </c>
      <c r="B696" s="137">
        <v>2026</v>
      </c>
      <c r="C696" s="118" t="s">
        <v>22</v>
      </c>
      <c r="D696" s="118" t="s">
        <v>2854</v>
      </c>
      <c r="E696" s="119" t="s">
        <v>2855</v>
      </c>
      <c r="F696" s="120" t="s">
        <v>69</v>
      </c>
      <c r="G696" s="121" t="s">
        <v>79</v>
      </c>
      <c r="H696" s="122" t="s">
        <v>2856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>
      <c r="A697" s="122" t="s">
        <v>2857</v>
      </c>
      <c r="B697" s="137">
        <v>2026</v>
      </c>
      <c r="C697" s="118" t="s">
        <v>22</v>
      </c>
      <c r="D697" s="154" t="s">
        <v>2858</v>
      </c>
      <c r="E697" s="159" t="s">
        <v>2859</v>
      </c>
      <c r="F697" s="120" t="s">
        <v>24</v>
      </c>
      <c r="G697" s="132" t="s">
        <v>2700</v>
      </c>
      <c r="H697" s="156" t="s">
        <v>2860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>
      <c r="A698" s="156" t="s">
        <v>2861</v>
      </c>
      <c r="B698" s="137">
        <v>2026</v>
      </c>
      <c r="C698" s="154" t="s">
        <v>2789</v>
      </c>
      <c r="D698" s="154" t="s">
        <v>2862</v>
      </c>
      <c r="E698" s="159" t="s">
        <v>2863</v>
      </c>
      <c r="F698" s="170" t="s">
        <v>24</v>
      </c>
      <c r="G698" s="155" t="s">
        <v>75</v>
      </c>
      <c r="H698" s="156" t="s">
        <v>2864</v>
      </c>
      <c r="I698" s="203">
        <v>46174</v>
      </c>
      <c r="J698" s="203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2865</v>
      </c>
    </row>
    <row r="699" spans="1:20" ht="15">
      <c r="A699" s="122" t="s">
        <v>2866</v>
      </c>
      <c r="B699" s="137">
        <v>2026</v>
      </c>
      <c r="C699" s="118" t="s">
        <v>22</v>
      </c>
      <c r="D699" s="118" t="s">
        <v>2867</v>
      </c>
      <c r="E699" s="119" t="s">
        <v>2868</v>
      </c>
      <c r="F699" s="120" t="s">
        <v>24</v>
      </c>
      <c r="G699" s="121" t="s">
        <v>206</v>
      </c>
      <c r="H699" s="122" t="s">
        <v>2869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2870</v>
      </c>
    </row>
    <row r="700" spans="1:20" ht="15">
      <c r="A700" s="156" t="s">
        <v>2871</v>
      </c>
      <c r="B700" s="137">
        <v>2026</v>
      </c>
      <c r="C700" s="154" t="s">
        <v>22</v>
      </c>
      <c r="D700" s="154" t="s">
        <v>2872</v>
      </c>
      <c r="E700" s="159" t="s">
        <v>2873</v>
      </c>
      <c r="F700" s="170" t="s">
        <v>88</v>
      </c>
      <c r="G700" s="155" t="s">
        <v>2717</v>
      </c>
      <c r="H700" s="156" t="s">
        <v>2874</v>
      </c>
      <c r="I700" s="203">
        <v>46204</v>
      </c>
      <c r="J700" s="203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2">IF(B700="","",SUM(O700:Q700))</f>
        <v>42</v>
      </c>
      <c r="S700" s="154">
        <v>12</v>
      </c>
      <c r="T700" s="155" t="s">
        <v>2452</v>
      </c>
    </row>
    <row r="701" spans="1:20" ht="15">
      <c r="A701" s="156" t="s">
        <v>2875</v>
      </c>
      <c r="B701" s="137">
        <v>2026</v>
      </c>
      <c r="C701" s="154" t="s">
        <v>22</v>
      </c>
      <c r="D701" s="154" t="s">
        <v>2876</v>
      </c>
      <c r="E701" s="159" t="s">
        <v>2877</v>
      </c>
      <c r="F701" s="170" t="s">
        <v>24</v>
      </c>
      <c r="G701" s="155" t="s">
        <v>75</v>
      </c>
      <c r="H701" s="156" t="s">
        <v>2878</v>
      </c>
      <c r="I701" s="203">
        <v>46223</v>
      </c>
      <c r="J701" s="203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2"/>
        <v>15</v>
      </c>
      <c r="S701" s="154">
        <v>24</v>
      </c>
      <c r="T701" s="155" t="s">
        <v>2809</v>
      </c>
    </row>
    <row r="702" spans="1:20" ht="15">
      <c r="A702" s="156" t="s">
        <v>2879</v>
      </c>
      <c r="B702" s="137">
        <v>2026</v>
      </c>
      <c r="C702" s="154" t="s">
        <v>22</v>
      </c>
      <c r="D702" s="154" t="s">
        <v>2880</v>
      </c>
      <c r="E702" s="159" t="s">
        <v>2881</v>
      </c>
      <c r="F702" s="170" t="s">
        <v>69</v>
      </c>
      <c r="G702" s="155" t="s">
        <v>79</v>
      </c>
      <c r="H702" s="156" t="s">
        <v>2786</v>
      </c>
      <c r="I702" s="203">
        <v>46247</v>
      </c>
      <c r="J702" s="203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2"/>
        <v>51</v>
      </c>
      <c r="S702" s="154">
        <v>4</v>
      </c>
      <c r="T702" s="155" t="s">
        <v>2882</v>
      </c>
    </row>
    <row r="703" spans="1:20" ht="15">
      <c r="A703" s="156" t="s">
        <v>2883</v>
      </c>
      <c r="B703" s="137">
        <v>2026</v>
      </c>
      <c r="C703" s="154" t="s">
        <v>22</v>
      </c>
      <c r="D703" s="154" t="s">
        <v>2884</v>
      </c>
      <c r="E703" s="159" t="s">
        <v>2885</v>
      </c>
      <c r="F703" s="170" t="s">
        <v>69</v>
      </c>
      <c r="G703" s="155" t="s">
        <v>79</v>
      </c>
      <c r="H703" s="156" t="s">
        <v>2782</v>
      </c>
      <c r="I703" s="203">
        <v>46246</v>
      </c>
      <c r="J703" s="203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2"/>
        <v>42</v>
      </c>
      <c r="S703" s="154">
        <v>4</v>
      </c>
      <c r="T703" s="155" t="s">
        <v>2886</v>
      </c>
    </row>
    <row r="704" spans="1:20" ht="15">
      <c r="A704" s="156" t="s">
        <v>2887</v>
      </c>
      <c r="B704" s="137">
        <v>2026</v>
      </c>
      <c r="C704" s="154" t="s">
        <v>22</v>
      </c>
      <c r="D704" s="154" t="s">
        <v>2888</v>
      </c>
      <c r="E704" s="159" t="s">
        <v>2889</v>
      </c>
      <c r="F704" s="170" t="s">
        <v>69</v>
      </c>
      <c r="G704" s="155" t="s">
        <v>79</v>
      </c>
      <c r="H704" s="156" t="s">
        <v>2890</v>
      </c>
      <c r="I704" s="203">
        <v>46244</v>
      </c>
      <c r="J704" s="203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2"/>
        <v>34</v>
      </c>
      <c r="S704" s="154">
        <v>8</v>
      </c>
      <c r="T704" s="121" t="s">
        <v>2713</v>
      </c>
    </row>
    <row r="705" spans="1:21" ht="15">
      <c r="A705" s="156" t="s">
        <v>2891</v>
      </c>
      <c r="B705" s="137">
        <v>2026</v>
      </c>
      <c r="C705" s="154" t="s">
        <v>22</v>
      </c>
      <c r="D705" s="154" t="s">
        <v>2892</v>
      </c>
      <c r="E705" s="159" t="s">
        <v>2893</v>
      </c>
      <c r="F705" s="170" t="s">
        <v>69</v>
      </c>
      <c r="G705" s="155" t="s">
        <v>79</v>
      </c>
      <c r="H705" s="156" t="s">
        <v>2705</v>
      </c>
      <c r="I705" s="156" t="s">
        <v>2705</v>
      </c>
      <c r="J705" s="156" t="s">
        <v>2705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2"/>
        <v>47</v>
      </c>
      <c r="S705" s="154">
        <v>4</v>
      </c>
      <c r="T705" s="155" t="s">
        <v>2894</v>
      </c>
    </row>
    <row r="706" spans="1:21" ht="15">
      <c r="A706" s="156" t="s">
        <v>2895</v>
      </c>
      <c r="B706" s="137">
        <v>2026</v>
      </c>
      <c r="C706" s="154" t="s">
        <v>22</v>
      </c>
      <c r="D706" s="154" t="s">
        <v>2896</v>
      </c>
      <c r="E706" s="159" t="s">
        <v>2893</v>
      </c>
      <c r="F706" s="170" t="s">
        <v>69</v>
      </c>
      <c r="G706" s="155" t="s">
        <v>79</v>
      </c>
      <c r="H706" s="156" t="s">
        <v>2897</v>
      </c>
      <c r="I706" s="203">
        <v>46244</v>
      </c>
      <c r="J706" s="203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2"/>
        <v>77</v>
      </c>
      <c r="S706" s="154">
        <v>4</v>
      </c>
      <c r="T706" s="155" t="s">
        <v>2452</v>
      </c>
    </row>
    <row r="707" spans="1:21" ht="15">
      <c r="A707" s="156" t="s">
        <v>2898</v>
      </c>
      <c r="B707" s="137">
        <v>2026</v>
      </c>
      <c r="C707" s="154" t="s">
        <v>22</v>
      </c>
      <c r="D707" s="154" t="s">
        <v>2899</v>
      </c>
      <c r="E707" s="159" t="s">
        <v>2900</v>
      </c>
      <c r="F707" s="170" t="s">
        <v>69</v>
      </c>
      <c r="G707" s="155" t="s">
        <v>79</v>
      </c>
      <c r="H707" s="156" t="s">
        <v>2901</v>
      </c>
      <c r="I707" s="203">
        <v>46245</v>
      </c>
      <c r="J707" s="203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2"/>
        <v>57</v>
      </c>
      <c r="S707" s="154">
        <v>4</v>
      </c>
      <c r="T707" s="155" t="s">
        <v>2462</v>
      </c>
    </row>
    <row r="708" spans="1:21" ht="15">
      <c r="A708" s="156" t="s">
        <v>2902</v>
      </c>
      <c r="B708" s="137">
        <v>2026</v>
      </c>
      <c r="C708" s="154" t="s">
        <v>22</v>
      </c>
      <c r="D708" s="154" t="s">
        <v>2903</v>
      </c>
      <c r="E708" s="159" t="s">
        <v>2904</v>
      </c>
      <c r="F708" s="170" t="s">
        <v>69</v>
      </c>
      <c r="G708" s="155" t="s">
        <v>79</v>
      </c>
      <c r="H708" s="156" t="s">
        <v>2897</v>
      </c>
      <c r="I708" s="203">
        <v>46244</v>
      </c>
      <c r="J708" s="203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2"/>
        <v>60</v>
      </c>
      <c r="S708" s="154">
        <v>4</v>
      </c>
      <c r="T708" s="155" t="s">
        <v>2905</v>
      </c>
    </row>
    <row r="709" spans="1:21" ht="15">
      <c r="A709" s="156" t="s">
        <v>2906</v>
      </c>
      <c r="B709" s="137">
        <v>2026</v>
      </c>
      <c r="C709" s="154" t="s">
        <v>2697</v>
      </c>
      <c r="D709" s="154" t="s">
        <v>2907</v>
      </c>
      <c r="E709" s="159" t="s">
        <v>2908</v>
      </c>
      <c r="F709" s="170" t="s">
        <v>24</v>
      </c>
      <c r="G709" s="155" t="s">
        <v>75</v>
      </c>
      <c r="H709" s="156" t="s">
        <v>2909</v>
      </c>
      <c r="I709" s="203">
        <v>46344</v>
      </c>
      <c r="J709" s="203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2"/>
        <v>0</v>
      </c>
      <c r="S709" s="154">
        <v>10</v>
      </c>
      <c r="T709" s="155" t="s">
        <v>2910</v>
      </c>
      <c r="U709" s="105"/>
    </row>
    <row r="710" spans="1:21" ht="15">
      <c r="A710" s="156" t="s">
        <v>2911</v>
      </c>
      <c r="B710" s="137">
        <v>2026</v>
      </c>
      <c r="C710" s="154" t="s">
        <v>22</v>
      </c>
      <c r="D710" s="154" t="s">
        <v>2912</v>
      </c>
      <c r="E710" s="159" t="s">
        <v>2913</v>
      </c>
      <c r="F710" s="170" t="s">
        <v>69</v>
      </c>
      <c r="G710" s="155" t="s">
        <v>79</v>
      </c>
      <c r="H710" s="156" t="s">
        <v>2914</v>
      </c>
      <c r="I710" s="203">
        <v>46223</v>
      </c>
      <c r="J710" s="203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2"/>
        <v>220</v>
      </c>
      <c r="S710" s="154">
        <v>4</v>
      </c>
      <c r="T710" s="155" t="s">
        <v>479</v>
      </c>
    </row>
    <row r="711" spans="1:21" ht="15">
      <c r="A711" s="156" t="s">
        <v>2915</v>
      </c>
      <c r="B711" s="137">
        <v>2026</v>
      </c>
      <c r="C711" s="154" t="s">
        <v>22</v>
      </c>
      <c r="D711" s="154" t="s">
        <v>2916</v>
      </c>
      <c r="E711" s="159" t="s">
        <v>2917</v>
      </c>
      <c r="F711" s="170" t="s">
        <v>24</v>
      </c>
      <c r="G711" s="155" t="s">
        <v>206</v>
      </c>
      <c r="H711" s="156" t="s">
        <v>2897</v>
      </c>
      <c r="I711" s="156" t="s">
        <v>2897</v>
      </c>
      <c r="J711" s="156" t="s">
        <v>2897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2"/>
        <v>46</v>
      </c>
      <c r="S711" s="154">
        <v>1</v>
      </c>
      <c r="T711" s="155" t="s">
        <v>2918</v>
      </c>
    </row>
    <row r="712" spans="1:21" ht="15">
      <c r="A712" s="122" t="s">
        <v>2919</v>
      </c>
      <c r="B712" s="137">
        <v>2026</v>
      </c>
      <c r="C712" s="118" t="s">
        <v>22</v>
      </c>
      <c r="D712" s="122" t="s">
        <v>2920</v>
      </c>
      <c r="E712" s="119" t="s">
        <v>2921</v>
      </c>
      <c r="F712" s="120" t="s">
        <v>69</v>
      </c>
      <c r="G712" s="121" t="s">
        <v>79</v>
      </c>
      <c r="H712" s="122" t="s">
        <v>2922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>
      <c r="A713" s="122" t="s">
        <v>2923</v>
      </c>
      <c r="B713" s="137">
        <v>2026</v>
      </c>
      <c r="C713" s="118" t="s">
        <v>22</v>
      </c>
      <c r="D713" s="122" t="s">
        <v>2920</v>
      </c>
      <c r="E713" s="119" t="s">
        <v>2924</v>
      </c>
      <c r="F713" s="120" t="s">
        <v>69</v>
      </c>
      <c r="G713" s="121" t="s">
        <v>79</v>
      </c>
      <c r="H713" s="122" t="s">
        <v>2925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>
      <c r="A714" s="156" t="s">
        <v>2926</v>
      </c>
      <c r="B714" s="137">
        <v>2026</v>
      </c>
      <c r="C714" s="154" t="s">
        <v>22</v>
      </c>
      <c r="D714" s="154" t="s">
        <v>2927</v>
      </c>
      <c r="E714" s="159" t="s">
        <v>2928</v>
      </c>
      <c r="F714" s="170" t="s">
        <v>88</v>
      </c>
      <c r="G714" s="155" t="s">
        <v>2717</v>
      </c>
      <c r="H714" s="156" t="s">
        <v>2929</v>
      </c>
      <c r="I714" s="203">
        <v>46254</v>
      </c>
      <c r="J714" s="203">
        <v>46254</v>
      </c>
      <c r="K714" s="154" t="s">
        <v>38</v>
      </c>
      <c r="L714" s="160">
        <v>3608.07</v>
      </c>
      <c r="M714" s="183"/>
      <c r="N714" s="214">
        <v>80</v>
      </c>
      <c r="O714" s="158">
        <v>0</v>
      </c>
      <c r="P714" s="158">
        <v>0</v>
      </c>
      <c r="Q714" s="158">
        <v>80</v>
      </c>
      <c r="R714" s="158">
        <f t="shared" ref="R714:R719" si="13">IF(B714="","",SUM(O714:Q714))</f>
        <v>80</v>
      </c>
      <c r="S714" s="154">
        <v>4</v>
      </c>
      <c r="T714" s="179" t="s">
        <v>2930</v>
      </c>
    </row>
    <row r="715" spans="1:21" ht="30">
      <c r="A715" s="156" t="s">
        <v>2931</v>
      </c>
      <c r="B715" s="137">
        <v>2026</v>
      </c>
      <c r="C715" s="154" t="s">
        <v>22</v>
      </c>
      <c r="D715" s="154" t="s">
        <v>2927</v>
      </c>
      <c r="E715" s="159" t="s">
        <v>2932</v>
      </c>
      <c r="F715" s="170" t="s">
        <v>88</v>
      </c>
      <c r="G715" s="155" t="s">
        <v>2717</v>
      </c>
      <c r="H715" s="156" t="s">
        <v>2933</v>
      </c>
      <c r="I715" s="203">
        <v>46255</v>
      </c>
      <c r="J715" s="203">
        <v>46255</v>
      </c>
      <c r="K715" s="154" t="s">
        <v>38</v>
      </c>
      <c r="L715" s="160">
        <v>3608.07</v>
      </c>
      <c r="M715" s="183"/>
      <c r="N715" s="158">
        <v>80</v>
      </c>
      <c r="O715" s="158">
        <v>0</v>
      </c>
      <c r="P715" s="158">
        <v>0</v>
      </c>
      <c r="Q715" s="158">
        <v>80</v>
      </c>
      <c r="R715" s="158">
        <f t="shared" si="13"/>
        <v>80</v>
      </c>
      <c r="S715" s="154">
        <v>4</v>
      </c>
      <c r="T715" s="179" t="s">
        <v>2930</v>
      </c>
    </row>
    <row r="716" spans="1:21" ht="15">
      <c r="A716" s="156" t="s">
        <v>2934</v>
      </c>
      <c r="B716" s="137">
        <v>2026</v>
      </c>
      <c r="C716" s="154" t="s">
        <v>2697</v>
      </c>
      <c r="D716" s="154" t="s">
        <v>2927</v>
      </c>
      <c r="E716" s="159" t="s">
        <v>2935</v>
      </c>
      <c r="F716" s="170" t="s">
        <v>88</v>
      </c>
      <c r="G716" s="155" t="s">
        <v>2717</v>
      </c>
      <c r="H716" s="156" t="s">
        <v>2936</v>
      </c>
      <c r="I716" s="203">
        <v>46289</v>
      </c>
      <c r="J716" s="203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3"/>
        <v>0</v>
      </c>
      <c r="S716" s="154">
        <v>4</v>
      </c>
      <c r="T716" s="121"/>
    </row>
    <row r="717" spans="1:21" ht="15">
      <c r="A717" s="156" t="s">
        <v>2937</v>
      </c>
      <c r="B717" s="137">
        <v>2026</v>
      </c>
      <c r="C717" s="154" t="s">
        <v>2697</v>
      </c>
      <c r="D717" s="154" t="s">
        <v>2927</v>
      </c>
      <c r="E717" s="159" t="s">
        <v>2938</v>
      </c>
      <c r="F717" s="170" t="s">
        <v>88</v>
      </c>
      <c r="G717" s="155" t="s">
        <v>2717</v>
      </c>
      <c r="H717" s="156" t="s">
        <v>2939</v>
      </c>
      <c r="I717" s="203">
        <v>46290</v>
      </c>
      <c r="J717" s="203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3"/>
        <v>0</v>
      </c>
      <c r="S717" s="154">
        <v>4</v>
      </c>
      <c r="T717" s="121"/>
    </row>
    <row r="718" spans="1:21" ht="15">
      <c r="A718" s="156" t="s">
        <v>2940</v>
      </c>
      <c r="B718" s="137">
        <v>2026</v>
      </c>
      <c r="C718" s="154" t="s">
        <v>2697</v>
      </c>
      <c r="D718" s="154" t="s">
        <v>2927</v>
      </c>
      <c r="E718" s="159" t="s">
        <v>2941</v>
      </c>
      <c r="F718" s="170" t="s">
        <v>88</v>
      </c>
      <c r="G718" s="155" t="s">
        <v>2717</v>
      </c>
      <c r="H718" s="156" t="s">
        <v>2942</v>
      </c>
      <c r="I718" s="203">
        <v>46303</v>
      </c>
      <c r="J718" s="203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3"/>
        <v>0</v>
      </c>
      <c r="S718" s="154">
        <v>4</v>
      </c>
      <c r="T718" s="121"/>
    </row>
    <row r="719" spans="1:21" ht="15">
      <c r="A719" s="156" t="s">
        <v>2943</v>
      </c>
      <c r="B719" s="137">
        <v>2026</v>
      </c>
      <c r="C719" s="154" t="s">
        <v>2697</v>
      </c>
      <c r="D719" s="154" t="s">
        <v>2927</v>
      </c>
      <c r="E719" s="159" t="s">
        <v>2944</v>
      </c>
      <c r="F719" s="170" t="s">
        <v>88</v>
      </c>
      <c r="G719" s="155" t="s">
        <v>2717</v>
      </c>
      <c r="H719" s="156" t="s">
        <v>2945</v>
      </c>
      <c r="I719" s="203">
        <v>46304</v>
      </c>
      <c r="J719" s="203">
        <v>46274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3"/>
        <v>0</v>
      </c>
      <c r="S719" s="154">
        <v>4</v>
      </c>
      <c r="T719" s="121"/>
    </row>
    <row r="720" spans="1:21" ht="30">
      <c r="A720" s="122" t="s">
        <v>2946</v>
      </c>
      <c r="B720" s="137">
        <v>2026</v>
      </c>
      <c r="C720" s="118" t="s">
        <v>22</v>
      </c>
      <c r="D720" s="118" t="s">
        <v>2947</v>
      </c>
      <c r="E720" s="119" t="s">
        <v>2948</v>
      </c>
      <c r="F720" s="120" t="s">
        <v>24</v>
      </c>
      <c r="G720" s="121" t="s">
        <v>206</v>
      </c>
      <c r="H720" s="122" t="s">
        <v>2949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2950</v>
      </c>
    </row>
    <row r="721" spans="1:20" ht="45">
      <c r="A721" s="122" t="s">
        <v>2951</v>
      </c>
      <c r="B721" s="137">
        <v>2026</v>
      </c>
      <c r="C721" s="137" t="s">
        <v>22</v>
      </c>
      <c r="D721" s="137" t="s">
        <v>2927</v>
      </c>
      <c r="E721" s="138" t="s">
        <v>2952</v>
      </c>
      <c r="F721" s="144" t="s">
        <v>88</v>
      </c>
      <c r="G721" s="150" t="s">
        <v>2717</v>
      </c>
      <c r="H721" s="140" t="s">
        <v>2953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80</v>
      </c>
      <c r="O721" s="143">
        <v>0</v>
      </c>
      <c r="P721" s="185">
        <v>0</v>
      </c>
      <c r="Q721" s="143">
        <v>80</v>
      </c>
      <c r="R721" s="143">
        <f>SUM(O721:Q721)</f>
        <v>80</v>
      </c>
      <c r="S721" s="137">
        <v>4</v>
      </c>
      <c r="T721" s="163" t="s">
        <v>2954</v>
      </c>
    </row>
    <row r="722" spans="1:20" ht="45">
      <c r="A722" s="122" t="s">
        <v>2955</v>
      </c>
      <c r="B722" s="118">
        <v>2026</v>
      </c>
      <c r="C722" s="118" t="s">
        <v>22</v>
      </c>
      <c r="D722" s="118" t="s">
        <v>2927</v>
      </c>
      <c r="E722" s="119" t="s">
        <v>2956</v>
      </c>
      <c r="F722" s="120" t="s">
        <v>88</v>
      </c>
      <c r="G722" s="146" t="s">
        <v>2717</v>
      </c>
      <c r="H722" s="122" t="s">
        <v>2957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80</v>
      </c>
      <c r="O722" s="125">
        <v>0</v>
      </c>
      <c r="P722" s="186">
        <v>0</v>
      </c>
      <c r="Q722" s="125">
        <v>80</v>
      </c>
      <c r="R722" s="125">
        <f>SUM(O722:Q722)</f>
        <v>80</v>
      </c>
      <c r="S722" s="118">
        <v>4</v>
      </c>
      <c r="T722" s="148" t="s">
        <v>2958</v>
      </c>
    </row>
    <row r="723" spans="1:20" ht="15">
      <c r="A723" s="122" t="s">
        <v>2959</v>
      </c>
      <c r="B723" s="137">
        <v>2026</v>
      </c>
      <c r="C723" s="154" t="s">
        <v>22</v>
      </c>
      <c r="D723" s="154" t="s">
        <v>2960</v>
      </c>
      <c r="E723" s="159" t="s">
        <v>2961</v>
      </c>
      <c r="F723" s="170" t="s">
        <v>88</v>
      </c>
      <c r="G723" s="155" t="s">
        <v>2717</v>
      </c>
      <c r="H723" s="156" t="s">
        <v>2962</v>
      </c>
      <c r="I723" s="203">
        <v>46148</v>
      </c>
      <c r="J723" s="203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50</v>
      </c>
      <c r="R723" s="158">
        <f>IF(B723="","",SUM(O723:Q723))</f>
        <v>50</v>
      </c>
      <c r="S723" s="154">
        <v>3</v>
      </c>
      <c r="T723" s="155" t="s">
        <v>1921</v>
      </c>
    </row>
    <row r="724" spans="1:20" ht="15">
      <c r="A724" s="156" t="s">
        <v>2963</v>
      </c>
      <c r="B724" s="172">
        <v>2026</v>
      </c>
      <c r="C724" s="154" t="s">
        <v>22</v>
      </c>
      <c r="D724" s="154" t="s">
        <v>2964</v>
      </c>
      <c r="E724" s="159" t="s">
        <v>2965</v>
      </c>
      <c r="F724" s="170" t="s">
        <v>88</v>
      </c>
      <c r="G724" s="155" t="s">
        <v>2717</v>
      </c>
      <c r="H724" s="156" t="s">
        <v>2966</v>
      </c>
      <c r="I724" s="203">
        <v>46167</v>
      </c>
      <c r="J724" s="203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>
      <c r="A725" s="156" t="s">
        <v>2967</v>
      </c>
      <c r="B725" s="154">
        <v>2026</v>
      </c>
      <c r="C725" s="154" t="s">
        <v>22</v>
      </c>
      <c r="D725" s="154" t="s">
        <v>2960</v>
      </c>
      <c r="E725" s="159" t="s">
        <v>2968</v>
      </c>
      <c r="F725" s="170" t="s">
        <v>88</v>
      </c>
      <c r="G725" s="155" t="s">
        <v>2717</v>
      </c>
      <c r="H725" s="156" t="s">
        <v>2969</v>
      </c>
      <c r="I725" s="203">
        <v>46183</v>
      </c>
      <c r="J725" s="203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>
      <c r="A726" s="156" t="s">
        <v>2970</v>
      </c>
      <c r="B726" s="154">
        <v>2026</v>
      </c>
      <c r="C726" s="154" t="s">
        <v>2697</v>
      </c>
      <c r="D726" s="154" t="s">
        <v>2960</v>
      </c>
      <c r="E726" s="159" t="s">
        <v>2971</v>
      </c>
      <c r="F726" s="170" t="s">
        <v>88</v>
      </c>
      <c r="G726" s="155" t="s">
        <v>2717</v>
      </c>
      <c r="H726" s="156"/>
      <c r="I726" s="203"/>
      <c r="J726" s="203"/>
      <c r="K726" s="154"/>
      <c r="L726" s="160"/>
      <c r="M726" s="183"/>
      <c r="N726" s="158"/>
      <c r="O726" s="158"/>
      <c r="P726" s="158"/>
      <c r="Q726" s="158"/>
      <c r="R726" s="158">
        <f t="shared" ref="R726:R749" si="14">IF(B726="","",SUM(O726:Q726))</f>
        <v>0</v>
      </c>
      <c r="S726" s="154"/>
      <c r="T726" s="155"/>
    </row>
    <row r="727" spans="1:20" ht="15">
      <c r="A727" s="156" t="s">
        <v>2972</v>
      </c>
      <c r="B727" s="154">
        <v>2026</v>
      </c>
      <c r="C727" s="154" t="s">
        <v>2697</v>
      </c>
      <c r="D727" s="154" t="s">
        <v>2960</v>
      </c>
      <c r="E727" s="159" t="s">
        <v>2973</v>
      </c>
      <c r="F727" s="170" t="s">
        <v>88</v>
      </c>
      <c r="G727" s="155" t="s">
        <v>2717</v>
      </c>
      <c r="H727" s="156"/>
      <c r="I727" s="203"/>
      <c r="J727" s="203"/>
      <c r="K727" s="154"/>
      <c r="L727" s="160"/>
      <c r="M727" s="183"/>
      <c r="N727" s="158"/>
      <c r="O727" s="158"/>
      <c r="P727" s="158"/>
      <c r="Q727" s="158"/>
      <c r="R727" s="158">
        <f t="shared" si="14"/>
        <v>0</v>
      </c>
      <c r="S727" s="154"/>
      <c r="T727" s="155"/>
    </row>
    <row r="728" spans="1:20" ht="15">
      <c r="A728" s="156" t="s">
        <v>2974</v>
      </c>
      <c r="B728" s="154">
        <v>2026</v>
      </c>
      <c r="C728" s="154" t="s">
        <v>22</v>
      </c>
      <c r="D728" s="154" t="s">
        <v>2960</v>
      </c>
      <c r="E728" s="159" t="s">
        <v>2975</v>
      </c>
      <c r="F728" s="170" t="s">
        <v>88</v>
      </c>
      <c r="G728" s="155" t="s">
        <v>2717</v>
      </c>
      <c r="H728" s="156" t="s">
        <v>2976</v>
      </c>
      <c r="I728" s="203">
        <v>46267</v>
      </c>
      <c r="J728" s="203">
        <v>46267</v>
      </c>
      <c r="K728" s="154" t="s">
        <v>38</v>
      </c>
      <c r="L728" s="160"/>
      <c r="M728" s="183"/>
      <c r="N728" s="158">
        <v>80</v>
      </c>
      <c r="O728" s="158">
        <v>0</v>
      </c>
      <c r="P728" s="158">
        <v>0</v>
      </c>
      <c r="Q728" s="158">
        <v>80</v>
      </c>
      <c r="R728" s="158">
        <f t="shared" si="14"/>
        <v>80</v>
      </c>
      <c r="S728" s="154">
        <v>3</v>
      </c>
      <c r="T728" s="155" t="s">
        <v>1921</v>
      </c>
    </row>
    <row r="729" spans="1:20" ht="15">
      <c r="A729" s="156" t="s">
        <v>2977</v>
      </c>
      <c r="B729" s="154">
        <v>2026</v>
      </c>
      <c r="C729" s="154" t="s">
        <v>2697</v>
      </c>
      <c r="D729" s="154" t="s">
        <v>2960</v>
      </c>
      <c r="E729" s="159" t="s">
        <v>2978</v>
      </c>
      <c r="F729" s="170" t="s">
        <v>88</v>
      </c>
      <c r="G729" s="155" t="s">
        <v>2717</v>
      </c>
      <c r="H729" s="156"/>
      <c r="I729" s="203"/>
      <c r="J729" s="203"/>
      <c r="K729" s="154"/>
      <c r="L729" s="160"/>
      <c r="M729" s="183"/>
      <c r="N729" s="158"/>
      <c r="O729" s="158"/>
      <c r="P729" s="158"/>
      <c r="Q729" s="158"/>
      <c r="R729" s="158">
        <f t="shared" si="14"/>
        <v>0</v>
      </c>
      <c r="S729" s="154"/>
      <c r="T729" s="155"/>
    </row>
    <row r="730" spans="1:20" ht="15">
      <c r="A730" s="156" t="s">
        <v>2979</v>
      </c>
      <c r="B730" s="154">
        <v>2026</v>
      </c>
      <c r="C730" s="154" t="s">
        <v>2697</v>
      </c>
      <c r="D730" s="154" t="s">
        <v>2960</v>
      </c>
      <c r="E730" s="213" t="s">
        <v>2980</v>
      </c>
      <c r="F730" s="170" t="s">
        <v>88</v>
      </c>
      <c r="G730" s="155" t="s">
        <v>2717</v>
      </c>
      <c r="H730" s="156"/>
      <c r="I730" s="203"/>
      <c r="J730" s="203"/>
      <c r="K730" s="154"/>
      <c r="L730" s="160"/>
      <c r="M730" s="183"/>
      <c r="N730" s="158"/>
      <c r="O730" s="158"/>
      <c r="P730" s="158"/>
      <c r="Q730" s="158"/>
      <c r="R730" s="158">
        <f t="shared" si="14"/>
        <v>0</v>
      </c>
      <c r="S730" s="154"/>
      <c r="T730" s="155"/>
    </row>
    <row r="731" spans="1:20" ht="15">
      <c r="A731" s="156" t="s">
        <v>2981</v>
      </c>
      <c r="B731" s="154">
        <v>2026</v>
      </c>
      <c r="C731" s="154" t="s">
        <v>2697</v>
      </c>
      <c r="D731" s="154" t="s">
        <v>2960</v>
      </c>
      <c r="E731" s="213" t="s">
        <v>2982</v>
      </c>
      <c r="F731" s="170" t="s">
        <v>88</v>
      </c>
      <c r="G731" s="155" t="s">
        <v>2717</v>
      </c>
      <c r="H731" s="156" t="s">
        <v>2983</v>
      </c>
      <c r="I731" s="203"/>
      <c r="J731" s="203"/>
      <c r="K731" s="154"/>
      <c r="L731" s="160"/>
      <c r="M731" s="183"/>
      <c r="N731" s="158"/>
      <c r="O731" s="158"/>
      <c r="P731" s="158"/>
      <c r="Q731" s="158"/>
      <c r="R731" s="158">
        <f t="shared" si="14"/>
        <v>0</v>
      </c>
      <c r="S731" s="154"/>
      <c r="T731" s="155"/>
    </row>
    <row r="732" spans="1:20" ht="15">
      <c r="A732" s="156" t="s">
        <v>2984</v>
      </c>
      <c r="B732" s="154">
        <v>2026</v>
      </c>
      <c r="C732" s="154" t="s">
        <v>2697</v>
      </c>
      <c r="D732" s="154" t="s">
        <v>2985</v>
      </c>
      <c r="E732" s="159" t="s">
        <v>2986</v>
      </c>
      <c r="F732" s="170" t="s">
        <v>24</v>
      </c>
      <c r="G732" s="155" t="s">
        <v>206</v>
      </c>
      <c r="H732" s="156"/>
      <c r="I732" s="203"/>
      <c r="J732" s="203"/>
      <c r="K732" s="154"/>
      <c r="L732" s="160"/>
      <c r="M732" s="183"/>
      <c r="N732" s="158"/>
      <c r="O732" s="158"/>
      <c r="P732" s="158"/>
      <c r="Q732" s="158"/>
      <c r="R732" s="158">
        <f t="shared" si="14"/>
        <v>0</v>
      </c>
      <c r="S732" s="154"/>
      <c r="T732" s="155"/>
    </row>
    <row r="733" spans="1:20" ht="15">
      <c r="A733" s="156" t="s">
        <v>2987</v>
      </c>
      <c r="B733" s="154">
        <v>2026</v>
      </c>
      <c r="C733" s="154" t="s">
        <v>2697</v>
      </c>
      <c r="D733" s="154"/>
      <c r="E733" s="213" t="s">
        <v>2988</v>
      </c>
      <c r="F733" s="170" t="s">
        <v>24</v>
      </c>
      <c r="G733" s="155" t="s">
        <v>2717</v>
      </c>
      <c r="H733" s="156" t="s">
        <v>2989</v>
      </c>
      <c r="I733" s="203">
        <v>46343</v>
      </c>
      <c r="J733" s="203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4"/>
        <v>0</v>
      </c>
      <c r="S733" s="154"/>
      <c r="T733" s="155"/>
    </row>
    <row r="734" spans="1:20" ht="15">
      <c r="A734" s="156" t="s">
        <v>2990</v>
      </c>
      <c r="B734" s="154">
        <v>2026</v>
      </c>
      <c r="C734" s="154" t="s">
        <v>2697</v>
      </c>
      <c r="D734" s="154" t="s">
        <v>2991</v>
      </c>
      <c r="E734" s="159" t="s">
        <v>2992</v>
      </c>
      <c r="F734" s="170" t="s">
        <v>88</v>
      </c>
      <c r="G734" s="155" t="s">
        <v>42</v>
      </c>
      <c r="H734" s="156"/>
      <c r="I734" s="203"/>
      <c r="J734" s="203"/>
      <c r="K734" s="154"/>
      <c r="L734" s="160"/>
      <c r="M734" s="183"/>
      <c r="N734" s="158"/>
      <c r="O734" s="158"/>
      <c r="P734" s="158"/>
      <c r="Q734" s="158"/>
      <c r="R734" s="158">
        <f t="shared" si="14"/>
        <v>0</v>
      </c>
      <c r="S734" s="154"/>
      <c r="T734" s="155"/>
    </row>
    <row r="735" spans="1:20" ht="1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2993</v>
      </c>
      <c r="E735" s="159" t="s">
        <v>2994</v>
      </c>
      <c r="F735" s="170" t="s">
        <v>24</v>
      </c>
      <c r="G735" s="155" t="s">
        <v>206</v>
      </c>
      <c r="H735" s="156" t="s">
        <v>2995</v>
      </c>
      <c r="I735" s="203">
        <v>46122</v>
      </c>
      <c r="J735" s="203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4"/>
        <v>0</v>
      </c>
      <c r="S735" s="154">
        <v>2</v>
      </c>
      <c r="T735" s="155" t="s">
        <v>2996</v>
      </c>
    </row>
    <row r="736" spans="1:20" ht="1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2997</v>
      </c>
      <c r="E736" s="159" t="s">
        <v>2998</v>
      </c>
      <c r="F736" s="170"/>
      <c r="G736" s="155" t="s">
        <v>42</v>
      </c>
      <c r="H736" s="156"/>
      <c r="I736" s="203"/>
      <c r="J736" s="203"/>
      <c r="K736" s="154"/>
      <c r="L736" s="160"/>
      <c r="M736" s="183"/>
      <c r="N736" s="158"/>
      <c r="O736" s="158"/>
      <c r="P736" s="158"/>
      <c r="Q736" s="158"/>
      <c r="R736" s="158">
        <f t="shared" si="14"/>
        <v>0</v>
      </c>
      <c r="S736" s="154"/>
      <c r="T736" s="155"/>
    </row>
    <row r="737" spans="1:20" ht="15">
      <c r="A737" s="156" t="s">
        <v>2999</v>
      </c>
      <c r="B737" s="154">
        <v>2026</v>
      </c>
      <c r="C737" s="154" t="s">
        <v>22</v>
      </c>
      <c r="D737" s="154" t="s">
        <v>3000</v>
      </c>
      <c r="E737" s="159" t="s">
        <v>3001</v>
      </c>
      <c r="F737" s="170" t="s">
        <v>69</v>
      </c>
      <c r="G737" s="155" t="s">
        <v>79</v>
      </c>
      <c r="H737" s="156" t="s">
        <v>3002</v>
      </c>
      <c r="I737" s="203">
        <v>46267</v>
      </c>
      <c r="J737" s="203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4"/>
        <v>30</v>
      </c>
      <c r="S737" s="154">
        <v>8</v>
      </c>
      <c r="T737" s="155" t="s">
        <v>2713</v>
      </c>
    </row>
    <row r="738" spans="1:20" ht="15">
      <c r="A738" s="156" t="s">
        <v>3003</v>
      </c>
      <c r="B738" s="154">
        <v>2026</v>
      </c>
      <c r="C738" s="154" t="s">
        <v>2566</v>
      </c>
      <c r="D738" s="154" t="s">
        <v>3004</v>
      </c>
      <c r="E738" s="159" t="s">
        <v>3005</v>
      </c>
      <c r="F738" s="170" t="s">
        <v>69</v>
      </c>
      <c r="G738" s="155" t="s">
        <v>2694</v>
      </c>
      <c r="H738" s="156" t="s">
        <v>3006</v>
      </c>
      <c r="I738" s="203">
        <v>46273</v>
      </c>
      <c r="J738" s="203">
        <v>46275</v>
      </c>
      <c r="K738" s="154" t="s">
        <v>38</v>
      </c>
      <c r="L738" s="160">
        <v>11246.83</v>
      </c>
      <c r="M738" s="183"/>
      <c r="N738" s="158">
        <v>30</v>
      </c>
      <c r="O738" s="158"/>
      <c r="P738" s="158"/>
      <c r="Q738" s="158"/>
      <c r="R738" s="158">
        <f t="shared" si="14"/>
        <v>0</v>
      </c>
      <c r="S738" s="154">
        <v>12</v>
      </c>
      <c r="T738" s="155" t="s">
        <v>3007</v>
      </c>
    </row>
    <row r="739" spans="1:20" ht="15">
      <c r="A739" s="156" t="s">
        <v>3008</v>
      </c>
      <c r="B739" s="154">
        <v>2026</v>
      </c>
      <c r="C739" s="154" t="s">
        <v>22</v>
      </c>
      <c r="D739" s="154" t="s">
        <v>3009</v>
      </c>
      <c r="E739" s="159" t="s">
        <v>3010</v>
      </c>
      <c r="F739" s="170" t="s">
        <v>24</v>
      </c>
      <c r="G739" s="155" t="s">
        <v>2700</v>
      </c>
      <c r="H739" s="156" t="s">
        <v>3011</v>
      </c>
      <c r="I739" s="203">
        <v>46266</v>
      </c>
      <c r="J739" s="203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4"/>
        <v>20</v>
      </c>
      <c r="S739" s="154">
        <v>9</v>
      </c>
      <c r="T739" s="155" t="s">
        <v>218</v>
      </c>
    </row>
    <row r="740" spans="1:20" ht="15">
      <c r="A740" s="156" t="s">
        <v>3012</v>
      </c>
      <c r="B740" s="154">
        <v>2026</v>
      </c>
      <c r="C740" s="154" t="s">
        <v>2697</v>
      </c>
      <c r="D740" s="154" t="s">
        <v>3013</v>
      </c>
      <c r="E740" s="159" t="s">
        <v>3014</v>
      </c>
      <c r="F740" s="170" t="s">
        <v>24</v>
      </c>
      <c r="G740" s="155" t="s">
        <v>2700</v>
      </c>
      <c r="H740" s="156" t="s">
        <v>3015</v>
      </c>
      <c r="I740" s="203">
        <v>46311</v>
      </c>
      <c r="J740" s="203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4"/>
        <v>0</v>
      </c>
      <c r="S740" s="154">
        <v>4</v>
      </c>
      <c r="T740" s="155" t="s">
        <v>1909</v>
      </c>
    </row>
    <row r="741" spans="1:20" ht="15">
      <c r="A741" s="156" t="s">
        <v>3016</v>
      </c>
      <c r="B741" s="154">
        <v>2026</v>
      </c>
      <c r="C741" s="154" t="s">
        <v>2697</v>
      </c>
      <c r="D741" s="154" t="s">
        <v>3017</v>
      </c>
      <c r="E741" s="159" t="s">
        <v>3018</v>
      </c>
      <c r="F741" s="170" t="s">
        <v>24</v>
      </c>
      <c r="G741" s="155" t="s">
        <v>2700</v>
      </c>
      <c r="H741" s="156" t="s">
        <v>3019</v>
      </c>
      <c r="I741" s="203">
        <v>46286</v>
      </c>
      <c r="J741" s="203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4"/>
        <v>0</v>
      </c>
      <c r="S741" s="154">
        <v>8</v>
      </c>
      <c r="T741" s="155" t="s">
        <v>2826</v>
      </c>
    </row>
    <row r="742" spans="1:20" ht="15">
      <c r="A742" s="156" t="s">
        <v>3020</v>
      </c>
      <c r="B742" s="154">
        <v>2026</v>
      </c>
      <c r="C742" s="154" t="s">
        <v>2697</v>
      </c>
      <c r="D742" s="154" t="s">
        <v>3017</v>
      </c>
      <c r="E742" s="159" t="s">
        <v>3021</v>
      </c>
      <c r="F742" s="170" t="s">
        <v>24</v>
      </c>
      <c r="G742" s="155" t="s">
        <v>2700</v>
      </c>
      <c r="H742" s="156" t="s">
        <v>3022</v>
      </c>
      <c r="I742" s="203">
        <v>46322</v>
      </c>
      <c r="J742" s="203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4"/>
        <v>0</v>
      </c>
      <c r="S742" s="154">
        <v>8</v>
      </c>
      <c r="T742" s="155" t="s">
        <v>2826</v>
      </c>
    </row>
    <row r="743" spans="1:20" ht="15">
      <c r="A743" s="156" t="s">
        <v>3023</v>
      </c>
      <c r="B743" s="154">
        <v>2027</v>
      </c>
      <c r="C743" s="154" t="s">
        <v>2697</v>
      </c>
      <c r="D743" s="154" t="s">
        <v>3024</v>
      </c>
      <c r="E743" s="159" t="s">
        <v>3025</v>
      </c>
      <c r="F743" s="170" t="s">
        <v>24</v>
      </c>
      <c r="G743" s="155" t="s">
        <v>206</v>
      </c>
      <c r="H743" s="156" t="s">
        <v>3026</v>
      </c>
      <c r="I743" s="203">
        <v>46283</v>
      </c>
      <c r="J743" s="203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4"/>
        <v>0</v>
      </c>
      <c r="S743" s="154">
        <v>2</v>
      </c>
      <c r="T743" s="155" t="s">
        <v>2996</v>
      </c>
    </row>
    <row r="744" spans="1:20" ht="15">
      <c r="A744" s="156" t="s">
        <v>3027</v>
      </c>
      <c r="B744" s="154">
        <v>2026</v>
      </c>
      <c r="C744" s="154" t="s">
        <v>2697</v>
      </c>
      <c r="D744" s="154" t="s">
        <v>3028</v>
      </c>
      <c r="E744" s="166" t="s">
        <v>3029</v>
      </c>
      <c r="F744" s="170" t="s">
        <v>24</v>
      </c>
      <c r="G744" s="155" t="s">
        <v>206</v>
      </c>
      <c r="H744" s="156" t="s">
        <v>3030</v>
      </c>
      <c r="I744" s="203">
        <v>46314</v>
      </c>
      <c r="J744" s="203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4"/>
        <v>0</v>
      </c>
      <c r="S744" s="154">
        <v>16</v>
      </c>
      <c r="T744" s="155" t="s">
        <v>803</v>
      </c>
    </row>
    <row r="745" spans="1:20" ht="15">
      <c r="A745" s="156" t="s">
        <v>3031</v>
      </c>
      <c r="B745" s="154">
        <v>2026</v>
      </c>
      <c r="C745" s="154" t="s">
        <v>2697</v>
      </c>
      <c r="D745" s="154" t="s">
        <v>3028</v>
      </c>
      <c r="E745" s="166" t="s">
        <v>3032</v>
      </c>
      <c r="F745" s="170" t="s">
        <v>24</v>
      </c>
      <c r="G745" s="155" t="s">
        <v>206</v>
      </c>
      <c r="H745" s="156" t="s">
        <v>3033</v>
      </c>
      <c r="I745" s="203">
        <v>46349</v>
      </c>
      <c r="J745" s="203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4"/>
        <v>0</v>
      </c>
      <c r="S745" s="154">
        <v>16</v>
      </c>
      <c r="T745" s="155" t="s">
        <v>803</v>
      </c>
    </row>
    <row r="746" spans="1:20" ht="15">
      <c r="A746" s="156" t="s">
        <v>3034</v>
      </c>
      <c r="B746" s="154">
        <v>2026</v>
      </c>
      <c r="C746" s="154" t="s">
        <v>2697</v>
      </c>
      <c r="D746" s="154" t="s">
        <v>3035</v>
      </c>
      <c r="E746" s="166" t="s">
        <v>3036</v>
      </c>
      <c r="F746" s="170" t="s">
        <v>24</v>
      </c>
      <c r="G746" s="155" t="s">
        <v>206</v>
      </c>
      <c r="H746" s="156" t="s">
        <v>3037</v>
      </c>
      <c r="I746" s="203">
        <v>46293</v>
      </c>
      <c r="J746" s="203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4"/>
        <v>0</v>
      </c>
      <c r="S746" s="154">
        <v>20</v>
      </c>
      <c r="T746" s="155" t="s">
        <v>3038</v>
      </c>
    </row>
    <row r="747" spans="1:20" ht="15">
      <c r="A747" s="154" t="str">
        <f ca="1">IF(E747="","",IF(B747="",YEAR(TODAY()),B747)&amp;"-"&amp;TEXT(COUNTIF($B$2:B747,IF(B747="",YEAR(TODAY()),B747))+COUNTIFS($E$2:E747,"&lt;&gt;",$B$2:B747,""),"000"))</f>
        <v/>
      </c>
      <c r="B747" s="154"/>
      <c r="C747" s="154"/>
      <c r="D747" s="154"/>
      <c r="E747" s="159"/>
      <c r="F747" s="170"/>
      <c r="G747" s="155"/>
      <c r="H747" s="156"/>
      <c r="I747" s="203"/>
      <c r="J747" s="203"/>
      <c r="K747" s="154"/>
      <c r="L747" s="160"/>
      <c r="M747" s="183"/>
      <c r="N747" s="158"/>
      <c r="O747" s="158"/>
      <c r="P747" s="158"/>
      <c r="Q747" s="158"/>
      <c r="R747" s="158" t="str">
        <f t="shared" si="14"/>
        <v/>
      </c>
      <c r="S747" s="154"/>
      <c r="T747" s="155"/>
    </row>
    <row r="748" spans="1:20" ht="15">
      <c r="A748" s="154" t="str">
        <f ca="1">IF(E748="","",IF(B748="",YEAR(TODAY()),B748)&amp;"-"&amp;TEXT(COUNTIF($B$2:B748,IF(B748="",YEAR(TODAY()),B748))+COUNTIFS($E$2:E748,"&lt;&gt;",$B$2:B748,""),"000"))</f>
        <v/>
      </c>
      <c r="B748" s="154"/>
      <c r="C748" s="154"/>
      <c r="D748" s="154"/>
      <c r="E748" s="159"/>
      <c r="F748" s="170"/>
      <c r="G748" s="155"/>
      <c r="H748" s="156"/>
      <c r="I748" s="203"/>
      <c r="J748" s="203"/>
      <c r="K748" s="154"/>
      <c r="L748" s="160"/>
      <c r="M748" s="183"/>
      <c r="N748" s="158"/>
      <c r="O748" s="158"/>
      <c r="P748" s="158"/>
      <c r="Q748" s="158"/>
      <c r="R748" s="158" t="str">
        <f t="shared" si="14"/>
        <v/>
      </c>
      <c r="S748" s="154"/>
      <c r="T748" s="155"/>
    </row>
    <row r="749" spans="1:20" ht="15">
      <c r="A749" s="154" t="str">
        <f ca="1">IF(E749="","",IF(B749="",YEAR(TODAY()),B749)&amp;"-"&amp;TEXT(COUNTIF($B$2:B749,IF(B749="",YEAR(TODAY()),B749))+COUNTIFS($E$2:E749,"&lt;&gt;",$B$2:B749,""),"000"))</f>
        <v/>
      </c>
      <c r="B749" s="154"/>
      <c r="C749" s="154"/>
      <c r="D749" s="154"/>
      <c r="E749" s="159"/>
      <c r="F749" s="170"/>
      <c r="G749" s="155"/>
      <c r="H749" s="156"/>
      <c r="I749" s="203"/>
      <c r="J749" s="203"/>
      <c r="K749" s="154"/>
      <c r="L749" s="160"/>
      <c r="M749" s="183"/>
      <c r="N749" s="158"/>
      <c r="O749" s="158"/>
      <c r="P749" s="158"/>
      <c r="Q749" s="158"/>
      <c r="R749" s="158" t="str">
        <f t="shared" si="14"/>
        <v/>
      </c>
      <c r="S749" s="154"/>
      <c r="T749" s="155"/>
    </row>
    <row r="750" spans="1:20" ht="1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203"/>
      <c r="J750" s="203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203"/>
      <c r="J751" s="203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203"/>
      <c r="J752" s="203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203"/>
      <c r="J753" s="203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203"/>
      <c r="J754" s="203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203"/>
      <c r="J755" s="203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203"/>
      <c r="J756" s="203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203"/>
      <c r="J757" s="203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203"/>
      <c r="J758" s="203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203"/>
      <c r="J759" s="203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203"/>
      <c r="J760" s="203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203"/>
      <c r="J761" s="203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203"/>
      <c r="J762" s="203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203"/>
      <c r="J763" s="203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203"/>
      <c r="J764" s="203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203"/>
      <c r="J765" s="203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203"/>
      <c r="J766" s="203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203"/>
      <c r="J767" s="203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203"/>
      <c r="J768" s="203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203"/>
      <c r="J769" s="203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203"/>
      <c r="J770" s="203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203"/>
      <c r="J771" s="203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203"/>
      <c r="J772" s="203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203"/>
      <c r="J773" s="203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203"/>
      <c r="J774" s="203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203"/>
      <c r="J775" s="203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203"/>
      <c r="J776" s="203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203"/>
      <c r="J777" s="203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203"/>
      <c r="J778" s="203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203"/>
      <c r="J779" s="203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203"/>
      <c r="J780" s="203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203"/>
      <c r="J781" s="203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203"/>
      <c r="J782" s="203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203"/>
      <c r="J783" s="203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203"/>
      <c r="J784" s="203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203"/>
      <c r="J785" s="203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203"/>
      <c r="J786" s="203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203"/>
      <c r="J787" s="203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203"/>
      <c r="J788" s="203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203"/>
      <c r="J789" s="203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203"/>
      <c r="J790" s="203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203"/>
      <c r="J791" s="203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203"/>
      <c r="J792" s="203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203"/>
      <c r="J793" s="203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203"/>
      <c r="J794" s="203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203"/>
      <c r="J795" s="203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203"/>
      <c r="J796" s="203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203"/>
      <c r="J797" s="203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203"/>
      <c r="J798" s="203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203"/>
      <c r="J799" s="203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203"/>
      <c r="J800" s="203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203"/>
      <c r="J801" s="203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203"/>
      <c r="J802" s="203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203"/>
      <c r="J803" s="203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203"/>
      <c r="J804" s="203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203"/>
      <c r="J805" s="203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203"/>
      <c r="J806" s="203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203"/>
      <c r="J807" s="203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203"/>
      <c r="J808" s="203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203"/>
      <c r="J809" s="203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203"/>
      <c r="J810" s="203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203"/>
      <c r="J811" s="203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203"/>
      <c r="J812" s="203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203"/>
      <c r="J813" s="203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203"/>
      <c r="J814" s="203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203"/>
      <c r="J815" s="203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203"/>
      <c r="J816" s="203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203"/>
      <c r="J817" s="203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203"/>
      <c r="J818" s="203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203"/>
      <c r="J819" s="203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203"/>
      <c r="J820" s="203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203"/>
      <c r="J821" s="203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203"/>
      <c r="J822" s="203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203"/>
      <c r="J823" s="203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203"/>
      <c r="J824" s="203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203"/>
      <c r="J825" s="203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203"/>
      <c r="J826" s="203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203"/>
      <c r="J827" s="203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203"/>
      <c r="J828" s="203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203"/>
      <c r="J829" s="203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203"/>
      <c r="J830" s="203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203"/>
      <c r="J831" s="203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203"/>
      <c r="J832" s="203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203"/>
      <c r="J833" s="203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203"/>
      <c r="J834" s="203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203"/>
      <c r="J835" s="203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203"/>
      <c r="J836" s="203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203"/>
      <c r="J837" s="203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203"/>
      <c r="J838" s="203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203"/>
      <c r="J839" s="203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203"/>
      <c r="J840" s="203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203"/>
      <c r="J841" s="203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203"/>
      <c r="J842" s="203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203"/>
      <c r="J843" s="203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203"/>
      <c r="J844" s="203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203"/>
      <c r="J845" s="203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203"/>
      <c r="J846" s="203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203"/>
      <c r="J847" s="203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203"/>
      <c r="J848" s="203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203"/>
      <c r="J849" s="203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203"/>
      <c r="J850" s="203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203"/>
      <c r="J851" s="203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203"/>
      <c r="J852" s="203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203"/>
      <c r="J853" s="203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203"/>
      <c r="J854" s="203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203"/>
      <c r="J855" s="203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203"/>
      <c r="J856" s="203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203"/>
      <c r="J857" s="203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203"/>
      <c r="J858" s="203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203"/>
      <c r="J859" s="203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203"/>
      <c r="J860" s="203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203"/>
      <c r="J861" s="203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203"/>
      <c r="J862" s="203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203"/>
      <c r="J863" s="203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203"/>
      <c r="J864" s="203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203"/>
      <c r="J865" s="203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203"/>
      <c r="J866" s="203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203"/>
      <c r="J867" s="203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203"/>
      <c r="J868" s="203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203"/>
      <c r="J869" s="203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203"/>
      <c r="J870" s="203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203"/>
      <c r="J871" s="203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203"/>
      <c r="J872" s="203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203"/>
      <c r="J873" s="203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203"/>
      <c r="J874" s="203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203"/>
      <c r="J875" s="203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203"/>
      <c r="J876" s="203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203"/>
      <c r="J877" s="203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203"/>
      <c r="J878" s="203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203"/>
      <c r="J879" s="203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203"/>
      <c r="J880" s="203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203"/>
      <c r="J881" s="203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203"/>
      <c r="J882" s="203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203"/>
      <c r="J883" s="203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203"/>
      <c r="J884" s="203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203"/>
      <c r="J885" s="203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203"/>
      <c r="J886" s="203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203"/>
      <c r="J887" s="203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203"/>
      <c r="J888" s="203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203"/>
      <c r="J889" s="203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203"/>
      <c r="J890" s="203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203"/>
      <c r="J891" s="203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203"/>
      <c r="J892" s="203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203"/>
      <c r="J893" s="203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203"/>
      <c r="J894" s="203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203"/>
      <c r="J895" s="203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203"/>
      <c r="J896" s="203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203"/>
      <c r="J897" s="203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203"/>
      <c r="J898" s="203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203"/>
      <c r="J899" s="203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203"/>
      <c r="J900" s="203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203"/>
      <c r="J901" s="203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203"/>
      <c r="J902" s="203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203"/>
      <c r="J903" s="203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203"/>
      <c r="J904" s="203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203"/>
      <c r="J905" s="203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203"/>
      <c r="J906" s="203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203"/>
      <c r="J907" s="203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203"/>
      <c r="J908" s="203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203"/>
      <c r="J909" s="203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203"/>
      <c r="J910" s="203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203"/>
      <c r="J911" s="203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203"/>
      <c r="J912" s="203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203"/>
      <c r="J913" s="203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203"/>
      <c r="J914" s="203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203"/>
      <c r="J915" s="203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203"/>
      <c r="J916" s="203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203"/>
      <c r="J917" s="203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203"/>
      <c r="J918" s="203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203"/>
      <c r="J919" s="203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203"/>
      <c r="J920" s="203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203"/>
      <c r="J921" s="203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203"/>
      <c r="J922" s="203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203"/>
      <c r="J923" s="203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203"/>
      <c r="J924" s="203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203"/>
      <c r="J925" s="203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203"/>
      <c r="J926" s="203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203"/>
      <c r="J927" s="203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203"/>
      <c r="J928" s="203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203"/>
      <c r="J929" s="203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203"/>
      <c r="J930" s="203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203"/>
      <c r="J931" s="203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203"/>
      <c r="J932" s="203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203"/>
      <c r="J933" s="203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203"/>
      <c r="J934" s="203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203"/>
      <c r="J935" s="203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203"/>
      <c r="J936" s="203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203"/>
      <c r="J937" s="203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203"/>
      <c r="J938" s="203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203"/>
      <c r="J939" s="203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203"/>
      <c r="J940" s="203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203"/>
      <c r="J941" s="203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203"/>
      <c r="J942" s="203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203"/>
      <c r="J943" s="203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203"/>
      <c r="J944" s="203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203"/>
      <c r="J945" s="203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203"/>
      <c r="J946" s="203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203"/>
      <c r="J947" s="203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203"/>
      <c r="J948" s="203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203"/>
      <c r="J949" s="203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203"/>
      <c r="J950" s="203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203"/>
      <c r="J951" s="203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203"/>
      <c r="J952" s="203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203"/>
      <c r="J953" s="203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203"/>
      <c r="J954" s="203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203"/>
      <c r="J955" s="203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203"/>
      <c r="J956" s="203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203"/>
      <c r="J957" s="203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203"/>
      <c r="J958" s="203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203"/>
      <c r="J959" s="203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203"/>
      <c r="J960" s="203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203"/>
      <c r="J961" s="203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203"/>
      <c r="J962" s="203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203"/>
      <c r="J963" s="203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203"/>
      <c r="J964" s="203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203"/>
      <c r="J965" s="203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203"/>
      <c r="J966" s="203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203"/>
      <c r="J967" s="203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203"/>
      <c r="J968" s="203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203"/>
      <c r="J969" s="203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203"/>
      <c r="J970" s="203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203"/>
      <c r="J971" s="203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203"/>
      <c r="J972" s="203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203"/>
      <c r="J973" s="203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203"/>
      <c r="J974" s="203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203"/>
      <c r="J975" s="203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203"/>
      <c r="J976" s="203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203"/>
      <c r="J977" s="203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203"/>
      <c r="J978" s="203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203"/>
      <c r="J979" s="203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203"/>
      <c r="J980" s="203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203"/>
      <c r="J981" s="203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203"/>
      <c r="J982" s="203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203"/>
      <c r="J983" s="203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203"/>
      <c r="J984" s="203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203"/>
      <c r="J985" s="203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203"/>
      <c r="J986" s="203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203"/>
      <c r="J987" s="203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203"/>
      <c r="J988" s="203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203"/>
      <c r="J989" s="203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203"/>
      <c r="J990" s="203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203"/>
      <c r="J991" s="203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203"/>
      <c r="J992" s="203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203"/>
      <c r="J993" s="203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203"/>
      <c r="J994" s="203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203"/>
      <c r="J995" s="203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203"/>
      <c r="J996" s="203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203"/>
      <c r="J997" s="203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203"/>
      <c r="J998" s="203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203"/>
      <c r="J999" s="203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203"/>
      <c r="J1000" s="203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203"/>
      <c r="J1001" s="203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203"/>
      <c r="J1002" s="203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203"/>
      <c r="J1003" s="203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203"/>
      <c r="J1004" s="203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203"/>
      <c r="J1005" s="203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203"/>
      <c r="J1006" s="203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203"/>
      <c r="J1007" s="203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203"/>
      <c r="J1008" s="203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203"/>
      <c r="J1009" s="203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203"/>
      <c r="J1010" s="203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203"/>
      <c r="J1011" s="203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203"/>
      <c r="J1012" s="203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203"/>
      <c r="J1013" s="203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203"/>
      <c r="J1014" s="203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203"/>
      <c r="J1015" s="203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203"/>
      <c r="J1016" s="203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203"/>
      <c r="J1017" s="203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203"/>
      <c r="J1018" s="203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203"/>
      <c r="J1019" s="203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203"/>
      <c r="J1020" s="203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203"/>
      <c r="J1021" s="203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203"/>
      <c r="J1022" s="203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203"/>
      <c r="J1023" s="203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203"/>
      <c r="J1024" s="203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203"/>
      <c r="J1025" s="203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203"/>
      <c r="J1026" s="203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203"/>
      <c r="J1027" s="203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203"/>
      <c r="J1028" s="203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203"/>
      <c r="J1029" s="203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203"/>
      <c r="J1030" s="203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203"/>
      <c r="J1031" s="203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203"/>
      <c r="J1032" s="203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203"/>
      <c r="J1033" s="203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203"/>
      <c r="J1034" s="203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203"/>
      <c r="J1035" s="203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203"/>
      <c r="J1036" s="203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203"/>
      <c r="J1037" s="203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203"/>
      <c r="J1038" s="203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203"/>
      <c r="J1039" s="203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203"/>
      <c r="J1040" s="203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203"/>
      <c r="J1041" s="203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203"/>
      <c r="J1042" s="203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203"/>
      <c r="J1043" s="203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203"/>
      <c r="J1044" s="203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203"/>
      <c r="J1045" s="203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203"/>
      <c r="J1046" s="203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203"/>
      <c r="J1047" s="203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203"/>
      <c r="J1048" s="203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203"/>
      <c r="J1049" s="203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203"/>
      <c r="J1050" s="203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203"/>
      <c r="J1051" s="203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203"/>
      <c r="J1052" s="203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203"/>
      <c r="J1053" s="203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203"/>
      <c r="J1054" s="203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203"/>
      <c r="J1055" s="203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203"/>
      <c r="J1056" s="203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203"/>
      <c r="J1057" s="203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203"/>
      <c r="J1058" s="203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203"/>
      <c r="J1059" s="203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203"/>
      <c r="J1060" s="203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203"/>
      <c r="J1061" s="203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203"/>
      <c r="J1062" s="203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203"/>
      <c r="J1063" s="203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203"/>
      <c r="J1064" s="203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203"/>
      <c r="J1065" s="203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203"/>
      <c r="J1066" s="203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203"/>
      <c r="J1067" s="203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203"/>
      <c r="J1068" s="203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203"/>
      <c r="J1069" s="203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203"/>
      <c r="J1070" s="203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203"/>
      <c r="J1071" s="203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203"/>
      <c r="J1072" s="203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203"/>
      <c r="J1073" s="203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203"/>
      <c r="J1074" s="203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203"/>
      <c r="J1075" s="203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203"/>
      <c r="J1076" s="203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203"/>
      <c r="J1077" s="203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203"/>
      <c r="J1078" s="203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203"/>
      <c r="J1079" s="203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203"/>
      <c r="J1080" s="203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203"/>
      <c r="J1081" s="203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203"/>
      <c r="J1082" s="203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203"/>
      <c r="J1083" s="203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203"/>
      <c r="J1084" s="203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203"/>
      <c r="J1085" s="203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203"/>
      <c r="J1086" s="203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203"/>
      <c r="J1087" s="203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203"/>
      <c r="J1088" s="203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203"/>
      <c r="J1089" s="203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203"/>
      <c r="J1090" s="203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203"/>
      <c r="J1091" s="203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203"/>
      <c r="J1092" s="203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203"/>
      <c r="J1093" s="203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203"/>
      <c r="J1094" s="203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203"/>
      <c r="J1095" s="203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203"/>
      <c r="J1096" s="203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203"/>
      <c r="J1097" s="203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203"/>
      <c r="J1098" s="203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203"/>
      <c r="J1099" s="203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203"/>
      <c r="J1100" s="203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203"/>
      <c r="J1101" s="203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203"/>
      <c r="J1102" s="203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203"/>
      <c r="J1103" s="203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203"/>
      <c r="J1104" s="203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203"/>
      <c r="J1105" s="203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203"/>
      <c r="J1106" s="203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203"/>
      <c r="J1107" s="203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203"/>
      <c r="J1108" s="203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203"/>
      <c r="J1109" s="203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203"/>
      <c r="J1110" s="203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203"/>
      <c r="J1111" s="203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203"/>
      <c r="J1112" s="203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203"/>
      <c r="J1113" s="203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203"/>
      <c r="J1114" s="203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203"/>
      <c r="J1115" s="203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203"/>
      <c r="J1116" s="203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203"/>
      <c r="J1117" s="203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203"/>
      <c r="J1118" s="203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203"/>
      <c r="J1119" s="203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203"/>
      <c r="J1120" s="203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203"/>
      <c r="J1121" s="203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203"/>
      <c r="J1122" s="203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203"/>
      <c r="J1123" s="203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203"/>
      <c r="J1124" s="203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203"/>
      <c r="J1125" s="203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203"/>
      <c r="J1126" s="203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203"/>
      <c r="J1127" s="203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203"/>
      <c r="J1128" s="203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203"/>
      <c r="J1129" s="203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203"/>
      <c r="J1130" s="203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203"/>
      <c r="J1131" s="203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203"/>
      <c r="J1132" s="203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203"/>
      <c r="J1133" s="203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203"/>
      <c r="J1134" s="203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203"/>
      <c r="J1135" s="203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203"/>
      <c r="J1136" s="203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203"/>
      <c r="J1137" s="203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203"/>
      <c r="J1138" s="203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203"/>
      <c r="J1139" s="203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203"/>
      <c r="J1140" s="203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203"/>
      <c r="J1141" s="203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203"/>
      <c r="J1142" s="203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203"/>
      <c r="J1143" s="203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203"/>
      <c r="J1144" s="203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203"/>
      <c r="J1145" s="203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203"/>
      <c r="J1146" s="203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203"/>
      <c r="J1147" s="203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203"/>
      <c r="J1148" s="203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203"/>
      <c r="J1149" s="203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203"/>
      <c r="J1150" s="203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203"/>
      <c r="J1151" s="203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203"/>
      <c r="J1152" s="203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203"/>
      <c r="J1153" s="203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203"/>
      <c r="J1154" s="203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203"/>
      <c r="J1155" s="203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203"/>
      <c r="J1156" s="203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203"/>
      <c r="J1157" s="203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203"/>
      <c r="J1158" s="203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203"/>
      <c r="J1159" s="203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203"/>
      <c r="J1160" s="203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203"/>
      <c r="J1161" s="203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203"/>
      <c r="J1162" s="203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203"/>
      <c r="J1163" s="203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203"/>
      <c r="J1164" s="203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203"/>
      <c r="J1165" s="203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203"/>
      <c r="J1166" s="203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203"/>
      <c r="J1167" s="203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203"/>
      <c r="J1168" s="203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203"/>
      <c r="J1169" s="203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203"/>
      <c r="J1170" s="203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203"/>
      <c r="J1171" s="203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203"/>
      <c r="J1172" s="203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203"/>
      <c r="J1173" s="203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203"/>
      <c r="J1174" s="203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203"/>
      <c r="J1175" s="203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203"/>
      <c r="J1176" s="203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203"/>
      <c r="J1177" s="203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203"/>
      <c r="J1178" s="203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203"/>
      <c r="J1179" s="203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203"/>
      <c r="J1180" s="203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203"/>
      <c r="J1181" s="203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203"/>
      <c r="J1182" s="203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203"/>
      <c r="J1183" s="203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203"/>
      <c r="J1184" s="203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203"/>
      <c r="J1185" s="203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203"/>
      <c r="J1186" s="203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203"/>
      <c r="J1187" s="203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203"/>
      <c r="J1188" s="203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203"/>
      <c r="J1189" s="203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203"/>
      <c r="J1190" s="203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203"/>
      <c r="J1191" s="203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203"/>
      <c r="J1192" s="203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203"/>
      <c r="J1193" s="203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203"/>
      <c r="J1194" s="203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203"/>
      <c r="J1195" s="203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203"/>
      <c r="J1196" s="203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203"/>
      <c r="J1197" s="203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203"/>
      <c r="J1198" s="203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203"/>
      <c r="J1199" s="203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203"/>
      <c r="J1200" s="203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203"/>
      <c r="J1201" s="203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203"/>
      <c r="J1202" s="203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203"/>
      <c r="J1203" s="203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203"/>
      <c r="J1204" s="203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203"/>
      <c r="J1205" s="203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203"/>
      <c r="J1206" s="203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203"/>
      <c r="J1207" s="203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203"/>
      <c r="J1208" s="203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203"/>
      <c r="J1209" s="203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203"/>
      <c r="J1210" s="203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203"/>
      <c r="J1211" s="203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203"/>
      <c r="J1212" s="203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203"/>
      <c r="J1213" s="203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203"/>
      <c r="J1214" s="203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203"/>
      <c r="J1215" s="203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203"/>
      <c r="J1216" s="203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203"/>
      <c r="J1217" s="203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203"/>
      <c r="J1218" s="203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203"/>
      <c r="J1219" s="203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203"/>
      <c r="J1220" s="203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203"/>
      <c r="J1221" s="203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203"/>
      <c r="J1222" s="203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203"/>
      <c r="J1223" s="203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203"/>
      <c r="J1224" s="203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203"/>
      <c r="J1225" s="203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203"/>
      <c r="J1226" s="203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203"/>
      <c r="J1227" s="203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203"/>
      <c r="J1228" s="203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203"/>
      <c r="J1229" s="203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203"/>
      <c r="J1230" s="203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203"/>
      <c r="J1231" s="203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203"/>
      <c r="J1232" s="203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203"/>
      <c r="J1233" s="203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203"/>
      <c r="J1234" s="203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203"/>
      <c r="J1235" s="203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203"/>
      <c r="J1236" s="203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203"/>
      <c r="J1237" s="203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203"/>
      <c r="J1238" s="203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203"/>
      <c r="J1239" s="203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203"/>
      <c r="J1240" s="203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203"/>
      <c r="J1241" s="203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203"/>
      <c r="J1242" s="203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203"/>
      <c r="J1243" s="203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203"/>
      <c r="J1244" s="203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203"/>
      <c r="J1245" s="203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203"/>
      <c r="J1246" s="203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203"/>
      <c r="J1247" s="203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203"/>
      <c r="J1248" s="203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203"/>
      <c r="J1249" s="203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203"/>
      <c r="J1250" s="203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203"/>
      <c r="J1251" s="203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203"/>
      <c r="J1252" s="203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203"/>
      <c r="J1253" s="203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203"/>
      <c r="J1254" s="203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203"/>
      <c r="J1255" s="203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203"/>
      <c r="J1256" s="203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203"/>
      <c r="J1257" s="203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203"/>
      <c r="J1258" s="203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203"/>
      <c r="J1259" s="203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203"/>
      <c r="J1260" s="203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203"/>
      <c r="J1261" s="203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203"/>
      <c r="J1262" s="203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203"/>
      <c r="J1263" s="203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203"/>
      <c r="J1264" s="203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203"/>
      <c r="J1265" s="203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203"/>
      <c r="J1266" s="203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203"/>
      <c r="J1267" s="203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203"/>
      <c r="J1268" s="203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203"/>
      <c r="J1269" s="203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203"/>
      <c r="J1270" s="203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203"/>
      <c r="J1271" s="203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203"/>
      <c r="J1272" s="203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203"/>
      <c r="J1273" s="203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203"/>
      <c r="J1274" s="203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203"/>
      <c r="J1275" s="203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203"/>
      <c r="J1276" s="203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203"/>
      <c r="J1277" s="203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203"/>
      <c r="J1278" s="203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203"/>
      <c r="J1279" s="203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203"/>
      <c r="J1280" s="203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203"/>
      <c r="J1281" s="203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203"/>
      <c r="J1282" s="203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203"/>
      <c r="J1283" s="203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203"/>
      <c r="J1284" s="203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203"/>
      <c r="J1285" s="203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203"/>
      <c r="J1286" s="203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203"/>
      <c r="J1287" s="203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203"/>
      <c r="J1288" s="203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203"/>
      <c r="J1289" s="203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203"/>
      <c r="J1290" s="203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203"/>
      <c r="J1291" s="203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203"/>
      <c r="J1292" s="203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203"/>
      <c r="J1293" s="203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203"/>
      <c r="J1294" s="203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203"/>
      <c r="J1295" s="203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203"/>
      <c r="J1296" s="203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203"/>
      <c r="J1297" s="203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203"/>
      <c r="J1298" s="203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203"/>
      <c r="J1299" s="203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203"/>
      <c r="J1300" s="203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203"/>
      <c r="J1301" s="203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203"/>
      <c r="J1302" s="203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203"/>
      <c r="J1303" s="203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203"/>
      <c r="J1304" s="203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203"/>
      <c r="J1305" s="203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203"/>
      <c r="J1306" s="203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203"/>
      <c r="J1307" s="203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203"/>
      <c r="J1308" s="203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203"/>
      <c r="J1309" s="203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203"/>
      <c r="J1310" s="203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203"/>
      <c r="J1311" s="203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203"/>
      <c r="J1312" s="203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203"/>
      <c r="J1313" s="203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203"/>
      <c r="J1314" s="203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203"/>
      <c r="J1315" s="203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203"/>
      <c r="J1316" s="203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203"/>
      <c r="J1317" s="203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203"/>
      <c r="J1318" s="203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203"/>
      <c r="J1319" s="203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203"/>
      <c r="J1320" s="203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203"/>
      <c r="J1321" s="203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203"/>
      <c r="J1322" s="203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203"/>
      <c r="J1323" s="203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203"/>
      <c r="J1324" s="203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203"/>
      <c r="J1325" s="203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203"/>
      <c r="J1326" s="203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203"/>
      <c r="J1327" s="203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203"/>
      <c r="J1328" s="203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203"/>
      <c r="J1329" s="203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203"/>
      <c r="J1330" s="203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203"/>
      <c r="J1331" s="203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203"/>
      <c r="J1332" s="203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203"/>
      <c r="J1333" s="203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203"/>
      <c r="J1334" s="203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203"/>
      <c r="J1335" s="203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203"/>
      <c r="J1336" s="203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203"/>
      <c r="J1337" s="203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203"/>
      <c r="J1338" s="203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203"/>
      <c r="J1339" s="203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203"/>
      <c r="J1340" s="203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203"/>
      <c r="J1341" s="203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203"/>
      <c r="J1342" s="203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203"/>
      <c r="J1343" s="203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203"/>
      <c r="J1344" s="203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203"/>
      <c r="J1345" s="203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203"/>
      <c r="J1346" s="203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203"/>
      <c r="J1347" s="203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203"/>
      <c r="J1348" s="203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203"/>
      <c r="J1349" s="203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203"/>
      <c r="J1350" s="203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203"/>
      <c r="J1351" s="203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203"/>
      <c r="J1352" s="203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203"/>
      <c r="J1353" s="203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203"/>
      <c r="J1354" s="203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203"/>
      <c r="J1355" s="203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203"/>
      <c r="J1356" s="203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203"/>
      <c r="J1357" s="203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203"/>
      <c r="J1358" s="203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203"/>
      <c r="J1359" s="203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203"/>
      <c r="J1360" s="203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203"/>
      <c r="J1361" s="203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203"/>
      <c r="J1362" s="203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203"/>
      <c r="J1363" s="203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203"/>
      <c r="J1364" s="203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203"/>
      <c r="J1365" s="203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203"/>
      <c r="J1366" s="203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203"/>
      <c r="J1367" s="203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203"/>
      <c r="J1368" s="203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203"/>
      <c r="J1369" s="203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203"/>
      <c r="J1370" s="203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203"/>
      <c r="J1371" s="203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203"/>
      <c r="J1372" s="203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203"/>
      <c r="J1373" s="203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203"/>
      <c r="J1374" s="203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203"/>
      <c r="J1375" s="203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203"/>
      <c r="J1376" s="203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203"/>
      <c r="J1377" s="203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203"/>
      <c r="J1378" s="203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203"/>
      <c r="J1379" s="203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203"/>
      <c r="J1380" s="203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203"/>
      <c r="J1381" s="203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203"/>
      <c r="J1382" s="203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203"/>
      <c r="J1383" s="203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203"/>
      <c r="J1384" s="203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203"/>
      <c r="J1385" s="203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203"/>
      <c r="J1386" s="203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203"/>
      <c r="J1387" s="203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203"/>
      <c r="J1388" s="203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203"/>
      <c r="J1389" s="203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203"/>
      <c r="J1390" s="203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203"/>
      <c r="J1391" s="203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203"/>
      <c r="J1392" s="203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203"/>
      <c r="J1393" s="203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203"/>
      <c r="J1394" s="203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203"/>
      <c r="J1395" s="203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203"/>
      <c r="J1396" s="203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203"/>
      <c r="J1397" s="203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203"/>
      <c r="J1398" s="203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203"/>
      <c r="J1399" s="203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203"/>
      <c r="J1400" s="203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203"/>
      <c r="J1401" s="203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203"/>
      <c r="J1402" s="203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203"/>
      <c r="J1403" s="203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203"/>
      <c r="J1404" s="203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203"/>
      <c r="J1405" s="203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203"/>
      <c r="J1406" s="203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203"/>
      <c r="J1407" s="203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203"/>
      <c r="J1408" s="203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203"/>
      <c r="J1409" s="203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203"/>
      <c r="J1410" s="203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203"/>
      <c r="J1411" s="203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203"/>
      <c r="J1412" s="203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203"/>
      <c r="J1413" s="203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203"/>
      <c r="J1414" s="203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203"/>
      <c r="J1415" s="203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203"/>
      <c r="J1416" s="203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203"/>
      <c r="J1417" s="203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203"/>
      <c r="J1418" s="203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203"/>
      <c r="J1419" s="203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203"/>
      <c r="J1420" s="203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203"/>
      <c r="J1421" s="203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203"/>
      <c r="J1422" s="203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203"/>
      <c r="J1423" s="203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203"/>
      <c r="J1424" s="203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203"/>
      <c r="J1425" s="203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203"/>
      <c r="J1426" s="203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203"/>
      <c r="J1427" s="203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203"/>
      <c r="J1428" s="203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203"/>
      <c r="J1429" s="203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203"/>
      <c r="J1430" s="203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203"/>
      <c r="J1431" s="203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203"/>
      <c r="J1432" s="203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203"/>
      <c r="J1433" s="203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203"/>
      <c r="J1434" s="203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203"/>
      <c r="J1435" s="203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203"/>
      <c r="J1436" s="203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203"/>
      <c r="J1437" s="203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203"/>
      <c r="J1438" s="203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203"/>
      <c r="J1439" s="203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203"/>
      <c r="J1440" s="203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203"/>
      <c r="J1441" s="203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203"/>
      <c r="J1442" s="203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203"/>
      <c r="J1443" s="203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203"/>
      <c r="J1444" s="203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203"/>
      <c r="J1445" s="203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203"/>
      <c r="J1446" s="203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203"/>
      <c r="J1447" s="203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203"/>
      <c r="J1448" s="203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203"/>
      <c r="J1449" s="203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203"/>
      <c r="J1450" s="203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203"/>
      <c r="J1451" s="203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203"/>
      <c r="J1452" s="203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203"/>
      <c r="J1453" s="203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203"/>
      <c r="J1454" s="203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203"/>
      <c r="J1455" s="203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203"/>
      <c r="J1456" s="203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203"/>
      <c r="J1457" s="203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203"/>
      <c r="J1458" s="203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203"/>
      <c r="J1459" s="203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203"/>
      <c r="J1460" s="203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203"/>
      <c r="J1461" s="203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203"/>
      <c r="J1462" s="203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203"/>
      <c r="J1463" s="203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203"/>
      <c r="J1464" s="203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203"/>
      <c r="J1465" s="203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203"/>
      <c r="J1466" s="203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203"/>
      <c r="J1467" s="203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203"/>
      <c r="J1468" s="203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203"/>
      <c r="J1469" s="203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203"/>
      <c r="J1470" s="203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203"/>
      <c r="J1471" s="203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203"/>
      <c r="J1472" s="203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203"/>
      <c r="J1473" s="203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203"/>
      <c r="J1474" s="203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203"/>
      <c r="J1475" s="203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203"/>
      <c r="J1476" s="203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203"/>
      <c r="J1477" s="203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203"/>
      <c r="J1478" s="203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203"/>
      <c r="J1479" s="203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203"/>
      <c r="J1480" s="203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203"/>
      <c r="J1481" s="203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203"/>
      <c r="J1482" s="203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203"/>
      <c r="J1483" s="203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203"/>
      <c r="J1484" s="203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203"/>
      <c r="J1485" s="203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203"/>
      <c r="J1486" s="203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203"/>
      <c r="J1487" s="203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203"/>
      <c r="J1488" s="203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203"/>
      <c r="J1489" s="203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203"/>
      <c r="J1490" s="203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203"/>
      <c r="J1491" s="203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203"/>
      <c r="J1492" s="203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203"/>
      <c r="J1493" s="203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203"/>
      <c r="J1494" s="203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203"/>
      <c r="J1495" s="203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203"/>
      <c r="J1496" s="203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203"/>
      <c r="J1497" s="203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203"/>
      <c r="J1498" s="203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203"/>
      <c r="J1499" s="203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203"/>
      <c r="J1500" s="203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>
      <c r="A1501" s="156"/>
      <c r="B1501" s="154"/>
      <c r="C1501" s="154"/>
      <c r="D1501" s="154"/>
      <c r="E1501" s="159"/>
      <c r="F1501" s="170"/>
      <c r="G1501" s="155"/>
      <c r="H1501" s="156"/>
      <c r="I1501" s="203"/>
      <c r="J1501" s="203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>
      <c r="A1502" s="156"/>
      <c r="B1502" s="154"/>
      <c r="C1502" s="154"/>
      <c r="D1502" s="154"/>
      <c r="E1502" s="159"/>
      <c r="F1502" s="170"/>
      <c r="G1502" s="155"/>
      <c r="H1502" s="156"/>
      <c r="I1502" s="203"/>
      <c r="J1502" s="203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>
      <c r="A1503" s="156"/>
      <c r="B1503" s="154"/>
      <c r="C1503" s="154"/>
      <c r="D1503" s="154"/>
      <c r="E1503" s="159"/>
      <c r="F1503" s="170"/>
      <c r="G1503" s="155"/>
      <c r="H1503" s="156"/>
      <c r="I1503" s="203"/>
      <c r="J1503" s="203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>
      <c r="A1504" s="156"/>
      <c r="B1504" s="154"/>
      <c r="C1504" s="154"/>
      <c r="D1504" s="154"/>
      <c r="E1504" s="159"/>
      <c r="F1504" s="170"/>
      <c r="G1504" s="155"/>
      <c r="H1504" s="156"/>
      <c r="I1504" s="203"/>
      <c r="J1504" s="203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>
      <c r="A1505" s="156"/>
      <c r="B1505" s="154"/>
      <c r="C1505" s="154"/>
      <c r="D1505" s="154"/>
      <c r="E1505" s="159"/>
      <c r="F1505" s="170"/>
      <c r="G1505" s="155"/>
      <c r="H1505" s="156"/>
      <c r="I1505" s="203"/>
      <c r="J1505" s="203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>
      <c r="A1506" s="156"/>
      <c r="B1506" s="154"/>
      <c r="C1506" s="154"/>
      <c r="D1506" s="154"/>
      <c r="E1506" s="159"/>
      <c r="F1506" s="170"/>
      <c r="G1506" s="155"/>
      <c r="H1506" s="156"/>
      <c r="I1506" s="203"/>
      <c r="J1506" s="203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>
      <c r="A1507" s="156"/>
      <c r="B1507" s="154"/>
      <c r="C1507" s="154"/>
      <c r="D1507" s="154"/>
      <c r="E1507" s="159"/>
      <c r="F1507" s="170"/>
      <c r="G1507" s="155"/>
      <c r="H1507" s="156"/>
      <c r="I1507" s="203"/>
      <c r="J1507" s="203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>
      <c r="A1508" s="156"/>
      <c r="B1508" s="154"/>
      <c r="C1508" s="154"/>
      <c r="D1508" s="154"/>
      <c r="E1508" s="159"/>
      <c r="F1508" s="170"/>
      <c r="G1508" s="155"/>
      <c r="H1508" s="156"/>
      <c r="I1508" s="203"/>
      <c r="J1508" s="203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>
      <c r="A1509" s="156"/>
      <c r="B1509" s="154"/>
      <c r="C1509" s="154"/>
      <c r="D1509" s="154"/>
      <c r="E1509" s="159"/>
      <c r="F1509" s="170"/>
      <c r="G1509" s="155"/>
      <c r="H1509" s="156"/>
      <c r="I1509" s="203"/>
      <c r="J1509" s="203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>
      <c r="A1510" s="156"/>
      <c r="B1510" s="154"/>
      <c r="C1510" s="154"/>
      <c r="D1510" s="154"/>
      <c r="E1510" s="159"/>
      <c r="F1510" s="170"/>
      <c r="G1510" s="155"/>
      <c r="H1510" s="156"/>
      <c r="I1510" s="203"/>
      <c r="J1510" s="203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>
      <c r="A1511" s="156"/>
      <c r="B1511" s="154"/>
      <c r="C1511" s="154"/>
      <c r="D1511" s="154"/>
      <c r="E1511" s="159"/>
      <c r="F1511" s="170"/>
      <c r="G1511" s="155"/>
      <c r="H1511" s="156"/>
      <c r="I1511" s="203"/>
      <c r="J1511" s="203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>
      <c r="A1512" s="156"/>
      <c r="B1512" s="154"/>
      <c r="C1512" s="154"/>
      <c r="D1512" s="154"/>
      <c r="E1512" s="159"/>
      <c r="F1512" s="170"/>
      <c r="G1512" s="155"/>
      <c r="H1512" s="156"/>
      <c r="I1512" s="203"/>
      <c r="J1512" s="203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>
      <c r="A1513" s="156"/>
      <c r="B1513" s="154"/>
      <c r="C1513" s="154"/>
      <c r="D1513" s="154"/>
      <c r="E1513" s="159"/>
      <c r="F1513" s="170"/>
      <c r="G1513" s="155"/>
      <c r="H1513" s="156"/>
      <c r="I1513" s="203"/>
      <c r="J1513" s="203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>
      <c r="A1514" s="156"/>
      <c r="B1514" s="154"/>
      <c r="C1514" s="154"/>
      <c r="D1514" s="154"/>
      <c r="E1514" s="159"/>
      <c r="F1514" s="170"/>
      <c r="G1514" s="155"/>
      <c r="H1514" s="156"/>
      <c r="I1514" s="203"/>
      <c r="J1514" s="203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>
      <c r="A1515" s="156"/>
      <c r="B1515" s="154"/>
      <c r="C1515" s="154"/>
      <c r="D1515" s="154"/>
      <c r="E1515" s="159"/>
      <c r="F1515" s="170"/>
      <c r="G1515" s="155"/>
      <c r="H1515" s="156"/>
      <c r="I1515" s="203"/>
      <c r="J1515" s="203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>
      <c r="A1516" s="156"/>
      <c r="B1516" s="154"/>
      <c r="C1516" s="154"/>
      <c r="D1516" s="154"/>
      <c r="E1516" s="159"/>
      <c r="F1516" s="170"/>
      <c r="G1516" s="155"/>
      <c r="H1516" s="156"/>
      <c r="I1516" s="203"/>
      <c r="J1516" s="203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>
      <c r="A1517" s="156"/>
      <c r="B1517" s="154"/>
      <c r="C1517" s="154"/>
      <c r="D1517" s="154"/>
      <c r="E1517" s="159"/>
      <c r="F1517" s="170"/>
      <c r="G1517" s="155"/>
      <c r="H1517" s="156"/>
      <c r="I1517" s="203"/>
      <c r="J1517" s="203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>
      <c r="A1518" s="156"/>
      <c r="B1518" s="154"/>
      <c r="C1518" s="154"/>
      <c r="D1518" s="154"/>
      <c r="E1518" s="159"/>
      <c r="F1518" s="170"/>
      <c r="G1518" s="155"/>
      <c r="H1518" s="156"/>
      <c r="I1518" s="203"/>
      <c r="J1518" s="203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>
      <c r="A1519" s="156"/>
      <c r="B1519" s="154"/>
      <c r="C1519" s="154"/>
      <c r="D1519" s="154"/>
      <c r="E1519" s="159"/>
      <c r="F1519" s="170"/>
      <c r="G1519" s="155"/>
      <c r="H1519" s="156"/>
      <c r="I1519" s="203"/>
      <c r="J1519" s="203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>
      <c r="A1520" s="156"/>
      <c r="B1520" s="154"/>
      <c r="C1520" s="154"/>
      <c r="D1520" s="154"/>
      <c r="E1520" s="159"/>
      <c r="F1520" s="170"/>
      <c r="G1520" s="155"/>
      <c r="H1520" s="156"/>
      <c r="I1520" s="203"/>
      <c r="J1520" s="203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>
      <c r="A1521" s="156"/>
      <c r="B1521" s="154"/>
      <c r="C1521" s="154"/>
      <c r="D1521" s="154"/>
      <c r="E1521" s="159"/>
      <c r="F1521" s="170"/>
      <c r="G1521" s="155"/>
      <c r="H1521" s="156"/>
      <c r="I1521" s="203"/>
      <c r="J1521" s="203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>
      <c r="A1522" s="156"/>
      <c r="B1522" s="154"/>
      <c r="C1522" s="154"/>
      <c r="D1522" s="154"/>
      <c r="E1522" s="159"/>
      <c r="F1522" s="170"/>
      <c r="G1522" s="155"/>
      <c r="H1522" s="156"/>
      <c r="I1522" s="203"/>
      <c r="J1522" s="203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>
      <c r="A1523" s="156"/>
      <c r="B1523" s="154"/>
      <c r="C1523" s="154"/>
      <c r="D1523" s="154"/>
      <c r="E1523" s="159"/>
      <c r="F1523" s="170"/>
      <c r="G1523" s="155"/>
      <c r="H1523" s="156"/>
      <c r="I1523" s="203"/>
      <c r="J1523" s="203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>
      <c r="A1524" s="156"/>
      <c r="B1524" s="154"/>
      <c r="C1524" s="154"/>
      <c r="D1524" s="154"/>
      <c r="E1524" s="159"/>
      <c r="F1524" s="170"/>
      <c r="G1524" s="155"/>
      <c r="H1524" s="156"/>
      <c r="I1524" s="203"/>
      <c r="J1524" s="203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>
      <c r="A1525" s="156"/>
      <c r="B1525" s="154"/>
      <c r="C1525" s="154"/>
      <c r="D1525" s="154"/>
      <c r="E1525" s="159"/>
      <c r="F1525" s="170"/>
      <c r="G1525" s="155"/>
      <c r="H1525" s="156"/>
      <c r="I1525" s="203"/>
      <c r="J1525" s="203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>
      <c r="A1526" s="156"/>
      <c r="B1526" s="154"/>
      <c r="C1526" s="154"/>
      <c r="D1526" s="154"/>
      <c r="E1526" s="159"/>
      <c r="F1526" s="170"/>
      <c r="G1526" s="155"/>
      <c r="H1526" s="156"/>
      <c r="I1526" s="203"/>
      <c r="J1526" s="203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>
      <c r="A1527" s="156"/>
      <c r="B1527" s="154"/>
      <c r="C1527" s="154"/>
      <c r="D1527" s="154"/>
      <c r="E1527" s="159"/>
      <c r="F1527" s="170"/>
      <c r="G1527" s="155"/>
      <c r="H1527" s="156"/>
      <c r="I1527" s="203"/>
      <c r="J1527" s="203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>
      <c r="A1528" s="156"/>
      <c r="B1528" s="154"/>
      <c r="C1528" s="154"/>
      <c r="D1528" s="154"/>
      <c r="E1528" s="159"/>
      <c r="F1528" s="170"/>
      <c r="G1528" s="155"/>
      <c r="H1528" s="156"/>
      <c r="I1528" s="203"/>
      <c r="J1528" s="203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>
      <c r="A1529" s="156"/>
      <c r="B1529" s="154"/>
      <c r="C1529" s="154"/>
      <c r="D1529" s="154"/>
      <c r="E1529" s="159"/>
      <c r="F1529" s="170"/>
      <c r="G1529" s="155"/>
      <c r="H1529" s="156"/>
      <c r="I1529" s="203"/>
      <c r="J1529" s="203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>
      <c r="A1530" s="156"/>
      <c r="B1530" s="154"/>
      <c r="C1530" s="154"/>
      <c r="D1530" s="154"/>
      <c r="E1530" s="159"/>
      <c r="F1530" s="170"/>
      <c r="G1530" s="155"/>
      <c r="H1530" s="156"/>
      <c r="I1530" s="203"/>
      <c r="J1530" s="203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>
      <c r="A1531" s="156"/>
      <c r="B1531" s="154"/>
      <c r="C1531" s="154"/>
      <c r="D1531" s="154"/>
      <c r="E1531" s="159"/>
      <c r="F1531" s="170"/>
      <c r="G1531" s="155"/>
      <c r="H1531" s="156"/>
      <c r="I1531" s="203"/>
      <c r="J1531" s="203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>
      <c r="A1532" s="156"/>
      <c r="B1532" s="154"/>
      <c r="C1532" s="154"/>
      <c r="D1532" s="154"/>
      <c r="E1532" s="159"/>
      <c r="F1532" s="170"/>
      <c r="G1532" s="155"/>
      <c r="H1532" s="156"/>
      <c r="I1532" s="203"/>
      <c r="J1532" s="203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>
      <c r="A1533" s="156"/>
      <c r="B1533" s="154"/>
      <c r="C1533" s="154"/>
      <c r="D1533" s="154"/>
      <c r="E1533" s="159"/>
      <c r="F1533" s="170"/>
      <c r="G1533" s="155"/>
      <c r="H1533" s="156"/>
      <c r="I1533" s="203"/>
      <c r="J1533" s="203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>
      <c r="A1534" s="156"/>
      <c r="B1534" s="154"/>
      <c r="C1534" s="154"/>
      <c r="D1534" s="154"/>
      <c r="E1534" s="159"/>
      <c r="F1534" s="170"/>
      <c r="G1534" s="155"/>
      <c r="H1534" s="156"/>
      <c r="I1534" s="203"/>
      <c r="J1534" s="203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>
      <c r="A1535" s="156"/>
      <c r="B1535" s="154"/>
      <c r="C1535" s="154"/>
      <c r="D1535" s="154"/>
      <c r="E1535" s="159"/>
      <c r="F1535" s="170"/>
      <c r="G1535" s="155"/>
      <c r="H1535" s="156"/>
      <c r="I1535" s="203"/>
      <c r="J1535" s="203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>
      <c r="A1536" s="156"/>
      <c r="B1536" s="154"/>
      <c r="C1536" s="154"/>
      <c r="D1536" s="154"/>
      <c r="E1536" s="159"/>
      <c r="F1536" s="170"/>
      <c r="G1536" s="155"/>
      <c r="H1536" s="156"/>
      <c r="I1536" s="203"/>
      <c r="J1536" s="203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>
      <c r="A1537" s="156"/>
      <c r="B1537" s="154"/>
      <c r="C1537" s="154"/>
      <c r="D1537" s="154"/>
      <c r="E1537" s="159"/>
      <c r="F1537" s="170"/>
      <c r="G1537" s="155"/>
      <c r="H1537" s="156"/>
      <c r="I1537" s="203"/>
      <c r="J1537" s="203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>
      <c r="A1538" s="156"/>
      <c r="B1538" s="154"/>
      <c r="C1538" s="154"/>
      <c r="D1538" s="154"/>
      <c r="E1538" s="159"/>
      <c r="F1538" s="170"/>
      <c r="G1538" s="155"/>
      <c r="H1538" s="156"/>
      <c r="I1538" s="203"/>
      <c r="J1538" s="203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>
      <c r="A1539" s="156"/>
      <c r="B1539" s="154"/>
      <c r="C1539" s="154"/>
      <c r="D1539" s="154"/>
      <c r="E1539" s="159"/>
      <c r="F1539" s="170"/>
      <c r="G1539" s="155"/>
      <c r="H1539" s="156"/>
      <c r="I1539" s="203"/>
      <c r="J1539" s="203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>
      <c r="A1540" s="156"/>
      <c r="B1540" s="154"/>
      <c r="C1540" s="154"/>
      <c r="D1540" s="154"/>
      <c r="E1540" s="159"/>
      <c r="F1540" s="170"/>
      <c r="G1540" s="155"/>
      <c r="H1540" s="156"/>
      <c r="I1540" s="203"/>
      <c r="J1540" s="203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>
      <c r="A1541" s="156"/>
      <c r="B1541" s="154"/>
      <c r="C1541" s="154"/>
      <c r="D1541" s="154"/>
      <c r="E1541" s="159"/>
      <c r="F1541" s="170"/>
      <c r="G1541" s="155"/>
      <c r="H1541" s="156"/>
      <c r="I1541" s="203"/>
      <c r="J1541" s="203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>
      <c r="A1542" s="156"/>
      <c r="B1542" s="154"/>
      <c r="C1542" s="154"/>
      <c r="D1542" s="154"/>
      <c r="E1542" s="159"/>
      <c r="F1542" s="170"/>
      <c r="G1542" s="155"/>
      <c r="H1542" s="156"/>
      <c r="I1542" s="203"/>
      <c r="J1542" s="203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>
      <c r="A1543" s="156"/>
      <c r="B1543" s="154"/>
      <c r="C1543" s="154"/>
      <c r="D1543" s="154"/>
      <c r="E1543" s="159"/>
      <c r="F1543" s="170"/>
      <c r="G1543" s="155"/>
      <c r="H1543" s="156"/>
      <c r="I1543" s="203"/>
      <c r="J1543" s="203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>
      <c r="A1544" s="156"/>
      <c r="B1544" s="154"/>
      <c r="C1544" s="154"/>
      <c r="D1544" s="154"/>
      <c r="E1544" s="159"/>
      <c r="F1544" s="170"/>
      <c r="G1544" s="155"/>
      <c r="H1544" s="156"/>
      <c r="I1544" s="203"/>
      <c r="J1544" s="203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>
      <c r="A1545" s="156"/>
      <c r="B1545" s="154"/>
      <c r="C1545" s="154"/>
      <c r="D1545" s="154"/>
      <c r="E1545" s="159"/>
      <c r="F1545" s="170"/>
      <c r="G1545" s="155"/>
      <c r="H1545" s="156"/>
      <c r="I1545" s="203"/>
      <c r="J1545" s="203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>
      <c r="A1546" s="156"/>
      <c r="B1546" s="154"/>
      <c r="C1546" s="154"/>
      <c r="D1546" s="154"/>
      <c r="E1546" s="159"/>
      <c r="F1546" s="170"/>
      <c r="G1546" s="155"/>
      <c r="H1546" s="156"/>
      <c r="I1546" s="203"/>
      <c r="J1546" s="203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>
      <c r="A1547" s="156"/>
      <c r="B1547" s="154"/>
      <c r="C1547" s="154"/>
      <c r="D1547" s="154"/>
      <c r="E1547" s="159"/>
      <c r="F1547" s="170"/>
      <c r="G1547" s="155"/>
      <c r="H1547" s="156"/>
      <c r="I1547" s="203"/>
      <c r="J1547" s="203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>
      <c r="A1548" s="156"/>
      <c r="B1548" s="154"/>
      <c r="C1548" s="154"/>
      <c r="D1548" s="154"/>
      <c r="E1548" s="159"/>
      <c r="F1548" s="170"/>
      <c r="G1548" s="155"/>
      <c r="H1548" s="156"/>
      <c r="I1548" s="203"/>
      <c r="J1548" s="203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>
      <c r="A1549" s="156"/>
      <c r="B1549" s="154"/>
      <c r="C1549" s="154"/>
      <c r="D1549" s="154"/>
      <c r="E1549" s="159"/>
      <c r="F1549" s="170"/>
      <c r="G1549" s="155"/>
      <c r="H1549" s="156"/>
      <c r="I1549" s="203"/>
      <c r="J1549" s="203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>
      <c r="A1550" s="156"/>
      <c r="B1550" s="154"/>
      <c r="C1550" s="154"/>
      <c r="D1550" s="154"/>
      <c r="E1550" s="159"/>
      <c r="F1550" s="170"/>
      <c r="G1550" s="155"/>
      <c r="H1550" s="156"/>
      <c r="I1550" s="203"/>
      <c r="J1550" s="203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>
      <c r="A1551" s="156"/>
      <c r="B1551" s="154"/>
      <c r="C1551" s="154"/>
      <c r="D1551" s="154"/>
      <c r="E1551" s="159"/>
      <c r="F1551" s="170"/>
      <c r="G1551" s="155"/>
      <c r="H1551" s="156"/>
      <c r="I1551" s="203"/>
      <c r="J1551" s="203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>
      <c r="A1552" s="156"/>
      <c r="B1552" s="154"/>
      <c r="C1552" s="154"/>
      <c r="D1552" s="154"/>
      <c r="E1552" s="159"/>
      <c r="F1552" s="170"/>
      <c r="G1552" s="155"/>
      <c r="H1552" s="156"/>
      <c r="I1552" s="203"/>
      <c r="J1552" s="203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>
      <c r="A1553" s="156"/>
      <c r="B1553" s="154"/>
      <c r="C1553" s="154"/>
      <c r="D1553" s="154"/>
      <c r="E1553" s="159"/>
      <c r="F1553" s="170"/>
      <c r="G1553" s="155"/>
      <c r="H1553" s="156"/>
      <c r="I1553" s="203"/>
      <c r="J1553" s="203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>
      <c r="A1554" s="156"/>
      <c r="B1554" s="154"/>
      <c r="C1554" s="154"/>
      <c r="D1554" s="154"/>
      <c r="E1554" s="159"/>
      <c r="F1554" s="170"/>
      <c r="G1554" s="155"/>
      <c r="H1554" s="156"/>
      <c r="I1554" s="203"/>
      <c r="J1554" s="203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>
      <c r="A1555" s="156"/>
      <c r="B1555" s="154"/>
      <c r="C1555" s="154"/>
      <c r="D1555" s="154"/>
      <c r="E1555" s="159"/>
      <c r="F1555" s="170"/>
      <c r="G1555" s="155"/>
      <c r="H1555" s="156"/>
      <c r="I1555" s="203"/>
      <c r="J1555" s="203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>
      <c r="A1556" s="156"/>
      <c r="B1556" s="154"/>
      <c r="C1556" s="154"/>
      <c r="D1556" s="154"/>
      <c r="E1556" s="159"/>
      <c r="F1556" s="170"/>
      <c r="G1556" s="155"/>
      <c r="H1556" s="156"/>
      <c r="I1556" s="203"/>
      <c r="J1556" s="203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>
      <c r="A1557" s="156"/>
      <c r="B1557" s="154"/>
      <c r="C1557" s="154"/>
      <c r="D1557" s="154"/>
      <c r="E1557" s="159"/>
      <c r="F1557" s="170"/>
      <c r="G1557" s="155"/>
      <c r="H1557" s="156"/>
      <c r="I1557" s="203"/>
      <c r="J1557" s="203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>
      <c r="A1558" s="156"/>
      <c r="B1558" s="154"/>
      <c r="C1558" s="154"/>
      <c r="D1558" s="154"/>
      <c r="E1558" s="159"/>
      <c r="F1558" s="170"/>
      <c r="G1558" s="155"/>
      <c r="H1558" s="156"/>
      <c r="I1558" s="203"/>
      <c r="J1558" s="203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>
      <c r="A1559" s="156"/>
      <c r="B1559" s="154"/>
      <c r="C1559" s="154"/>
      <c r="D1559" s="154"/>
      <c r="E1559" s="159"/>
      <c r="F1559" s="170"/>
      <c r="G1559" s="155"/>
      <c r="H1559" s="156"/>
      <c r="I1559" s="203"/>
      <c r="J1559" s="203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>
      <c r="A1560" s="156"/>
      <c r="B1560" s="154"/>
      <c r="C1560" s="154"/>
      <c r="D1560" s="154"/>
      <c r="E1560" s="159"/>
      <c r="F1560" s="170"/>
      <c r="G1560" s="155"/>
      <c r="H1560" s="156"/>
      <c r="I1560" s="203"/>
      <c r="J1560" s="203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>
      <c r="A1561" s="156"/>
      <c r="B1561" s="154"/>
      <c r="C1561" s="154"/>
      <c r="D1561" s="154"/>
      <c r="E1561" s="159"/>
      <c r="F1561" s="170"/>
      <c r="G1561" s="155"/>
      <c r="H1561" s="156"/>
      <c r="I1561" s="203"/>
      <c r="J1561" s="203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>
      <c r="A1562" s="156"/>
      <c r="B1562" s="154"/>
      <c r="C1562" s="154"/>
      <c r="D1562" s="154"/>
      <c r="E1562" s="159"/>
      <c r="F1562" s="170"/>
      <c r="G1562" s="155"/>
      <c r="H1562" s="156"/>
      <c r="I1562" s="203"/>
      <c r="J1562" s="203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>
      <c r="A1563" s="156"/>
      <c r="B1563" s="154"/>
      <c r="C1563" s="154"/>
      <c r="D1563" s="154"/>
      <c r="E1563" s="159"/>
      <c r="F1563" s="170"/>
      <c r="G1563" s="155"/>
      <c r="H1563" s="156"/>
      <c r="I1563" s="203"/>
      <c r="J1563" s="203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>
      <c r="A1564" s="156"/>
      <c r="B1564" s="154"/>
      <c r="C1564" s="154"/>
      <c r="D1564" s="154"/>
      <c r="E1564" s="159"/>
      <c r="F1564" s="170"/>
      <c r="G1564" s="155"/>
      <c r="H1564" s="156"/>
      <c r="I1564" s="203"/>
      <c r="J1564" s="203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>
      <c r="A1565" s="156"/>
      <c r="B1565" s="154"/>
      <c r="C1565" s="154"/>
      <c r="D1565" s="154"/>
      <c r="E1565" s="159"/>
      <c r="F1565" s="170"/>
      <c r="G1565" s="155"/>
      <c r="H1565" s="156"/>
      <c r="I1565" s="203"/>
      <c r="J1565" s="203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>
      <c r="A1566" s="156"/>
      <c r="B1566" s="154"/>
      <c r="C1566" s="154"/>
      <c r="D1566" s="154"/>
      <c r="E1566" s="159"/>
      <c r="F1566" s="170"/>
      <c r="G1566" s="155"/>
      <c r="H1566" s="156"/>
      <c r="I1566" s="203"/>
      <c r="J1566" s="203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>
      <c r="A1567" s="156"/>
      <c r="B1567" s="154"/>
      <c r="C1567" s="154"/>
      <c r="D1567" s="154"/>
      <c r="E1567" s="159"/>
      <c r="F1567" s="170"/>
      <c r="G1567" s="155"/>
      <c r="H1567" s="156"/>
      <c r="I1567" s="203"/>
      <c r="J1567" s="203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>
      <c r="A1568" s="156"/>
      <c r="B1568" s="154"/>
      <c r="C1568" s="154"/>
      <c r="D1568" s="154"/>
      <c r="E1568" s="159"/>
      <c r="F1568" s="170"/>
      <c r="G1568" s="155"/>
      <c r="H1568" s="156"/>
      <c r="I1568" s="203"/>
      <c r="J1568" s="203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>
      <c r="A1569" s="156"/>
      <c r="B1569" s="154"/>
      <c r="C1569" s="154"/>
      <c r="D1569" s="154"/>
      <c r="E1569" s="159"/>
      <c r="F1569" s="170"/>
      <c r="G1569" s="155"/>
      <c r="H1569" s="156"/>
      <c r="I1569" s="203"/>
      <c r="J1569" s="203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>
      <c r="A1570" s="156"/>
      <c r="B1570" s="154"/>
      <c r="C1570" s="154"/>
      <c r="D1570" s="154"/>
      <c r="E1570" s="159"/>
      <c r="F1570" s="170"/>
      <c r="G1570" s="155"/>
      <c r="H1570" s="156"/>
      <c r="I1570" s="203"/>
      <c r="J1570" s="203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>
      <c r="A1571" s="156"/>
      <c r="B1571" s="154"/>
      <c r="C1571" s="154"/>
      <c r="D1571" s="154"/>
      <c r="E1571" s="159"/>
      <c r="F1571" s="170"/>
      <c r="G1571" s="155"/>
      <c r="H1571" s="156"/>
      <c r="I1571" s="203"/>
      <c r="J1571" s="203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>
      <c r="A1572" s="156"/>
      <c r="B1572" s="154"/>
      <c r="C1572" s="154"/>
      <c r="D1572" s="154"/>
      <c r="E1572" s="159"/>
      <c r="F1572" s="170"/>
      <c r="G1572" s="155"/>
      <c r="H1572" s="156"/>
      <c r="I1572" s="203"/>
      <c r="J1572" s="203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>
      <c r="A1573" s="156"/>
      <c r="B1573" s="154"/>
      <c r="C1573" s="154"/>
      <c r="D1573" s="154"/>
      <c r="E1573" s="159"/>
      <c r="F1573" s="170"/>
      <c r="G1573" s="155"/>
      <c r="H1573" s="156"/>
      <c r="I1573" s="203"/>
      <c r="J1573" s="203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>
      <c r="A1574" s="156"/>
      <c r="B1574" s="154"/>
      <c r="C1574" s="154"/>
      <c r="D1574" s="154"/>
      <c r="E1574" s="159"/>
      <c r="F1574" s="170"/>
      <c r="G1574" s="155"/>
      <c r="H1574" s="156"/>
      <c r="I1574" s="203"/>
      <c r="J1574" s="203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>
      <c r="A1575" s="156"/>
      <c r="B1575" s="154"/>
      <c r="C1575" s="154"/>
      <c r="D1575" s="154"/>
      <c r="E1575" s="159"/>
      <c r="F1575" s="170"/>
      <c r="G1575" s="155"/>
      <c r="H1575" s="156"/>
      <c r="I1575" s="203"/>
      <c r="J1575" s="203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>
      <c r="A1576" s="156"/>
      <c r="B1576" s="154"/>
      <c r="C1576" s="154"/>
      <c r="D1576" s="154"/>
      <c r="E1576" s="159"/>
      <c r="F1576" s="170"/>
      <c r="G1576" s="155"/>
      <c r="H1576" s="156"/>
      <c r="I1576" s="203"/>
      <c r="J1576" s="203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>
      <c r="A1577" s="156"/>
      <c r="B1577" s="154"/>
      <c r="C1577" s="154"/>
      <c r="D1577" s="154"/>
      <c r="E1577" s="159"/>
      <c r="F1577" s="170"/>
      <c r="G1577" s="155"/>
      <c r="H1577" s="156"/>
      <c r="I1577" s="203"/>
      <c r="J1577" s="203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>
      <c r="A1578" s="156"/>
      <c r="B1578" s="154"/>
      <c r="C1578" s="154"/>
      <c r="D1578" s="154"/>
      <c r="E1578" s="159"/>
      <c r="F1578" s="170"/>
      <c r="G1578" s="155"/>
      <c r="H1578" s="156"/>
      <c r="I1578" s="203"/>
      <c r="J1578" s="203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>
      <c r="A1579" s="156"/>
      <c r="B1579" s="154"/>
      <c r="C1579" s="154"/>
      <c r="D1579" s="154"/>
      <c r="E1579" s="159"/>
      <c r="F1579" s="170"/>
      <c r="G1579" s="155"/>
      <c r="H1579" s="156"/>
      <c r="I1579" s="203"/>
      <c r="J1579" s="203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>
      <c r="A1580" s="156"/>
      <c r="B1580" s="154"/>
      <c r="C1580" s="154"/>
      <c r="D1580" s="154"/>
      <c r="E1580" s="159"/>
      <c r="F1580" s="170"/>
      <c r="G1580" s="155"/>
      <c r="H1580" s="156"/>
      <c r="I1580" s="203"/>
      <c r="J1580" s="203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>
      <c r="A1581" s="156"/>
      <c r="B1581" s="154"/>
      <c r="C1581" s="154"/>
      <c r="D1581" s="154"/>
      <c r="E1581" s="159"/>
      <c r="F1581" s="170"/>
      <c r="G1581" s="155"/>
      <c r="H1581" s="156"/>
      <c r="I1581" s="203"/>
      <c r="J1581" s="203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>
      <c r="A1582" s="156"/>
      <c r="B1582" s="154"/>
      <c r="C1582" s="154"/>
      <c r="D1582" s="154"/>
      <c r="E1582" s="159"/>
      <c r="F1582" s="170"/>
      <c r="G1582" s="155"/>
      <c r="H1582" s="156"/>
      <c r="I1582" s="203"/>
      <c r="J1582" s="203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>
      <c r="A1583" s="156"/>
      <c r="B1583" s="154"/>
      <c r="C1583" s="154"/>
      <c r="D1583" s="154"/>
      <c r="E1583" s="159"/>
      <c r="F1583" s="170"/>
      <c r="G1583" s="155"/>
      <c r="H1583" s="156"/>
      <c r="I1583" s="203"/>
      <c r="J1583" s="203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>
      <c r="A1584" s="156"/>
      <c r="B1584" s="154"/>
      <c r="C1584" s="154"/>
      <c r="D1584" s="154"/>
      <c r="E1584" s="159"/>
      <c r="F1584" s="170"/>
      <c r="G1584" s="155"/>
      <c r="H1584" s="156"/>
      <c r="I1584" s="203"/>
      <c r="J1584" s="203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>
      <c r="A1585" s="156"/>
      <c r="B1585" s="154"/>
      <c r="C1585" s="154"/>
      <c r="D1585" s="154"/>
      <c r="E1585" s="159"/>
      <c r="F1585" s="170"/>
      <c r="G1585" s="155"/>
      <c r="H1585" s="156"/>
      <c r="I1585" s="203"/>
      <c r="J1585" s="203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>
      <c r="A1586" s="156"/>
      <c r="B1586" s="154"/>
      <c r="C1586" s="154"/>
      <c r="D1586" s="154"/>
      <c r="E1586" s="159"/>
      <c r="F1586" s="170"/>
      <c r="G1586" s="155"/>
      <c r="H1586" s="156"/>
      <c r="I1586" s="203"/>
      <c r="J1586" s="203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>
      <c r="A1587" s="156"/>
      <c r="B1587" s="154"/>
      <c r="C1587" s="154"/>
      <c r="D1587" s="154"/>
      <c r="E1587" s="159"/>
      <c r="F1587" s="170"/>
      <c r="G1587" s="155"/>
      <c r="H1587" s="156"/>
      <c r="I1587" s="203"/>
      <c r="J1587" s="203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>
      <c r="A1588" s="156"/>
      <c r="B1588" s="154"/>
      <c r="C1588" s="154"/>
      <c r="D1588" s="154"/>
      <c r="E1588" s="159"/>
      <c r="F1588" s="170"/>
      <c r="G1588" s="155"/>
      <c r="H1588" s="156"/>
      <c r="I1588" s="203"/>
      <c r="J1588" s="203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>
      <c r="A1589" s="156"/>
      <c r="B1589" s="154"/>
      <c r="C1589" s="154"/>
      <c r="D1589" s="154"/>
      <c r="E1589" s="159"/>
      <c r="F1589" s="170"/>
      <c r="G1589" s="155"/>
      <c r="H1589" s="156"/>
      <c r="I1589" s="203"/>
      <c r="J1589" s="203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>
      <c r="A1590" s="156"/>
      <c r="B1590" s="154"/>
      <c r="C1590" s="154"/>
      <c r="D1590" s="154"/>
      <c r="E1590" s="159"/>
      <c r="F1590" s="170"/>
      <c r="G1590" s="155"/>
      <c r="H1590" s="156"/>
      <c r="I1590" s="203"/>
      <c r="J1590" s="203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>
      <c r="A1591" s="156"/>
      <c r="B1591" s="154"/>
      <c r="C1591" s="154"/>
      <c r="D1591" s="154"/>
      <c r="E1591" s="159"/>
      <c r="F1591" s="170"/>
      <c r="G1591" s="155"/>
      <c r="H1591" s="156"/>
      <c r="I1591" s="203"/>
      <c r="J1591" s="203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>
      <c r="A1592" s="156"/>
      <c r="B1592" s="154"/>
      <c r="C1592" s="154"/>
      <c r="D1592" s="154"/>
      <c r="E1592" s="159"/>
      <c r="F1592" s="170"/>
      <c r="G1592" s="155"/>
      <c r="H1592" s="156"/>
      <c r="I1592" s="203"/>
      <c r="J1592" s="203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>
      <c r="A1593" s="156"/>
      <c r="B1593" s="154"/>
      <c r="C1593" s="154"/>
      <c r="D1593" s="154"/>
      <c r="E1593" s="159"/>
      <c r="F1593" s="170"/>
      <c r="G1593" s="155"/>
      <c r="H1593" s="156"/>
      <c r="I1593" s="203"/>
      <c r="J1593" s="203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>
      <c r="A1594" s="156"/>
      <c r="B1594" s="154"/>
      <c r="C1594" s="154"/>
      <c r="D1594" s="154"/>
      <c r="E1594" s="159"/>
      <c r="F1594" s="170"/>
      <c r="G1594" s="155"/>
      <c r="H1594" s="156"/>
      <c r="I1594" s="203"/>
      <c r="J1594" s="203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>
      <c r="A1595" s="156"/>
      <c r="B1595" s="154"/>
      <c r="C1595" s="154"/>
      <c r="D1595" s="154"/>
      <c r="E1595" s="159"/>
      <c r="F1595" s="170"/>
      <c r="G1595" s="155"/>
      <c r="H1595" s="156"/>
      <c r="I1595" s="203"/>
      <c r="J1595" s="203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>
      <c r="A1596" s="156"/>
      <c r="B1596" s="154"/>
      <c r="C1596" s="154"/>
      <c r="D1596" s="154"/>
      <c r="E1596" s="159"/>
      <c r="F1596" s="170"/>
      <c r="G1596" s="155"/>
      <c r="H1596" s="156"/>
      <c r="I1596" s="203"/>
      <c r="J1596" s="203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>
      <c r="A1597" s="156"/>
      <c r="B1597" s="154"/>
      <c r="C1597" s="154"/>
      <c r="D1597" s="154"/>
      <c r="E1597" s="159"/>
      <c r="F1597" s="170"/>
      <c r="G1597" s="155"/>
      <c r="H1597" s="156"/>
      <c r="I1597" s="203"/>
      <c r="J1597" s="203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>
      <c r="A1598" s="156"/>
      <c r="B1598" s="154"/>
      <c r="C1598" s="154"/>
      <c r="D1598" s="154"/>
      <c r="E1598" s="159"/>
      <c r="F1598" s="170"/>
      <c r="G1598" s="155"/>
      <c r="H1598" s="156"/>
      <c r="I1598" s="203"/>
      <c r="J1598" s="203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>
      <c r="A1599" s="156"/>
      <c r="B1599" s="154"/>
      <c r="C1599" s="154"/>
      <c r="D1599" s="154"/>
      <c r="E1599" s="159"/>
      <c r="F1599" s="170"/>
      <c r="G1599" s="155"/>
      <c r="H1599" s="156"/>
      <c r="I1599" s="203"/>
      <c r="J1599" s="203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>
      <c r="A1600" s="156"/>
      <c r="B1600" s="154"/>
      <c r="C1600" s="154"/>
      <c r="D1600" s="154"/>
      <c r="E1600" s="159"/>
      <c r="F1600" s="170"/>
      <c r="G1600" s="155"/>
      <c r="H1600" s="156"/>
      <c r="I1600" s="203"/>
      <c r="J1600" s="203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>
      <c r="A1601" s="156"/>
      <c r="B1601" s="154"/>
      <c r="C1601" s="154"/>
      <c r="D1601" s="154"/>
      <c r="E1601" s="159"/>
      <c r="F1601" s="170"/>
      <c r="G1601" s="155"/>
      <c r="H1601" s="156"/>
      <c r="I1601" s="203"/>
      <c r="J1601" s="203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>
      <c r="A1602" s="156"/>
      <c r="B1602" s="154"/>
      <c r="C1602" s="154"/>
      <c r="D1602" s="154"/>
      <c r="E1602" s="159"/>
      <c r="F1602" s="170"/>
      <c r="G1602" s="155"/>
      <c r="H1602" s="156"/>
      <c r="I1602" s="203"/>
      <c r="J1602" s="203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>
      <c r="A1603" s="156"/>
      <c r="B1603" s="154"/>
      <c r="C1603" s="154"/>
      <c r="D1603" s="154"/>
      <c r="E1603" s="159"/>
      <c r="F1603" s="170"/>
      <c r="G1603" s="155"/>
      <c r="H1603" s="156"/>
      <c r="I1603" s="203"/>
      <c r="J1603" s="203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>
      <c r="A1604" s="156"/>
      <c r="B1604" s="154"/>
      <c r="C1604" s="154"/>
      <c r="D1604" s="154"/>
      <c r="E1604" s="159"/>
      <c r="F1604" s="170"/>
      <c r="G1604" s="155"/>
      <c r="H1604" s="156"/>
      <c r="I1604" s="203"/>
      <c r="J1604" s="203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>
      <c r="A1605" s="156"/>
      <c r="B1605" s="154"/>
      <c r="C1605" s="154"/>
      <c r="D1605" s="154"/>
      <c r="E1605" s="159"/>
      <c r="F1605" s="170"/>
      <c r="G1605" s="155"/>
      <c r="H1605" s="156"/>
      <c r="I1605" s="203"/>
      <c r="J1605" s="203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>
      <c r="A1606" s="156"/>
      <c r="B1606" s="154"/>
      <c r="C1606" s="154"/>
      <c r="D1606" s="154"/>
      <c r="E1606" s="159"/>
      <c r="F1606" s="170"/>
      <c r="G1606" s="155"/>
      <c r="H1606" s="156"/>
      <c r="I1606" s="203"/>
      <c r="J1606" s="203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>
      <c r="A1607" s="156"/>
      <c r="B1607" s="154"/>
      <c r="C1607" s="154"/>
      <c r="D1607" s="154"/>
      <c r="E1607" s="159"/>
      <c r="F1607" s="170"/>
      <c r="G1607" s="155"/>
      <c r="H1607" s="156"/>
      <c r="I1607" s="203"/>
      <c r="J1607" s="203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>
      <c r="A1608" s="156"/>
      <c r="B1608" s="154"/>
      <c r="C1608" s="154"/>
      <c r="D1608" s="154"/>
      <c r="E1608" s="159"/>
      <c r="F1608" s="170"/>
      <c r="G1608" s="155"/>
      <c r="H1608" s="156"/>
      <c r="I1608" s="203"/>
      <c r="J1608" s="203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>
      <c r="A1609" s="156"/>
      <c r="B1609" s="154"/>
      <c r="C1609" s="154"/>
      <c r="D1609" s="154"/>
      <c r="E1609" s="159"/>
      <c r="F1609" s="170"/>
      <c r="G1609" s="155"/>
      <c r="H1609" s="156"/>
      <c r="I1609" s="203"/>
      <c r="J1609" s="203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>
      <c r="A1610" s="156"/>
      <c r="B1610" s="154"/>
      <c r="C1610" s="154"/>
      <c r="D1610" s="154"/>
      <c r="E1610" s="159"/>
      <c r="F1610" s="170"/>
      <c r="G1610" s="155"/>
      <c r="H1610" s="156"/>
      <c r="I1610" s="203"/>
      <c r="J1610" s="203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>
      <c r="A1611" s="156"/>
      <c r="B1611" s="154"/>
      <c r="C1611" s="154"/>
      <c r="D1611" s="154"/>
      <c r="E1611" s="159"/>
      <c r="F1611" s="170"/>
      <c r="G1611" s="155"/>
      <c r="H1611" s="156"/>
      <c r="I1611" s="203"/>
      <c r="J1611" s="203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>
      <c r="A1612" s="156"/>
      <c r="B1612" s="154"/>
      <c r="C1612" s="154"/>
      <c r="D1612" s="154"/>
      <c r="E1612" s="159"/>
      <c r="F1612" s="170"/>
      <c r="G1612" s="155"/>
      <c r="H1612" s="156"/>
      <c r="I1612" s="203"/>
      <c r="J1612" s="203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>
      <c r="A1613" s="156"/>
      <c r="B1613" s="154"/>
      <c r="C1613" s="154"/>
      <c r="D1613" s="154"/>
      <c r="E1613" s="159"/>
      <c r="F1613" s="170"/>
      <c r="G1613" s="155"/>
      <c r="H1613" s="156"/>
      <c r="I1613" s="203"/>
      <c r="J1613" s="203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>
      <c r="A1614" s="156"/>
      <c r="B1614" s="154"/>
      <c r="C1614" s="154"/>
      <c r="D1614" s="154"/>
      <c r="E1614" s="159"/>
      <c r="F1614" s="170"/>
      <c r="G1614" s="155"/>
      <c r="H1614" s="156"/>
      <c r="I1614" s="203"/>
      <c r="J1614" s="203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>
      <c r="A1615" s="156"/>
      <c r="B1615" s="154"/>
      <c r="C1615" s="154"/>
      <c r="D1615" s="154"/>
      <c r="E1615" s="159"/>
      <c r="F1615" s="170"/>
      <c r="G1615" s="155"/>
      <c r="H1615" s="156"/>
      <c r="I1615" s="203"/>
      <c r="J1615" s="203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>
      <c r="A1616" s="156"/>
      <c r="B1616" s="154"/>
      <c r="C1616" s="154"/>
      <c r="D1616" s="154"/>
      <c r="E1616" s="159"/>
      <c r="F1616" s="170"/>
      <c r="G1616" s="155"/>
      <c r="H1616" s="156"/>
      <c r="I1616" s="203"/>
      <c r="J1616" s="203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>
      <c r="A1617" s="156"/>
      <c r="B1617" s="154"/>
      <c r="C1617" s="154"/>
      <c r="D1617" s="154"/>
      <c r="E1617" s="159"/>
      <c r="F1617" s="170"/>
      <c r="G1617" s="155"/>
      <c r="H1617" s="156"/>
      <c r="I1617" s="203"/>
      <c r="J1617" s="203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>
      <c r="A1618" s="156"/>
      <c r="B1618" s="154"/>
      <c r="C1618" s="154"/>
      <c r="D1618" s="154"/>
      <c r="E1618" s="159"/>
      <c r="F1618" s="170"/>
      <c r="G1618" s="155"/>
      <c r="H1618" s="156"/>
      <c r="I1618" s="203"/>
      <c r="J1618" s="203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>
      <c r="A1619" s="156"/>
      <c r="B1619" s="154"/>
      <c r="C1619" s="154"/>
      <c r="D1619" s="154"/>
      <c r="E1619" s="159"/>
      <c r="F1619" s="170"/>
      <c r="G1619" s="155"/>
      <c r="H1619" s="156"/>
      <c r="I1619" s="203"/>
      <c r="J1619" s="203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>
      <c r="A1620" s="156"/>
      <c r="B1620" s="154"/>
      <c r="C1620" s="154"/>
      <c r="D1620" s="154"/>
      <c r="E1620" s="159"/>
      <c r="F1620" s="170"/>
      <c r="G1620" s="155"/>
      <c r="H1620" s="156"/>
      <c r="I1620" s="203"/>
      <c r="J1620" s="203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>
      <c r="A1621" s="156"/>
      <c r="B1621" s="154"/>
      <c r="C1621" s="154"/>
      <c r="D1621" s="154"/>
      <c r="E1621" s="159"/>
      <c r="F1621" s="170"/>
      <c r="G1621" s="155"/>
      <c r="H1621" s="156"/>
      <c r="I1621" s="203"/>
      <c r="J1621" s="203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>
      <c r="A1622" s="156"/>
      <c r="B1622" s="154"/>
      <c r="C1622" s="154"/>
      <c r="D1622" s="154"/>
      <c r="E1622" s="159"/>
      <c r="F1622" s="170"/>
      <c r="G1622" s="155"/>
      <c r="H1622" s="156"/>
      <c r="I1622" s="203"/>
      <c r="J1622" s="203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>
      <c r="A1623" s="156"/>
      <c r="B1623" s="154"/>
      <c r="C1623" s="154"/>
      <c r="D1623" s="154"/>
      <c r="E1623" s="159"/>
      <c r="F1623" s="170"/>
      <c r="G1623" s="155"/>
      <c r="H1623" s="156"/>
      <c r="I1623" s="203"/>
      <c r="J1623" s="203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>
      <c r="A1624" s="156"/>
      <c r="B1624" s="154"/>
      <c r="C1624" s="154"/>
      <c r="D1624" s="154"/>
      <c r="E1624" s="159"/>
      <c r="F1624" s="170"/>
      <c r="G1624" s="155"/>
      <c r="H1624" s="156"/>
      <c r="I1624" s="203"/>
      <c r="J1624" s="203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>
      <c r="A1625" s="156"/>
      <c r="B1625" s="154"/>
      <c r="C1625" s="154"/>
      <c r="D1625" s="154"/>
      <c r="E1625" s="159"/>
      <c r="F1625" s="170"/>
      <c r="G1625" s="155"/>
      <c r="H1625" s="156"/>
      <c r="I1625" s="203"/>
      <c r="J1625" s="203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>
      <c r="A1626" s="156"/>
      <c r="B1626" s="154"/>
      <c r="C1626" s="154"/>
      <c r="D1626" s="154"/>
      <c r="E1626" s="159"/>
      <c r="F1626" s="170"/>
      <c r="G1626" s="155"/>
      <c r="H1626" s="156"/>
      <c r="I1626" s="203"/>
      <c r="J1626" s="203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>
      <c r="A1627" s="156"/>
      <c r="B1627" s="154"/>
      <c r="C1627" s="154"/>
      <c r="D1627" s="154"/>
      <c r="E1627" s="159"/>
      <c r="F1627" s="170"/>
      <c r="G1627" s="155"/>
      <c r="H1627" s="156"/>
      <c r="I1627" s="203"/>
      <c r="J1627" s="203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>
      <c r="A1628" s="156"/>
      <c r="B1628" s="154"/>
      <c r="C1628" s="154"/>
      <c r="D1628" s="154"/>
      <c r="E1628" s="159"/>
      <c r="F1628" s="170"/>
      <c r="G1628" s="155"/>
      <c r="H1628" s="156"/>
      <c r="I1628" s="203"/>
      <c r="J1628" s="203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>
      <c r="A1629" s="156"/>
      <c r="B1629" s="154"/>
      <c r="C1629" s="154"/>
      <c r="D1629" s="154"/>
      <c r="E1629" s="159"/>
      <c r="F1629" s="170"/>
      <c r="G1629" s="155"/>
      <c r="H1629" s="156"/>
      <c r="I1629" s="203"/>
      <c r="J1629" s="203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>
      <c r="A1630" s="156"/>
      <c r="B1630" s="154"/>
      <c r="C1630" s="154"/>
      <c r="D1630" s="154"/>
      <c r="E1630" s="159"/>
      <c r="F1630" s="170"/>
      <c r="G1630" s="155"/>
      <c r="H1630" s="156"/>
      <c r="I1630" s="203"/>
      <c r="J1630" s="203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>
      <c r="A1631" s="156"/>
      <c r="B1631" s="154"/>
      <c r="C1631" s="154"/>
      <c r="D1631" s="154"/>
      <c r="E1631" s="159"/>
      <c r="F1631" s="170"/>
      <c r="G1631" s="155"/>
      <c r="H1631" s="156"/>
      <c r="I1631" s="203"/>
      <c r="J1631" s="203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>
      <c r="A1632" s="156"/>
      <c r="B1632" s="154"/>
      <c r="C1632" s="154"/>
      <c r="D1632" s="154"/>
      <c r="E1632" s="159"/>
      <c r="F1632" s="170"/>
      <c r="G1632" s="155"/>
      <c r="H1632" s="156"/>
      <c r="I1632" s="203"/>
      <c r="J1632" s="203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>
      <c r="A1633" s="156"/>
      <c r="B1633" s="154"/>
      <c r="C1633" s="154"/>
      <c r="D1633" s="154"/>
      <c r="E1633" s="159"/>
      <c r="F1633" s="170"/>
      <c r="G1633" s="155"/>
      <c r="H1633" s="156"/>
      <c r="I1633" s="203"/>
      <c r="J1633" s="203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>
      <c r="A1634" s="156"/>
      <c r="B1634" s="154"/>
      <c r="C1634" s="154"/>
      <c r="D1634" s="154"/>
      <c r="E1634" s="159"/>
      <c r="F1634" s="170"/>
      <c r="G1634" s="155"/>
      <c r="H1634" s="156"/>
      <c r="I1634" s="203"/>
      <c r="J1634" s="203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>
      <c r="A1635" s="156"/>
      <c r="B1635" s="154"/>
      <c r="C1635" s="154"/>
      <c r="D1635" s="154"/>
      <c r="E1635" s="159"/>
      <c r="F1635" s="170"/>
      <c r="G1635" s="155"/>
      <c r="H1635" s="156"/>
      <c r="I1635" s="203"/>
      <c r="J1635" s="203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>
      <c r="A1636" s="156"/>
      <c r="B1636" s="154"/>
      <c r="C1636" s="154"/>
      <c r="D1636" s="154"/>
      <c r="E1636" s="159"/>
      <c r="F1636" s="170"/>
      <c r="G1636" s="155"/>
      <c r="H1636" s="156"/>
      <c r="I1636" s="203"/>
      <c r="J1636" s="203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>
      <c r="A1637" s="156"/>
      <c r="B1637" s="154"/>
      <c r="C1637" s="154"/>
      <c r="D1637" s="154"/>
      <c r="E1637" s="159"/>
      <c r="F1637" s="170"/>
      <c r="G1637" s="155"/>
      <c r="H1637" s="156"/>
      <c r="I1637" s="203"/>
      <c r="J1637" s="203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>
      <c r="A1638" s="156"/>
      <c r="B1638" s="154"/>
      <c r="C1638" s="154"/>
      <c r="D1638" s="154"/>
      <c r="E1638" s="159"/>
      <c r="F1638" s="170"/>
      <c r="G1638" s="155"/>
      <c r="H1638" s="156"/>
      <c r="I1638" s="203"/>
      <c r="J1638" s="203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>
      <c r="A1639" s="156"/>
      <c r="B1639" s="154"/>
      <c r="C1639" s="154"/>
      <c r="D1639" s="154"/>
      <c r="E1639" s="159"/>
      <c r="F1639" s="170"/>
      <c r="G1639" s="155"/>
      <c r="H1639" s="156"/>
      <c r="I1639" s="203"/>
      <c r="J1639" s="203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>
      <c r="A1640" s="156"/>
      <c r="B1640" s="154"/>
      <c r="C1640" s="154"/>
      <c r="D1640" s="154"/>
      <c r="E1640" s="159"/>
      <c r="F1640" s="170"/>
      <c r="G1640" s="155"/>
      <c r="H1640" s="156"/>
      <c r="I1640" s="203"/>
      <c r="J1640" s="203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>
      <c r="A1641" s="156"/>
      <c r="B1641" s="154"/>
      <c r="C1641" s="154"/>
      <c r="D1641" s="154"/>
      <c r="E1641" s="159"/>
      <c r="F1641" s="170"/>
      <c r="G1641" s="155"/>
      <c r="H1641" s="156"/>
      <c r="I1641" s="203"/>
      <c r="J1641" s="203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>
      <c r="A1642" s="156"/>
      <c r="B1642" s="154"/>
      <c r="C1642" s="154"/>
      <c r="D1642" s="154"/>
      <c r="E1642" s="159"/>
      <c r="F1642" s="170"/>
      <c r="G1642" s="155"/>
      <c r="H1642" s="156"/>
      <c r="I1642" s="203"/>
      <c r="J1642" s="203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>
      <c r="A1643" s="156"/>
      <c r="B1643" s="154"/>
      <c r="C1643" s="154"/>
      <c r="D1643" s="154"/>
      <c r="E1643" s="159"/>
      <c r="F1643" s="170"/>
      <c r="G1643" s="155"/>
      <c r="H1643" s="156"/>
      <c r="I1643" s="203"/>
      <c r="J1643" s="203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>
      <c r="A1644" s="156"/>
      <c r="B1644" s="154"/>
      <c r="C1644" s="154"/>
      <c r="D1644" s="154"/>
      <c r="E1644" s="159"/>
      <c r="F1644" s="170"/>
      <c r="G1644" s="155"/>
      <c r="H1644" s="156"/>
      <c r="I1644" s="203"/>
      <c r="J1644" s="203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>
      <c r="A1645" s="156"/>
      <c r="B1645" s="154"/>
      <c r="C1645" s="154"/>
      <c r="D1645" s="154"/>
      <c r="E1645" s="159"/>
      <c r="F1645" s="170"/>
      <c r="G1645" s="155"/>
      <c r="H1645" s="156"/>
      <c r="I1645" s="203"/>
      <c r="J1645" s="203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>
      <c r="A1646" s="156"/>
      <c r="B1646" s="154"/>
      <c r="C1646" s="154"/>
      <c r="D1646" s="154"/>
      <c r="E1646" s="159"/>
      <c r="F1646" s="170"/>
      <c r="G1646" s="155"/>
      <c r="H1646" s="156"/>
      <c r="I1646" s="203"/>
      <c r="J1646" s="203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>
      <c r="A1647" s="156"/>
      <c r="B1647" s="154"/>
      <c r="C1647" s="154"/>
      <c r="D1647" s="154"/>
      <c r="E1647" s="159"/>
      <c r="F1647" s="170"/>
      <c r="G1647" s="155"/>
      <c r="H1647" s="156"/>
      <c r="I1647" s="203"/>
      <c r="J1647" s="203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>
      <c r="A1648" s="156"/>
      <c r="B1648" s="154"/>
      <c r="C1648" s="154"/>
      <c r="D1648" s="154"/>
      <c r="E1648" s="159"/>
      <c r="F1648" s="170"/>
      <c r="G1648" s="155"/>
      <c r="H1648" s="156"/>
      <c r="I1648" s="203"/>
      <c r="J1648" s="203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>
      <c r="A1649" s="156"/>
      <c r="B1649" s="154"/>
      <c r="C1649" s="154"/>
      <c r="D1649" s="154"/>
      <c r="E1649" s="159"/>
      <c r="F1649" s="170"/>
      <c r="G1649" s="155"/>
      <c r="H1649" s="156"/>
      <c r="I1649" s="203"/>
      <c r="J1649" s="203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>
      <c r="A1650" s="156"/>
      <c r="B1650" s="154"/>
      <c r="C1650" s="154"/>
      <c r="D1650" s="154"/>
      <c r="E1650" s="159"/>
      <c r="F1650" s="170"/>
      <c r="G1650" s="155"/>
      <c r="H1650" s="156"/>
      <c r="I1650" s="203"/>
      <c r="J1650" s="203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>
      <c r="A1651" s="156"/>
      <c r="B1651" s="154"/>
      <c r="C1651" s="154"/>
      <c r="D1651" s="154"/>
      <c r="E1651" s="159"/>
      <c r="F1651" s="170"/>
      <c r="G1651" s="155"/>
      <c r="H1651" s="156"/>
      <c r="I1651" s="203"/>
      <c r="J1651" s="203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>
      <c r="A1652" s="156"/>
      <c r="B1652" s="154"/>
      <c r="C1652" s="154"/>
      <c r="D1652" s="154"/>
      <c r="E1652" s="159"/>
      <c r="F1652" s="170"/>
      <c r="G1652" s="155"/>
      <c r="H1652" s="156"/>
      <c r="I1652" s="203"/>
      <c r="J1652" s="203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>
      <c r="A1653" s="156"/>
      <c r="B1653" s="154"/>
      <c r="C1653" s="154"/>
      <c r="D1653" s="154"/>
      <c r="E1653" s="159"/>
      <c r="F1653" s="170"/>
      <c r="G1653" s="155"/>
      <c r="H1653" s="156"/>
      <c r="I1653" s="203"/>
      <c r="J1653" s="203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>
      <c r="A1654" s="156"/>
      <c r="B1654" s="154"/>
      <c r="C1654" s="154"/>
      <c r="D1654" s="154"/>
      <c r="E1654" s="159"/>
      <c r="F1654" s="170"/>
      <c r="G1654" s="155"/>
      <c r="H1654" s="156"/>
      <c r="I1654" s="203"/>
      <c r="J1654" s="203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>
      <c r="A1655" s="156"/>
      <c r="B1655" s="154"/>
      <c r="C1655" s="154"/>
      <c r="D1655" s="154"/>
      <c r="E1655" s="159"/>
      <c r="F1655" s="170"/>
      <c r="G1655" s="155"/>
      <c r="H1655" s="156"/>
      <c r="I1655" s="203"/>
      <c r="J1655" s="203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>
      <c r="A1656" s="156"/>
      <c r="B1656" s="154"/>
      <c r="C1656" s="154"/>
      <c r="D1656" s="154"/>
      <c r="E1656" s="159"/>
      <c r="F1656" s="170"/>
      <c r="G1656" s="155"/>
      <c r="H1656" s="156"/>
      <c r="I1656" s="203"/>
      <c r="J1656" s="203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>
      <c r="A1657" s="156"/>
      <c r="B1657" s="154"/>
      <c r="C1657" s="154"/>
      <c r="D1657" s="154"/>
      <c r="E1657" s="159"/>
      <c r="F1657" s="170"/>
      <c r="G1657" s="155"/>
      <c r="H1657" s="156"/>
      <c r="I1657" s="203"/>
      <c r="J1657" s="203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>
      <c r="A1658" s="156"/>
      <c r="B1658" s="154"/>
      <c r="C1658" s="154"/>
      <c r="D1658" s="154"/>
      <c r="E1658" s="159"/>
      <c r="F1658" s="170"/>
      <c r="G1658" s="155"/>
      <c r="H1658" s="156"/>
      <c r="I1658" s="203"/>
      <c r="J1658" s="203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>
      <c r="A1659" s="156"/>
      <c r="B1659" s="154"/>
      <c r="C1659" s="154"/>
      <c r="D1659" s="154"/>
      <c r="E1659" s="159"/>
      <c r="F1659" s="170"/>
      <c r="G1659" s="155"/>
      <c r="H1659" s="156"/>
      <c r="I1659" s="203"/>
      <c r="J1659" s="203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>
      <c r="A1660" s="156"/>
      <c r="B1660" s="154"/>
      <c r="C1660" s="154"/>
      <c r="D1660" s="154"/>
      <c r="E1660" s="159"/>
      <c r="F1660" s="170"/>
      <c r="G1660" s="155"/>
      <c r="H1660" s="156"/>
      <c r="I1660" s="203"/>
      <c r="J1660" s="203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>
      <c r="A1661" s="156"/>
      <c r="B1661" s="154"/>
      <c r="C1661" s="154"/>
      <c r="D1661" s="154"/>
      <c r="E1661" s="159"/>
      <c r="F1661" s="170"/>
      <c r="G1661" s="155"/>
      <c r="H1661" s="156"/>
      <c r="I1661" s="203"/>
      <c r="J1661" s="203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>
      <c r="A1662" s="156"/>
      <c r="B1662" s="154"/>
      <c r="C1662" s="154"/>
      <c r="D1662" s="154"/>
      <c r="E1662" s="159"/>
      <c r="F1662" s="170"/>
      <c r="G1662" s="155"/>
      <c r="H1662" s="156"/>
      <c r="I1662" s="203"/>
      <c r="J1662" s="203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>
      <c r="A1663" s="156"/>
      <c r="B1663" s="154"/>
      <c r="C1663" s="154"/>
      <c r="D1663" s="154"/>
      <c r="E1663" s="159"/>
      <c r="F1663" s="170"/>
      <c r="G1663" s="155"/>
      <c r="H1663" s="156"/>
      <c r="I1663" s="203"/>
      <c r="J1663" s="203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>
      <c r="A1664" s="156"/>
      <c r="B1664" s="154"/>
      <c r="C1664" s="154"/>
      <c r="D1664" s="154"/>
      <c r="E1664" s="159"/>
      <c r="F1664" s="170"/>
      <c r="G1664" s="155"/>
      <c r="H1664" s="156"/>
      <c r="I1664" s="203"/>
      <c r="J1664" s="203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>
      <c r="A1665" s="156"/>
      <c r="B1665" s="154"/>
      <c r="C1665" s="154"/>
      <c r="D1665" s="154"/>
      <c r="E1665" s="159"/>
      <c r="F1665" s="170"/>
      <c r="G1665" s="155"/>
      <c r="H1665" s="156"/>
      <c r="I1665" s="203"/>
      <c r="J1665" s="203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>
      <c r="A1666" s="156"/>
      <c r="B1666" s="154"/>
      <c r="C1666" s="154"/>
      <c r="D1666" s="154"/>
      <c r="E1666" s="159"/>
      <c r="F1666" s="170"/>
      <c r="G1666" s="155"/>
      <c r="H1666" s="156"/>
      <c r="I1666" s="203"/>
      <c r="J1666" s="203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>
      <c r="A1667" s="156"/>
      <c r="B1667" s="154"/>
      <c r="C1667" s="154"/>
      <c r="D1667" s="154"/>
      <c r="E1667" s="159"/>
      <c r="F1667" s="170"/>
      <c r="G1667" s="155"/>
      <c r="H1667" s="156"/>
      <c r="I1667" s="203"/>
      <c r="J1667" s="203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>
      <c r="A1668" s="156"/>
      <c r="B1668" s="154"/>
      <c r="C1668" s="154"/>
      <c r="D1668" s="154"/>
      <c r="E1668" s="159"/>
      <c r="F1668" s="170"/>
      <c r="G1668" s="155"/>
      <c r="H1668" s="156"/>
      <c r="I1668" s="203"/>
      <c r="J1668" s="203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>
      <c r="A1669" s="156"/>
      <c r="B1669" s="154"/>
      <c r="C1669" s="154"/>
      <c r="D1669" s="154"/>
      <c r="E1669" s="159"/>
      <c r="F1669" s="170"/>
      <c r="G1669" s="155"/>
      <c r="H1669" s="156"/>
      <c r="I1669" s="203"/>
      <c r="J1669" s="203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>
      <c r="A1670" s="156"/>
      <c r="B1670" s="154"/>
      <c r="C1670" s="154"/>
      <c r="D1670" s="154"/>
      <c r="E1670" s="159"/>
      <c r="F1670" s="170"/>
      <c r="G1670" s="155"/>
      <c r="H1670" s="156"/>
      <c r="I1670" s="203"/>
      <c r="J1670" s="203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>
      <c r="A1671" s="156"/>
      <c r="B1671" s="154"/>
      <c r="C1671" s="154"/>
      <c r="D1671" s="154"/>
      <c r="E1671" s="159"/>
      <c r="F1671" s="170"/>
      <c r="G1671" s="155"/>
      <c r="H1671" s="156"/>
      <c r="I1671" s="203"/>
      <c r="J1671" s="203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>
      <c r="A1672" s="156"/>
      <c r="B1672" s="154"/>
      <c r="C1672" s="154"/>
      <c r="D1672" s="154"/>
      <c r="E1672" s="159"/>
      <c r="F1672" s="170"/>
      <c r="G1672" s="155"/>
      <c r="H1672" s="156"/>
      <c r="I1672" s="203"/>
      <c r="J1672" s="203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>
      <c r="A1673" s="156"/>
      <c r="B1673" s="154"/>
      <c r="C1673" s="154"/>
      <c r="D1673" s="154"/>
      <c r="E1673" s="159"/>
      <c r="F1673" s="170"/>
      <c r="G1673" s="155"/>
      <c r="H1673" s="156"/>
      <c r="I1673" s="203"/>
      <c r="J1673" s="203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>
      <c r="A1674" s="156"/>
      <c r="B1674" s="154"/>
      <c r="C1674" s="154"/>
      <c r="D1674" s="154"/>
      <c r="E1674" s="159"/>
      <c r="F1674" s="170"/>
      <c r="G1674" s="155"/>
      <c r="H1674" s="156"/>
      <c r="I1674" s="203"/>
      <c r="J1674" s="203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>
      <c r="A1675" s="156"/>
      <c r="B1675" s="154"/>
      <c r="C1675" s="154"/>
      <c r="D1675" s="154"/>
      <c r="E1675" s="159"/>
      <c r="F1675" s="170"/>
      <c r="G1675" s="155"/>
      <c r="H1675" s="156"/>
      <c r="I1675" s="203"/>
      <c r="J1675" s="203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>
      <c r="A1676" s="156"/>
      <c r="B1676" s="154"/>
      <c r="C1676" s="154"/>
      <c r="D1676" s="154"/>
      <c r="E1676" s="159"/>
      <c r="F1676" s="170"/>
      <c r="G1676" s="155"/>
      <c r="H1676" s="156"/>
      <c r="I1676" s="203"/>
      <c r="J1676" s="203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>
      <c r="A1677" s="156"/>
      <c r="B1677" s="154"/>
      <c r="C1677" s="154"/>
      <c r="D1677" s="154"/>
      <c r="E1677" s="159"/>
      <c r="F1677" s="170"/>
      <c r="G1677" s="155"/>
      <c r="H1677" s="156"/>
      <c r="I1677" s="203"/>
      <c r="J1677" s="203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>
      <c r="A1678" s="156"/>
      <c r="B1678" s="154"/>
      <c r="C1678" s="154"/>
      <c r="D1678" s="154"/>
      <c r="E1678" s="159"/>
      <c r="F1678" s="170"/>
      <c r="G1678" s="155"/>
      <c r="H1678" s="156"/>
      <c r="I1678" s="203"/>
      <c r="J1678" s="203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>
      <c r="A1679" s="156"/>
      <c r="B1679" s="154"/>
      <c r="C1679" s="154"/>
      <c r="D1679" s="154"/>
      <c r="E1679" s="159"/>
      <c r="F1679" s="170"/>
      <c r="G1679" s="155"/>
      <c r="H1679" s="156"/>
      <c r="I1679" s="203"/>
      <c r="J1679" s="203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>
      <c r="A1680" s="156"/>
      <c r="B1680" s="154"/>
      <c r="C1680" s="154"/>
      <c r="D1680" s="154"/>
      <c r="E1680" s="159"/>
      <c r="F1680" s="170"/>
      <c r="G1680" s="155"/>
      <c r="H1680" s="156"/>
      <c r="I1680" s="203"/>
      <c r="J1680" s="203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>
      <c r="A1681" s="156"/>
      <c r="B1681" s="154"/>
      <c r="C1681" s="154"/>
      <c r="D1681" s="154"/>
      <c r="E1681" s="159"/>
      <c r="F1681" s="170"/>
      <c r="G1681" s="155"/>
      <c r="H1681" s="156"/>
      <c r="I1681" s="203"/>
      <c r="J1681" s="203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>
      <c r="A1682" s="156"/>
      <c r="B1682" s="154"/>
      <c r="C1682" s="154"/>
      <c r="D1682" s="154"/>
      <c r="E1682" s="159"/>
      <c r="F1682" s="170"/>
      <c r="G1682" s="155"/>
      <c r="H1682" s="156"/>
      <c r="I1682" s="203"/>
      <c r="J1682" s="203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>
      <c r="A1683" s="156"/>
      <c r="B1683" s="154"/>
      <c r="C1683" s="154"/>
      <c r="D1683" s="154"/>
      <c r="E1683" s="159"/>
      <c r="F1683" s="170"/>
      <c r="G1683" s="155"/>
      <c r="H1683" s="156"/>
      <c r="I1683" s="203"/>
      <c r="J1683" s="203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>
      <c r="A1684" s="156"/>
      <c r="B1684" s="154"/>
      <c r="C1684" s="154"/>
      <c r="D1684" s="154"/>
      <c r="E1684" s="159"/>
      <c r="F1684" s="170"/>
      <c r="G1684" s="155"/>
      <c r="H1684" s="156"/>
      <c r="I1684" s="203"/>
      <c r="J1684" s="203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>
      <c r="A1685" s="156"/>
      <c r="B1685" s="154"/>
      <c r="C1685" s="154"/>
      <c r="D1685" s="154"/>
      <c r="E1685" s="159"/>
      <c r="F1685" s="170"/>
      <c r="G1685" s="155"/>
      <c r="H1685" s="156"/>
      <c r="I1685" s="203"/>
      <c r="J1685" s="203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>
      <c r="A1686" s="156"/>
      <c r="B1686" s="154"/>
      <c r="C1686" s="154"/>
      <c r="D1686" s="154"/>
      <c r="E1686" s="159"/>
      <c r="F1686" s="170"/>
      <c r="G1686" s="155"/>
      <c r="H1686" s="156"/>
      <c r="I1686" s="203"/>
      <c r="J1686" s="203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>
      <c r="A1687" s="156"/>
      <c r="B1687" s="154"/>
      <c r="C1687" s="154"/>
      <c r="D1687" s="154"/>
      <c r="E1687" s="159"/>
      <c r="F1687" s="170"/>
      <c r="G1687" s="155"/>
      <c r="H1687" s="156"/>
      <c r="I1687" s="203"/>
      <c r="J1687" s="203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>
      <c r="A1688" s="156"/>
      <c r="B1688" s="154"/>
      <c r="C1688" s="154"/>
      <c r="D1688" s="154"/>
      <c r="E1688" s="159"/>
      <c r="F1688" s="170"/>
      <c r="G1688" s="155"/>
      <c r="H1688" s="156"/>
      <c r="I1688" s="203"/>
      <c r="J1688" s="203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>
      <c r="A1689" s="156"/>
      <c r="B1689" s="154"/>
      <c r="C1689" s="154"/>
      <c r="D1689" s="154"/>
      <c r="E1689" s="159"/>
      <c r="F1689" s="170"/>
      <c r="G1689" s="155"/>
      <c r="H1689" s="156"/>
      <c r="I1689" s="203"/>
      <c r="J1689" s="203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>
      <c r="A1690" s="156"/>
      <c r="B1690" s="154"/>
      <c r="C1690" s="154"/>
      <c r="D1690" s="154"/>
      <c r="E1690" s="159"/>
      <c r="F1690" s="170"/>
      <c r="G1690" s="155"/>
      <c r="H1690" s="156"/>
      <c r="I1690" s="203"/>
      <c r="J1690" s="203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>
      <c r="A1691" s="156"/>
      <c r="B1691" s="154"/>
      <c r="C1691" s="154"/>
      <c r="D1691" s="154"/>
      <c r="E1691" s="159"/>
      <c r="F1691" s="170"/>
      <c r="G1691" s="155"/>
      <c r="H1691" s="156"/>
      <c r="I1691" s="203"/>
      <c r="J1691" s="203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>
      <c r="A1692" s="156"/>
      <c r="B1692" s="154"/>
      <c r="C1692" s="154"/>
      <c r="D1692" s="154"/>
      <c r="E1692" s="159"/>
      <c r="F1692" s="170"/>
      <c r="G1692" s="155"/>
      <c r="H1692" s="156"/>
      <c r="I1692" s="203"/>
      <c r="J1692" s="203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>
      <c r="A1693" s="156"/>
      <c r="B1693" s="154"/>
      <c r="C1693" s="154"/>
      <c r="D1693" s="154"/>
      <c r="E1693" s="159"/>
      <c r="F1693" s="170"/>
      <c r="G1693" s="155"/>
      <c r="H1693" s="156"/>
      <c r="I1693" s="203"/>
      <c r="J1693" s="203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>
      <c r="A1694" s="156"/>
      <c r="B1694" s="154"/>
      <c r="C1694" s="154"/>
      <c r="D1694" s="154"/>
      <c r="E1694" s="159"/>
      <c r="F1694" s="170"/>
      <c r="G1694" s="155"/>
      <c r="H1694" s="156"/>
      <c r="I1694" s="203"/>
      <c r="J1694" s="203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>
      <c r="A1695" s="156"/>
      <c r="B1695" s="154"/>
      <c r="C1695" s="154"/>
      <c r="D1695" s="154"/>
      <c r="E1695" s="159"/>
      <c r="F1695" s="170"/>
      <c r="G1695" s="155"/>
      <c r="H1695" s="156"/>
      <c r="I1695" s="203"/>
      <c r="J1695" s="203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>
      <c r="A1696" s="156"/>
      <c r="B1696" s="154"/>
      <c r="C1696" s="154"/>
      <c r="D1696" s="154"/>
      <c r="E1696" s="159"/>
      <c r="F1696" s="170"/>
      <c r="G1696" s="155"/>
      <c r="H1696" s="156"/>
      <c r="I1696" s="203"/>
      <c r="J1696" s="203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>
      <c r="A1697" s="156"/>
      <c r="B1697" s="154"/>
      <c r="C1697" s="154"/>
      <c r="D1697" s="154"/>
      <c r="E1697" s="159"/>
      <c r="F1697" s="170"/>
      <c r="G1697" s="155"/>
      <c r="H1697" s="156"/>
      <c r="I1697" s="203"/>
      <c r="J1697" s="203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>
      <c r="A1698" s="156"/>
      <c r="B1698" s="154"/>
      <c r="C1698" s="154"/>
      <c r="D1698" s="154"/>
      <c r="E1698" s="159"/>
      <c r="F1698" s="170"/>
      <c r="G1698" s="155"/>
      <c r="H1698" s="156"/>
      <c r="I1698" s="203"/>
      <c r="J1698" s="203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>
      <c r="A1699" s="156"/>
      <c r="B1699" s="154"/>
      <c r="C1699" s="154"/>
      <c r="D1699" s="154"/>
      <c r="E1699" s="159"/>
      <c r="F1699" s="170"/>
      <c r="G1699" s="155"/>
      <c r="H1699" s="156"/>
      <c r="I1699" s="203"/>
      <c r="J1699" s="203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>
      <c r="A1700" s="156"/>
      <c r="B1700" s="154"/>
      <c r="C1700" s="154"/>
      <c r="D1700" s="154"/>
      <c r="E1700" s="159"/>
      <c r="F1700" s="170"/>
      <c r="G1700" s="155"/>
      <c r="H1700" s="156"/>
      <c r="I1700" s="203"/>
      <c r="J1700" s="203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>
      <c r="A1701" s="156"/>
      <c r="B1701" s="154"/>
      <c r="C1701" s="154"/>
      <c r="D1701" s="154"/>
      <c r="E1701" s="159"/>
      <c r="F1701" s="170"/>
      <c r="G1701" s="155"/>
      <c r="H1701" s="156"/>
      <c r="I1701" s="203"/>
      <c r="J1701" s="203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>
      <c r="A1702" s="156"/>
      <c r="B1702" s="154"/>
      <c r="C1702" s="154"/>
      <c r="D1702" s="154"/>
      <c r="E1702" s="159"/>
      <c r="F1702" s="170"/>
      <c r="G1702" s="155"/>
      <c r="H1702" s="156"/>
      <c r="I1702" s="203"/>
      <c r="J1702" s="203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>
      <c r="A1703" s="156"/>
      <c r="B1703" s="154"/>
      <c r="C1703" s="154"/>
      <c r="D1703" s="154"/>
      <c r="E1703" s="159"/>
      <c r="F1703" s="170"/>
      <c r="G1703" s="155"/>
      <c r="H1703" s="156"/>
      <c r="I1703" s="203"/>
      <c r="J1703" s="203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>
      <c r="A1704" s="156"/>
      <c r="B1704" s="154"/>
      <c r="C1704" s="154"/>
      <c r="D1704" s="154"/>
      <c r="E1704" s="159"/>
      <c r="F1704" s="170"/>
      <c r="G1704" s="155"/>
      <c r="H1704" s="156"/>
      <c r="I1704" s="203"/>
      <c r="J1704" s="203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>
      <c r="A1705" s="156"/>
      <c r="B1705" s="154"/>
      <c r="C1705" s="154"/>
      <c r="D1705" s="154"/>
      <c r="E1705" s="159"/>
      <c r="F1705" s="170"/>
      <c r="G1705" s="155"/>
      <c r="H1705" s="156"/>
      <c r="I1705" s="203"/>
      <c r="J1705" s="203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>
      <c r="A1706" s="156"/>
      <c r="B1706" s="154"/>
      <c r="C1706" s="154"/>
      <c r="D1706" s="154"/>
      <c r="E1706" s="159"/>
      <c r="F1706" s="170"/>
      <c r="G1706" s="155"/>
      <c r="H1706" s="156"/>
      <c r="I1706" s="203"/>
      <c r="J1706" s="203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>
      <c r="A1707" s="156"/>
      <c r="B1707" s="154"/>
      <c r="C1707" s="154"/>
      <c r="D1707" s="154"/>
      <c r="E1707" s="159"/>
      <c r="F1707" s="170"/>
      <c r="G1707" s="155"/>
      <c r="H1707" s="156"/>
      <c r="I1707" s="203"/>
      <c r="J1707" s="203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>
      <c r="A1708" s="156"/>
      <c r="B1708" s="154"/>
      <c r="C1708" s="154"/>
      <c r="D1708" s="154"/>
      <c r="E1708" s="159"/>
      <c r="F1708" s="170"/>
      <c r="G1708" s="155"/>
      <c r="H1708" s="156"/>
      <c r="I1708" s="203"/>
      <c r="J1708" s="203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>
      <c r="A1709" s="156"/>
      <c r="B1709" s="154"/>
      <c r="C1709" s="154"/>
      <c r="D1709" s="154"/>
      <c r="E1709" s="159"/>
      <c r="F1709" s="170"/>
      <c r="G1709" s="155"/>
      <c r="H1709" s="156"/>
      <c r="I1709" s="203"/>
      <c r="J1709" s="203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>
      <c r="A1710" s="156"/>
      <c r="B1710" s="154"/>
      <c r="C1710" s="154"/>
      <c r="D1710" s="154"/>
      <c r="E1710" s="159"/>
      <c r="F1710" s="170"/>
      <c r="G1710" s="155"/>
      <c r="H1710" s="156"/>
      <c r="I1710" s="203"/>
      <c r="J1710" s="203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>
      <c r="A1711" s="156"/>
      <c r="B1711" s="154"/>
      <c r="C1711" s="154"/>
      <c r="D1711" s="154"/>
      <c r="E1711" s="159"/>
      <c r="F1711" s="170"/>
      <c r="G1711" s="155"/>
      <c r="H1711" s="156"/>
      <c r="I1711" s="203"/>
      <c r="J1711" s="203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>
      <c r="A1712" s="156"/>
      <c r="B1712" s="154"/>
      <c r="C1712" s="154"/>
      <c r="D1712" s="154"/>
      <c r="E1712" s="159"/>
      <c r="F1712" s="170"/>
      <c r="G1712" s="155"/>
      <c r="H1712" s="156"/>
      <c r="I1712" s="203"/>
      <c r="J1712" s="203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>
      <c r="A1713" s="156"/>
      <c r="B1713" s="154"/>
      <c r="C1713" s="154"/>
      <c r="D1713" s="154"/>
      <c r="E1713" s="159"/>
      <c r="F1713" s="170"/>
      <c r="G1713" s="155"/>
      <c r="H1713" s="156"/>
      <c r="I1713" s="203"/>
      <c r="J1713" s="203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>
      <c r="A1714" s="156"/>
      <c r="B1714" s="154"/>
      <c r="C1714" s="154"/>
      <c r="D1714" s="154"/>
      <c r="E1714" s="159"/>
      <c r="F1714" s="170"/>
      <c r="G1714" s="155"/>
      <c r="H1714" s="156"/>
      <c r="I1714" s="203"/>
      <c r="J1714" s="203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>
      <c r="A1715" s="156"/>
      <c r="B1715" s="154"/>
      <c r="C1715" s="154"/>
      <c r="D1715" s="154"/>
      <c r="E1715" s="159"/>
      <c r="F1715" s="170"/>
      <c r="G1715" s="155"/>
      <c r="H1715" s="156"/>
      <c r="I1715" s="203"/>
      <c r="J1715" s="203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>
      <c r="A1716" s="156"/>
      <c r="B1716" s="154"/>
      <c r="C1716" s="154"/>
      <c r="D1716" s="154"/>
      <c r="E1716" s="159"/>
      <c r="F1716" s="170"/>
      <c r="G1716" s="155"/>
      <c r="H1716" s="156"/>
      <c r="I1716" s="203"/>
      <c r="J1716" s="203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>
      <c r="A1717" s="156"/>
      <c r="B1717" s="154"/>
      <c r="C1717" s="154"/>
      <c r="D1717" s="154"/>
      <c r="E1717" s="159"/>
      <c r="F1717" s="170"/>
      <c r="G1717" s="155"/>
      <c r="H1717" s="156"/>
      <c r="I1717" s="203"/>
      <c r="J1717" s="203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>
      <c r="A1718" s="156"/>
      <c r="B1718" s="154"/>
      <c r="C1718" s="154"/>
      <c r="D1718" s="154"/>
      <c r="E1718" s="159"/>
      <c r="F1718" s="170"/>
      <c r="G1718" s="155"/>
      <c r="H1718" s="156"/>
      <c r="I1718" s="203"/>
      <c r="J1718" s="203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>
      <c r="A1719" s="156"/>
      <c r="B1719" s="154"/>
      <c r="C1719" s="154"/>
      <c r="D1719" s="154"/>
      <c r="E1719" s="159"/>
      <c r="F1719" s="170"/>
      <c r="G1719" s="155"/>
      <c r="H1719" s="156"/>
      <c r="I1719" s="203"/>
      <c r="J1719" s="203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>
      <c r="A1720" s="156"/>
      <c r="B1720" s="154"/>
      <c r="C1720" s="154"/>
      <c r="D1720" s="154"/>
      <c r="E1720" s="159"/>
      <c r="F1720" s="170"/>
      <c r="G1720" s="155"/>
      <c r="H1720" s="156"/>
      <c r="I1720" s="203"/>
      <c r="J1720" s="203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>
      <c r="A1721" s="156"/>
      <c r="B1721" s="154"/>
      <c r="C1721" s="154"/>
      <c r="D1721" s="154"/>
      <c r="E1721" s="159"/>
      <c r="F1721" s="170"/>
      <c r="G1721" s="155"/>
      <c r="H1721" s="156"/>
      <c r="I1721" s="203"/>
      <c r="J1721" s="203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>
      <c r="A1722" s="156"/>
      <c r="B1722" s="154"/>
      <c r="C1722" s="154"/>
      <c r="D1722" s="154"/>
      <c r="E1722" s="159"/>
      <c r="F1722" s="170"/>
      <c r="G1722" s="155"/>
      <c r="H1722" s="156"/>
      <c r="I1722" s="203"/>
      <c r="J1722" s="203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>
      <c r="A1723" s="156"/>
      <c r="B1723" s="154"/>
      <c r="C1723" s="154"/>
      <c r="D1723" s="154"/>
      <c r="E1723" s="159"/>
      <c r="F1723" s="170"/>
      <c r="G1723" s="155"/>
      <c r="H1723" s="156"/>
      <c r="I1723" s="203"/>
      <c r="J1723" s="203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>
      <c r="A1724" s="156"/>
      <c r="B1724" s="154"/>
      <c r="C1724" s="154"/>
      <c r="D1724" s="154"/>
      <c r="E1724" s="159"/>
      <c r="F1724" s="170"/>
      <c r="G1724" s="155"/>
      <c r="H1724" s="156"/>
      <c r="I1724" s="203"/>
      <c r="J1724" s="203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>
      <c r="A1725" s="156"/>
      <c r="B1725" s="154"/>
      <c r="C1725" s="154"/>
      <c r="D1725" s="154"/>
      <c r="E1725" s="159"/>
      <c r="F1725" s="170"/>
      <c r="G1725" s="155"/>
      <c r="H1725" s="156"/>
      <c r="I1725" s="203"/>
      <c r="J1725" s="203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>
      <c r="A1726" s="156"/>
      <c r="B1726" s="154"/>
      <c r="C1726" s="154"/>
      <c r="D1726" s="154"/>
      <c r="E1726" s="159"/>
      <c r="F1726" s="170"/>
      <c r="G1726" s="155"/>
      <c r="H1726" s="156"/>
      <c r="I1726" s="203"/>
      <c r="J1726" s="203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>
      <c r="A1727" s="156"/>
      <c r="B1727" s="154"/>
      <c r="C1727" s="154"/>
      <c r="D1727" s="154"/>
      <c r="E1727" s="159"/>
      <c r="F1727" s="170"/>
      <c r="G1727" s="155"/>
      <c r="H1727" s="156"/>
      <c r="I1727" s="203"/>
      <c r="J1727" s="203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>
      <c r="A1728" s="156"/>
      <c r="B1728" s="154"/>
      <c r="C1728" s="154"/>
      <c r="D1728" s="154"/>
      <c r="E1728" s="159"/>
      <c r="F1728" s="170"/>
      <c r="G1728" s="155"/>
      <c r="H1728" s="156"/>
      <c r="I1728" s="203"/>
      <c r="J1728" s="203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>
      <c r="A1729" s="156"/>
      <c r="B1729" s="154"/>
      <c r="C1729" s="154"/>
      <c r="D1729" s="154"/>
      <c r="E1729" s="159"/>
      <c r="F1729" s="170"/>
      <c r="G1729" s="155"/>
      <c r="H1729" s="156"/>
      <c r="I1729" s="203"/>
      <c r="J1729" s="203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>
      <c r="A1730" s="156"/>
      <c r="B1730" s="154"/>
      <c r="C1730" s="154"/>
      <c r="D1730" s="154"/>
      <c r="E1730" s="159"/>
      <c r="F1730" s="170"/>
      <c r="G1730" s="155"/>
      <c r="H1730" s="156"/>
      <c r="I1730" s="203"/>
      <c r="J1730" s="203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>
      <c r="A1731" s="156"/>
      <c r="B1731" s="154"/>
      <c r="C1731" s="154"/>
      <c r="D1731" s="154"/>
      <c r="E1731" s="159"/>
      <c r="F1731" s="170"/>
      <c r="G1731" s="155"/>
      <c r="H1731" s="156"/>
      <c r="I1731" s="203"/>
      <c r="J1731" s="203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>
      <c r="A1732" s="156"/>
      <c r="B1732" s="154"/>
      <c r="C1732" s="154"/>
      <c r="D1732" s="154"/>
      <c r="E1732" s="159"/>
      <c r="F1732" s="170"/>
      <c r="G1732" s="155"/>
      <c r="H1732" s="156"/>
      <c r="I1732" s="203"/>
      <c r="J1732" s="203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>
      <c r="A1733" s="156"/>
      <c r="B1733" s="154"/>
      <c r="C1733" s="154"/>
      <c r="D1733" s="154"/>
      <c r="E1733" s="159"/>
      <c r="F1733" s="170"/>
      <c r="G1733" s="155"/>
      <c r="H1733" s="156"/>
      <c r="I1733" s="203"/>
      <c r="J1733" s="203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>
      <c r="A1734" s="156"/>
      <c r="B1734" s="154"/>
      <c r="C1734" s="154"/>
      <c r="D1734" s="154"/>
      <c r="E1734" s="159"/>
      <c r="F1734" s="170"/>
      <c r="G1734" s="155"/>
      <c r="H1734" s="156"/>
      <c r="I1734" s="203"/>
      <c r="J1734" s="203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>
      <c r="A1735" s="156"/>
      <c r="B1735" s="154"/>
      <c r="C1735" s="154"/>
      <c r="D1735" s="154"/>
      <c r="E1735" s="159"/>
      <c r="F1735" s="170"/>
      <c r="G1735" s="155"/>
      <c r="H1735" s="156"/>
      <c r="I1735" s="203"/>
      <c r="J1735" s="203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>
      <c r="A1736" s="156"/>
      <c r="B1736" s="154"/>
      <c r="C1736" s="154"/>
      <c r="D1736" s="154"/>
      <c r="E1736" s="159"/>
      <c r="F1736" s="170"/>
      <c r="G1736" s="155"/>
      <c r="H1736" s="156"/>
      <c r="I1736" s="203"/>
      <c r="J1736" s="203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>
      <c r="A1737" s="156"/>
      <c r="B1737" s="154"/>
      <c r="C1737" s="154"/>
      <c r="D1737" s="154"/>
      <c r="E1737" s="159"/>
      <c r="F1737" s="170"/>
      <c r="G1737" s="155"/>
      <c r="H1737" s="156"/>
      <c r="I1737" s="203"/>
      <c r="J1737" s="203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>
      <c r="A1738" s="156"/>
      <c r="B1738" s="154"/>
      <c r="C1738" s="154"/>
      <c r="D1738" s="154"/>
      <c r="E1738" s="159"/>
      <c r="F1738" s="170"/>
      <c r="G1738" s="155"/>
      <c r="H1738" s="156"/>
      <c r="I1738" s="203"/>
      <c r="J1738" s="203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>
      <c r="A1739" s="156"/>
      <c r="B1739" s="154"/>
      <c r="C1739" s="154"/>
      <c r="D1739" s="154"/>
      <c r="E1739" s="159"/>
      <c r="F1739" s="170"/>
      <c r="G1739" s="155"/>
      <c r="H1739" s="156"/>
      <c r="I1739" s="203"/>
      <c r="J1739" s="203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>
      <c r="A1740" s="156"/>
      <c r="B1740" s="154"/>
      <c r="C1740" s="154"/>
      <c r="D1740" s="154"/>
      <c r="E1740" s="159"/>
      <c r="F1740" s="170"/>
      <c r="G1740" s="155"/>
      <c r="H1740" s="156"/>
      <c r="I1740" s="203"/>
      <c r="J1740" s="203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>
      <c r="A1741" s="156"/>
      <c r="B1741" s="154"/>
      <c r="C1741" s="154"/>
      <c r="D1741" s="154"/>
      <c r="E1741" s="159"/>
      <c r="F1741" s="170"/>
      <c r="G1741" s="155"/>
      <c r="H1741" s="156"/>
      <c r="I1741" s="203"/>
      <c r="J1741" s="203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>
      <c r="A1742" s="156"/>
      <c r="B1742" s="154"/>
      <c r="C1742" s="154"/>
      <c r="D1742" s="154"/>
      <c r="E1742" s="159"/>
      <c r="F1742" s="170"/>
      <c r="G1742" s="155"/>
      <c r="H1742" s="156"/>
      <c r="I1742" s="203"/>
      <c r="J1742" s="203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>
      <c r="A1743" s="156"/>
      <c r="B1743" s="154"/>
      <c r="C1743" s="154"/>
      <c r="D1743" s="154"/>
      <c r="E1743" s="159"/>
      <c r="F1743" s="170"/>
      <c r="G1743" s="155"/>
      <c r="H1743" s="156"/>
      <c r="I1743" s="203"/>
      <c r="J1743" s="203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>
      <c r="A1744" s="156"/>
      <c r="B1744" s="154"/>
      <c r="C1744" s="154"/>
      <c r="D1744" s="154"/>
      <c r="E1744" s="159"/>
      <c r="F1744" s="170"/>
      <c r="G1744" s="155"/>
      <c r="H1744" s="156"/>
      <c r="I1744" s="203"/>
      <c r="J1744" s="203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>
      <c r="A1745" s="156"/>
      <c r="B1745" s="154"/>
      <c r="C1745" s="154"/>
      <c r="D1745" s="154"/>
      <c r="E1745" s="159"/>
      <c r="F1745" s="170"/>
      <c r="G1745" s="155"/>
      <c r="H1745" s="156"/>
      <c r="I1745" s="203"/>
      <c r="J1745" s="203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>
      <c r="A1746" s="156"/>
      <c r="B1746" s="154"/>
      <c r="C1746" s="154"/>
      <c r="D1746" s="154"/>
      <c r="E1746" s="159"/>
      <c r="F1746" s="170"/>
      <c r="G1746" s="155"/>
      <c r="H1746" s="156"/>
      <c r="I1746" s="203"/>
      <c r="J1746" s="203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>
      <c r="A1747" s="156"/>
      <c r="B1747" s="154"/>
      <c r="C1747" s="154"/>
      <c r="D1747" s="154"/>
      <c r="E1747" s="159"/>
      <c r="F1747" s="170"/>
      <c r="G1747" s="155"/>
      <c r="H1747" s="156"/>
      <c r="I1747" s="203"/>
      <c r="J1747" s="203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>
      <c r="A1748" s="156"/>
      <c r="B1748" s="154"/>
      <c r="C1748" s="154"/>
      <c r="D1748" s="154"/>
      <c r="E1748" s="159"/>
      <c r="F1748" s="170"/>
      <c r="G1748" s="155"/>
      <c r="H1748" s="156"/>
      <c r="I1748" s="203"/>
      <c r="J1748" s="203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>
      <c r="A1749" s="156"/>
      <c r="B1749" s="154"/>
      <c r="C1749" s="154"/>
      <c r="D1749" s="154"/>
      <c r="E1749" s="159"/>
      <c r="F1749" s="170"/>
      <c r="G1749" s="155"/>
      <c r="H1749" s="156"/>
      <c r="I1749" s="203"/>
      <c r="J1749" s="203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>
      <c r="A1750" s="156"/>
      <c r="B1750" s="154"/>
      <c r="C1750" s="154"/>
      <c r="D1750" s="154"/>
      <c r="E1750" s="159"/>
      <c r="F1750" s="170"/>
      <c r="G1750" s="155"/>
      <c r="H1750" s="156"/>
      <c r="I1750" s="203"/>
      <c r="J1750" s="203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>
      <c r="A1751" s="156"/>
      <c r="B1751" s="154"/>
      <c r="C1751" s="154"/>
      <c r="D1751" s="154"/>
      <c r="E1751" s="159"/>
      <c r="F1751" s="170"/>
      <c r="G1751" s="155"/>
      <c r="H1751" s="156"/>
      <c r="I1751" s="203"/>
      <c r="J1751" s="203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>
      <c r="A1752" s="156"/>
      <c r="B1752" s="154"/>
      <c r="C1752" s="154"/>
      <c r="D1752" s="154"/>
      <c r="E1752" s="159"/>
      <c r="F1752" s="170"/>
      <c r="G1752" s="155"/>
      <c r="H1752" s="156"/>
      <c r="I1752" s="203"/>
      <c r="J1752" s="203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>
      <c r="A1753" s="156"/>
      <c r="B1753" s="154"/>
      <c r="C1753" s="154"/>
      <c r="D1753" s="154"/>
      <c r="E1753" s="159"/>
      <c r="F1753" s="170"/>
      <c r="G1753" s="155"/>
      <c r="H1753" s="156"/>
      <c r="I1753" s="203"/>
      <c r="J1753" s="203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>
      <c r="A1754" s="156"/>
      <c r="B1754" s="154"/>
      <c r="C1754" s="154"/>
      <c r="D1754" s="154"/>
      <c r="E1754" s="159"/>
      <c r="F1754" s="170"/>
      <c r="G1754" s="155"/>
      <c r="H1754" s="156"/>
      <c r="I1754" s="203"/>
      <c r="J1754" s="203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>
      <c r="A1755" s="156"/>
      <c r="B1755" s="154"/>
      <c r="C1755" s="154"/>
      <c r="D1755" s="154"/>
      <c r="E1755" s="159"/>
      <c r="F1755" s="170"/>
      <c r="G1755" s="155"/>
      <c r="H1755" s="156"/>
      <c r="I1755" s="203"/>
      <c r="J1755" s="203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>
      <c r="A1756" s="156"/>
      <c r="B1756" s="154"/>
      <c r="C1756" s="154"/>
      <c r="D1756" s="154"/>
      <c r="E1756" s="159"/>
      <c r="F1756" s="170"/>
      <c r="G1756" s="155"/>
      <c r="H1756" s="156"/>
      <c r="I1756" s="203"/>
      <c r="J1756" s="203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>
      <c r="A1757" s="156"/>
      <c r="B1757" s="154"/>
      <c r="C1757" s="154"/>
      <c r="D1757" s="154"/>
      <c r="E1757" s="159"/>
      <c r="F1757" s="170"/>
      <c r="G1757" s="155"/>
      <c r="H1757" s="156"/>
      <c r="I1757" s="203"/>
      <c r="J1757" s="203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>
      <c r="A1758" s="156"/>
      <c r="B1758" s="154"/>
      <c r="C1758" s="154"/>
      <c r="D1758" s="154"/>
      <c r="E1758" s="159"/>
      <c r="F1758" s="170"/>
      <c r="G1758" s="155"/>
      <c r="H1758" s="156"/>
      <c r="I1758" s="203"/>
      <c r="J1758" s="203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>
      <c r="A1759" s="156"/>
      <c r="B1759" s="154"/>
      <c r="C1759" s="154"/>
      <c r="D1759" s="154"/>
      <c r="E1759" s="159"/>
      <c r="F1759" s="170"/>
      <c r="G1759" s="155"/>
      <c r="H1759" s="156"/>
      <c r="I1759" s="203"/>
      <c r="J1759" s="203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>
      <c r="A1760" s="156"/>
      <c r="B1760" s="154"/>
      <c r="C1760" s="154"/>
      <c r="D1760" s="154"/>
      <c r="E1760" s="159"/>
      <c r="F1760" s="170"/>
      <c r="G1760" s="155"/>
      <c r="H1760" s="156"/>
      <c r="I1760" s="203"/>
      <c r="J1760" s="203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>
      <c r="A1761" s="156"/>
      <c r="B1761" s="154"/>
      <c r="C1761" s="154"/>
      <c r="D1761" s="154"/>
      <c r="E1761" s="159"/>
      <c r="F1761" s="170"/>
      <c r="G1761" s="155"/>
      <c r="H1761" s="156"/>
      <c r="I1761" s="203"/>
      <c r="J1761" s="203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>
      <c r="A1762" s="156"/>
      <c r="B1762" s="154"/>
      <c r="C1762" s="154"/>
      <c r="D1762" s="154"/>
      <c r="E1762" s="159"/>
      <c r="F1762" s="170"/>
      <c r="G1762" s="155"/>
      <c r="H1762" s="156"/>
      <c r="I1762" s="203"/>
      <c r="J1762" s="203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>
      <c r="A1763" s="156"/>
      <c r="B1763" s="154"/>
      <c r="C1763" s="154"/>
      <c r="D1763" s="154"/>
      <c r="E1763" s="159"/>
      <c r="F1763" s="170"/>
      <c r="G1763" s="155"/>
      <c r="H1763" s="156"/>
      <c r="I1763" s="203"/>
      <c r="J1763" s="203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>
      <c r="A1764" s="156"/>
      <c r="B1764" s="154"/>
      <c r="C1764" s="154"/>
      <c r="D1764" s="154"/>
      <c r="E1764" s="159"/>
      <c r="F1764" s="170"/>
      <c r="G1764" s="155"/>
      <c r="H1764" s="156"/>
      <c r="I1764" s="203"/>
      <c r="J1764" s="203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>
      <c r="A1765" s="156"/>
      <c r="B1765" s="154"/>
      <c r="C1765" s="154"/>
      <c r="D1765" s="154"/>
      <c r="E1765" s="159"/>
      <c r="F1765" s="170"/>
      <c r="G1765" s="155"/>
      <c r="H1765" s="156"/>
      <c r="I1765" s="203"/>
      <c r="J1765" s="203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>
      <c r="A1766" s="156"/>
      <c r="B1766" s="154"/>
      <c r="C1766" s="154"/>
      <c r="D1766" s="154"/>
      <c r="E1766" s="159"/>
      <c r="F1766" s="170"/>
      <c r="G1766" s="155"/>
      <c r="H1766" s="156"/>
      <c r="I1766" s="203"/>
      <c r="J1766" s="203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>
      <c r="A1767" s="156"/>
      <c r="B1767" s="154"/>
      <c r="C1767" s="154"/>
      <c r="D1767" s="154"/>
      <c r="E1767" s="159"/>
      <c r="F1767" s="170"/>
      <c r="G1767" s="155"/>
      <c r="H1767" s="156"/>
      <c r="I1767" s="203"/>
      <c r="J1767" s="203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>
      <c r="A1768" s="156"/>
      <c r="B1768" s="154"/>
      <c r="C1768" s="154"/>
      <c r="D1768" s="154"/>
      <c r="E1768" s="159"/>
      <c r="F1768" s="170"/>
      <c r="G1768" s="155"/>
      <c r="H1768" s="156"/>
      <c r="I1768" s="203"/>
      <c r="J1768" s="203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>
      <c r="A1769" s="156"/>
      <c r="B1769" s="154"/>
      <c r="C1769" s="154"/>
      <c r="D1769" s="154"/>
      <c r="E1769" s="159"/>
      <c r="F1769" s="170"/>
      <c r="G1769" s="155"/>
      <c r="H1769" s="156"/>
      <c r="I1769" s="203"/>
      <c r="J1769" s="203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>
      <c r="A1770" s="156"/>
      <c r="B1770" s="154"/>
      <c r="C1770" s="154"/>
      <c r="D1770" s="154"/>
      <c r="E1770" s="159"/>
      <c r="F1770" s="170"/>
      <c r="G1770" s="155"/>
      <c r="H1770" s="156"/>
      <c r="I1770" s="203"/>
      <c r="J1770" s="203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>
      <c r="A1771" s="156"/>
      <c r="B1771" s="154"/>
      <c r="C1771" s="154"/>
      <c r="D1771" s="154"/>
      <c r="E1771" s="159"/>
      <c r="F1771" s="170"/>
      <c r="G1771" s="155"/>
      <c r="H1771" s="156"/>
      <c r="I1771" s="203"/>
      <c r="J1771" s="203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>
      <c r="A1772" s="156"/>
      <c r="B1772" s="154"/>
      <c r="C1772" s="154"/>
      <c r="D1772" s="154"/>
      <c r="E1772" s="159"/>
      <c r="F1772" s="170"/>
      <c r="G1772" s="155"/>
      <c r="H1772" s="156"/>
      <c r="I1772" s="203"/>
      <c r="J1772" s="203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>
      <c r="A1773" s="156"/>
      <c r="B1773" s="154"/>
      <c r="C1773" s="154"/>
      <c r="D1773" s="154"/>
      <c r="E1773" s="159"/>
      <c r="F1773" s="170"/>
      <c r="G1773" s="155"/>
      <c r="H1773" s="156"/>
      <c r="I1773" s="203"/>
      <c r="J1773" s="203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>
      <c r="A1774" s="156"/>
      <c r="B1774" s="154"/>
      <c r="C1774" s="154"/>
      <c r="D1774" s="154"/>
      <c r="E1774" s="159"/>
      <c r="F1774" s="170"/>
      <c r="G1774" s="155"/>
      <c r="H1774" s="156"/>
      <c r="I1774" s="203"/>
      <c r="J1774" s="203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>
      <c r="A1775" s="156"/>
      <c r="B1775" s="154"/>
      <c r="C1775" s="154"/>
      <c r="D1775" s="154"/>
      <c r="E1775" s="159"/>
      <c r="F1775" s="170"/>
      <c r="G1775" s="155"/>
      <c r="H1775" s="156"/>
      <c r="I1775" s="203"/>
      <c r="J1775" s="203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>
      <c r="A1776" s="156"/>
      <c r="B1776" s="154"/>
      <c r="C1776" s="154"/>
      <c r="D1776" s="154"/>
      <c r="E1776" s="159"/>
      <c r="F1776" s="170"/>
      <c r="G1776" s="155"/>
      <c r="H1776" s="156"/>
      <c r="I1776" s="203"/>
      <c r="J1776" s="203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>
      <c r="A1777" s="156"/>
      <c r="B1777" s="154"/>
      <c r="C1777" s="154"/>
      <c r="D1777" s="154"/>
      <c r="E1777" s="159"/>
      <c r="F1777" s="170"/>
      <c r="G1777" s="155"/>
      <c r="H1777" s="156"/>
      <c r="I1777" s="203"/>
      <c r="J1777" s="203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>
      <c r="A1778" s="156"/>
      <c r="B1778" s="154"/>
      <c r="C1778" s="154"/>
      <c r="D1778" s="154"/>
      <c r="E1778" s="159"/>
      <c r="F1778" s="170"/>
      <c r="G1778" s="155"/>
      <c r="H1778" s="156"/>
      <c r="I1778" s="203"/>
      <c r="J1778" s="203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>
      <c r="A1779" s="156"/>
      <c r="B1779" s="154"/>
      <c r="C1779" s="154"/>
      <c r="D1779" s="154"/>
      <c r="E1779" s="159"/>
      <c r="F1779" s="170"/>
      <c r="G1779" s="155"/>
      <c r="H1779" s="156"/>
      <c r="I1779" s="203"/>
      <c r="J1779" s="203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>
      <c r="A1780" s="156"/>
      <c r="B1780" s="154"/>
      <c r="C1780" s="154"/>
      <c r="D1780" s="154"/>
      <c r="E1780" s="159"/>
      <c r="F1780" s="170"/>
      <c r="G1780" s="155"/>
      <c r="H1780" s="156"/>
      <c r="I1780" s="203"/>
      <c r="J1780" s="203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>
      <c r="A1781" s="156"/>
      <c r="B1781" s="154"/>
      <c r="C1781" s="154"/>
      <c r="D1781" s="154"/>
      <c r="E1781" s="159"/>
      <c r="F1781" s="170"/>
      <c r="G1781" s="155"/>
      <c r="H1781" s="156"/>
      <c r="I1781" s="203"/>
      <c r="J1781" s="203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>
      <c r="A1782" s="156"/>
      <c r="B1782" s="154"/>
      <c r="C1782" s="154"/>
      <c r="D1782" s="154"/>
      <c r="E1782" s="159"/>
      <c r="F1782" s="170"/>
      <c r="G1782" s="155"/>
      <c r="H1782" s="156"/>
      <c r="I1782" s="203"/>
      <c r="J1782" s="203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>
      <c r="A1783" s="156"/>
      <c r="B1783" s="154"/>
      <c r="C1783" s="154"/>
      <c r="D1783" s="154"/>
      <c r="E1783" s="159"/>
      <c r="F1783" s="170"/>
      <c r="G1783" s="155"/>
      <c r="H1783" s="156"/>
      <c r="I1783" s="203"/>
      <c r="J1783" s="203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>
      <c r="A1784" s="156"/>
      <c r="B1784" s="154"/>
      <c r="C1784" s="154"/>
      <c r="D1784" s="154"/>
      <c r="E1784" s="159"/>
      <c r="F1784" s="170"/>
      <c r="G1784" s="155"/>
      <c r="H1784" s="156"/>
      <c r="I1784" s="203"/>
      <c r="J1784" s="203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>
      <c r="A1785" s="156"/>
      <c r="B1785" s="154"/>
      <c r="C1785" s="154"/>
      <c r="D1785" s="154"/>
      <c r="E1785" s="159"/>
      <c r="F1785" s="170"/>
      <c r="G1785" s="155"/>
      <c r="H1785" s="156"/>
      <c r="I1785" s="203"/>
      <c r="J1785" s="203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>
      <c r="A1786" s="156"/>
      <c r="B1786" s="154"/>
      <c r="C1786" s="154"/>
      <c r="D1786" s="154"/>
      <c r="E1786" s="159"/>
      <c r="F1786" s="170"/>
      <c r="G1786" s="155"/>
      <c r="H1786" s="156"/>
      <c r="I1786" s="203"/>
      <c r="J1786" s="203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>
      <c r="A1787" s="156"/>
      <c r="B1787" s="154"/>
      <c r="C1787" s="154"/>
      <c r="D1787" s="154"/>
      <c r="E1787" s="159"/>
      <c r="F1787" s="170"/>
      <c r="G1787" s="155"/>
      <c r="H1787" s="156"/>
      <c r="I1787" s="203"/>
      <c r="J1787" s="203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>
      <c r="A1788" s="156"/>
      <c r="B1788" s="154"/>
      <c r="C1788" s="154"/>
      <c r="D1788" s="154"/>
      <c r="E1788" s="159"/>
      <c r="F1788" s="170"/>
      <c r="G1788" s="155"/>
      <c r="H1788" s="156"/>
      <c r="I1788" s="203"/>
      <c r="J1788" s="203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>
      <c r="A1789" s="156"/>
      <c r="B1789" s="154"/>
      <c r="C1789" s="154"/>
      <c r="D1789" s="154"/>
      <c r="E1789" s="159"/>
      <c r="F1789" s="170"/>
      <c r="G1789" s="155"/>
      <c r="H1789" s="156"/>
      <c r="I1789" s="203"/>
      <c r="J1789" s="203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>
      <c r="A1790" s="156"/>
      <c r="B1790" s="154"/>
      <c r="C1790" s="154"/>
      <c r="D1790" s="154"/>
      <c r="E1790" s="159"/>
      <c r="F1790" s="170"/>
      <c r="G1790" s="155"/>
      <c r="H1790" s="156"/>
      <c r="I1790" s="203"/>
      <c r="J1790" s="203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>
      <c r="A1791" s="156"/>
      <c r="B1791" s="154"/>
      <c r="C1791" s="154"/>
      <c r="D1791" s="154"/>
      <c r="E1791" s="159"/>
      <c r="F1791" s="170"/>
      <c r="G1791" s="155"/>
      <c r="H1791" s="156"/>
      <c r="I1791" s="203"/>
      <c r="J1791" s="203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>
      <c r="A1792" s="156"/>
      <c r="B1792" s="154"/>
      <c r="C1792" s="154"/>
      <c r="D1792" s="154"/>
      <c r="E1792" s="159"/>
      <c r="F1792" s="170"/>
      <c r="G1792" s="155"/>
      <c r="H1792" s="156"/>
      <c r="I1792" s="203"/>
      <c r="J1792" s="203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>
      <c r="A1793" s="156"/>
      <c r="B1793" s="154"/>
      <c r="C1793" s="154"/>
      <c r="D1793" s="154"/>
      <c r="E1793" s="159"/>
      <c r="F1793" s="170"/>
      <c r="G1793" s="155"/>
      <c r="H1793" s="156"/>
      <c r="I1793" s="203"/>
      <c r="J1793" s="203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>
      <c r="A1794" s="156"/>
      <c r="B1794" s="154"/>
      <c r="C1794" s="154"/>
      <c r="D1794" s="154"/>
      <c r="E1794" s="159"/>
      <c r="F1794" s="170"/>
      <c r="G1794" s="155"/>
      <c r="H1794" s="156"/>
      <c r="I1794" s="203"/>
      <c r="J1794" s="203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>
      <c r="A1795" s="156"/>
      <c r="B1795" s="154"/>
      <c r="C1795" s="154"/>
      <c r="D1795" s="154"/>
      <c r="E1795" s="159"/>
      <c r="F1795" s="170"/>
      <c r="G1795" s="155"/>
      <c r="H1795" s="156"/>
      <c r="I1795" s="203"/>
      <c r="J1795" s="203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>
      <c r="A1796" s="156"/>
      <c r="B1796" s="154"/>
      <c r="C1796" s="154"/>
      <c r="D1796" s="154"/>
      <c r="E1796" s="159"/>
      <c r="F1796" s="170"/>
      <c r="G1796" s="155"/>
      <c r="H1796" s="156"/>
      <c r="I1796" s="203"/>
      <c r="J1796" s="203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>
      <c r="A1797" s="156"/>
      <c r="B1797" s="154"/>
      <c r="C1797" s="154"/>
      <c r="D1797" s="154"/>
      <c r="E1797" s="159"/>
      <c r="F1797" s="170"/>
      <c r="G1797" s="155"/>
      <c r="H1797" s="156"/>
      <c r="I1797" s="203"/>
      <c r="J1797" s="203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>
      <c r="A1798" s="156"/>
      <c r="B1798" s="154"/>
      <c r="C1798" s="154"/>
      <c r="D1798" s="154"/>
      <c r="E1798" s="159"/>
      <c r="F1798" s="170"/>
      <c r="G1798" s="155"/>
      <c r="H1798" s="156"/>
      <c r="I1798" s="203"/>
      <c r="J1798" s="203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>
      <c r="A1799" s="156"/>
      <c r="B1799" s="154"/>
      <c r="C1799" s="154"/>
      <c r="D1799" s="154"/>
      <c r="E1799" s="159"/>
      <c r="F1799" s="170"/>
      <c r="G1799" s="155"/>
      <c r="H1799" s="156"/>
      <c r="I1799" s="203"/>
      <c r="J1799" s="203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>
      <c r="A1800" s="156"/>
      <c r="B1800" s="154"/>
      <c r="C1800" s="154"/>
      <c r="D1800" s="154"/>
      <c r="E1800" s="159"/>
      <c r="F1800" s="170"/>
      <c r="G1800" s="155"/>
      <c r="H1800" s="156"/>
      <c r="I1800" s="203"/>
      <c r="J1800" s="203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>
      <c r="A1801" s="156"/>
      <c r="B1801" s="154"/>
      <c r="C1801" s="154"/>
      <c r="D1801" s="154"/>
      <c r="E1801" s="159"/>
      <c r="F1801" s="170"/>
      <c r="G1801" s="155"/>
      <c r="H1801" s="156"/>
      <c r="I1801" s="203"/>
      <c r="J1801" s="203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>
      <c r="A1802" s="156"/>
      <c r="B1802" s="154"/>
      <c r="C1802" s="154"/>
      <c r="D1802" s="154"/>
      <c r="E1802" s="159"/>
      <c r="F1802" s="170"/>
      <c r="G1802" s="155"/>
      <c r="H1802" s="156"/>
      <c r="I1802" s="203"/>
      <c r="J1802" s="203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>
      <c r="A1803" s="156"/>
      <c r="B1803" s="154"/>
      <c r="C1803" s="154"/>
      <c r="D1803" s="154"/>
      <c r="E1803" s="159"/>
      <c r="F1803" s="170"/>
      <c r="G1803" s="155"/>
      <c r="H1803" s="156"/>
      <c r="I1803" s="203"/>
      <c r="J1803" s="203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>
      <c r="A1804" s="156"/>
      <c r="B1804" s="154"/>
      <c r="C1804" s="154"/>
      <c r="D1804" s="154"/>
      <c r="E1804" s="159"/>
      <c r="F1804" s="170"/>
      <c r="G1804" s="155"/>
      <c r="H1804" s="156"/>
      <c r="I1804" s="203"/>
      <c r="J1804" s="203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>
      <c r="A1805" s="156"/>
      <c r="B1805" s="154"/>
      <c r="C1805" s="154"/>
      <c r="D1805" s="154"/>
      <c r="E1805" s="159"/>
      <c r="F1805" s="170"/>
      <c r="G1805" s="155"/>
      <c r="H1805" s="156"/>
      <c r="I1805" s="203"/>
      <c r="J1805" s="203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>
      <c r="A1806" s="156"/>
      <c r="B1806" s="154"/>
      <c r="C1806" s="154"/>
      <c r="D1806" s="154"/>
      <c r="E1806" s="159"/>
      <c r="F1806" s="170"/>
      <c r="G1806" s="155"/>
      <c r="H1806" s="156"/>
      <c r="I1806" s="203"/>
      <c r="J1806" s="203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>
      <c r="A1807" s="156"/>
      <c r="B1807" s="154"/>
      <c r="C1807" s="154"/>
      <c r="D1807" s="154"/>
      <c r="E1807" s="159"/>
      <c r="F1807" s="170"/>
      <c r="G1807" s="155"/>
      <c r="H1807" s="156"/>
      <c r="I1807" s="203"/>
      <c r="J1807" s="203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>
      <c r="A1808" s="156"/>
      <c r="B1808" s="154"/>
      <c r="C1808" s="154"/>
      <c r="D1808" s="154"/>
      <c r="E1808" s="159"/>
      <c r="F1808" s="170"/>
      <c r="G1808" s="155"/>
      <c r="H1808" s="156"/>
      <c r="I1808" s="203"/>
      <c r="J1808" s="203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>
      <c r="A1809" s="156"/>
      <c r="B1809" s="154"/>
      <c r="C1809" s="154"/>
      <c r="D1809" s="154"/>
      <c r="E1809" s="159"/>
      <c r="F1809" s="170"/>
      <c r="G1809" s="155"/>
      <c r="H1809" s="156"/>
      <c r="I1809" s="203"/>
      <c r="J1809" s="203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>
      <c r="A1810" s="156"/>
      <c r="B1810" s="154"/>
      <c r="C1810" s="154"/>
      <c r="D1810" s="154"/>
      <c r="E1810" s="159"/>
      <c r="F1810" s="170"/>
      <c r="G1810" s="155"/>
      <c r="H1810" s="156"/>
      <c r="I1810" s="203"/>
      <c r="J1810" s="203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>
      <c r="A1811" s="156"/>
      <c r="B1811" s="154"/>
      <c r="C1811" s="154"/>
      <c r="D1811" s="154"/>
      <c r="E1811" s="159"/>
      <c r="F1811" s="170"/>
      <c r="G1811" s="155"/>
      <c r="H1811" s="156"/>
      <c r="I1811" s="203"/>
      <c r="J1811" s="203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>
      <c r="A1812" s="156"/>
      <c r="B1812" s="154"/>
      <c r="C1812" s="154"/>
      <c r="D1812" s="154"/>
      <c r="E1812" s="159"/>
      <c r="F1812" s="170"/>
      <c r="G1812" s="155"/>
      <c r="H1812" s="156"/>
      <c r="I1812" s="203"/>
      <c r="J1812" s="203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>
      <c r="A1813" s="156"/>
      <c r="B1813" s="154"/>
      <c r="C1813" s="154"/>
      <c r="D1813" s="154"/>
      <c r="E1813" s="159"/>
      <c r="F1813" s="170"/>
      <c r="G1813" s="155"/>
      <c r="H1813" s="156"/>
      <c r="I1813" s="203"/>
      <c r="J1813" s="203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>
      <c r="A1814" s="156"/>
      <c r="B1814" s="154"/>
      <c r="C1814" s="154"/>
      <c r="D1814" s="154"/>
      <c r="E1814" s="159"/>
      <c r="F1814" s="170"/>
      <c r="G1814" s="155"/>
      <c r="H1814" s="156"/>
      <c r="I1814" s="203"/>
      <c r="J1814" s="203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>
      <c r="A1815" s="156"/>
      <c r="B1815" s="154"/>
      <c r="C1815" s="154"/>
      <c r="D1815" s="154"/>
      <c r="E1815" s="159"/>
      <c r="F1815" s="170"/>
      <c r="G1815" s="155"/>
      <c r="H1815" s="156"/>
      <c r="I1815" s="203"/>
      <c r="J1815" s="203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>
      <c r="A1816" s="156"/>
      <c r="B1816" s="154"/>
      <c r="C1816" s="154"/>
      <c r="D1816" s="154"/>
      <c r="E1816" s="159"/>
      <c r="F1816" s="170"/>
      <c r="G1816" s="155"/>
      <c r="H1816" s="156"/>
      <c r="I1816" s="203"/>
      <c r="J1816" s="203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>
      <c r="A1817" s="156"/>
      <c r="B1817" s="154"/>
      <c r="C1817" s="154"/>
      <c r="D1817" s="154"/>
      <c r="E1817" s="159"/>
      <c r="F1817" s="170"/>
      <c r="G1817" s="155"/>
      <c r="H1817" s="156"/>
      <c r="I1817" s="203"/>
      <c r="J1817" s="203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>
      <c r="A1818" s="156"/>
      <c r="B1818" s="154"/>
      <c r="C1818" s="154"/>
      <c r="D1818" s="154"/>
      <c r="E1818" s="159"/>
      <c r="F1818" s="170"/>
      <c r="G1818" s="155"/>
      <c r="H1818" s="156"/>
      <c r="I1818" s="203"/>
      <c r="J1818" s="203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>
      <c r="A1819" s="156"/>
      <c r="B1819" s="154"/>
      <c r="C1819" s="154"/>
      <c r="D1819" s="154"/>
      <c r="E1819" s="159"/>
      <c r="F1819" s="170"/>
      <c r="G1819" s="155"/>
      <c r="H1819" s="156"/>
      <c r="I1819" s="203"/>
      <c r="J1819" s="203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>
      <c r="A1820" s="156"/>
      <c r="B1820" s="154"/>
      <c r="C1820" s="154"/>
      <c r="D1820" s="154"/>
      <c r="E1820" s="159"/>
      <c r="F1820" s="170"/>
      <c r="G1820" s="155"/>
      <c r="H1820" s="156"/>
      <c r="I1820" s="203"/>
      <c r="J1820" s="203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>
      <c r="A1821" s="156"/>
      <c r="B1821" s="154"/>
      <c r="C1821" s="154"/>
      <c r="D1821" s="154"/>
      <c r="E1821" s="159"/>
      <c r="F1821" s="170"/>
      <c r="G1821" s="155"/>
      <c r="H1821" s="156"/>
      <c r="I1821" s="203"/>
      <c r="J1821" s="203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>
      <c r="A1822" s="156"/>
      <c r="B1822" s="154"/>
      <c r="C1822" s="154"/>
      <c r="D1822" s="154"/>
      <c r="E1822" s="159"/>
      <c r="F1822" s="170"/>
      <c r="G1822" s="155"/>
      <c r="H1822" s="156"/>
      <c r="I1822" s="203"/>
      <c r="J1822" s="203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>
      <c r="A1823" s="156"/>
      <c r="B1823" s="154"/>
      <c r="C1823" s="154"/>
      <c r="D1823" s="154"/>
      <c r="E1823" s="159"/>
      <c r="F1823" s="170"/>
      <c r="G1823" s="155"/>
      <c r="H1823" s="156"/>
      <c r="I1823" s="203"/>
      <c r="J1823" s="203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>
      <c r="A1824" s="156"/>
      <c r="B1824" s="154"/>
      <c r="C1824" s="154"/>
      <c r="D1824" s="154"/>
      <c r="E1824" s="159"/>
      <c r="F1824" s="170"/>
      <c r="G1824" s="155"/>
      <c r="H1824" s="156"/>
      <c r="I1824" s="203"/>
      <c r="J1824" s="203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>
      <c r="A1825" s="156"/>
      <c r="B1825" s="154"/>
      <c r="C1825" s="154"/>
      <c r="D1825" s="154"/>
      <c r="E1825" s="159"/>
      <c r="F1825" s="170"/>
      <c r="G1825" s="155"/>
      <c r="H1825" s="156"/>
      <c r="I1825" s="203"/>
      <c r="J1825" s="203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>
      <c r="A1826" s="156"/>
      <c r="B1826" s="154"/>
      <c r="C1826" s="154"/>
      <c r="D1826" s="154"/>
      <c r="E1826" s="159"/>
      <c r="F1826" s="170"/>
      <c r="G1826" s="155"/>
      <c r="H1826" s="156"/>
      <c r="I1826" s="203"/>
      <c r="J1826" s="203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>
      <c r="A1827" s="156"/>
      <c r="B1827" s="154"/>
      <c r="C1827" s="154"/>
      <c r="D1827" s="154"/>
      <c r="E1827" s="159"/>
      <c r="F1827" s="170"/>
      <c r="G1827" s="155"/>
      <c r="H1827" s="156"/>
      <c r="I1827" s="203"/>
      <c r="J1827" s="203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>
      <c r="A1828" s="156"/>
      <c r="B1828" s="154"/>
      <c r="C1828" s="154"/>
      <c r="D1828" s="154"/>
      <c r="E1828" s="159"/>
      <c r="F1828" s="170"/>
      <c r="G1828" s="155"/>
      <c r="H1828" s="156"/>
      <c r="I1828" s="203"/>
      <c r="J1828" s="203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>
      <c r="A1829" s="156"/>
      <c r="B1829" s="154"/>
      <c r="C1829" s="154"/>
      <c r="D1829" s="154"/>
      <c r="E1829" s="159"/>
      <c r="F1829" s="170"/>
      <c r="G1829" s="155"/>
      <c r="H1829" s="156"/>
      <c r="I1829" s="203"/>
      <c r="J1829" s="203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>
      <c r="A1830" s="156"/>
      <c r="B1830" s="154"/>
      <c r="C1830" s="154"/>
      <c r="D1830" s="154"/>
      <c r="E1830" s="159"/>
      <c r="F1830" s="170"/>
      <c r="G1830" s="155"/>
      <c r="H1830" s="156"/>
      <c r="I1830" s="203"/>
      <c r="J1830" s="203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>
      <c r="A1831" s="156"/>
      <c r="B1831" s="154"/>
      <c r="C1831" s="154"/>
      <c r="D1831" s="154"/>
      <c r="E1831" s="159"/>
      <c r="F1831" s="170"/>
      <c r="G1831" s="155"/>
      <c r="H1831" s="156"/>
      <c r="I1831" s="203"/>
      <c r="J1831" s="203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>
      <c r="A1832" s="156"/>
      <c r="B1832" s="154"/>
      <c r="C1832" s="154"/>
      <c r="D1832" s="154"/>
      <c r="E1832" s="159"/>
      <c r="F1832" s="170"/>
      <c r="G1832" s="155"/>
      <c r="H1832" s="156"/>
      <c r="I1832" s="203"/>
      <c r="J1832" s="203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>
      <c r="A1833" s="156"/>
      <c r="B1833" s="154"/>
      <c r="C1833" s="154"/>
      <c r="D1833" s="154"/>
      <c r="E1833" s="159"/>
      <c r="F1833" s="170"/>
      <c r="G1833" s="155"/>
      <c r="H1833" s="156"/>
      <c r="I1833" s="203"/>
      <c r="J1833" s="203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>
      <c r="A1834" s="156"/>
      <c r="B1834" s="154"/>
      <c r="C1834" s="154"/>
      <c r="D1834" s="154"/>
      <c r="E1834" s="159"/>
      <c r="F1834" s="170"/>
      <c r="G1834" s="155"/>
      <c r="H1834" s="156"/>
      <c r="I1834" s="203"/>
      <c r="J1834" s="203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>
      <c r="A1835" s="156"/>
      <c r="B1835" s="154"/>
      <c r="C1835" s="154"/>
      <c r="D1835" s="154"/>
      <c r="E1835" s="159"/>
      <c r="F1835" s="170"/>
      <c r="G1835" s="155"/>
      <c r="H1835" s="156"/>
      <c r="I1835" s="203"/>
      <c r="J1835" s="203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>
      <c r="A1836" s="156"/>
      <c r="B1836" s="154"/>
      <c r="C1836" s="154"/>
      <c r="D1836" s="154"/>
      <c r="E1836" s="159"/>
      <c r="F1836" s="170"/>
      <c r="G1836" s="155"/>
      <c r="H1836" s="156"/>
      <c r="I1836" s="203"/>
      <c r="J1836" s="203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>
      <c r="A1837" s="156"/>
      <c r="B1837" s="154"/>
      <c r="C1837" s="154"/>
      <c r="D1837" s="154"/>
      <c r="E1837" s="159"/>
      <c r="F1837" s="170"/>
      <c r="G1837" s="155"/>
      <c r="H1837" s="156"/>
      <c r="I1837" s="203"/>
      <c r="J1837" s="203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>
      <c r="A1838" s="156"/>
      <c r="B1838" s="154"/>
      <c r="C1838" s="154"/>
      <c r="D1838" s="154"/>
      <c r="E1838" s="159"/>
      <c r="F1838" s="170"/>
      <c r="G1838" s="155"/>
      <c r="H1838" s="156"/>
      <c r="I1838" s="203"/>
      <c r="J1838" s="203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>
      <c r="A1839" s="156"/>
      <c r="B1839" s="154"/>
      <c r="C1839" s="154"/>
      <c r="D1839" s="154"/>
      <c r="E1839" s="159"/>
      <c r="F1839" s="170"/>
      <c r="G1839" s="155"/>
      <c r="H1839" s="156"/>
      <c r="I1839" s="203"/>
      <c r="J1839" s="203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>
      <c r="A1840" s="156"/>
      <c r="B1840" s="154"/>
      <c r="C1840" s="154"/>
      <c r="D1840" s="154"/>
      <c r="E1840" s="159"/>
      <c r="F1840" s="170"/>
      <c r="G1840" s="155"/>
      <c r="H1840" s="156"/>
      <c r="I1840" s="203"/>
      <c r="J1840" s="203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>
      <c r="A1841" s="156"/>
      <c r="B1841" s="154"/>
      <c r="C1841" s="154"/>
      <c r="D1841" s="154"/>
      <c r="E1841" s="159"/>
      <c r="F1841" s="170"/>
      <c r="G1841" s="155"/>
      <c r="H1841" s="156"/>
      <c r="I1841" s="203"/>
      <c r="J1841" s="203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>
      <c r="A1842" s="156"/>
      <c r="B1842" s="154"/>
      <c r="C1842" s="154"/>
      <c r="D1842" s="154"/>
      <c r="E1842" s="159"/>
      <c r="F1842" s="170"/>
      <c r="G1842" s="155"/>
      <c r="H1842" s="156"/>
      <c r="I1842" s="203"/>
      <c r="J1842" s="203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>
      <c r="A1843" s="156"/>
      <c r="B1843" s="154"/>
      <c r="C1843" s="154"/>
      <c r="D1843" s="154"/>
      <c r="E1843" s="159"/>
      <c r="F1843" s="170"/>
      <c r="G1843" s="155"/>
      <c r="H1843" s="156"/>
      <c r="I1843" s="203"/>
      <c r="J1843" s="203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>
      <c r="A1844" s="156"/>
      <c r="B1844" s="154"/>
      <c r="C1844" s="154"/>
      <c r="D1844" s="154"/>
      <c r="E1844" s="159"/>
      <c r="F1844" s="170"/>
      <c r="G1844" s="155"/>
      <c r="H1844" s="156"/>
      <c r="I1844" s="203"/>
      <c r="J1844" s="203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>
      <c r="A1845" s="156"/>
      <c r="B1845" s="154"/>
      <c r="C1845" s="154"/>
      <c r="D1845" s="154"/>
      <c r="E1845" s="159"/>
      <c r="F1845" s="170"/>
      <c r="G1845" s="155"/>
      <c r="H1845" s="156"/>
      <c r="I1845" s="203"/>
      <c r="J1845" s="203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>
      <c r="A1846" s="156"/>
      <c r="B1846" s="154"/>
      <c r="C1846" s="154"/>
      <c r="D1846" s="154"/>
      <c r="E1846" s="159"/>
      <c r="F1846" s="170"/>
      <c r="G1846" s="155"/>
      <c r="H1846" s="156"/>
      <c r="I1846" s="203"/>
      <c r="J1846" s="203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>
      <c r="A1847" s="156"/>
      <c r="B1847" s="154"/>
      <c r="C1847" s="154"/>
      <c r="D1847" s="154"/>
      <c r="E1847" s="159"/>
      <c r="F1847" s="170"/>
      <c r="G1847" s="155"/>
      <c r="H1847" s="156"/>
      <c r="I1847" s="203"/>
      <c r="J1847" s="203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>
      <c r="A1848" s="156"/>
      <c r="B1848" s="154"/>
      <c r="C1848" s="154"/>
      <c r="D1848" s="154"/>
      <c r="E1848" s="159"/>
      <c r="F1848" s="170"/>
      <c r="G1848" s="155"/>
      <c r="H1848" s="156"/>
      <c r="I1848" s="203"/>
      <c r="J1848" s="203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>
      <c r="A1849" s="156"/>
      <c r="B1849" s="154"/>
      <c r="C1849" s="154"/>
      <c r="D1849" s="154"/>
      <c r="E1849" s="159"/>
      <c r="F1849" s="170"/>
      <c r="G1849" s="155"/>
      <c r="H1849" s="156"/>
      <c r="I1849" s="203"/>
      <c r="J1849" s="203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>
      <c r="A1850" s="156"/>
      <c r="B1850" s="154"/>
      <c r="C1850" s="154"/>
      <c r="D1850" s="154"/>
      <c r="E1850" s="159"/>
      <c r="F1850" s="170"/>
      <c r="G1850" s="155"/>
      <c r="H1850" s="156"/>
      <c r="I1850" s="203"/>
      <c r="J1850" s="203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>
      <c r="A1851" s="156"/>
      <c r="B1851" s="154"/>
      <c r="C1851" s="154"/>
      <c r="D1851" s="154"/>
      <c r="E1851" s="159"/>
      <c r="F1851" s="170"/>
      <c r="G1851" s="155"/>
      <c r="H1851" s="156"/>
      <c r="I1851" s="203"/>
      <c r="J1851" s="203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>
      <c r="A1852" s="156"/>
      <c r="B1852" s="154"/>
      <c r="C1852" s="154"/>
      <c r="D1852" s="154"/>
      <c r="E1852" s="159"/>
      <c r="F1852" s="170"/>
      <c r="G1852" s="155"/>
      <c r="H1852" s="156"/>
      <c r="I1852" s="203"/>
      <c r="J1852" s="203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>
      <c r="A1853" s="156"/>
      <c r="B1853" s="154"/>
      <c r="C1853" s="154"/>
      <c r="D1853" s="154"/>
      <c r="E1853" s="159"/>
      <c r="F1853" s="170"/>
      <c r="G1853" s="155"/>
      <c r="H1853" s="156"/>
      <c r="I1853" s="203"/>
      <c r="J1853" s="203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>
      <c r="A1854" s="156"/>
      <c r="B1854" s="154"/>
      <c r="C1854" s="154"/>
      <c r="D1854" s="154"/>
      <c r="E1854" s="159"/>
      <c r="F1854" s="170"/>
      <c r="G1854" s="155"/>
      <c r="H1854" s="156"/>
      <c r="I1854" s="203"/>
      <c r="J1854" s="203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>
      <c r="A1855" s="156"/>
      <c r="B1855" s="154"/>
      <c r="C1855" s="154"/>
      <c r="D1855" s="154"/>
      <c r="E1855" s="159"/>
      <c r="F1855" s="170"/>
      <c r="G1855" s="155"/>
      <c r="H1855" s="156"/>
      <c r="I1855" s="203"/>
      <c r="J1855" s="203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>
      <c r="A1856" s="156"/>
      <c r="B1856" s="154"/>
      <c r="C1856" s="154"/>
      <c r="D1856" s="154"/>
      <c r="E1856" s="159"/>
      <c r="F1856" s="170"/>
      <c r="G1856" s="155"/>
      <c r="H1856" s="156"/>
      <c r="I1856" s="203"/>
      <c r="J1856" s="203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>
      <c r="A1857" s="156"/>
      <c r="B1857" s="154"/>
      <c r="C1857" s="154"/>
      <c r="D1857" s="154"/>
      <c r="E1857" s="159"/>
      <c r="F1857" s="170"/>
      <c r="G1857" s="155"/>
      <c r="H1857" s="156"/>
      <c r="I1857" s="203"/>
      <c r="J1857" s="203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>
      <c r="A1858" s="156"/>
      <c r="B1858" s="154"/>
      <c r="C1858" s="154"/>
      <c r="D1858" s="154"/>
      <c r="E1858" s="159"/>
      <c r="F1858" s="170"/>
      <c r="G1858" s="155"/>
      <c r="H1858" s="156"/>
      <c r="I1858" s="203"/>
      <c r="J1858" s="203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>
      <c r="A1859" s="156"/>
      <c r="B1859" s="154"/>
      <c r="C1859" s="154"/>
      <c r="D1859" s="154"/>
      <c r="E1859" s="159"/>
      <c r="F1859" s="170"/>
      <c r="G1859" s="155"/>
      <c r="H1859" s="156"/>
      <c r="I1859" s="203"/>
      <c r="J1859" s="203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>
      <c r="A1860" s="156"/>
      <c r="B1860" s="154"/>
      <c r="C1860" s="154"/>
      <c r="D1860" s="154"/>
      <c r="E1860" s="159"/>
      <c r="F1860" s="170"/>
      <c r="G1860" s="155"/>
      <c r="H1860" s="156"/>
      <c r="I1860" s="203"/>
      <c r="J1860" s="203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>
      <c r="A1861" s="156"/>
      <c r="B1861" s="154"/>
      <c r="C1861" s="154"/>
      <c r="D1861" s="154"/>
      <c r="E1861" s="159"/>
      <c r="F1861" s="170"/>
      <c r="G1861" s="155"/>
      <c r="H1861" s="156"/>
      <c r="I1861" s="203"/>
      <c r="J1861" s="203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>
      <c r="A1862" s="156"/>
      <c r="B1862" s="154"/>
      <c r="C1862" s="154"/>
      <c r="D1862" s="154"/>
      <c r="E1862" s="159"/>
      <c r="F1862" s="170"/>
      <c r="G1862" s="155"/>
      <c r="H1862" s="156"/>
      <c r="I1862" s="203"/>
      <c r="J1862" s="203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>
      <c r="A1863" s="156"/>
      <c r="B1863" s="154"/>
      <c r="C1863" s="154"/>
      <c r="D1863" s="154"/>
      <c r="E1863" s="159"/>
      <c r="F1863" s="170"/>
      <c r="G1863" s="155"/>
      <c r="H1863" s="156"/>
      <c r="I1863" s="203"/>
      <c r="J1863" s="203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>
      <c r="A1864" s="156"/>
      <c r="B1864" s="154"/>
      <c r="C1864" s="154"/>
      <c r="D1864" s="154"/>
      <c r="E1864" s="159"/>
      <c r="F1864" s="170"/>
      <c r="G1864" s="155"/>
      <c r="H1864" s="156"/>
      <c r="I1864" s="203"/>
      <c r="J1864" s="203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>
      <c r="A1865" s="156"/>
      <c r="B1865" s="154"/>
      <c r="C1865" s="154"/>
      <c r="D1865" s="154"/>
      <c r="E1865" s="159"/>
      <c r="F1865" s="170"/>
      <c r="G1865" s="155"/>
      <c r="H1865" s="156"/>
      <c r="I1865" s="203"/>
      <c r="J1865" s="203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>
      <c r="A1866" s="156"/>
      <c r="B1866" s="154"/>
      <c r="C1866" s="154"/>
      <c r="D1866" s="154"/>
      <c r="E1866" s="159"/>
      <c r="F1866" s="170"/>
      <c r="G1866" s="155"/>
      <c r="H1866" s="156"/>
      <c r="I1866" s="203"/>
      <c r="J1866" s="203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>
      <c r="A1867" s="156"/>
      <c r="B1867" s="154"/>
      <c r="C1867" s="154"/>
      <c r="D1867" s="154"/>
      <c r="E1867" s="159"/>
      <c r="F1867" s="170"/>
      <c r="G1867" s="155"/>
      <c r="H1867" s="156"/>
      <c r="I1867" s="203"/>
      <c r="J1867" s="203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>
      <c r="A1868" s="156"/>
      <c r="B1868" s="154"/>
      <c r="C1868" s="154"/>
      <c r="D1868" s="154"/>
      <c r="E1868" s="159"/>
      <c r="F1868" s="170"/>
      <c r="G1868" s="155"/>
      <c r="H1868" s="156"/>
      <c r="I1868" s="203"/>
      <c r="J1868" s="203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>
      <c r="A1869" s="156"/>
      <c r="B1869" s="154"/>
      <c r="C1869" s="154"/>
      <c r="D1869" s="154"/>
      <c r="E1869" s="159"/>
      <c r="F1869" s="170"/>
      <c r="G1869" s="155"/>
      <c r="H1869" s="156"/>
      <c r="I1869" s="203"/>
      <c r="J1869" s="203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>
      <c r="A1870" s="156"/>
      <c r="B1870" s="154"/>
      <c r="C1870" s="154"/>
      <c r="D1870" s="154"/>
      <c r="E1870" s="159"/>
      <c r="F1870" s="170"/>
      <c r="G1870" s="155"/>
      <c r="H1870" s="156"/>
      <c r="I1870" s="203"/>
      <c r="J1870" s="203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>
      <c r="A1871" s="156"/>
      <c r="B1871" s="154"/>
      <c r="C1871" s="154"/>
      <c r="D1871" s="154"/>
      <c r="E1871" s="159"/>
      <c r="F1871" s="170"/>
      <c r="G1871" s="155"/>
      <c r="H1871" s="156"/>
      <c r="I1871" s="203"/>
      <c r="J1871" s="203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>
      <c r="A1872" s="156"/>
      <c r="B1872" s="154"/>
      <c r="C1872" s="154"/>
      <c r="D1872" s="154"/>
      <c r="E1872" s="159"/>
      <c r="F1872" s="170"/>
      <c r="G1872" s="155"/>
      <c r="H1872" s="156"/>
      <c r="I1872" s="203"/>
      <c r="J1872" s="203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>
      <c r="A1873" s="156"/>
      <c r="B1873" s="154"/>
      <c r="C1873" s="154"/>
      <c r="D1873" s="154"/>
      <c r="E1873" s="159"/>
      <c r="F1873" s="170"/>
      <c r="G1873" s="155"/>
      <c r="H1873" s="156"/>
      <c r="I1873" s="203"/>
      <c r="J1873" s="203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>
      <c r="A1874" s="156"/>
      <c r="B1874" s="154"/>
      <c r="C1874" s="154"/>
      <c r="D1874" s="154"/>
      <c r="E1874" s="159"/>
      <c r="F1874" s="170"/>
      <c r="G1874" s="155"/>
      <c r="H1874" s="156"/>
      <c r="I1874" s="203"/>
      <c r="J1874" s="203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>
      <c r="A1875" s="156"/>
      <c r="B1875" s="154"/>
      <c r="C1875" s="154"/>
      <c r="D1875" s="154"/>
      <c r="E1875" s="159"/>
      <c r="F1875" s="170"/>
      <c r="G1875" s="155"/>
      <c r="H1875" s="156"/>
      <c r="I1875" s="203"/>
      <c r="J1875" s="203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>
      <c r="A1876" s="156"/>
      <c r="B1876" s="154"/>
      <c r="C1876" s="154"/>
      <c r="D1876" s="154"/>
      <c r="E1876" s="159"/>
      <c r="F1876" s="170"/>
      <c r="G1876" s="155"/>
      <c r="H1876" s="156"/>
      <c r="I1876" s="203"/>
      <c r="J1876" s="203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>
      <c r="A1877" s="156"/>
      <c r="B1877" s="154"/>
      <c r="C1877" s="154"/>
      <c r="D1877" s="154"/>
      <c r="E1877" s="159"/>
      <c r="F1877" s="170"/>
      <c r="G1877" s="155"/>
      <c r="H1877" s="156"/>
      <c r="I1877" s="203"/>
      <c r="J1877" s="203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>
      <c r="A1878" s="156"/>
      <c r="B1878" s="154"/>
      <c r="C1878" s="154"/>
      <c r="D1878" s="154"/>
      <c r="E1878" s="159"/>
      <c r="F1878" s="170"/>
      <c r="G1878" s="155"/>
      <c r="H1878" s="156"/>
      <c r="I1878" s="203"/>
      <c r="J1878" s="203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>
      <c r="A1879" s="156"/>
      <c r="B1879" s="154"/>
      <c r="C1879" s="154"/>
      <c r="D1879" s="154"/>
      <c r="E1879" s="159"/>
      <c r="F1879" s="170"/>
      <c r="G1879" s="155"/>
      <c r="H1879" s="156"/>
      <c r="I1879" s="203"/>
      <c r="J1879" s="203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>
      <c r="A1880" s="156"/>
      <c r="B1880" s="154"/>
      <c r="C1880" s="154"/>
      <c r="D1880" s="154"/>
      <c r="E1880" s="159"/>
      <c r="F1880" s="170"/>
      <c r="G1880" s="155"/>
      <c r="H1880" s="156"/>
      <c r="I1880" s="203"/>
      <c r="J1880" s="203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>
      <c r="A1881" s="156"/>
      <c r="B1881" s="154"/>
      <c r="C1881" s="154"/>
      <c r="D1881" s="154"/>
      <c r="E1881" s="159"/>
      <c r="F1881" s="170"/>
      <c r="G1881" s="155"/>
      <c r="H1881" s="156"/>
      <c r="I1881" s="203"/>
      <c r="J1881" s="203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>
      <c r="A1882" s="156"/>
      <c r="B1882" s="154"/>
      <c r="C1882" s="154"/>
      <c r="D1882" s="154"/>
      <c r="E1882" s="159"/>
      <c r="F1882" s="170"/>
      <c r="G1882" s="155"/>
      <c r="H1882" s="156"/>
      <c r="I1882" s="203"/>
      <c r="J1882" s="203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>
      <c r="A1883" s="156"/>
      <c r="B1883" s="154"/>
      <c r="C1883" s="154"/>
      <c r="D1883" s="154"/>
      <c r="E1883" s="159"/>
      <c r="F1883" s="170"/>
      <c r="G1883" s="155"/>
      <c r="H1883" s="156"/>
      <c r="I1883" s="203"/>
      <c r="J1883" s="203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>
      <c r="A1884" s="156"/>
      <c r="B1884" s="154"/>
      <c r="C1884" s="154"/>
      <c r="D1884" s="154"/>
      <c r="E1884" s="159"/>
      <c r="F1884" s="170"/>
      <c r="G1884" s="155"/>
      <c r="H1884" s="156"/>
      <c r="I1884" s="203"/>
      <c r="J1884" s="203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>
      <c r="A1885" s="156"/>
      <c r="B1885" s="154"/>
      <c r="C1885" s="154"/>
      <c r="D1885" s="154"/>
      <c r="E1885" s="159"/>
      <c r="F1885" s="170"/>
      <c r="G1885" s="155"/>
      <c r="H1885" s="156"/>
      <c r="I1885" s="203"/>
      <c r="J1885" s="203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>
      <c r="A1886" s="156"/>
      <c r="B1886" s="154"/>
      <c r="C1886" s="154"/>
      <c r="D1886" s="154"/>
      <c r="E1886" s="159"/>
      <c r="F1886" s="170"/>
      <c r="G1886" s="155"/>
      <c r="H1886" s="156"/>
      <c r="I1886" s="203"/>
      <c r="J1886" s="203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>
      <c r="A1887" s="156"/>
      <c r="B1887" s="154"/>
      <c r="C1887" s="154"/>
      <c r="D1887" s="154"/>
      <c r="E1887" s="159"/>
      <c r="F1887" s="170"/>
      <c r="G1887" s="155"/>
      <c r="H1887" s="156"/>
      <c r="I1887" s="203"/>
      <c r="J1887" s="203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>
      <c r="A1888" s="156"/>
      <c r="B1888" s="154"/>
      <c r="C1888" s="154"/>
      <c r="D1888" s="154"/>
      <c r="E1888" s="159"/>
      <c r="F1888" s="170"/>
      <c r="G1888" s="155"/>
      <c r="H1888" s="156"/>
      <c r="I1888" s="203"/>
      <c r="J1888" s="203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>
      <c r="A1889" s="156"/>
      <c r="B1889" s="154"/>
      <c r="C1889" s="154"/>
      <c r="D1889" s="154"/>
      <c r="E1889" s="159"/>
      <c r="F1889" s="170"/>
      <c r="G1889" s="155"/>
      <c r="H1889" s="156"/>
      <c r="I1889" s="203"/>
      <c r="J1889" s="203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>
      <c r="A1890" s="156"/>
      <c r="B1890" s="154"/>
      <c r="C1890" s="154"/>
      <c r="D1890" s="154"/>
      <c r="E1890" s="159"/>
      <c r="F1890" s="170"/>
      <c r="G1890" s="155"/>
      <c r="H1890" s="156"/>
      <c r="I1890" s="203"/>
      <c r="J1890" s="203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>
      <c r="A1891" s="156"/>
      <c r="B1891" s="154"/>
      <c r="C1891" s="154"/>
      <c r="D1891" s="154"/>
      <c r="E1891" s="159"/>
      <c r="F1891" s="170"/>
      <c r="G1891" s="155"/>
      <c r="H1891" s="156"/>
      <c r="I1891" s="203"/>
      <c r="J1891" s="203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>
      <c r="A1892" s="156"/>
      <c r="B1892" s="154"/>
      <c r="C1892" s="154"/>
      <c r="D1892" s="154"/>
      <c r="E1892" s="159"/>
      <c r="F1892" s="170"/>
      <c r="G1892" s="155"/>
      <c r="H1892" s="156"/>
      <c r="I1892" s="203"/>
      <c r="J1892" s="203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>
      <c r="A1893" s="156"/>
      <c r="B1893" s="154"/>
      <c r="C1893" s="154"/>
      <c r="D1893" s="154"/>
      <c r="E1893" s="159"/>
      <c r="F1893" s="170"/>
      <c r="G1893" s="155"/>
      <c r="H1893" s="156"/>
      <c r="I1893" s="203"/>
      <c r="J1893" s="203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>
      <c r="A1894" s="156"/>
      <c r="B1894" s="154"/>
      <c r="C1894" s="154"/>
      <c r="D1894" s="154"/>
      <c r="E1894" s="159"/>
      <c r="F1894" s="170"/>
      <c r="G1894" s="155"/>
      <c r="H1894" s="156"/>
      <c r="I1894" s="203"/>
      <c r="J1894" s="203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>
      <c r="A1895" s="156"/>
      <c r="B1895" s="154"/>
      <c r="C1895" s="154"/>
      <c r="D1895" s="154"/>
      <c r="E1895" s="159"/>
      <c r="F1895" s="170"/>
      <c r="G1895" s="155"/>
      <c r="H1895" s="156"/>
      <c r="I1895" s="203"/>
      <c r="J1895" s="203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>
      <c r="A1896" s="156"/>
      <c r="B1896" s="154"/>
      <c r="C1896" s="154"/>
      <c r="D1896" s="154"/>
      <c r="E1896" s="159"/>
      <c r="F1896" s="170"/>
      <c r="G1896" s="155"/>
      <c r="H1896" s="156"/>
      <c r="I1896" s="203"/>
      <c r="J1896" s="203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>
      <c r="A1897" s="156"/>
      <c r="B1897" s="154"/>
      <c r="C1897" s="154"/>
      <c r="D1897" s="154"/>
      <c r="E1897" s="159"/>
      <c r="F1897" s="170"/>
      <c r="G1897" s="155"/>
      <c r="H1897" s="156"/>
      <c r="I1897" s="203"/>
      <c r="J1897" s="203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>
      <c r="A1898" s="156"/>
      <c r="B1898" s="154"/>
      <c r="C1898" s="154"/>
      <c r="D1898" s="154"/>
      <c r="E1898" s="159"/>
      <c r="F1898" s="170"/>
      <c r="G1898" s="155"/>
      <c r="H1898" s="156"/>
      <c r="I1898" s="203"/>
      <c r="J1898" s="203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>
      <c r="A1899" s="156"/>
      <c r="B1899" s="154"/>
      <c r="C1899" s="154"/>
      <c r="D1899" s="154"/>
      <c r="E1899" s="159"/>
      <c r="F1899" s="170"/>
      <c r="G1899" s="155"/>
      <c r="H1899" s="156"/>
      <c r="I1899" s="203"/>
      <c r="J1899" s="203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>
      <c r="A1900" s="156"/>
      <c r="B1900" s="154"/>
      <c r="C1900" s="154"/>
      <c r="D1900" s="154"/>
      <c r="E1900" s="159"/>
      <c r="F1900" s="170"/>
      <c r="G1900" s="155"/>
      <c r="H1900" s="156"/>
      <c r="I1900" s="203"/>
      <c r="J1900" s="203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>
      <c r="A1901" s="156"/>
      <c r="B1901" s="154"/>
      <c r="C1901" s="154"/>
      <c r="D1901" s="154"/>
      <c r="E1901" s="159"/>
      <c r="F1901" s="170"/>
      <c r="G1901" s="155"/>
      <c r="H1901" s="156"/>
      <c r="I1901" s="203"/>
      <c r="J1901" s="203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>
      <c r="A1902" s="156"/>
      <c r="B1902" s="154"/>
      <c r="C1902" s="154"/>
      <c r="D1902" s="154"/>
      <c r="E1902" s="159"/>
      <c r="F1902" s="170"/>
      <c r="G1902" s="155"/>
      <c r="H1902" s="156"/>
      <c r="I1902" s="203"/>
      <c r="J1902" s="203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>
      <c r="A1903" s="156"/>
      <c r="B1903" s="154"/>
      <c r="C1903" s="154"/>
      <c r="D1903" s="154"/>
      <c r="E1903" s="159"/>
      <c r="F1903" s="170"/>
      <c r="G1903" s="155"/>
      <c r="H1903" s="156"/>
      <c r="I1903" s="203"/>
      <c r="J1903" s="203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>
      <c r="A1904" s="156"/>
      <c r="B1904" s="154"/>
      <c r="C1904" s="154"/>
      <c r="D1904" s="154"/>
      <c r="E1904" s="159"/>
      <c r="F1904" s="170"/>
      <c r="G1904" s="155"/>
      <c r="H1904" s="156"/>
      <c r="I1904" s="203"/>
      <c r="J1904" s="203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>
      <c r="A1905" s="156"/>
      <c r="B1905" s="154"/>
      <c r="C1905" s="154"/>
      <c r="D1905" s="154"/>
      <c r="E1905" s="159"/>
      <c r="F1905" s="170"/>
      <c r="G1905" s="155"/>
      <c r="H1905" s="156"/>
      <c r="I1905" s="203"/>
      <c r="J1905" s="203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>
      <c r="A1906" s="156"/>
      <c r="B1906" s="154"/>
      <c r="C1906" s="154"/>
      <c r="D1906" s="154"/>
      <c r="E1906" s="159"/>
      <c r="F1906" s="170"/>
      <c r="G1906" s="155"/>
      <c r="H1906" s="156"/>
      <c r="I1906" s="203"/>
      <c r="J1906" s="203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>
      <c r="A1907" s="156"/>
      <c r="B1907" s="154"/>
      <c r="C1907" s="154"/>
      <c r="D1907" s="154"/>
      <c r="E1907" s="159"/>
      <c r="F1907" s="170"/>
      <c r="G1907" s="155"/>
      <c r="H1907" s="156"/>
      <c r="I1907" s="203"/>
      <c r="J1907" s="203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>
      <c r="A1908" s="156"/>
      <c r="B1908" s="154"/>
      <c r="C1908" s="154"/>
      <c r="D1908" s="154"/>
      <c r="E1908" s="159"/>
      <c r="F1908" s="170"/>
      <c r="G1908" s="155"/>
      <c r="H1908" s="156"/>
      <c r="I1908" s="203"/>
      <c r="J1908" s="203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>
      <c r="A1909" s="156"/>
      <c r="B1909" s="154"/>
      <c r="C1909" s="154"/>
      <c r="D1909" s="154"/>
      <c r="E1909" s="159"/>
      <c r="F1909" s="170"/>
      <c r="G1909" s="155"/>
      <c r="H1909" s="156"/>
      <c r="I1909" s="203"/>
      <c r="J1909" s="203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>
      <c r="A1910" s="156"/>
      <c r="B1910" s="154"/>
      <c r="C1910" s="154"/>
      <c r="D1910" s="154"/>
      <c r="E1910" s="159"/>
      <c r="F1910" s="170"/>
      <c r="G1910" s="155"/>
      <c r="H1910" s="156"/>
      <c r="I1910" s="203"/>
      <c r="J1910" s="203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>
      <c r="A1911" s="156"/>
      <c r="B1911" s="154"/>
      <c r="C1911" s="154"/>
      <c r="D1911" s="154"/>
      <c r="E1911" s="159"/>
      <c r="F1911" s="170"/>
      <c r="G1911" s="155"/>
      <c r="H1911" s="156"/>
      <c r="I1911" s="203"/>
      <c r="J1911" s="203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>
      <c r="A1912" s="156"/>
      <c r="B1912" s="154"/>
      <c r="C1912" s="154"/>
      <c r="D1912" s="154"/>
      <c r="E1912" s="159"/>
      <c r="F1912" s="170"/>
      <c r="G1912" s="155"/>
      <c r="H1912" s="156"/>
      <c r="I1912" s="203"/>
      <c r="J1912" s="203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>
      <c r="A1913" s="156"/>
      <c r="B1913" s="154"/>
      <c r="C1913" s="154"/>
      <c r="D1913" s="154"/>
      <c r="E1913" s="159"/>
      <c r="F1913" s="170"/>
      <c r="G1913" s="155"/>
      <c r="H1913" s="156"/>
      <c r="I1913" s="203"/>
      <c r="J1913" s="203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>
      <c r="A1914" s="156"/>
      <c r="B1914" s="154"/>
      <c r="C1914" s="154"/>
      <c r="D1914" s="154"/>
      <c r="E1914" s="159"/>
      <c r="F1914" s="170"/>
      <c r="G1914" s="155"/>
      <c r="H1914" s="156"/>
      <c r="I1914" s="203"/>
      <c r="J1914" s="203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>
      <c r="A1915" s="156"/>
      <c r="B1915" s="154"/>
      <c r="C1915" s="154"/>
      <c r="D1915" s="154"/>
      <c r="E1915" s="159"/>
      <c r="F1915" s="170"/>
      <c r="G1915" s="155"/>
      <c r="H1915" s="156"/>
      <c r="I1915" s="203"/>
      <c r="J1915" s="203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>
      <c r="A1916" s="156"/>
      <c r="B1916" s="154"/>
      <c r="C1916" s="154"/>
      <c r="D1916" s="154"/>
      <c r="E1916" s="159"/>
      <c r="F1916" s="170"/>
      <c r="G1916" s="155"/>
      <c r="H1916" s="156"/>
      <c r="I1916" s="203"/>
      <c r="J1916" s="203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>
      <c r="A1917" s="156"/>
      <c r="B1917" s="154"/>
      <c r="C1917" s="154"/>
      <c r="D1917" s="154"/>
      <c r="E1917" s="159"/>
      <c r="F1917" s="170"/>
      <c r="G1917" s="155"/>
      <c r="H1917" s="156"/>
      <c r="I1917" s="203"/>
      <c r="J1917" s="203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>
      <c r="A1918" s="156"/>
      <c r="B1918" s="154"/>
      <c r="C1918" s="154"/>
      <c r="D1918" s="154"/>
      <c r="E1918" s="159"/>
      <c r="F1918" s="170"/>
      <c r="G1918" s="155"/>
      <c r="H1918" s="156"/>
      <c r="I1918" s="203"/>
      <c r="J1918" s="203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>
      <c r="A1919" s="156"/>
      <c r="B1919" s="154"/>
      <c r="C1919" s="154"/>
      <c r="D1919" s="154"/>
      <c r="E1919" s="159"/>
      <c r="F1919" s="170"/>
      <c r="G1919" s="155"/>
      <c r="H1919" s="156"/>
      <c r="I1919" s="203"/>
      <c r="J1919" s="203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>
      <c r="A1920" s="156"/>
      <c r="B1920" s="154"/>
      <c r="C1920" s="154"/>
      <c r="D1920" s="154"/>
      <c r="E1920" s="159"/>
      <c r="F1920" s="170"/>
      <c r="G1920" s="155"/>
      <c r="H1920" s="156"/>
      <c r="I1920" s="203"/>
      <c r="J1920" s="203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>
      <c r="A1921" s="156"/>
      <c r="B1921" s="154"/>
      <c r="C1921" s="154"/>
      <c r="D1921" s="154"/>
      <c r="E1921" s="159"/>
      <c r="F1921" s="170"/>
      <c r="G1921" s="155"/>
      <c r="H1921" s="156"/>
      <c r="I1921" s="203"/>
      <c r="J1921" s="203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>
      <c r="A1922" s="156"/>
      <c r="B1922" s="154"/>
      <c r="C1922" s="154"/>
      <c r="D1922" s="154"/>
      <c r="E1922" s="159"/>
      <c r="F1922" s="170"/>
      <c r="G1922" s="155"/>
      <c r="H1922" s="156"/>
      <c r="I1922" s="203"/>
      <c r="J1922" s="203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>
      <c r="A1923" s="156"/>
      <c r="B1923" s="154"/>
      <c r="C1923" s="154"/>
      <c r="D1923" s="154"/>
      <c r="E1923" s="159"/>
      <c r="F1923" s="170"/>
      <c r="G1923" s="155"/>
      <c r="H1923" s="156"/>
      <c r="I1923" s="203"/>
      <c r="J1923" s="203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>
      <c r="A1924" s="156"/>
      <c r="B1924" s="154"/>
      <c r="C1924" s="154"/>
      <c r="D1924" s="154"/>
      <c r="E1924" s="159"/>
      <c r="F1924" s="170"/>
      <c r="G1924" s="155"/>
      <c r="H1924" s="156"/>
      <c r="I1924" s="203"/>
      <c r="J1924" s="203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>
      <c r="A1925" s="156"/>
      <c r="B1925" s="154"/>
      <c r="C1925" s="154"/>
      <c r="D1925" s="154"/>
      <c r="E1925" s="159"/>
      <c r="F1925" s="170"/>
      <c r="G1925" s="155"/>
      <c r="H1925" s="156"/>
      <c r="I1925" s="203"/>
      <c r="J1925" s="203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>
      <c r="A1926" s="156"/>
      <c r="B1926" s="154"/>
      <c r="C1926" s="154"/>
      <c r="D1926" s="154"/>
      <c r="E1926" s="159"/>
      <c r="F1926" s="170"/>
      <c r="G1926" s="155"/>
      <c r="H1926" s="156"/>
      <c r="I1926" s="203"/>
      <c r="J1926" s="203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>
      <c r="A1927" s="156"/>
      <c r="B1927" s="154"/>
      <c r="C1927" s="154"/>
      <c r="D1927" s="154"/>
      <c r="E1927" s="159"/>
      <c r="F1927" s="170"/>
      <c r="G1927" s="155"/>
      <c r="H1927" s="156"/>
      <c r="I1927" s="203"/>
      <c r="J1927" s="203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>
      <c r="A1928" s="156"/>
      <c r="B1928" s="154"/>
      <c r="C1928" s="154"/>
      <c r="D1928" s="154"/>
      <c r="E1928" s="159"/>
      <c r="F1928" s="170"/>
      <c r="G1928" s="155"/>
      <c r="H1928" s="156"/>
      <c r="I1928" s="203"/>
      <c r="J1928" s="203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>
      <c r="A1929" s="156"/>
      <c r="B1929" s="154"/>
      <c r="C1929" s="154"/>
      <c r="D1929" s="154"/>
      <c r="E1929" s="159"/>
      <c r="F1929" s="170"/>
      <c r="G1929" s="155"/>
      <c r="H1929" s="156"/>
      <c r="I1929" s="203"/>
      <c r="J1929" s="203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>
      <c r="A1930" s="156"/>
      <c r="B1930" s="154"/>
      <c r="C1930" s="154"/>
      <c r="D1930" s="154"/>
      <c r="E1930" s="159"/>
      <c r="F1930" s="170"/>
      <c r="G1930" s="155"/>
      <c r="H1930" s="156"/>
      <c r="I1930" s="203"/>
      <c r="J1930" s="203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>
      <c r="A1931" s="156"/>
      <c r="B1931" s="154"/>
      <c r="C1931" s="154"/>
      <c r="D1931" s="154"/>
      <c r="E1931" s="159"/>
      <c r="F1931" s="170"/>
      <c r="G1931" s="155"/>
      <c r="H1931" s="156"/>
      <c r="I1931" s="203"/>
      <c r="J1931" s="203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>
      <c r="A1932" s="156"/>
      <c r="B1932" s="154"/>
      <c r="C1932" s="154"/>
      <c r="D1932" s="154"/>
      <c r="E1932" s="159"/>
      <c r="F1932" s="170"/>
      <c r="G1932" s="155"/>
      <c r="H1932" s="156"/>
      <c r="I1932" s="203"/>
      <c r="J1932" s="203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>
      <c r="A1933" s="156"/>
      <c r="B1933" s="154"/>
      <c r="C1933" s="154"/>
      <c r="D1933" s="154"/>
      <c r="E1933" s="159"/>
      <c r="F1933" s="170"/>
      <c r="G1933" s="155"/>
      <c r="H1933" s="156"/>
      <c r="I1933" s="203"/>
      <c r="J1933" s="203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>
      <c r="A1934" s="156"/>
      <c r="B1934" s="154"/>
      <c r="C1934" s="154"/>
      <c r="D1934" s="154"/>
      <c r="E1934" s="159"/>
      <c r="F1934" s="170"/>
      <c r="G1934" s="155"/>
      <c r="H1934" s="156"/>
      <c r="I1934" s="203"/>
      <c r="J1934" s="203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>
      <c r="A1935" s="156"/>
      <c r="B1935" s="154"/>
      <c r="C1935" s="154"/>
      <c r="D1935" s="154"/>
      <c r="E1935" s="159"/>
      <c r="F1935" s="170"/>
      <c r="G1935" s="155"/>
      <c r="H1935" s="156"/>
      <c r="I1935" s="203"/>
      <c r="J1935" s="203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>
      <c r="A1936" s="156"/>
      <c r="B1936" s="154"/>
      <c r="C1936" s="154"/>
      <c r="D1936" s="154"/>
      <c r="E1936" s="159"/>
      <c r="F1936" s="170"/>
      <c r="G1936" s="155"/>
      <c r="H1936" s="156"/>
      <c r="I1936" s="203"/>
      <c r="J1936" s="203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>
      <c r="A1937" s="156"/>
      <c r="B1937" s="154"/>
      <c r="C1937" s="154"/>
      <c r="D1937" s="154"/>
      <c r="E1937" s="159"/>
      <c r="F1937" s="170"/>
      <c r="G1937" s="155"/>
      <c r="H1937" s="156"/>
      <c r="I1937" s="203"/>
      <c r="J1937" s="203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>
      <c r="A1938" s="156"/>
      <c r="B1938" s="154"/>
      <c r="C1938" s="154"/>
      <c r="D1938" s="154"/>
      <c r="E1938" s="159"/>
      <c r="F1938" s="170"/>
      <c r="G1938" s="155"/>
      <c r="H1938" s="156"/>
      <c r="I1938" s="203"/>
      <c r="J1938" s="203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>
      <c r="A1939" s="156"/>
      <c r="B1939" s="154"/>
      <c r="C1939" s="154"/>
      <c r="D1939" s="154"/>
      <c r="E1939" s="159"/>
      <c r="F1939" s="170"/>
      <c r="G1939" s="155"/>
      <c r="H1939" s="156"/>
      <c r="I1939" s="203"/>
      <c r="J1939" s="203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>
      <c r="A1940" s="156"/>
      <c r="B1940" s="154"/>
      <c r="C1940" s="154"/>
      <c r="D1940" s="154"/>
      <c r="E1940" s="159"/>
      <c r="F1940" s="170"/>
      <c r="G1940" s="155"/>
      <c r="H1940" s="156"/>
      <c r="I1940" s="203"/>
      <c r="J1940" s="203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>
      <c r="A1941" s="156"/>
      <c r="B1941" s="154"/>
      <c r="C1941" s="154"/>
      <c r="D1941" s="154"/>
      <c r="E1941" s="159"/>
      <c r="F1941" s="170"/>
      <c r="G1941" s="155"/>
      <c r="H1941" s="156"/>
      <c r="I1941" s="203"/>
      <c r="J1941" s="203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>
      <c r="A1942" s="156"/>
      <c r="B1942" s="154"/>
      <c r="C1942" s="154"/>
      <c r="D1942" s="154"/>
      <c r="E1942" s="159"/>
      <c r="F1942" s="170"/>
      <c r="G1942" s="155"/>
      <c r="H1942" s="156"/>
      <c r="I1942" s="203"/>
      <c r="J1942" s="203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>
      <c r="A1943" s="156"/>
      <c r="B1943" s="154"/>
      <c r="C1943" s="154"/>
      <c r="D1943" s="154"/>
      <c r="E1943" s="159"/>
      <c r="F1943" s="170"/>
      <c r="G1943" s="155"/>
      <c r="H1943" s="156"/>
      <c r="I1943" s="203"/>
      <c r="J1943" s="203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>
      <c r="A1944" s="156"/>
      <c r="B1944" s="154"/>
      <c r="C1944" s="154"/>
      <c r="D1944" s="154"/>
      <c r="E1944" s="159"/>
      <c r="F1944" s="170"/>
      <c r="G1944" s="155"/>
      <c r="H1944" s="156"/>
      <c r="I1944" s="203"/>
      <c r="J1944" s="203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>
      <c r="A1945" s="156"/>
      <c r="B1945" s="154"/>
      <c r="C1945" s="154"/>
      <c r="D1945" s="154"/>
      <c r="E1945" s="159"/>
      <c r="F1945" s="170"/>
      <c r="G1945" s="155"/>
      <c r="H1945" s="156"/>
      <c r="I1945" s="203"/>
      <c r="J1945" s="203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>
      <c r="A1946" s="156"/>
      <c r="B1946" s="154"/>
      <c r="C1946" s="154"/>
      <c r="D1946" s="154"/>
      <c r="E1946" s="159"/>
      <c r="F1946" s="170"/>
      <c r="G1946" s="155"/>
      <c r="H1946" s="156"/>
      <c r="I1946" s="203"/>
      <c r="J1946" s="203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>
      <c r="A1947" s="156"/>
      <c r="B1947" s="154"/>
      <c r="C1947" s="154"/>
      <c r="D1947" s="154"/>
      <c r="E1947" s="159"/>
      <c r="F1947" s="170"/>
      <c r="G1947" s="155"/>
      <c r="H1947" s="156"/>
      <c r="I1947" s="203"/>
      <c r="J1947" s="203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>
      <c r="A1948" s="156"/>
      <c r="B1948" s="154"/>
      <c r="C1948" s="154"/>
      <c r="D1948" s="154"/>
      <c r="E1948" s="159"/>
      <c r="F1948" s="170"/>
      <c r="G1948" s="155"/>
      <c r="H1948" s="156"/>
      <c r="I1948" s="203"/>
      <c r="J1948" s="203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>
      <c r="A1949" s="156"/>
      <c r="B1949" s="154"/>
      <c r="C1949" s="154"/>
      <c r="D1949" s="154"/>
      <c r="E1949" s="159"/>
      <c r="F1949" s="170"/>
      <c r="G1949" s="155"/>
      <c r="H1949" s="156"/>
      <c r="I1949" s="203"/>
      <c r="J1949" s="203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>
      <c r="A1950" s="156"/>
      <c r="B1950" s="154"/>
      <c r="C1950" s="154"/>
      <c r="D1950" s="154"/>
      <c r="E1950" s="159"/>
      <c r="F1950" s="170"/>
      <c r="G1950" s="155"/>
      <c r="H1950" s="156"/>
      <c r="I1950" s="203"/>
      <c r="J1950" s="203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>
      <c r="A1951" s="156"/>
      <c r="B1951" s="154"/>
      <c r="C1951" s="154"/>
      <c r="D1951" s="154"/>
      <c r="E1951" s="159"/>
      <c r="F1951" s="170"/>
      <c r="G1951" s="155"/>
      <c r="H1951" s="156"/>
      <c r="I1951" s="203"/>
      <c r="J1951" s="203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>
      <c r="A1952" s="156"/>
      <c r="B1952" s="154"/>
      <c r="C1952" s="154"/>
      <c r="D1952" s="154"/>
      <c r="E1952" s="159"/>
      <c r="F1952" s="170"/>
      <c r="G1952" s="155"/>
      <c r="H1952" s="156"/>
      <c r="I1952" s="203"/>
      <c r="J1952" s="203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>
      <c r="A1953" s="156"/>
      <c r="B1953" s="154"/>
      <c r="C1953" s="154"/>
      <c r="D1953" s="154"/>
      <c r="E1953" s="159"/>
      <c r="F1953" s="170"/>
      <c r="G1953" s="155"/>
      <c r="H1953" s="156"/>
      <c r="I1953" s="203"/>
      <c r="J1953" s="203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>
      <c r="A1954" s="156"/>
      <c r="B1954" s="154"/>
      <c r="C1954" s="154"/>
      <c r="D1954" s="154"/>
      <c r="E1954" s="159"/>
      <c r="F1954" s="170"/>
      <c r="G1954" s="155"/>
      <c r="H1954" s="156"/>
      <c r="I1954" s="203"/>
      <c r="J1954" s="203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>
      <c r="A1955" s="156"/>
      <c r="B1955" s="154"/>
      <c r="C1955" s="154"/>
      <c r="D1955" s="154"/>
      <c r="E1955" s="159"/>
      <c r="F1955" s="170"/>
      <c r="G1955" s="155"/>
      <c r="H1955" s="156"/>
      <c r="I1955" s="203"/>
      <c r="J1955" s="203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>
      <c r="A1956" s="156"/>
      <c r="B1956" s="154"/>
      <c r="C1956" s="154"/>
      <c r="D1956" s="154"/>
      <c r="E1956" s="159"/>
      <c r="F1956" s="170"/>
      <c r="G1956" s="155"/>
      <c r="H1956" s="156"/>
      <c r="I1956" s="203"/>
      <c r="J1956" s="203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>
      <c r="A1957" s="156"/>
      <c r="B1957" s="154"/>
      <c r="C1957" s="154"/>
      <c r="D1957" s="154"/>
      <c r="E1957" s="159"/>
      <c r="F1957" s="170"/>
      <c r="G1957" s="155"/>
      <c r="H1957" s="156"/>
      <c r="I1957" s="203"/>
      <c r="J1957" s="203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>
      <c r="A1958" s="156"/>
      <c r="B1958" s="154"/>
      <c r="C1958" s="154"/>
      <c r="D1958" s="154"/>
      <c r="E1958" s="159"/>
      <c r="F1958" s="170"/>
      <c r="G1958" s="155"/>
      <c r="H1958" s="156"/>
      <c r="I1958" s="203"/>
      <c r="J1958" s="203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>
      <c r="A1959" s="156"/>
      <c r="B1959" s="154"/>
      <c r="C1959" s="154"/>
      <c r="D1959" s="154"/>
      <c r="E1959" s="159"/>
      <c r="F1959" s="170"/>
      <c r="G1959" s="155"/>
      <c r="H1959" s="156"/>
      <c r="I1959" s="203"/>
      <c r="J1959" s="203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>
      <c r="A1960" s="156"/>
      <c r="B1960" s="154"/>
      <c r="C1960" s="154"/>
      <c r="D1960" s="154"/>
      <c r="E1960" s="159"/>
      <c r="F1960" s="170"/>
      <c r="G1960" s="155"/>
      <c r="H1960" s="156"/>
      <c r="I1960" s="203"/>
      <c r="J1960" s="203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>
      <c r="A1961" s="156"/>
      <c r="B1961" s="154"/>
      <c r="C1961" s="154"/>
      <c r="D1961" s="154"/>
      <c r="E1961" s="159"/>
      <c r="F1961" s="170"/>
      <c r="G1961" s="155"/>
      <c r="H1961" s="156"/>
      <c r="I1961" s="203"/>
      <c r="J1961" s="203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>
      <c r="A1962" s="156"/>
      <c r="B1962" s="154"/>
      <c r="C1962" s="154"/>
      <c r="D1962" s="154"/>
      <c r="E1962" s="159"/>
      <c r="F1962" s="170"/>
      <c r="G1962" s="155"/>
      <c r="H1962" s="156"/>
      <c r="I1962" s="203"/>
      <c r="J1962" s="203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>
      <c r="A1963" s="156"/>
      <c r="B1963" s="154"/>
      <c r="C1963" s="154"/>
      <c r="D1963" s="154"/>
      <c r="E1963" s="159"/>
      <c r="F1963" s="170"/>
      <c r="G1963" s="155"/>
      <c r="H1963" s="156"/>
      <c r="I1963" s="203"/>
      <c r="J1963" s="203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>
      <c r="A1964" s="156"/>
      <c r="B1964" s="154"/>
      <c r="C1964" s="154"/>
      <c r="D1964" s="154"/>
      <c r="E1964" s="159"/>
      <c r="F1964" s="170"/>
      <c r="G1964" s="155"/>
      <c r="H1964" s="156"/>
      <c r="I1964" s="203"/>
      <c r="J1964" s="203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>
      <c r="A1965" s="156"/>
      <c r="B1965" s="154"/>
      <c r="C1965" s="154"/>
      <c r="D1965" s="154"/>
      <c r="E1965" s="159"/>
      <c r="F1965" s="170"/>
      <c r="G1965" s="155"/>
      <c r="H1965" s="156"/>
      <c r="I1965" s="203"/>
      <c r="J1965" s="203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>
      <c r="A1966" s="156"/>
      <c r="B1966" s="154"/>
      <c r="C1966" s="154"/>
      <c r="D1966" s="154"/>
      <c r="E1966" s="159"/>
      <c r="F1966" s="170"/>
      <c r="G1966" s="155"/>
      <c r="H1966" s="156"/>
      <c r="I1966" s="203"/>
      <c r="J1966" s="203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>
      <c r="A1967" s="156"/>
      <c r="B1967" s="154"/>
      <c r="C1967" s="154"/>
      <c r="D1967" s="154"/>
      <c r="E1967" s="159"/>
      <c r="F1967" s="170"/>
      <c r="G1967" s="155"/>
      <c r="H1967" s="156"/>
      <c r="I1967" s="203"/>
      <c r="J1967" s="203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>
      <c r="A1968" s="156"/>
      <c r="B1968" s="154"/>
      <c r="C1968" s="154"/>
      <c r="D1968" s="154"/>
      <c r="E1968" s="159"/>
      <c r="F1968" s="170"/>
      <c r="G1968" s="155"/>
      <c r="H1968" s="156"/>
      <c r="I1968" s="203"/>
      <c r="J1968" s="203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>
      <c r="A1969" s="156"/>
      <c r="B1969" s="154"/>
      <c r="C1969" s="154"/>
      <c r="D1969" s="154"/>
      <c r="E1969" s="159"/>
      <c r="F1969" s="170"/>
      <c r="G1969" s="155"/>
      <c r="H1969" s="156"/>
      <c r="I1969" s="203"/>
      <c r="J1969" s="203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>
      <c r="A1970" s="156"/>
      <c r="B1970" s="154"/>
      <c r="C1970" s="154"/>
      <c r="D1970" s="154"/>
      <c r="E1970" s="159"/>
      <c r="F1970" s="170"/>
      <c r="G1970" s="155"/>
      <c r="H1970" s="156"/>
      <c r="I1970" s="203"/>
      <c r="J1970" s="203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>
      <c r="A1971" s="156"/>
      <c r="B1971" s="154"/>
      <c r="C1971" s="154"/>
      <c r="D1971" s="154"/>
      <c r="E1971" s="159"/>
      <c r="F1971" s="170"/>
      <c r="G1971" s="155"/>
      <c r="H1971" s="156"/>
      <c r="I1971" s="203"/>
      <c r="J1971" s="203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>
      <c r="A1972" s="156"/>
      <c r="B1972" s="154"/>
      <c r="C1972" s="154"/>
      <c r="D1972" s="154"/>
      <c r="E1972" s="159"/>
      <c r="F1972" s="170"/>
      <c r="G1972" s="155"/>
      <c r="H1972" s="156"/>
      <c r="I1972" s="203"/>
      <c r="J1972" s="203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>
      <c r="A1973" s="156"/>
      <c r="B1973" s="154"/>
      <c r="C1973" s="154"/>
      <c r="D1973" s="154"/>
      <c r="E1973" s="159"/>
      <c r="F1973" s="170"/>
      <c r="G1973" s="155"/>
      <c r="H1973" s="156"/>
      <c r="I1973" s="203"/>
      <c r="J1973" s="203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>
      <c r="A1974" s="156"/>
      <c r="B1974" s="154"/>
      <c r="C1974" s="154"/>
      <c r="D1974" s="154"/>
      <c r="E1974" s="159"/>
      <c r="F1974" s="170"/>
      <c r="G1974" s="155"/>
      <c r="H1974" s="156"/>
      <c r="I1974" s="203"/>
      <c r="J1974" s="203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>
      <c r="A1975" s="156"/>
      <c r="B1975" s="154"/>
      <c r="C1975" s="154"/>
      <c r="D1975" s="154"/>
      <c r="E1975" s="159"/>
      <c r="F1975" s="170"/>
      <c r="G1975" s="155"/>
      <c r="H1975" s="156"/>
      <c r="I1975" s="203"/>
      <c r="J1975" s="203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>
      <c r="A1976" s="156"/>
      <c r="B1976" s="154"/>
      <c r="C1976" s="154"/>
      <c r="D1976" s="154"/>
      <c r="E1976" s="159"/>
      <c r="F1976" s="170"/>
      <c r="G1976" s="155"/>
      <c r="H1976" s="156"/>
      <c r="I1976" s="203"/>
      <c r="J1976" s="203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>
      <c r="A1977" s="156"/>
      <c r="B1977" s="154"/>
      <c r="C1977" s="154"/>
      <c r="D1977" s="154"/>
      <c r="E1977" s="159"/>
      <c r="F1977" s="170"/>
      <c r="G1977" s="155"/>
      <c r="H1977" s="156"/>
      <c r="I1977" s="203"/>
      <c r="J1977" s="203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>
      <c r="A1978" s="156"/>
      <c r="B1978" s="154"/>
      <c r="C1978" s="154"/>
      <c r="D1978" s="154"/>
      <c r="E1978" s="159"/>
      <c r="F1978" s="170"/>
      <c r="G1978" s="155"/>
      <c r="H1978" s="156"/>
      <c r="I1978" s="203"/>
      <c r="J1978" s="203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>
      <c r="A1979" s="156"/>
      <c r="B1979" s="154"/>
      <c r="C1979" s="154"/>
      <c r="D1979" s="154"/>
      <c r="E1979" s="159"/>
      <c r="F1979" s="170"/>
      <c r="G1979" s="155"/>
      <c r="H1979" s="156"/>
      <c r="I1979" s="203"/>
      <c r="J1979" s="203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>
      <c r="A1980" s="156"/>
      <c r="B1980" s="154"/>
      <c r="C1980" s="154"/>
      <c r="D1980" s="154"/>
      <c r="E1980" s="159"/>
      <c r="F1980" s="170"/>
      <c r="G1980" s="155"/>
      <c r="H1980" s="156"/>
      <c r="I1980" s="203"/>
      <c r="J1980" s="203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>
      <c r="A1981" s="156"/>
      <c r="B1981" s="154"/>
      <c r="C1981" s="154"/>
      <c r="D1981" s="154"/>
      <c r="E1981" s="159"/>
      <c r="F1981" s="170"/>
      <c r="G1981" s="155"/>
      <c r="H1981" s="156"/>
      <c r="I1981" s="203"/>
      <c r="J1981" s="203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>
      <c r="A1982" s="156"/>
      <c r="B1982" s="154"/>
      <c r="C1982" s="154"/>
      <c r="D1982" s="154"/>
      <c r="E1982" s="159"/>
      <c r="F1982" s="170"/>
      <c r="G1982" s="155"/>
      <c r="H1982" s="156"/>
      <c r="I1982" s="203"/>
      <c r="J1982" s="203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>
      <c r="A1983" s="156"/>
      <c r="B1983" s="154"/>
      <c r="C1983" s="154"/>
      <c r="D1983" s="154"/>
      <c r="E1983" s="159"/>
      <c r="F1983" s="170"/>
      <c r="G1983" s="155"/>
      <c r="H1983" s="156"/>
      <c r="I1983" s="203"/>
      <c r="J1983" s="203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>
      <c r="A1984" s="156"/>
      <c r="B1984" s="154"/>
      <c r="C1984" s="154"/>
      <c r="D1984" s="154"/>
      <c r="E1984" s="159"/>
      <c r="F1984" s="170"/>
      <c r="G1984" s="155"/>
      <c r="H1984" s="156"/>
      <c r="I1984" s="203"/>
      <c r="J1984" s="203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>
      <c r="A1985" s="156"/>
      <c r="B1985" s="154"/>
      <c r="C1985" s="154"/>
      <c r="D1985" s="154"/>
      <c r="E1985" s="159"/>
      <c r="F1985" s="170"/>
      <c r="G1985" s="155"/>
      <c r="H1985" s="156"/>
      <c r="I1985" s="203"/>
      <c r="J1985" s="203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>
      <c r="A1986" s="156"/>
      <c r="B1986" s="154"/>
      <c r="C1986" s="154"/>
      <c r="D1986" s="154"/>
      <c r="E1986" s="159"/>
      <c r="F1986" s="170"/>
      <c r="G1986" s="155"/>
      <c r="H1986" s="156"/>
      <c r="I1986" s="203"/>
      <c r="J1986" s="203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>
      <c r="A1987" s="156"/>
      <c r="B1987" s="154"/>
      <c r="C1987" s="154"/>
      <c r="D1987" s="154"/>
      <c r="E1987" s="159"/>
      <c r="F1987" s="170"/>
      <c r="G1987" s="155"/>
      <c r="H1987" s="156"/>
      <c r="I1987" s="203"/>
      <c r="J1987" s="203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>
      <c r="A1988" s="156"/>
      <c r="B1988" s="154"/>
      <c r="C1988" s="154"/>
      <c r="D1988" s="154"/>
      <c r="E1988" s="159"/>
      <c r="F1988" s="170"/>
      <c r="G1988" s="155"/>
      <c r="H1988" s="156"/>
      <c r="I1988" s="203"/>
      <c r="J1988" s="203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>
      <c r="A1989" s="156"/>
      <c r="B1989" s="154"/>
      <c r="C1989" s="154"/>
      <c r="D1989" s="154"/>
      <c r="E1989" s="159"/>
      <c r="F1989" s="170"/>
      <c r="G1989" s="155"/>
      <c r="H1989" s="156"/>
      <c r="I1989" s="203"/>
      <c r="J1989" s="203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>
      <c r="A1990" s="156"/>
      <c r="B1990" s="154"/>
      <c r="C1990" s="154"/>
      <c r="D1990" s="154"/>
      <c r="E1990" s="159"/>
      <c r="F1990" s="170"/>
      <c r="G1990" s="155"/>
      <c r="H1990" s="156"/>
      <c r="I1990" s="203"/>
      <c r="J1990" s="203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>
      <c r="A1991" s="156"/>
      <c r="B1991" s="154"/>
      <c r="C1991" s="154"/>
      <c r="D1991" s="154"/>
      <c r="E1991" s="159"/>
      <c r="F1991" s="170"/>
      <c r="G1991" s="155"/>
      <c r="H1991" s="156"/>
      <c r="I1991" s="203"/>
      <c r="J1991" s="203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>
      <c r="A1992" s="156"/>
      <c r="B1992" s="154"/>
      <c r="C1992" s="154"/>
      <c r="D1992" s="154"/>
      <c r="E1992" s="159"/>
      <c r="F1992" s="170"/>
      <c r="G1992" s="155"/>
      <c r="H1992" s="156"/>
      <c r="I1992" s="203"/>
      <c r="J1992" s="203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>
      <c r="A1993" s="156"/>
      <c r="B1993" s="154"/>
      <c r="C1993" s="154"/>
      <c r="D1993" s="154"/>
      <c r="E1993" s="159"/>
      <c r="F1993" s="170"/>
      <c r="G1993" s="155"/>
      <c r="H1993" s="156"/>
      <c r="I1993" s="203"/>
      <c r="J1993" s="203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>
      <c r="A1994" s="156"/>
      <c r="B1994" s="154"/>
      <c r="C1994" s="154"/>
      <c r="D1994" s="154"/>
      <c r="E1994" s="159"/>
      <c r="F1994" s="170"/>
      <c r="G1994" s="155"/>
      <c r="H1994" s="156"/>
      <c r="I1994" s="203"/>
      <c r="J1994" s="203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>
      <c r="A1995" s="156"/>
      <c r="B1995" s="154"/>
      <c r="C1995" s="154"/>
      <c r="D1995" s="154"/>
      <c r="E1995" s="159"/>
      <c r="F1995" s="170"/>
      <c r="G1995" s="155"/>
      <c r="H1995" s="156"/>
      <c r="I1995" s="203"/>
      <c r="J1995" s="203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>
      <c r="A1996" s="156"/>
      <c r="B1996" s="154"/>
      <c r="C1996" s="154"/>
      <c r="D1996" s="154"/>
      <c r="E1996" s="159"/>
      <c r="F1996" s="170"/>
      <c r="G1996" s="155"/>
      <c r="H1996" s="156"/>
      <c r="I1996" s="203"/>
      <c r="J1996" s="203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>
      <c r="A1997" s="156"/>
      <c r="B1997" s="154"/>
      <c r="C1997" s="154"/>
      <c r="D1997" s="154"/>
      <c r="E1997" s="159"/>
      <c r="F1997" s="170"/>
      <c r="G1997" s="155"/>
      <c r="H1997" s="156"/>
      <c r="I1997" s="203"/>
      <c r="J1997" s="203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>
      <c r="A1998" s="156"/>
      <c r="B1998" s="154"/>
      <c r="C1998" s="154"/>
      <c r="D1998" s="154"/>
      <c r="E1998" s="159"/>
      <c r="F1998" s="170"/>
      <c r="G1998" s="155"/>
      <c r="H1998" s="156"/>
      <c r="I1998" s="203"/>
      <c r="J1998" s="203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>
      <c r="A1999" s="156"/>
      <c r="B1999" s="154"/>
      <c r="C1999" s="154"/>
      <c r="D1999" s="154"/>
      <c r="E1999" s="159"/>
      <c r="F1999" s="170"/>
      <c r="G1999" s="155"/>
      <c r="H1999" s="156"/>
      <c r="I1999" s="203"/>
      <c r="J1999" s="203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>
      <c r="A2000" s="156"/>
      <c r="B2000" s="154"/>
      <c r="C2000" s="154"/>
      <c r="D2000" s="154"/>
      <c r="E2000" s="159"/>
      <c r="F2000" s="170"/>
      <c r="G2000" s="155"/>
      <c r="H2000" s="156"/>
      <c r="I2000" s="203"/>
      <c r="J2000" s="203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>
      <c r="A2001" s="165"/>
      <c r="B2001" s="207"/>
      <c r="C2001" s="207"/>
      <c r="D2001" s="207"/>
      <c r="E2001" s="213"/>
      <c r="F2001" s="215"/>
      <c r="G2001" s="208"/>
      <c r="H2001" s="165"/>
      <c r="I2001" s="209"/>
      <c r="J2001" s="209"/>
      <c r="K2001" s="207"/>
      <c r="L2001" s="210"/>
      <c r="M2001" s="211"/>
      <c r="N2001" s="212"/>
      <c r="O2001" s="212"/>
      <c r="P2001" s="212"/>
      <c r="Q2001" s="212"/>
      <c r="R2001" s="212"/>
      <c r="S2001" s="207"/>
      <c r="T2001" s="208"/>
    </row>
    <row r="2002" spans="1:20" ht="15">
      <c r="A2002" s="156"/>
      <c r="B2002" s="216"/>
      <c r="C2002" s="207"/>
      <c r="D2002" s="207"/>
      <c r="E2002" s="159"/>
      <c r="F2002" s="215"/>
      <c r="G2002" s="208"/>
      <c r="H2002" s="165"/>
      <c r="I2002" s="209"/>
      <c r="J2002" s="209"/>
      <c r="K2002" s="217"/>
      <c r="L2002" s="218"/>
      <c r="M2002" s="211"/>
      <c r="N2002" s="212"/>
      <c r="O2002" s="212"/>
      <c r="P2002" s="212"/>
      <c r="Q2002" s="212"/>
      <c r="R2002" s="212"/>
      <c r="S2002" s="207"/>
      <c r="T2002" s="208"/>
    </row>
    <row r="2003" spans="1:20" ht="15">
      <c r="A2003" s="156"/>
      <c r="B2003" s="216"/>
      <c r="C2003" s="207"/>
      <c r="D2003" s="207"/>
      <c r="E2003" s="159"/>
      <c r="F2003" s="215"/>
      <c r="G2003" s="208"/>
      <c r="H2003" s="165"/>
      <c r="I2003" s="209"/>
      <c r="J2003" s="209"/>
      <c r="K2003" s="217"/>
      <c r="L2003" s="218"/>
      <c r="M2003" s="211"/>
      <c r="N2003" s="212"/>
      <c r="O2003" s="212"/>
      <c r="P2003" s="212"/>
      <c r="Q2003" s="212"/>
      <c r="R2003" s="212"/>
      <c r="S2003" s="207"/>
      <c r="T2003" s="208"/>
    </row>
    <row r="2004" spans="1:20" ht="22.5" customHeight="1">
      <c r="A2004" s="156"/>
      <c r="B2004" s="219"/>
      <c r="C2004" s="154"/>
      <c r="D2004" s="154"/>
      <c r="E2004" s="159"/>
      <c r="F2004" s="170"/>
      <c r="G2004" s="155"/>
      <c r="H2004" s="156"/>
      <c r="I2004" s="203"/>
      <c r="J2004" s="203"/>
      <c r="K2004" s="220"/>
      <c r="L2004" s="221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>
      <c r="A2005" s="156"/>
      <c r="B2005" s="216"/>
      <c r="C2005" s="207"/>
      <c r="D2005" s="207"/>
      <c r="E2005" s="159"/>
      <c r="F2005" s="215"/>
      <c r="G2005" s="208"/>
      <c r="H2005" s="165"/>
      <c r="I2005" s="209"/>
      <c r="J2005" s="209"/>
      <c r="K2005" s="217"/>
      <c r="L2005" s="218"/>
      <c r="M2005" s="211"/>
      <c r="N2005" s="212"/>
      <c r="O2005" s="212"/>
      <c r="P2005" s="212"/>
      <c r="Q2005" s="212"/>
      <c r="R2005" s="212"/>
      <c r="S2005" s="207"/>
      <c r="T2005" s="208"/>
    </row>
    <row r="2006" spans="1:20" ht="22.5" customHeight="1">
      <c r="A2006" s="156"/>
      <c r="B2006" s="219"/>
      <c r="C2006" s="154"/>
      <c r="D2006" s="154"/>
      <c r="E2006" s="159"/>
      <c r="F2006" s="170"/>
      <c r="G2006" s="155"/>
      <c r="H2006" s="156"/>
      <c r="I2006" s="203"/>
      <c r="J2006" s="203"/>
      <c r="K2006" s="220"/>
      <c r="L2006" s="221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>
      <c r="A2007" s="212"/>
      <c r="B2007" s="216"/>
      <c r="C2007" s="207"/>
      <c r="D2007" s="207"/>
      <c r="E2007" s="213"/>
      <c r="F2007" s="215"/>
      <c r="G2007" s="208"/>
      <c r="H2007" s="165"/>
      <c r="I2007" s="209"/>
      <c r="J2007" s="209"/>
      <c r="K2007" s="217"/>
      <c r="L2007" s="218"/>
      <c r="M2007" s="211"/>
      <c r="N2007" s="212"/>
      <c r="O2007" s="212"/>
      <c r="P2007" s="212"/>
      <c r="Q2007" s="212"/>
      <c r="R2007" s="212"/>
      <c r="S2007" s="207"/>
      <c r="T2007" s="208"/>
    </row>
    <row r="2009" spans="1:20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713 A714:S715 A716:T2001">
    <cfRule type="expression" dxfId="52" priority="9">
      <formula>MOD(ROW(),2)=0</formula>
    </cfRule>
  </conditionalFormatting>
  <conditionalFormatting sqref="A2002:A2006 E2007 A2:T713 A714:S715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44:J2001 H2002:I2014 I712:J720 I704:J704 I706:J710" xr:uid="{A71E4390-A059-418C-8F5C-AD2AF445253E}">
      <formula1>41640</formula1>
      <formula2>47848</formula2>
    </dataValidation>
    <dataValidation type="decimal" allowBlank="1" showInputMessage="1" showErrorMessage="1" sqref="L2:L2001 K2002:K2014 K2016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E2008:E2014 E2016:E1048576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K2:K2001 J2002:J2014 J2016:J1048576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G657:G2001 F2002:F2014 F2016:F499998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topLeftCell="A75" workbookViewId="0">
      <selection activeCell="D109" sqref="D109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3039</v>
      </c>
      <c r="H1" s="168" t="s">
        <v>3040</v>
      </c>
    </row>
    <row r="2" spans="1:8">
      <c r="H2" s="167" t="s">
        <v>3041</v>
      </c>
    </row>
    <row r="3" spans="1:8">
      <c r="A3" t="s">
        <v>0</v>
      </c>
      <c r="B3" t="s">
        <v>19</v>
      </c>
      <c r="C3" t="s">
        <v>3042</v>
      </c>
      <c r="D3" t="s">
        <v>3043</v>
      </c>
      <c r="E3" t="s">
        <v>3044</v>
      </c>
      <c r="H3" s="167" t="s">
        <v>3045</v>
      </c>
    </row>
    <row r="4" spans="1:8">
      <c r="A4">
        <v>1</v>
      </c>
      <c r="B4" t="s">
        <v>3046</v>
      </c>
      <c r="D4" t="s">
        <v>3047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3048</v>
      </c>
    </row>
    <row r="5" spans="1:8">
      <c r="A5">
        <v>2</v>
      </c>
      <c r="B5" t="s">
        <v>2507</v>
      </c>
      <c r="D5" t="s">
        <v>3047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3049</v>
      </c>
    </row>
    <row r="6" spans="1:8">
      <c r="A6">
        <v>3</v>
      </c>
      <c r="B6" t="s">
        <v>1030</v>
      </c>
      <c r="D6" t="s">
        <v>3047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>
      <c r="A7">
        <v>4</v>
      </c>
      <c r="B7" t="s">
        <v>3050</v>
      </c>
      <c r="D7" t="s">
        <v>3047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3051</v>
      </c>
    </row>
    <row r="8" spans="1:8">
      <c r="A8">
        <v>5</v>
      </c>
      <c r="B8" t="s">
        <v>3052</v>
      </c>
      <c r="D8" t="s">
        <v>3047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2317</v>
      </c>
      <c r="D9" t="s">
        <v>3047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2416</v>
      </c>
      <c r="D10" t="s">
        <v>3047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2478</v>
      </c>
      <c r="D11" t="s">
        <v>3047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2831</v>
      </c>
      <c r="D12" t="s">
        <v>3047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2281</v>
      </c>
      <c r="D13" t="s">
        <v>3047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2377</v>
      </c>
      <c r="D14" t="s">
        <v>3047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2804</v>
      </c>
      <c r="D15" t="s">
        <v>3047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1909</v>
      </c>
      <c r="D16" t="s">
        <v>3047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578</v>
      </c>
      <c r="D17" t="s">
        <v>3047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1958</v>
      </c>
      <c r="D18" t="s">
        <v>3047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1792</v>
      </c>
      <c r="D19" t="s">
        <v>3047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2122</v>
      </c>
      <c r="D20" t="s">
        <v>3047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1350</v>
      </c>
      <c r="D21" t="s">
        <v>3047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2262</v>
      </c>
      <c r="D22" t="s">
        <v>3047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3053</v>
      </c>
      <c r="D23" t="s">
        <v>3047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591</v>
      </c>
      <c r="D24" t="s">
        <v>3047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3054</v>
      </c>
      <c r="D25" t="s">
        <v>3047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3055</v>
      </c>
      <c r="D26" t="s">
        <v>3047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479</v>
      </c>
      <c r="D27" t="s">
        <v>3047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76</v>
      </c>
      <c r="D28" t="s">
        <v>3047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3056</v>
      </c>
      <c r="D29" t="s">
        <v>3047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2109</v>
      </c>
      <c r="D30" t="s">
        <v>3047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2257</v>
      </c>
      <c r="D31" t="s">
        <v>3047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2512</v>
      </c>
      <c r="D32" t="s">
        <v>3047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3057</v>
      </c>
      <c r="D33" t="s">
        <v>3047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3058</v>
      </c>
      <c r="D34" t="s">
        <v>3047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1374</v>
      </c>
      <c r="D35" t="s">
        <v>3047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1479</v>
      </c>
      <c r="D36" t="s">
        <v>3047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556</v>
      </c>
      <c r="D37" t="s">
        <v>3047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3059</v>
      </c>
      <c r="D38" t="s">
        <v>3047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3060</v>
      </c>
      <c r="D39" t="s">
        <v>3047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3047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3061</v>
      </c>
      <c r="D41" t="s">
        <v>3047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862</v>
      </c>
      <c r="D42" t="s">
        <v>3047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717</v>
      </c>
      <c r="D43" t="s">
        <v>3047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3062</v>
      </c>
      <c r="D44" t="s">
        <v>3047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2161</v>
      </c>
      <c r="D45" t="s">
        <v>3047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218</v>
      </c>
      <c r="D46" t="s">
        <v>3047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973</v>
      </c>
      <c r="D47" t="s">
        <v>3047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1407</v>
      </c>
      <c r="D48" t="s">
        <v>3047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3063</v>
      </c>
      <c r="D49" t="s">
        <v>3047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2719</v>
      </c>
      <c r="D50" t="s">
        <v>3047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3064</v>
      </c>
      <c r="D51" t="s">
        <v>3047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1062</v>
      </c>
      <c r="D52" t="s">
        <v>3047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1759</v>
      </c>
      <c r="D53" t="s">
        <v>3047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3065</v>
      </c>
      <c r="D54" t="s">
        <v>3047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81</v>
      </c>
      <c r="D55" t="s">
        <v>3047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1103</v>
      </c>
      <c r="D56" t="s">
        <v>3047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2055</v>
      </c>
      <c r="D57" t="s">
        <v>3047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3066</v>
      </c>
      <c r="D58" t="s">
        <v>3047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2089</v>
      </c>
      <c r="D59" t="s">
        <v>3047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2021</v>
      </c>
      <c r="D60" t="s">
        <v>3047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3067</v>
      </c>
      <c r="D61" t="s">
        <v>3047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3068</v>
      </c>
      <c r="D62" t="s">
        <v>3047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3069</v>
      </c>
      <c r="D63" t="s">
        <v>3047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3070</v>
      </c>
      <c r="D64" t="s">
        <v>3047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2794</v>
      </c>
      <c r="D65" t="s">
        <v>3047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2556</v>
      </c>
      <c r="D66" t="s">
        <v>3047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3071</v>
      </c>
      <c r="D67" t="s">
        <v>3047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3072</v>
      </c>
      <c r="D68" t="s">
        <v>3047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2457</v>
      </c>
      <c r="D69" t="s">
        <v>3047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3073</v>
      </c>
      <c r="D70" t="s">
        <v>3047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3047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2322</v>
      </c>
      <c r="D72" t="s">
        <v>3047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2301</v>
      </c>
      <c r="D73" t="s">
        <v>3047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3074</v>
      </c>
      <c r="D74" t="s">
        <v>3047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115</v>
      </c>
      <c r="D75" t="s">
        <v>3047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942</v>
      </c>
      <c r="D76" t="s">
        <v>3047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803</v>
      </c>
      <c r="D77" t="s">
        <v>3047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425</v>
      </c>
      <c r="D78" t="s">
        <v>3047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3075</v>
      </c>
      <c r="D79" t="s">
        <v>3047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3076</v>
      </c>
      <c r="D80" t="s">
        <v>3047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3077</v>
      </c>
      <c r="D81" t="s">
        <v>3047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3078</v>
      </c>
      <c r="D82" t="s">
        <v>3047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2482</v>
      </c>
      <c r="D83" t="s">
        <v>3047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3079</v>
      </c>
      <c r="D84" t="s">
        <v>3047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3047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3080</v>
      </c>
      <c r="D86" t="s">
        <v>3047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3081</v>
      </c>
      <c r="D87" t="s">
        <v>3047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3082</v>
      </c>
      <c r="D88" t="s">
        <v>3047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3083</v>
      </c>
      <c r="D89" t="s">
        <v>3047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3084</v>
      </c>
      <c r="D90" t="s">
        <v>3047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3085</v>
      </c>
      <c r="D91" t="s">
        <v>3047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3086</v>
      </c>
      <c r="D92" t="s">
        <v>3047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3087</v>
      </c>
      <c r="D93" t="s">
        <v>3047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3088</v>
      </c>
      <c r="D94" t="s">
        <v>3047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2918</v>
      </c>
      <c r="D95" t="s">
        <v>3047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3089</v>
      </c>
      <c r="D96" t="s">
        <v>3047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2910</v>
      </c>
      <c r="D97" t="s">
        <v>3047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3090</v>
      </c>
      <c r="D98" t="s">
        <v>3047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3091</v>
      </c>
      <c r="D99" t="s">
        <v>3047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3092</v>
      </c>
      <c r="D100" t="s">
        <v>3047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3093</v>
      </c>
      <c r="D101" t="s">
        <v>3047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2713</v>
      </c>
      <c r="D102" t="s">
        <v>3047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3094</v>
      </c>
      <c r="D103" t="s">
        <v>3047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3095</v>
      </c>
      <c r="D104" t="s">
        <v>3047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3096</v>
      </c>
      <c r="D105" t="s">
        <v>3047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2865</v>
      </c>
      <c r="D106" t="s">
        <v>3047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2870</v>
      </c>
      <c r="D107" t="s">
        <v>3047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3097</v>
      </c>
      <c r="D108" t="s">
        <v>3047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3098</v>
      </c>
      <c r="D109" t="s">
        <v>3047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39" activePane="bottomLeft" state="frozen"/>
      <selection pane="bottomLeft" activeCell="B62" sqref="B62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3099</v>
      </c>
      <c r="C1" s="18" t="s">
        <v>3100</v>
      </c>
      <c r="D1" s="18" t="s">
        <v>4</v>
      </c>
      <c r="E1" s="18" t="s">
        <v>3101</v>
      </c>
      <c r="F1" s="18" t="s">
        <v>19</v>
      </c>
      <c r="G1" s="18" t="s">
        <v>3102</v>
      </c>
      <c r="H1" s="18" t="s">
        <v>3103</v>
      </c>
      <c r="I1" s="18" t="s">
        <v>3104</v>
      </c>
      <c r="J1" s="18" t="s">
        <v>3105</v>
      </c>
      <c r="L1" s="110" t="s">
        <v>3106</v>
      </c>
      <c r="M1" s="22">
        <v>2026</v>
      </c>
      <c r="U1" s="79" t="s">
        <v>3107</v>
      </c>
      <c r="V1" s="78"/>
      <c r="X1" s="77" t="s">
        <v>3108</v>
      </c>
      <c r="Y1" s="26"/>
      <c r="Z1" s="26"/>
      <c r="AA1" s="26"/>
      <c r="AC1" s="99" t="s">
        <v>3109</v>
      </c>
    </row>
    <row r="2" spans="1:31">
      <c r="A2" s="20" cm="1">
        <f t="array" aca="1" ref="A2:J139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3110</v>
      </c>
      <c r="M2" s="106" t="s">
        <v>2926</v>
      </c>
      <c r="X2" s="112" t="s">
        <v>3099</v>
      </c>
      <c r="Y2" s="112" t="s">
        <v>19</v>
      </c>
      <c r="Z2" s="112" t="s">
        <v>3111</v>
      </c>
      <c r="AA2" s="112" t="s">
        <v>3112</v>
      </c>
      <c r="AC2" s="113" t="s">
        <v>1</v>
      </c>
      <c r="AD2" s="113" t="s">
        <v>3113</v>
      </c>
      <c r="AE2" s="113" t="s">
        <v>3114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3115</v>
      </c>
      <c r="M3" s="111" t="s">
        <v>3116</v>
      </c>
      <c r="N3" s="111" t="s">
        <v>3117</v>
      </c>
      <c r="O3" s="111" t="s">
        <v>3118</v>
      </c>
      <c r="P3" s="111" t="s">
        <v>3119</v>
      </c>
      <c r="Q3" s="111" t="s">
        <v>3120</v>
      </c>
      <c r="R3" s="111" t="s">
        <v>3121</v>
      </c>
      <c r="S3" s="111" t="s">
        <v>3122</v>
      </c>
      <c r="T3" s="111" t="s">
        <v>3123</v>
      </c>
      <c r="X3" t="s">
        <v>2835</v>
      </c>
      <c r="Y3" t="s">
        <v>3060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7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8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2857</v>
      </c>
      <c r="Y5" t="s">
        <v>2831</v>
      </c>
      <c r="Z5">
        <v>1</v>
      </c>
      <c r="AA5">
        <v>0.6</v>
      </c>
      <c r="AC5" s="96">
        <v>2026</v>
      </c>
      <c r="AD5" s="17" t="s">
        <v>3124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2857</v>
      </c>
      <c r="Y6" t="s">
        <v>3060</v>
      </c>
      <c r="Z6">
        <v>1</v>
      </c>
      <c r="AA6">
        <v>0</v>
      </c>
      <c r="AC6" s="96">
        <v>2026</v>
      </c>
      <c r="AD6" s="17" t="s">
        <v>3125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2946</v>
      </c>
      <c r="Y8" s="17" t="s">
        <v>1350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2946</v>
      </c>
      <c r="Y9" s="17" t="s">
        <v>1030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2946</v>
      </c>
      <c r="Y10" s="17" t="s">
        <v>1374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2946</v>
      </c>
      <c r="Y11" s="17" t="s">
        <v>3054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2946</v>
      </c>
      <c r="Y12" s="17" t="s">
        <v>3072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7" t="s">
        <v>1350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7" t="s">
        <v>1030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7" t="s">
        <v>1374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7" t="s">
        <v>3054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7" t="s">
        <v>3072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2951</v>
      </c>
      <c r="Y18" s="17" t="s">
        <v>1350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2951</v>
      </c>
      <c r="Y19" s="17" t="s">
        <v>1030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2951</v>
      </c>
      <c r="Y20" s="17" t="s">
        <v>1374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2951</v>
      </c>
      <c r="Y21" s="17" t="s">
        <v>3054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2951</v>
      </c>
      <c r="Y22" s="17" t="s">
        <v>3072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3060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3060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3095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3091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3073</v>
      </c>
      <c r="Z33">
        <v>4</v>
      </c>
      <c r="AA33">
        <v>0.6</v>
      </c>
      <c r="AC33" s="98"/>
      <c r="AD33" s="114" t="s">
        <v>3126</v>
      </c>
      <c r="AE33" s="115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3074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32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2895</v>
      </c>
      <c r="Y41" t="s">
        <v>862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2895</v>
      </c>
      <c r="Y42" t="s">
        <v>3065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2902</v>
      </c>
      <c r="Y43" s="17" t="s">
        <v>3082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2902</v>
      </c>
      <c r="Y44" s="17" t="s">
        <v>942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3081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3093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3090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3092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3089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3127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3096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3094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2783</v>
      </c>
      <c r="Y55" t="s">
        <v>3081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2934</v>
      </c>
      <c r="Y56" t="s">
        <v>1030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2748</v>
      </c>
      <c r="Y58" s="109" t="s">
        <v>3088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2748</v>
      </c>
      <c r="Y59" t="s">
        <v>3087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2748</v>
      </c>
      <c r="Y60" t="s">
        <v>3086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2702</v>
      </c>
      <c r="Y61" s="17" t="s">
        <v>1350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Em andamento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2702</v>
      </c>
      <c r="Y62" t="s">
        <v>556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03" t="s">
        <v>717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2702</v>
      </c>
      <c r="Y64" t="s">
        <v>3078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2710</v>
      </c>
      <c r="Y65" t="s">
        <v>2713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2710</v>
      </c>
      <c r="Y66" t="s">
        <v>1479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2026-090</v>
      </c>
      <c r="N67" t="str">
        <f ca="1"/>
        <v>A realizar</v>
      </c>
      <c r="O67" t="str">
        <f ca="1"/>
        <v>Gestão de Conflitos – da escuta à solução</v>
      </c>
      <c r="P67">
        <f ca="1"/>
        <v>20</v>
      </c>
      <c r="Q67" t="str">
        <f ca="1"/>
        <v>Isac Mendes Caixeta de Pamplona Araújo; Isabel Cristina Ribeiro</v>
      </c>
      <c r="R67">
        <f ca="1"/>
        <v>2</v>
      </c>
      <c r="S67">
        <f ca="1"/>
        <v>138</v>
      </c>
      <c r="T67">
        <f ca="1"/>
        <v>136</v>
      </c>
      <c r="X67" t="s">
        <v>2959</v>
      </c>
      <c r="Y67" t="s">
        <v>1374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T68">
        <f ca="1"/>
        <v>138</v>
      </c>
      <c r="X68" t="s">
        <v>2959</v>
      </c>
      <c r="Y68" t="s">
        <v>3076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2788</v>
      </c>
      <c r="Y69" t="s">
        <v>2794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2822</v>
      </c>
      <c r="Y70" s="17" t="s">
        <v>2831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2822</v>
      </c>
      <c r="Y71" s="17" t="s">
        <v>3060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2871</v>
      </c>
      <c r="Y72" t="s">
        <v>862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2871</v>
      </c>
      <c r="Y73" t="s">
        <v>3065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2911</v>
      </c>
      <c r="Y74" t="s">
        <v>479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2898</v>
      </c>
      <c r="Y76" t="s">
        <v>942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2898</v>
      </c>
      <c r="Y77" t="s">
        <v>3079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2883</v>
      </c>
      <c r="Y78" t="s">
        <v>942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2883</v>
      </c>
      <c r="Y79" t="s">
        <v>3083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3080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2879</v>
      </c>
      <c r="Y81" t="s">
        <v>942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2879</v>
      </c>
      <c r="Y82" t="s">
        <v>3084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2946</v>
      </c>
      <c r="Y83" t="s">
        <v>3066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2951</v>
      </c>
      <c r="Y84" t="s">
        <v>3066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3066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3128</v>
      </c>
      <c r="Y86" t="s">
        <v>717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3128</v>
      </c>
      <c r="Y87" t="s">
        <v>3078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3128</v>
      </c>
      <c r="Y88" t="s">
        <v>1350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2026-082</v>
      </c>
      <c r="C130" t="str">
        <f ca="1"/>
        <v>Em andamento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2026-082</v>
      </c>
      <c r="C131" t="str">
        <f ca="1"/>
        <v>Em andamento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2026-090</v>
      </c>
      <c r="C138" t="str">
        <f ca="1"/>
        <v>A realizar</v>
      </c>
      <c r="D138" t="str">
        <f ca="1"/>
        <v>Gestão de Conflitos – da escuta à solução</v>
      </c>
      <c r="E138">
        <f ca="1"/>
        <v>20</v>
      </c>
      <c r="F138" t="str">
        <f ca="1"/>
        <v>Isac Mendes Caixeta de Pamplona Araújo</v>
      </c>
      <c r="G138">
        <f ca="1"/>
        <v>2</v>
      </c>
      <c r="H138">
        <f ca="1"/>
        <v>20</v>
      </c>
      <c r="I138">
        <f ca="1"/>
        <v>6</v>
      </c>
      <c r="J138">
        <f ca="1"/>
        <v>26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2026-090</v>
      </c>
      <c r="C139" t="str">
        <f ca="1"/>
        <v>A realizar</v>
      </c>
      <c r="D139" t="str">
        <f ca="1"/>
        <v>Gestão de Conflitos – da escuta à solução</v>
      </c>
      <c r="E139">
        <f ca="1"/>
        <v>20</v>
      </c>
      <c r="F139" t="str">
        <f ca="1"/>
        <v>Isabel Cristina Ribeiro</v>
      </c>
      <c r="G139">
        <f ca="1"/>
        <v>2</v>
      </c>
      <c r="H139">
        <f ca="1"/>
        <v>20</v>
      </c>
      <c r="I139">
        <f ca="1"/>
        <v>6</v>
      </c>
      <c r="J139">
        <f ca="1"/>
        <v>26</v>
      </c>
      <c r="R139" t="str">
        <f ca="1"/>
        <v/>
      </c>
      <c r="S139" t="str">
        <f ca="1"/>
        <v/>
      </c>
    </row>
    <row r="140" spans="1:19">
      <c r="R140" t="str">
        <f ca="1"/>
        <v/>
      </c>
      <c r="S140" t="str">
        <f ca="1"/>
        <v/>
      </c>
    </row>
    <row r="141" spans="1:19">
      <c r="R141" t="str">
        <f ca="1"/>
        <v/>
      </c>
      <c r="S141" t="str">
        <f ca="1"/>
        <v/>
      </c>
    </row>
    <row r="142" spans="1:19">
      <c r="R142" t="str">
        <f ca="1"/>
        <v/>
      </c>
      <c r="S142" t="str">
        <f ca="1"/>
        <v/>
      </c>
    </row>
    <row r="143" spans="1:19">
      <c r="R143" t="str">
        <f ca="1"/>
        <v/>
      </c>
      <c r="S143" t="str">
        <f ca="1"/>
        <v/>
      </c>
    </row>
    <row r="144" spans="1:19">
      <c r="R144" t="str">
        <f ca="1"/>
        <v/>
      </c>
      <c r="S144" t="str">
        <f ca="1"/>
        <v/>
      </c>
    </row>
    <row r="145" spans="18:19">
      <c r="R145" t="str">
        <f ca="1"/>
        <v/>
      </c>
      <c r="S145" t="str">
        <f ca="1"/>
        <v/>
      </c>
    </row>
    <row r="146" spans="18:19">
      <c r="R146" t="str">
        <f ca="1"/>
        <v/>
      </c>
      <c r="S146" t="str">
        <f ca="1"/>
        <v/>
      </c>
    </row>
    <row r="147" spans="18:19">
      <c r="R147" t="str">
        <f ca="1"/>
        <v/>
      </c>
      <c r="S147" t="str">
        <f ca="1"/>
        <v/>
      </c>
    </row>
    <row r="148" spans="18:19">
      <c r="R148" t="str">
        <f ca="1"/>
        <v/>
      </c>
      <c r="S148" t="str">
        <f ca="1"/>
        <v/>
      </c>
    </row>
    <row r="149" spans="18:19">
      <c r="R149" t="str">
        <f ca="1"/>
        <v/>
      </c>
      <c r="S149" t="str">
        <f ca="1"/>
        <v/>
      </c>
    </row>
    <row r="150" spans="18:19">
      <c r="R150" t="str">
        <f ca="1"/>
        <v/>
      </c>
      <c r="S150" t="str">
        <f ca="1"/>
        <v/>
      </c>
    </row>
    <row r="151" spans="18:19">
      <c r="R151" t="str">
        <f ca="1"/>
        <v/>
      </c>
      <c r="S151" t="str">
        <f ca="1"/>
        <v/>
      </c>
    </row>
    <row r="152" spans="18:19">
      <c r="R152" t="str">
        <f ca="1"/>
        <v/>
      </c>
      <c r="S152" t="str">
        <f ca="1"/>
        <v/>
      </c>
    </row>
    <row r="153" spans="18:19">
      <c r="R153" t="str">
        <f ca="1"/>
        <v/>
      </c>
      <c r="S153" t="str">
        <f ca="1"/>
        <v/>
      </c>
    </row>
    <row r="154" spans="18:19">
      <c r="R154" t="str">
        <f ca="1"/>
        <v/>
      </c>
      <c r="S154" t="str">
        <f ca="1"/>
        <v/>
      </c>
    </row>
    <row r="155" spans="18:19">
      <c r="R155" t="str">
        <f ca="1"/>
        <v/>
      </c>
      <c r="S155" t="str">
        <f ca="1"/>
        <v/>
      </c>
    </row>
    <row r="156" spans="18:19">
      <c r="R156" t="str">
        <f ca="1"/>
        <v/>
      </c>
      <c r="S156" t="str">
        <f ca="1"/>
        <v/>
      </c>
    </row>
    <row r="157" spans="18:19">
      <c r="R157" t="str">
        <f ca="1"/>
        <v/>
      </c>
      <c r="S157" t="str">
        <f ca="1"/>
        <v/>
      </c>
    </row>
    <row r="158" spans="18:19">
      <c r="R158" t="str">
        <f ca="1"/>
        <v/>
      </c>
      <c r="S158" t="str">
        <f ca="1"/>
        <v/>
      </c>
    </row>
    <row r="159" spans="18:19">
      <c r="R159" t="str">
        <f ca="1"/>
        <v/>
      </c>
      <c r="S159" t="str">
        <f ca="1"/>
        <v/>
      </c>
    </row>
    <row r="160" spans="18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188" t="s">
        <v>3129</v>
      </c>
      <c r="B1" s="188"/>
      <c r="C1" s="188"/>
      <c r="D1" s="188"/>
      <c r="E1" s="188"/>
      <c r="F1" s="188"/>
      <c r="G1" s="188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189" t="s">
        <v>3130</v>
      </c>
      <c r="B4" s="190"/>
      <c r="D4" s="191" t="s">
        <v>3131</v>
      </c>
      <c r="E4" s="192"/>
      <c r="G4" s="44" t="s">
        <v>3132</v>
      </c>
    </row>
    <row r="5" spans="1:7" ht="54.95" customHeight="1" thickBot="1">
      <c r="A5" s="34">
        <f>COUNTIF('Ações InCompany'!B:B,2026)</f>
        <v>89</v>
      </c>
      <c r="B5" s="35" t="s">
        <v>3133</v>
      </c>
      <c r="D5" s="42">
        <f>COUNTIFS('Ações InCompany'!B:B,2026,'Ações InCompany'!C:C,"Realizado")</f>
        <v>58</v>
      </c>
      <c r="E5" s="43" t="s">
        <v>3133</v>
      </c>
      <c r="G5" s="45">
        <f>COUNTIFS('Ações InCompany'!B:B,2026,'Ações InCompany'!C:C,"A realizar")</f>
        <v>24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187" t="s">
        <v>3134</v>
      </c>
      <c r="B8" s="187"/>
      <c r="D8" s="187" t="s">
        <v>3135</v>
      </c>
      <c r="E8" s="187"/>
    </row>
    <row r="9" spans="1:7" ht="5.0999999999999996" customHeight="1">
      <c r="A9" s="222"/>
      <c r="B9" s="222"/>
      <c r="D9" s="222"/>
      <c r="E9" s="222"/>
    </row>
    <row r="10" spans="1:7" ht="24.95" customHeight="1">
      <c r="A10" s="27" t="s">
        <v>5</v>
      </c>
      <c r="B10" s="27" t="s">
        <v>3136</v>
      </c>
      <c r="D10" s="27" t="s">
        <v>3137</v>
      </c>
      <c r="E10" s="27" t="s">
        <v>3138</v>
      </c>
    </row>
    <row r="11" spans="1:7" ht="27.95" customHeight="1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3139</v>
      </c>
      <c r="E11" s="29">
        <f>SUMIFS('Ações InCompany'!O:O,'Ações InCompany'!B:B,2026,'Ações InCompany'!C:C,"Realizado")</f>
        <v>941</v>
      </c>
    </row>
    <row r="12" spans="1:7" ht="27.95" customHeight="1">
      <c r="A12" s="30" t="s">
        <v>69</v>
      </c>
      <c r="B12" s="31">
        <f>COUNTIFS('Ações InCompany'!B:B,2026,'Ações InCompany'!C:C,"Realizado",'Ações InCompany'!F:F,"Jurisdicionados")</f>
        <v>25</v>
      </c>
      <c r="D12" s="30" t="s">
        <v>3140</v>
      </c>
      <c r="E12" s="31">
        <f>SUMIFS('Ações InCompany'!P:P,'Ações InCompany'!B:B,2026,'Ações InCompany'!C:C,"Realizado")</f>
        <v>1551</v>
      </c>
    </row>
    <row r="13" spans="1:7" ht="27.95" customHeight="1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3141</v>
      </c>
      <c r="E13" s="29">
        <f>SUMIFS('Ações InCompany'!Q:Q,'Ações InCompany'!B:B,2026,'Ações InCompany'!C:C,"Realizado")</f>
        <v>750</v>
      </c>
    </row>
    <row r="14" spans="1:7" ht="27.95" customHeight="1">
      <c r="A14" s="32" t="s">
        <v>3142</v>
      </c>
      <c r="B14" s="33">
        <f>SUM(B11:B13)</f>
        <v>58</v>
      </c>
      <c r="D14" s="32" t="s">
        <v>3143</v>
      </c>
      <c r="E14" s="33">
        <f>SUM(E11:E13)</f>
        <v>3242</v>
      </c>
    </row>
    <row r="30" spans="1:5" ht="17.25">
      <c r="A30" s="187" t="s">
        <v>3144</v>
      </c>
      <c r="B30" s="187"/>
      <c r="C30" s="187"/>
      <c r="D30" s="187"/>
      <c r="E30" s="187"/>
    </row>
    <row r="31" spans="1:5" ht="5.0999999999999996" customHeight="1">
      <c r="A31" s="222"/>
      <c r="B31" s="222"/>
      <c r="C31" s="222"/>
      <c r="D31" s="222"/>
      <c r="E31" s="222"/>
    </row>
    <row r="32" spans="1:5" ht="24.95" customHeight="1">
      <c r="A32" s="27" t="s">
        <v>6</v>
      </c>
      <c r="B32" s="27" t="s">
        <v>3145</v>
      </c>
      <c r="C32" s="27" t="s">
        <v>3146</v>
      </c>
      <c r="D32" s="27" t="s">
        <v>3147</v>
      </c>
      <c r="E32" s="27" t="s">
        <v>3148</v>
      </c>
    </row>
    <row r="33" spans="1:5" ht="24" customHeight="1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0.26829268292682928</v>
      </c>
    </row>
    <row r="34" spans="1:5" ht="24" customHeight="1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4.878048780487805E-2</v>
      </c>
    </row>
    <row r="35" spans="1:5" ht="24" customHeight="1">
      <c r="A35" s="28" t="s">
        <v>2700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4</v>
      </c>
      <c r="D35" s="36">
        <f t="shared" si="0"/>
        <v>10</v>
      </c>
      <c r="E35" s="37">
        <f t="shared" si="1"/>
        <v>0.12195121951219512</v>
      </c>
    </row>
    <row r="36" spans="1:5" ht="24" customHeight="1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2.4390243902439025E-2</v>
      </c>
    </row>
    <row r="37" spans="1:5" ht="24" customHeight="1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4</v>
      </c>
      <c r="D37" s="36">
        <f t="shared" si="0"/>
        <v>9</v>
      </c>
      <c r="E37" s="37">
        <f t="shared" si="1"/>
        <v>0.10975609756097561</v>
      </c>
    </row>
    <row r="38" spans="1:5" ht="24" customHeight="1">
      <c r="A38" s="30" t="s">
        <v>2717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0.25609756097560976</v>
      </c>
    </row>
    <row r="39" spans="1:5" ht="24" customHeight="1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4.878048780487805E-2</v>
      </c>
    </row>
    <row r="40" spans="1:5" ht="24" customHeight="1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2.4390243902439025E-2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6</v>
      </c>
      <c r="C41" s="70">
        <f>COUNTIFS('Ações InCompany'!B:B,2026,'Ações InCompany'!C:C,"A realizar",'Ações InCompany'!G:G,A41)</f>
        <v>0</v>
      </c>
      <c r="D41" s="69">
        <f>B41+C41</f>
        <v>6</v>
      </c>
      <c r="E41" s="75">
        <f>D41/$D$45</f>
        <v>7.3170731707317069E-2</v>
      </c>
    </row>
    <row r="42" spans="1:5" ht="24" customHeight="1">
      <c r="A42" s="74" t="s">
        <v>3149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2.4390243902439025E-2</v>
      </c>
    </row>
    <row r="44" spans="1:5" ht="24" customHeight="1">
      <c r="A44" s="66" t="s">
        <v>3150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3142</v>
      </c>
      <c r="B45" s="40">
        <f>SUM(B33:B44)</f>
        <v>58</v>
      </c>
      <c r="C45" s="40">
        <f>SUM(C33:C44)</f>
        <v>24</v>
      </c>
      <c r="D45" s="40">
        <f>SUM(D33:D44)</f>
        <v>82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3151</v>
      </c>
      <c r="B1" s="11" t="s">
        <v>3152</v>
      </c>
      <c r="C1" s="12" t="s">
        <v>3153</v>
      </c>
      <c r="D1" s="12" t="s">
        <v>3154</v>
      </c>
      <c r="E1" s="12" t="s">
        <v>3155</v>
      </c>
    </row>
    <row r="2" spans="1:5" ht="18" customHeight="1">
      <c r="A2" s="11" t="s">
        <v>3156</v>
      </c>
      <c r="B2" s="11" t="s">
        <v>3157</v>
      </c>
      <c r="C2" s="11" t="s">
        <v>1736</v>
      </c>
      <c r="D2" s="11" t="s">
        <v>3158</v>
      </c>
      <c r="E2" s="11" t="s">
        <v>3159</v>
      </c>
    </row>
    <row r="3" spans="1:5" ht="18" customHeight="1">
      <c r="A3" s="11" t="s">
        <v>3156</v>
      </c>
      <c r="B3" s="11" t="s">
        <v>3157</v>
      </c>
      <c r="C3" s="13" t="s">
        <v>25</v>
      </c>
      <c r="D3" s="11" t="s">
        <v>3160</v>
      </c>
      <c r="E3" s="11" t="s">
        <v>3161</v>
      </c>
    </row>
    <row r="4" spans="1:5" ht="18" customHeight="1">
      <c r="A4" s="11" t="s">
        <v>3156</v>
      </c>
      <c r="B4" s="11" t="s">
        <v>3157</v>
      </c>
      <c r="C4" s="11" t="s">
        <v>75</v>
      </c>
      <c r="D4" s="11" t="s">
        <v>3158</v>
      </c>
      <c r="E4" s="11" t="s">
        <v>3162</v>
      </c>
    </row>
    <row r="5" spans="1:5" ht="18" customHeight="1">
      <c r="A5" s="11" t="s">
        <v>3156</v>
      </c>
      <c r="B5" s="11" t="s">
        <v>3157</v>
      </c>
      <c r="C5" s="11" t="s">
        <v>79</v>
      </c>
      <c r="D5" s="11" t="s">
        <v>3163</v>
      </c>
      <c r="E5" s="11" t="s">
        <v>3164</v>
      </c>
    </row>
    <row r="6" spans="1:5" ht="18" customHeight="1">
      <c r="A6" s="11" t="s">
        <v>3156</v>
      </c>
      <c r="B6" s="11" t="s">
        <v>3157</v>
      </c>
      <c r="C6" s="11" t="s">
        <v>2717</v>
      </c>
      <c r="D6" s="11" t="s">
        <v>3165</v>
      </c>
      <c r="E6" s="11" t="s">
        <v>3166</v>
      </c>
    </row>
    <row r="7" spans="1:5" ht="18" customHeight="1">
      <c r="A7" s="11" t="s">
        <v>3156</v>
      </c>
      <c r="B7" s="11" t="s">
        <v>3167</v>
      </c>
      <c r="C7" s="11" t="s">
        <v>36</v>
      </c>
      <c r="D7" s="11" t="s">
        <v>3168</v>
      </c>
      <c r="E7" s="11" t="s">
        <v>3169</v>
      </c>
    </row>
    <row r="8" spans="1:5" ht="18" customHeight="1">
      <c r="A8" s="11" t="s">
        <v>3156</v>
      </c>
      <c r="B8" s="11" t="s">
        <v>3167</v>
      </c>
      <c r="C8" s="11" t="s">
        <v>42</v>
      </c>
      <c r="D8" s="11" t="s">
        <v>3170</v>
      </c>
      <c r="E8" s="11" t="s">
        <v>3171</v>
      </c>
    </row>
    <row r="9" spans="1:5" ht="18" customHeight="1">
      <c r="A9" s="11" t="s">
        <v>3156</v>
      </c>
      <c r="B9" s="11" t="s">
        <v>3172</v>
      </c>
      <c r="C9" s="11" t="s">
        <v>464</v>
      </c>
      <c r="D9" s="11" t="s">
        <v>3173</v>
      </c>
      <c r="E9" s="11" t="s">
        <v>3174</v>
      </c>
    </row>
    <row r="10" spans="1:5" ht="18" customHeight="1">
      <c r="A10" s="11" t="s">
        <v>3156</v>
      </c>
      <c r="B10" s="11" t="s">
        <v>3172</v>
      </c>
      <c r="C10" s="11" t="s">
        <v>206</v>
      </c>
      <c r="D10" s="11" t="s">
        <v>24</v>
      </c>
      <c r="E10" s="11" t="s">
        <v>3175</v>
      </c>
    </row>
    <row r="11" spans="1:5" ht="18" customHeight="1">
      <c r="A11" s="11" t="s">
        <v>3156</v>
      </c>
      <c r="B11" s="11" t="s">
        <v>3172</v>
      </c>
      <c r="C11" s="11" t="s">
        <v>371</v>
      </c>
      <c r="D11" s="11" t="s">
        <v>24</v>
      </c>
      <c r="E11" s="11" t="s">
        <v>3176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3177</v>
      </c>
      <c r="B1" s="5" t="s">
        <v>10</v>
      </c>
      <c r="C1" s="14" t="s">
        <v>3178</v>
      </c>
      <c r="D1" s="14" t="s">
        <v>3100</v>
      </c>
    </row>
    <row r="2" spans="1:4" ht="21" customHeight="1">
      <c r="A2" s="102" t="s">
        <v>24</v>
      </c>
      <c r="B2" s="102" t="s">
        <v>38</v>
      </c>
      <c r="C2" s="11" t="s">
        <v>3179</v>
      </c>
      <c r="D2" s="11" t="s">
        <v>2697</v>
      </c>
    </row>
    <row r="3" spans="1:4" ht="21" customHeight="1">
      <c r="A3" s="11" t="s">
        <v>69</v>
      </c>
      <c r="B3" s="102" t="s">
        <v>27</v>
      </c>
      <c r="C3" s="11" t="s">
        <v>3180</v>
      </c>
      <c r="D3" s="11" t="s">
        <v>2566</v>
      </c>
    </row>
    <row r="4" spans="1:4" ht="21" customHeight="1">
      <c r="A4" s="13" t="s">
        <v>88</v>
      </c>
      <c r="B4" s="102" t="s">
        <v>227</v>
      </c>
      <c r="D4" s="11" t="s">
        <v>2789</v>
      </c>
    </row>
    <row r="5" spans="1:4" ht="21" customHeight="1">
      <c r="A5" s="11" t="s">
        <v>232</v>
      </c>
      <c r="D5" s="11" t="s">
        <v>22</v>
      </c>
    </row>
    <row r="6" spans="1:4" ht="21" customHeight="1">
      <c r="D6" s="11" t="s">
        <v>3181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3151</v>
      </c>
      <c r="B1" s="11" t="s">
        <v>3152</v>
      </c>
      <c r="C1" s="12" t="s">
        <v>3153</v>
      </c>
      <c r="D1" s="12" t="s">
        <v>3154</v>
      </c>
      <c r="E1" s="12" t="s">
        <v>3155</v>
      </c>
    </row>
    <row r="2" spans="1:5" ht="18" customHeight="1">
      <c r="A2" s="11" t="s">
        <v>3182</v>
      </c>
      <c r="B2" s="11" t="s">
        <v>3157</v>
      </c>
      <c r="C2" s="13" t="s">
        <v>25</v>
      </c>
      <c r="D2" s="11" t="s">
        <v>3158</v>
      </c>
      <c r="E2" s="16" t="s">
        <v>3183</v>
      </c>
    </row>
    <row r="3" spans="1:5" ht="18" customHeight="1">
      <c r="A3" s="11" t="s">
        <v>3182</v>
      </c>
      <c r="B3" s="11" t="s">
        <v>3157</v>
      </c>
      <c r="C3" s="11" t="s">
        <v>75</v>
      </c>
      <c r="D3" s="11" t="s">
        <v>3160</v>
      </c>
      <c r="E3" s="11" t="s">
        <v>3184</v>
      </c>
    </row>
    <row r="4" spans="1:5" ht="18" customHeight="1">
      <c r="A4" s="11" t="s">
        <v>3182</v>
      </c>
      <c r="B4" s="11" t="s">
        <v>3157</v>
      </c>
      <c r="C4" s="11" t="s">
        <v>79</v>
      </c>
      <c r="D4" s="11" t="s">
        <v>3163</v>
      </c>
      <c r="E4" s="11" t="s">
        <v>3185</v>
      </c>
    </row>
    <row r="5" spans="1:5" ht="27.75" customHeight="1">
      <c r="A5" s="11" t="s">
        <v>3182</v>
      </c>
      <c r="B5" s="11" t="s">
        <v>3157</v>
      </c>
      <c r="C5" s="11" t="s">
        <v>2694</v>
      </c>
      <c r="D5" s="16" t="s">
        <v>3186</v>
      </c>
      <c r="E5" s="11" t="s">
        <v>3187</v>
      </c>
    </row>
    <row r="6" spans="1:5" ht="18" customHeight="1">
      <c r="A6" s="11" t="s">
        <v>3182</v>
      </c>
      <c r="B6" s="11" t="s">
        <v>3157</v>
      </c>
      <c r="C6" s="11" t="s">
        <v>2717</v>
      </c>
      <c r="D6" s="11" t="s">
        <v>3165</v>
      </c>
      <c r="E6" s="11" t="s">
        <v>3166</v>
      </c>
    </row>
    <row r="7" spans="1:5" ht="18" customHeight="1">
      <c r="A7" s="11" t="s">
        <v>3182</v>
      </c>
      <c r="B7" s="11" t="s">
        <v>3167</v>
      </c>
      <c r="C7" s="11" t="s">
        <v>2700</v>
      </c>
      <c r="D7" s="11" t="s">
        <v>3188</v>
      </c>
      <c r="E7" s="11" t="s">
        <v>3189</v>
      </c>
    </row>
    <row r="8" spans="1:5" ht="18" customHeight="1">
      <c r="A8" s="11" t="s">
        <v>3182</v>
      </c>
      <c r="B8" s="11" t="s">
        <v>3167</v>
      </c>
      <c r="C8" s="11" t="s">
        <v>42</v>
      </c>
      <c r="D8" s="11" t="s">
        <v>3170</v>
      </c>
      <c r="E8" s="11" t="s">
        <v>3171</v>
      </c>
    </row>
    <row r="9" spans="1:5" ht="18" customHeight="1">
      <c r="A9" s="11" t="s">
        <v>3182</v>
      </c>
      <c r="B9" s="11" t="s">
        <v>3167</v>
      </c>
      <c r="C9" s="11" t="s">
        <v>2792</v>
      </c>
      <c r="D9" s="11" t="s">
        <v>3190</v>
      </c>
      <c r="E9" s="16" t="s">
        <v>3191</v>
      </c>
    </row>
    <row r="10" spans="1:5" ht="18" customHeight="1">
      <c r="A10" s="11" t="s">
        <v>3182</v>
      </c>
      <c r="B10" s="11" t="s">
        <v>3192</v>
      </c>
      <c r="C10" s="11" t="s">
        <v>3149</v>
      </c>
      <c r="D10" s="11" t="s">
        <v>3193</v>
      </c>
      <c r="E10" s="16" t="s">
        <v>3194</v>
      </c>
    </row>
    <row r="11" spans="1:5" ht="18" customHeight="1">
      <c r="A11" s="11" t="s">
        <v>3182</v>
      </c>
      <c r="B11" s="11" t="s">
        <v>3192</v>
      </c>
      <c r="C11" s="11" t="s">
        <v>206</v>
      </c>
      <c r="D11" s="11" t="s">
        <v>24</v>
      </c>
      <c r="E11" s="11" t="s">
        <v>3175</v>
      </c>
    </row>
    <row r="12" spans="1:5" ht="18" customHeight="1">
      <c r="A12" s="11" t="s">
        <v>3182</v>
      </c>
      <c r="B12" s="11" t="s">
        <v>3192</v>
      </c>
      <c r="C12" s="11" t="s">
        <v>371</v>
      </c>
      <c r="D12" s="11" t="s">
        <v>24</v>
      </c>
      <c r="E12" s="11" t="s">
        <v>3176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193" t="s">
        <v>3195</v>
      </c>
      <c r="B1" s="193"/>
      <c r="C1" s="193"/>
      <c r="D1" s="193"/>
      <c r="E1" s="193"/>
      <c r="F1" s="193"/>
      <c r="G1" s="193"/>
      <c r="H1" s="193"/>
    </row>
    <row r="2" spans="1:8">
      <c r="A2" s="48" t="s">
        <v>3196</v>
      </c>
    </row>
    <row r="4" spans="1:8" ht="21.95" customHeight="1">
      <c r="A4" s="194" t="s">
        <v>3197</v>
      </c>
      <c r="B4" s="195"/>
      <c r="D4" s="194" t="s">
        <v>3198</v>
      </c>
      <c r="E4" s="195"/>
      <c r="G4" s="194" t="s">
        <v>3199</v>
      </c>
      <c r="H4" s="195"/>
    </row>
    <row r="5" spans="1:8" ht="35.1" customHeight="1">
      <c r="A5" s="198">
        <f>COUNTIF('Ações InCompany'!E:E,"*maratona*")</f>
        <v>13</v>
      </c>
      <c r="B5" s="197"/>
      <c r="D5" s="196">
        <f>SUM(H8:H100)</f>
        <v>1762</v>
      </c>
      <c r="E5" s="197"/>
      <c r="G5" s="196">
        <f>IFERROR(ROUND(D5/A5,0),"-")</f>
        <v>136</v>
      </c>
      <c r="H5" s="197"/>
    </row>
    <row r="6" spans="1:8" ht="9.9499999999999993" customHeight="1"/>
    <row r="7" spans="1:8" ht="24.95" customHeight="1" thickBot="1">
      <c r="A7" s="61" t="s">
        <v>3200</v>
      </c>
      <c r="B7" s="61" t="s">
        <v>3201</v>
      </c>
      <c r="C7" s="61" t="s">
        <v>1</v>
      </c>
      <c r="D7" s="61" t="s">
        <v>3202</v>
      </c>
      <c r="E7" s="61" t="s">
        <v>3203</v>
      </c>
      <c r="F7" s="61" t="s">
        <v>3100</v>
      </c>
      <c r="G7" s="61" t="s">
        <v>5</v>
      </c>
      <c r="H7" s="61" t="s">
        <v>3204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0">
        <v>2023</v>
      </c>
      <c r="D8" s="58" t="str">
        <v>Maratona Temática: Auditoria em saúde</v>
      </c>
      <c r="E8" s="50" t="str">
        <v>15 e 16/06/2023</v>
      </c>
      <c r="F8" s="50" t="str">
        <v>Realizado</v>
      </c>
      <c r="G8" s="50" t="str">
        <v>Servidores do TCDF</v>
      </c>
      <c r="H8" s="51">
        <v>184</v>
      </c>
    </row>
    <row r="9" spans="1:8" ht="20.100000000000001" customHeight="1">
      <c r="A9" s="52">
        <v>2</v>
      </c>
      <c r="B9" s="82">
        <v>45154</v>
      </c>
      <c r="C9" s="53">
        <v>2023</v>
      </c>
      <c r="D9" s="59" t="str">
        <v>Maratona temática: auditoria em mobilidade urbana</v>
      </c>
      <c r="E9" s="53" t="str">
        <v>16 a 18/08/2023</v>
      </c>
      <c r="F9" s="53" t="str">
        <v>Realizado</v>
      </c>
      <c r="G9" s="53" t="str">
        <v>Servidores do TCDF</v>
      </c>
      <c r="H9" s="54">
        <v>64</v>
      </c>
    </row>
    <row r="10" spans="1:8" ht="20.100000000000001" customHeight="1">
      <c r="A10" s="55">
        <v>3</v>
      </c>
      <c r="B10" s="83">
        <v>45239</v>
      </c>
      <c r="C10" s="56">
        <v>2023</v>
      </c>
      <c r="D10" s="60" t="str">
        <v>Maratona temática: primeira infância</v>
      </c>
      <c r="E10" s="56" t="str">
        <v>09 e 10/11/2023</v>
      </c>
      <c r="F10" s="56" t="str">
        <v>Realizado</v>
      </c>
      <c r="G10" s="56" t="str">
        <v>Sociedade</v>
      </c>
      <c r="H10" s="57">
        <v>91</v>
      </c>
    </row>
    <row r="11" spans="1:8" ht="20.100000000000001" customHeight="1">
      <c r="A11" s="52">
        <v>4</v>
      </c>
      <c r="B11" s="82">
        <v>45264</v>
      </c>
      <c r="C11" s="53">
        <v>2023</v>
      </c>
      <c r="D11" s="59" t="str">
        <v>Maratona Temática: auditoria em resíduos sólidos</v>
      </c>
      <c r="E11" s="53" t="str">
        <v>04 e 05/12/2023</v>
      </c>
      <c r="F11" s="53" t="str">
        <v>Realizado</v>
      </c>
      <c r="G11" s="53" t="str">
        <v>Servidores do TCDF</v>
      </c>
      <c r="H11" s="54">
        <v>85</v>
      </c>
    </row>
    <row r="12" spans="1:8" ht="20.100000000000001" customHeight="1">
      <c r="A12" s="55">
        <v>5</v>
      </c>
      <c r="B12" s="83">
        <v>45456</v>
      </c>
      <c r="C12" s="56">
        <v>2024</v>
      </c>
      <c r="D12" s="60" t="str">
        <v>Maratona Temática - educação</v>
      </c>
      <c r="E12" s="56" t="str">
        <v>13 e 14/06/2024</v>
      </c>
      <c r="F12" s="56" t="str">
        <v>Realizado</v>
      </c>
      <c r="G12" s="56" t="str">
        <v>Sociedade</v>
      </c>
      <c r="H12" s="57">
        <v>155</v>
      </c>
    </row>
    <row r="13" spans="1:8" ht="20.100000000000001" customHeight="1">
      <c r="A13" s="52">
        <v>6</v>
      </c>
      <c r="B13" s="82">
        <v>45624</v>
      </c>
      <c r="C13" s="53">
        <v>2024</v>
      </c>
      <c r="D13" s="59" t="str">
        <v>Maratona temática - Governança em Saúde</v>
      </c>
      <c r="E13" s="53" t="str">
        <v>28 e 29/11/2024</v>
      </c>
      <c r="F13" s="53" t="str">
        <v>Realizado</v>
      </c>
      <c r="G13" s="53" t="str">
        <v>Jurisdicionados</v>
      </c>
      <c r="H13" s="54">
        <v>138</v>
      </c>
    </row>
    <row r="14" spans="1:8" ht="20.100000000000001" customHeight="1">
      <c r="A14" s="55">
        <v>7</v>
      </c>
      <c r="B14" s="83">
        <v>45750</v>
      </c>
      <c r="C14" s="56">
        <v>2025</v>
      </c>
      <c r="D14" s="60" t="str">
        <v>Maratona Temática: Obras Públicas</v>
      </c>
      <c r="E14" s="56" t="str">
        <v>03 e 04/04/2025</v>
      </c>
      <c r="F14" s="56" t="str">
        <v>Realizado</v>
      </c>
      <c r="G14" s="56" t="str">
        <v>Jurisdicionados</v>
      </c>
      <c r="H14" s="57">
        <v>250</v>
      </c>
    </row>
    <row r="15" spans="1:8" ht="20.100000000000001" customHeight="1">
      <c r="A15" s="52">
        <v>8</v>
      </c>
      <c r="B15" s="82">
        <v>45925</v>
      </c>
      <c r="C15" s="53">
        <v>2025</v>
      </c>
      <c r="D15" s="59" t="str">
        <v>Maratona Temática “O Olhar dos Tribunais de Contas sobre Políticas Públicas"</v>
      </c>
      <c r="E15" s="53" t="str">
        <v>25 e 26/09/2025</v>
      </c>
      <c r="F15" s="53" t="str">
        <v>Realizado</v>
      </c>
      <c r="G15" s="53" t="str">
        <v>Sociedade</v>
      </c>
      <c r="H15" s="54">
        <v>228</v>
      </c>
    </row>
    <row r="16" spans="1:8" ht="20.100000000000001" customHeight="1">
      <c r="A16" s="55">
        <v>9</v>
      </c>
      <c r="B16" s="83">
        <v>45950</v>
      </c>
      <c r="C16" s="56">
        <v>2025</v>
      </c>
      <c r="D16" s="60" t="str">
        <v>Maratona Temática: Segurança Pública</v>
      </c>
      <c r="E16" s="56" t="str">
        <v>20 e 21/10/2025</v>
      </c>
      <c r="F16" s="56" t="str">
        <v>Realizado</v>
      </c>
      <c r="G16" s="56" t="str">
        <v>Sociedade</v>
      </c>
      <c r="H16" s="57">
        <v>179</v>
      </c>
    </row>
    <row r="17" spans="1:8" ht="20.100000000000001" customHeight="1">
      <c r="A17" s="52">
        <v>10</v>
      </c>
      <c r="B17" s="82">
        <v>46111</v>
      </c>
      <c r="C17" s="53">
        <v>2026</v>
      </c>
      <c r="D17" s="59" t="str">
        <v>Maratona Temática: Transparência Pública</v>
      </c>
      <c r="E17" s="53" t="str">
        <v>30 a 31/03/2026</v>
      </c>
      <c r="F17" s="53" t="str">
        <v>Realizado</v>
      </c>
      <c r="G17" s="53" t="str">
        <v>Jurisdicionados</v>
      </c>
      <c r="H17" s="54">
        <v>192</v>
      </c>
    </row>
    <row r="18" spans="1:8" ht="20.100000000000001" customHeight="1">
      <c r="A18" s="55">
        <v>11</v>
      </c>
      <c r="B18" s="83">
        <v>46195</v>
      </c>
      <c r="C18" s="56">
        <v>2026</v>
      </c>
      <c r="D18" s="60" t="str">
        <v>3ª Maratona Temática em Saúde Pública - Boas Práticas</v>
      </c>
      <c r="E18" s="56" t="str">
        <v>22 e 23/06/2026</v>
      </c>
      <c r="F18" s="56" t="str">
        <v>Realizado</v>
      </c>
      <c r="G18" s="56" t="str">
        <v>Jurisdicionados</v>
      </c>
      <c r="H18" s="57">
        <v>196</v>
      </c>
    </row>
    <row r="19" spans="1:8">
      <c r="A19" s="84">
        <v>12</v>
      </c>
      <c r="B19" s="85">
        <v>46321</v>
      </c>
      <c r="C19" s="84">
        <v>2026</v>
      </c>
      <c r="D19" s="86" t="str">
        <v>Maratona Temática - Obras Públicas</v>
      </c>
      <c r="E19" s="84" t="str">
        <v>26 e 27/10/2026</v>
      </c>
      <c r="F19" s="84" t="str">
        <v>A realizar</v>
      </c>
      <c r="G19" s="84" t="str">
        <v>Jurisdicionados</v>
      </c>
      <c r="H19" s="87">
        <v>0</v>
      </c>
    </row>
    <row r="20" spans="1:8">
      <c r="A20" s="88">
        <v>13</v>
      </c>
      <c r="B20" s="89">
        <v>46335</v>
      </c>
      <c r="C20" s="88">
        <v>2026</v>
      </c>
      <c r="D20" s="90" t="str">
        <v>Maratona Temática - Mobilidade Urbana</v>
      </c>
      <c r="E20" s="88" t="str">
        <v>09 e 10/11/2026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23" t="s">
        <v>3205</v>
      </c>
      <c r="B1" s="223"/>
      <c r="C1" s="223"/>
      <c r="D1" s="223"/>
      <c r="E1" s="223"/>
      <c r="F1" s="223"/>
    </row>
    <row r="2" spans="1:7">
      <c r="A2" s="224" t="s">
        <v>3206</v>
      </c>
      <c r="B2" s="224"/>
      <c r="C2" s="224"/>
      <c r="D2" s="224"/>
      <c r="E2" s="224"/>
      <c r="F2" s="224"/>
    </row>
    <row r="4" spans="1:7">
      <c r="A4" s="24" t="s">
        <v>19</v>
      </c>
      <c r="B4" s="24" t="s">
        <v>3103</v>
      </c>
      <c r="C4" s="24" t="s">
        <v>3104</v>
      </c>
      <c r="D4" s="24" t="s">
        <v>3207</v>
      </c>
      <c r="E4" s="24" t="s">
        <v>3105</v>
      </c>
      <c r="F4" s="24" t="s">
        <v>3208</v>
      </c>
    </row>
    <row r="5" spans="1:7">
      <c r="A5" t="str" cm="1">
        <f t="array" aca="1" ref="A5:A61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>
      <c r="A15" t="str">
        <f ca="1"/>
        <v>Cinthia Thais de Carvalho Luz Thomazi</v>
      </c>
      <c r="B15" s="25">
        <f ca="1">IF($A15="","",SUMIFS('GECC 2026'!H$2:H$200,'GECC 2026'!F$2:F$200,$A15))</f>
        <v>37</v>
      </c>
      <c r="C15" s="25">
        <f ca="1">IF($A15="","",SUMIFS('GECC 2026'!I$2:I$200,'GECC 2026'!F$2:F$200,$A15))</f>
        <v>7.5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44.500000000000007</v>
      </c>
      <c r="F15" s="23">
        <f ca="1">IF($A15="","",COUNTIFS('GECC 2026'!F$2:F$200,$A15))</f>
        <v>8</v>
      </c>
    </row>
    <row r="16" spans="1:7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33.200000000000003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37.200000000000003</v>
      </c>
      <c r="F27" s="23">
        <f ca="1">IF($A27="","",COUNTIFS('GECC 2026'!F$2:F$200,$A27))</f>
        <v>3</v>
      </c>
    </row>
    <row r="28" spans="1:6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>
      <c r="A32" t="str">
        <f ca="1"/>
        <v>Indio Artiaga do Brasil Rabelo</v>
      </c>
      <c r="B32" s="25">
        <f ca="1">IF($A32="","",SUMIFS('GECC 2026'!H$2:H$200,'GECC 2026'!F$2:F$200,$A32))</f>
        <v>16</v>
      </c>
      <c r="C32" s="25">
        <f ca="1">IF($A32="","",SUMIFS('GECC 2026'!I$2:I$200,'GECC 2026'!F$2:F$200,$A32))</f>
        <v>4.8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20.8</v>
      </c>
      <c r="F32" s="23">
        <f ca="1">IF($A32="","",COUNTIFS('GECC 2026'!F$2:F$200,$A32))</f>
        <v>2</v>
      </c>
    </row>
    <row r="33" spans="1:6">
      <c r="A33" t="str">
        <f ca="1"/>
        <v>Isabel Cristina Ribeiro</v>
      </c>
      <c r="B33" s="25">
        <f ca="1">IF($A33="","",SUMIFS('GECC 2026'!H$2:H$200,'GECC 2026'!F$2:F$200,$A33))</f>
        <v>20</v>
      </c>
      <c r="C33" s="25">
        <f ca="1">IF($A33="","",SUMIFS('GECC 2026'!I$2:I$200,'GECC 2026'!F$2:F$200,$A33))</f>
        <v>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26</v>
      </c>
      <c r="F33" s="23">
        <f ca="1">IF($A33="","",COUNTIFS('GECC 2026'!F$2:F$200,$A33))</f>
        <v>1</v>
      </c>
    </row>
    <row r="34" spans="1:6">
      <c r="A34" t="str">
        <f ca="1"/>
        <v>Isac Mendes Caixeta de Pamplona Araújo</v>
      </c>
      <c r="B34" s="25">
        <f ca="1">IF($A34="","",SUMIFS('GECC 2026'!H$2:H$200,'GECC 2026'!F$2:F$200,$A34))</f>
        <v>20</v>
      </c>
      <c r="C34" s="25">
        <f ca="1">IF($A34="","",SUMIFS('GECC 2026'!I$2:I$200,'GECC 2026'!F$2:F$200,$A34))</f>
        <v>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26</v>
      </c>
      <c r="F34" s="23">
        <f ca="1">IF($A34="","",COUNTIFS('GECC 2026'!F$2:F$200,$A34))</f>
        <v>3</v>
      </c>
    </row>
    <row r="35" spans="1:6">
      <c r="A35" t="str">
        <f ca="1"/>
        <v>Jamile Medeiros Fon</v>
      </c>
      <c r="B35" s="25">
        <f ca="1">IF($A35="","",SUMIFS('GECC 2026'!H$2:H$200,'GECC 2026'!F$2:F$200,$A35))</f>
        <v>4</v>
      </c>
      <c r="C35" s="25">
        <f ca="1">IF($A35="","",SUMIFS('GECC 2026'!I$2:I$200,'GECC 2026'!F$2:F$200,$A35))</f>
        <v>1.2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5.2</v>
      </c>
      <c r="F35" s="23">
        <f ca="1">IF($A35="","",COUNTIFS('GECC 2026'!F$2:F$200,$A35))</f>
        <v>1</v>
      </c>
    </row>
    <row r="36" spans="1:6">
      <c r="A36" t="str">
        <f ca="1"/>
        <v>Josdeyvi Magalhães Russi</v>
      </c>
      <c r="B36" s="25">
        <f ca="1">IF($A36="","",SUMIFS('GECC 2026'!H$2:H$200,'GECC 2026'!F$2:F$200,$A36))</f>
        <v>9</v>
      </c>
      <c r="C36" s="25">
        <f ca="1">IF($A36="","",SUMIFS('GECC 2026'!I$2:I$200,'GECC 2026'!F$2:F$200,$A36))</f>
        <v>2.6999999999999997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11.7</v>
      </c>
      <c r="F36" s="23">
        <f ca="1">IF($A36="","",COUNTIFS('GECC 2026'!F$2:F$200,$A36))</f>
        <v>1</v>
      </c>
    </row>
    <row r="37" spans="1:6">
      <c r="A37" t="str">
        <f ca="1"/>
        <v>José Roberto Alcuri Júnior</v>
      </c>
      <c r="B37" s="25">
        <f ca="1">IF($A37="","",SUMIFS('GECC 2026'!H$2:H$200,'GECC 2026'!F$2:F$200,$A37))</f>
        <v>1</v>
      </c>
      <c r="C37" s="25">
        <f ca="1">IF($A37="","",SUMIFS('GECC 2026'!I$2:I$200,'GECC 2026'!F$2:F$200,$A37))</f>
        <v>0.3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1.3</v>
      </c>
      <c r="F37" s="23">
        <f ca="1">IF($A37="","",COUNTIFS('GECC 2026'!F$2:F$200,$A37))</f>
        <v>2</v>
      </c>
    </row>
    <row r="38" spans="1:6">
      <c r="A38" t="str">
        <f ca="1"/>
        <v>Karine Caroline de Oliveira</v>
      </c>
      <c r="B38" s="25">
        <f ca="1">IF($A38="","",SUMIFS('GECC 2026'!H$2:H$200,'GECC 2026'!F$2:F$200,$A38))</f>
        <v>8</v>
      </c>
      <c r="C38" s="25">
        <f ca="1">IF($A38="","",SUMIFS('GECC 2026'!I$2:I$200,'GECC 2026'!F$2:F$200,$A38))</f>
        <v>2.4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10.4</v>
      </c>
      <c r="F38" s="23">
        <f ca="1">IF($A38="","",COUNTIFS('GECC 2026'!F$2:F$200,$A38))</f>
        <v>2</v>
      </c>
    </row>
    <row r="39" spans="1:6">
      <c r="A39" t="str">
        <f ca="1"/>
        <v>Leonardo de Melo</v>
      </c>
      <c r="B39" s="25">
        <f ca="1">IF($A39="","",SUMIFS('GECC 2026'!H$2:H$200,'GECC 2026'!F$2:F$200,$A39))</f>
        <v>0</v>
      </c>
      <c r="C39" s="25">
        <f ca="1">IF($A39="","",SUMIFS('GECC 2026'!I$2:I$200,'GECC 2026'!F$2:F$200,$A39))</f>
        <v>0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0</v>
      </c>
      <c r="F39" s="23">
        <f ca="1">IF($A39="","",COUNTIFS('GECC 2026'!F$2:F$200,$A39))</f>
        <v>2</v>
      </c>
    </row>
    <row r="40" spans="1:6">
      <c r="A40" t="str">
        <f ca="1"/>
        <v>Leonardo José Alves Leal Neri</v>
      </c>
      <c r="B40" s="25">
        <f ca="1">IF($A40="","",SUMIFS('GECC 2026'!H$2:H$200,'GECC 2026'!F$2:F$200,$A40))</f>
        <v>40</v>
      </c>
      <c r="C40" s="25">
        <f ca="1">IF($A40="","",SUMIFS('GECC 2026'!I$2:I$200,'GECC 2026'!F$2:F$200,$A40))</f>
        <v>12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52</v>
      </c>
      <c r="F40" s="23">
        <f ca="1">IF($A40="","",COUNTIFS('GECC 2026'!F$2:F$200,$A40))</f>
        <v>2</v>
      </c>
    </row>
    <row r="41" spans="1:6">
      <c r="A41" t="str">
        <f ca="1"/>
        <v>Luciana Alvim</v>
      </c>
      <c r="B41" s="25">
        <f ca="1">IF($A41="","",SUMIFS('GECC 2026'!H$2:H$200,'GECC 2026'!F$2:F$200,$A41))</f>
        <v>72</v>
      </c>
      <c r="C41" s="25">
        <f ca="1">IF($A41="","",SUMIFS('GECC 2026'!I$2:I$200,'GECC 2026'!F$2:F$200,$A41))</f>
        <v>77.599999999999994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149.6</v>
      </c>
      <c r="F41" s="23">
        <f ca="1">IF($A41="","",COUNTIFS('GECC 2026'!F$2:F$200,$A41))</f>
        <v>7</v>
      </c>
    </row>
    <row r="42" spans="1:6">
      <c r="A42" t="str">
        <f ca="1"/>
        <v>Luiz Felipe Tenório de Lima Gondim</v>
      </c>
      <c r="B42" s="25">
        <f ca="1">IF($A42="","",SUMIFS('GECC 2026'!H$2:H$200,'GECC 2026'!F$2:F$200,$A42))</f>
        <v>20</v>
      </c>
      <c r="C42" s="25">
        <f ca="1">IF($A42="","",SUMIFS('GECC 2026'!I$2:I$200,'GECC 2026'!F$2:F$200,$A42))</f>
        <v>6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26</v>
      </c>
      <c r="F42" s="23">
        <f ca="1">IF($A42="","",COUNTIFS('GECC 2026'!F$2:F$200,$A42))</f>
        <v>5</v>
      </c>
    </row>
    <row r="43" spans="1:6">
      <c r="A43" t="str">
        <f ca="1"/>
        <v>Marcelo Bálbio Moraes</v>
      </c>
      <c r="B43" s="25">
        <f ca="1">IF($A43="","",SUMIFS('GECC 2026'!H$2:H$200,'GECC 2026'!F$2:F$200,$A43))</f>
        <v>0</v>
      </c>
      <c r="C43" s="25">
        <f ca="1">IF($A43="","",SUMIFS('GECC 2026'!I$2:I$200,'GECC 2026'!F$2:F$200,$A43))</f>
        <v>0</v>
      </c>
      <c r="D43" s="100">
        <f ca="1">IF($A43="","",SUMIFS('GECC 2026'!$AE$3:$AE$32,'GECC 2026'!$AD$3:$AD$32,$A43))</f>
        <v>16</v>
      </c>
      <c r="E43" s="92">
        <f ca="1">IF($A43="","",SUMIFS('GECC 2026'!J$2:J$200,'GECC 2026'!F$2:F$200,$A43)+SUMIFS('GECC 2026'!$AE$3:$AE$32,'GECC 2026'!$AD$3:$AD$32,$A43))</f>
        <v>16</v>
      </c>
      <c r="F43" s="23">
        <f ca="1">IF($A43="","",COUNTIFS('GECC 2026'!F$2:F$200,$A43))</f>
        <v>0</v>
      </c>
    </row>
    <row r="44" spans="1:6">
      <c r="A44" t="str">
        <f ca="1"/>
        <v>Marcelo Silva Santana</v>
      </c>
      <c r="B44" s="25">
        <f ca="1">IF($A44="","",SUMIFS('GECC 2026'!H$2:H$200,'GECC 2026'!F$2:F$200,$A44))</f>
        <v>12</v>
      </c>
      <c r="C44" s="25">
        <f ca="1">IF($A44="","",SUMIFS('GECC 2026'!I$2:I$200,'GECC 2026'!F$2:F$200,$A44))</f>
        <v>1.44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13.440000000000001</v>
      </c>
      <c r="F44" s="23">
        <f ca="1">IF($A44="","",COUNTIFS('GECC 2026'!F$2:F$200,$A44))</f>
        <v>2</v>
      </c>
    </row>
    <row r="45" spans="1:6">
      <c r="A45" t="str">
        <f ca="1"/>
        <v>Mauri Siqueira Montessi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>
      <c r="A46" t="str">
        <f ca="1"/>
        <v>Michel Martins de Morais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Paulo José Góes Daltro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0</v>
      </c>
      <c r="F47" s="23">
        <f ca="1">IF($A47="","",COUNTIFS('GECC 2026'!F$2:F$200,$A47))</f>
        <v>2</v>
      </c>
    </row>
    <row r="48" spans="1:6">
      <c r="A48" t="str">
        <f ca="1"/>
        <v>Priscila Nolasco de Oliveira</v>
      </c>
      <c r="B48" s="25">
        <f ca="1">IF($A48="","",SUMIFS('GECC 2026'!H$2:H$200,'GECC 2026'!F$2:F$200,$A48))</f>
        <v>20</v>
      </c>
      <c r="C48" s="25">
        <f ca="1">IF($A48="","",SUMIFS('GECC 2026'!I$2:I$200,'GECC 2026'!F$2:F$200,$A48))</f>
        <v>6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26</v>
      </c>
      <c r="F48" s="23">
        <f ca="1">IF($A48="","",COUNTIFS('GECC 2026'!F$2:F$200,$A48))</f>
        <v>5</v>
      </c>
    </row>
    <row r="49" spans="1:6">
      <c r="A49" t="str">
        <f ca="1"/>
        <v>Reinaldo Alencar</v>
      </c>
      <c r="B49" s="25">
        <f ca="1">IF($A49="","",SUMIFS('GECC 2026'!H$2:H$200,'GECC 2026'!F$2:F$200,$A49))</f>
        <v>48</v>
      </c>
      <c r="C49" s="25">
        <f ca="1">IF($A49="","",SUMIFS('GECC 2026'!I$2:I$200,'GECC 2026'!F$2:F$200,$A49))</f>
        <v>7.1999999999999993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55.2</v>
      </c>
      <c r="F49" s="23">
        <f ca="1">IF($A49="","",COUNTIFS('GECC 2026'!F$2:F$200,$A49))</f>
        <v>3</v>
      </c>
    </row>
    <row r="50" spans="1:6">
      <c r="A50" t="str">
        <f ca="1"/>
        <v>Renan Dias da Silva</v>
      </c>
      <c r="B50" s="25">
        <f ca="1">IF($A50="","",SUMIFS('GECC 2026'!H$2:H$200,'GECC 2026'!F$2:F$200,$A50))</f>
        <v>4</v>
      </c>
      <c r="C50" s="25">
        <f ca="1">IF($A50="","",SUMIFS('GECC 2026'!I$2:I$200,'GECC 2026'!F$2:F$200,$A50))</f>
        <v>1.2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5.2</v>
      </c>
      <c r="F50" s="23">
        <f ca="1">IF($A50="","",COUNTIFS('GECC 2026'!F$2:F$200,$A50))</f>
        <v>1</v>
      </c>
    </row>
    <row r="51" spans="1:6">
      <c r="A51" t="str">
        <f ca="1"/>
        <v>Rogério Ribeiro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Rômulo Miranda Alvim</v>
      </c>
      <c r="B52" s="25">
        <f ca="1">IF($A52="","",SUMIFS('GECC 2026'!H$2:H$200,'GECC 2026'!F$2:F$200,$A52))</f>
        <v>24</v>
      </c>
      <c r="C52" s="25">
        <f ca="1">IF($A52="","",SUMIFS('GECC 2026'!I$2:I$200,'GECC 2026'!F$2:F$200,$A52))</f>
        <v>3.6</v>
      </c>
      <c r="D52" s="100">
        <f ca="1">IF($A52="","",SUMIFS('GECC 2026'!$AE$3:$AE$32,'GECC 2026'!$AD$3:$AD$32,$A52))</f>
        <v>16</v>
      </c>
      <c r="E52" s="92">
        <f ca="1">IF($A52="","",SUMIFS('GECC 2026'!J$2:J$200,'GECC 2026'!F$2:F$200,$A52)+SUMIFS('GECC 2026'!$AE$3:$AE$32,'GECC 2026'!$AD$3:$AD$32,$A52))</f>
        <v>43.6</v>
      </c>
      <c r="F52" s="23">
        <f ca="1">IF($A52="","",COUNTIFS('GECC 2026'!F$2:F$200,$A52))</f>
        <v>2</v>
      </c>
    </row>
    <row r="53" spans="1:6">
      <c r="A53" t="str">
        <f ca="1"/>
        <v>Sara Cristina Lins Ramos</v>
      </c>
      <c r="B53" s="25">
        <f ca="1">IF($A53="","",SUMIFS('GECC 2026'!H$2:H$200,'GECC 2026'!F$2:F$200,$A53))</f>
        <v>8</v>
      </c>
      <c r="C53" s="25">
        <f ca="1">IF($A53="","",SUMIFS('GECC 2026'!I$2:I$200,'GECC 2026'!F$2:F$200,$A53))</f>
        <v>2.4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10.4</v>
      </c>
      <c r="F53" s="23">
        <f ca="1">IF($A53="","",COUNTIFS('GECC 2026'!F$2:F$200,$A53))</f>
        <v>1</v>
      </c>
    </row>
    <row r="54" spans="1:6">
      <c r="A54" t="str">
        <f ca="1"/>
        <v>Servidores, colaboradores e estagiários do TCDF</v>
      </c>
      <c r="B54" s="25">
        <f ca="1">IF($A54="","",SUMIFS('GECC 2026'!H$2:H$200,'GECC 2026'!F$2:F$200,$A54))</f>
        <v>0</v>
      </c>
      <c r="C54" s="25">
        <f ca="1">IF($A54="","",SUMIFS('GECC 2026'!I$2:I$200,'GECC 2026'!F$2:F$200,$A54))</f>
        <v>0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0</v>
      </c>
      <c r="F54" s="23">
        <f ca="1">IF($A54="","",COUNTIFS('GECC 2026'!F$2:F$200,$A54))</f>
        <v>1</v>
      </c>
    </row>
    <row r="55" spans="1:6">
      <c r="A55" t="str">
        <f ca="1"/>
        <v>Silvia Lima Damasceno Carvalho</v>
      </c>
      <c r="B55" s="25">
        <f ca="1">IF($A55="","",SUMIFS('GECC 2026'!H$2:H$200,'GECC 2026'!F$2:F$200,$A55))</f>
        <v>21</v>
      </c>
      <c r="C55" s="25">
        <f ca="1">IF($A55="","",SUMIFS('GECC 2026'!I$2:I$200,'GECC 2026'!F$2:F$200,$A55))</f>
        <v>6.3000000000000007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27.299999999999997</v>
      </c>
      <c r="F55" s="23">
        <f ca="1">IF($A55="","",COUNTIFS('GECC 2026'!F$2:F$200,$A55))</f>
        <v>6</v>
      </c>
    </row>
    <row r="56" spans="1:6">
      <c r="A56" t="str">
        <f ca="1"/>
        <v>Tarsila Firmino Ely</v>
      </c>
      <c r="B56" s="25">
        <f ca="1">IF($A56="","",SUMIFS('GECC 2026'!H$2:H$200,'GECC 2026'!F$2:F$200,$A56))</f>
        <v>88</v>
      </c>
      <c r="C56" s="25">
        <f ca="1">IF($A56="","",SUMIFS('GECC 2026'!I$2:I$200,'GECC 2026'!F$2:F$200,$A56))</f>
        <v>83.6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171.6</v>
      </c>
      <c r="F56" s="23">
        <f ca="1">IF($A56="","",COUNTIFS('GECC 2026'!F$2:F$200,$A56))</f>
        <v>7</v>
      </c>
    </row>
    <row r="57" spans="1:6">
      <c r="A57" t="str">
        <f ca="1"/>
        <v>Thiago Magalhães de Oliveira</v>
      </c>
      <c r="B57" s="25">
        <f ca="1">IF($A57="","",SUMIFS('GECC 2026'!H$2:H$200,'GECC 2026'!F$2:F$200,$A57))</f>
        <v>4</v>
      </c>
      <c r="C57" s="25">
        <f ca="1">IF($A57="","",SUMIFS('GECC 2026'!I$2:I$200,'GECC 2026'!F$2:F$200,$A57))</f>
        <v>1.2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5.2</v>
      </c>
      <c r="F57" s="23">
        <f ca="1">IF($A57="","",COUNTIFS('GECC 2026'!F$2:F$200,$A57))</f>
        <v>1</v>
      </c>
    </row>
    <row r="58" spans="1:6">
      <c r="A58" t="str">
        <f ca="1"/>
        <v>Túllio Herbeth Teixeira Moraes</v>
      </c>
      <c r="B58" s="25">
        <f ca="1">IF($A58="","",SUMIFS('GECC 2026'!H$2:H$200,'GECC 2026'!F$2:F$200,$A58))</f>
        <v>9</v>
      </c>
      <c r="C58" s="25">
        <f ca="1">IF($A58="","",SUMIFS('GECC 2026'!I$2:I$200,'GECC 2026'!F$2:F$200,$A58))</f>
        <v>2.6999999999999997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11.7</v>
      </c>
      <c r="F58" s="23">
        <f ca="1">IF($A58="","",COUNTIFS('GECC 2026'!F$2:F$200,$A58))</f>
        <v>3</v>
      </c>
    </row>
    <row r="59" spans="1:6">
      <c r="A59" t="str">
        <f ca="1"/>
        <v>Valéria Feitoza</v>
      </c>
      <c r="B59" s="25">
        <f ca="1">IF($A59="","",SUMIFS('GECC 2026'!H$2:H$200,'GECC 2026'!F$2:F$200,$A59))</f>
        <v>0</v>
      </c>
      <c r="C59" s="25">
        <f ca="1">IF($A59="","",SUMIFS('GECC 2026'!I$2:I$200,'GECC 2026'!F$2:F$200,$A59))</f>
        <v>0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0</v>
      </c>
      <c r="F59" s="23">
        <f ca="1">IF($A59="","",COUNTIFS('GECC 2026'!F$2:F$200,$A59))</f>
        <v>2</v>
      </c>
    </row>
    <row r="60" spans="1:6">
      <c r="A60" t="str">
        <f ca="1"/>
        <v>Wibys Pereira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>
      <c r="A61" t="str">
        <f ca="1"/>
        <v>Yasmin Carla Marchioro Silverio</v>
      </c>
      <c r="B61" s="25">
        <f ca="1">IF($A61="","",SUMIFS('GECC 2026'!H$2:H$200,'GECC 2026'!F$2:F$200,$A61))</f>
        <v>8</v>
      </c>
      <c r="C61" s="25">
        <f ca="1">IF($A61="","",SUMIFS('GECC 2026'!I$2:I$200,'GECC 2026'!F$2:F$200,$A61))</f>
        <v>2.4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10.4</v>
      </c>
      <c r="F61" s="23">
        <f ca="1">IF($A61="","",COUNTIFS('GECC 2026'!F$2:F$200,$A61))</f>
        <v>2</v>
      </c>
    </row>
    <row r="62" spans="1:6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3143</v>
      </c>
      <c r="B105" s="94">
        <f ca="1">SUM(B5:B100)</f>
        <v>847</v>
      </c>
      <c r="C105" s="94">
        <f ca="1">SUM(C5:C100)</f>
        <v>374.44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138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7" t="s">
        <v>3209</v>
      </c>
      <c r="B1" s="117" t="s">
        <v>3210</v>
      </c>
      <c r="C1" s="117" t="s">
        <v>3211</v>
      </c>
      <c r="D1" s="117" t="s">
        <v>3212</v>
      </c>
      <c r="E1" s="117" t="s">
        <v>3213</v>
      </c>
      <c r="F1" s="117" t="s">
        <v>3214</v>
      </c>
      <c r="G1" s="117" t="s">
        <v>10</v>
      </c>
      <c r="H1" s="117" t="s">
        <v>3215</v>
      </c>
      <c r="I1" s="117" t="s">
        <v>3216</v>
      </c>
      <c r="J1" s="117" t="s">
        <v>3217</v>
      </c>
      <c r="K1" s="117" t="s">
        <v>3218</v>
      </c>
      <c r="L1" s="117" t="s">
        <v>3219</v>
      </c>
      <c r="N1" s="117" t="s">
        <v>3220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3221</v>
      </c>
      <c r="L2" t="str">
        <f>IF(K2="","",IFERROR(INDEX(Tabela2[Curso],MATCH(K2,Tabela2[ID],0)),""))</f>
        <v/>
      </c>
      <c r="N2" s="117" t="s">
        <v>3099</v>
      </c>
      <c r="O2" s="117" t="s">
        <v>4</v>
      </c>
      <c r="P2" s="117" t="s">
        <v>3222</v>
      </c>
      <c r="Q2" s="117" t="s">
        <v>3223</v>
      </c>
      <c r="R2" s="117" t="s">
        <v>3224</v>
      </c>
      <c r="S2" s="117" t="s">
        <v>3225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3221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3221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3221</v>
      </c>
      <c r="L5" t="str">
        <f>IF(K5="","",IFERROR(INDEX(Tabela2[Curso],MATCH(K5,Tabela2[ID],0)),""))</f>
        <v/>
      </c>
      <c r="N5" t="s">
        <v>2934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3221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3221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3221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3221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3221</v>
      </c>
      <c r="L10" t="str">
        <f>IF(K10="","",IFERROR(INDEX(Tabela2[Curso],MATCH(K10,Tabela2[ID],0)),""))</f>
        <v/>
      </c>
      <c r="N10" s="111" t="s">
        <v>3226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3221</v>
      </c>
      <c r="L11" t="str">
        <f>IF(K11="","",IFERROR(INDEX(Tabela2[Curso],MATCH(K11,Tabela2[ID],0)),""))</f>
        <v/>
      </c>
      <c r="N11" s="225" t="s">
        <v>3227</v>
      </c>
      <c r="O11" s="225" t="s">
        <v>3228</v>
      </c>
      <c r="P11" s="225" t="s">
        <v>3229</v>
      </c>
      <c r="Q11" s="225" t="s">
        <v>3212</v>
      </c>
      <c r="R11" s="225" t="s">
        <v>3213</v>
      </c>
      <c r="S11" s="225" t="s">
        <v>3230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3221</v>
      </c>
      <c r="L12" t="str">
        <f>IF(K12="","",IFERROR(INDEX(Tabela2[Curso],MATCH(K12,Tabela2[ID],0)),""))</f>
        <v/>
      </c>
      <c r="N12" t="s">
        <v>3231</v>
      </c>
      <c r="O12" t="s">
        <v>2753</v>
      </c>
      <c r="P12" t="s">
        <v>3232</v>
      </c>
      <c r="Q12">
        <v>0</v>
      </c>
      <c r="R12">
        <v>0</v>
      </c>
      <c r="S12" t="s">
        <v>3233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3221</v>
      </c>
      <c r="L13" t="str">
        <f>IF(K13="","",IFERROR(INDEX(Tabela2[Curso],MATCH(K13,Tabela2[ID],0)),""))</f>
        <v/>
      </c>
      <c r="N13" t="s">
        <v>3234</v>
      </c>
      <c r="O13" t="s">
        <v>2686</v>
      </c>
      <c r="P13" t="s">
        <v>3235</v>
      </c>
      <c r="Q13">
        <v>0</v>
      </c>
      <c r="R13">
        <v>0</v>
      </c>
      <c r="S13" t="s">
        <v>3236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3221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3221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3221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3221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3221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3221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3221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3221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3221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3221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3221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3221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3221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3221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3221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3221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3221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3221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3221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3221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3221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3221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3221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3221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3221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3221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3221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3221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3221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3221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3221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3221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3221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3221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3221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3221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3221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3221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3221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3221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3221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3221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3221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3221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3221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3221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3221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3221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3221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3221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3221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3221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/>
</file>

<file path=customXml/itemProps2.xml><?xml version="1.0" encoding="utf-8"?>
<ds:datastoreItem xmlns:ds="http://schemas.openxmlformats.org/officeDocument/2006/customXml" ds:itemID="{16690115-09EE-4E0D-A489-D3FB288E822F}"/>
</file>

<file path=customXml/itemProps3.xml><?xml version="1.0" encoding="utf-8"?>
<ds:datastoreItem xmlns:ds="http://schemas.openxmlformats.org/officeDocument/2006/customXml" ds:itemID="{09E963D1-4255-41FD-98AB-5B82B7F67BB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Paula Espinosa Bittar</cp:lastModifiedBy>
  <cp:revision/>
  <dcterms:created xsi:type="dcterms:W3CDTF">2024-04-02T18:43:15Z</dcterms:created>
  <dcterms:modified xsi:type="dcterms:W3CDTF">2026-09-09T16:43:25Z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